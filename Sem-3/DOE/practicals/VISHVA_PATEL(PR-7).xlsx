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 activeTab="1"/>
  </bookViews>
  <sheets>
    <sheet name="Question - 1" sheetId="1" r:id="rId1"/>
    <sheet name="Question - 2" sheetId="3" r:id="rId2"/>
    <sheet name="Question - 3" sheetId="4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9" i="1"/>
  <c r="J28"/>
  <c r="I53"/>
  <c r="G53"/>
  <c r="G49"/>
  <c r="G45"/>
  <c r="K28"/>
  <c r="J29"/>
  <c r="I69"/>
  <c r="C68" i="3" l="1"/>
  <c r="C117" i="4" l="1"/>
  <c r="C109"/>
  <c r="C107"/>
  <c r="I61"/>
  <c r="F65" i="3" a="1"/>
  <c r="F59"/>
  <c r="F55"/>
  <c r="E51"/>
  <c r="G38" a="1"/>
  <c r="G38" s="1"/>
  <c r="C27" a="1"/>
  <c r="C27" s="1"/>
  <c r="H71" i="1" a="1"/>
  <c r="F31"/>
  <c r="E27"/>
  <c r="O61" i="4" l="1"/>
  <c r="P34"/>
  <c r="D67" i="3" a="1"/>
  <c r="D67" s="1"/>
  <c r="D66" a="1"/>
  <c r="G46" a="1"/>
  <c r="G46" s="1"/>
  <c r="C32" a="1"/>
  <c r="C32" s="1"/>
  <c r="C29" a="1"/>
  <c r="C29" s="1"/>
  <c r="C28" a="1"/>
  <c r="C28" s="1"/>
  <c r="E72" i="1"/>
  <c r="E69"/>
  <c r="G69" s="1"/>
  <c r="I49"/>
  <c r="D66" i="3" l="1"/>
  <c r="G42" i="1"/>
  <c r="K31"/>
  <c r="K30"/>
  <c r="K29"/>
  <c r="E71"/>
  <c r="H27"/>
  <c r="G31"/>
  <c r="G27"/>
  <c r="F32"/>
  <c r="F27"/>
  <c r="N26"/>
  <c r="F82" i="4" l="1"/>
  <c r="E92"/>
  <c r="D88"/>
  <c r="I82"/>
  <c r="B33"/>
  <c r="C33"/>
  <c r="D33"/>
  <c r="E33"/>
  <c r="F33"/>
  <c r="G33"/>
  <c r="H33"/>
  <c r="I33"/>
  <c r="C61"/>
  <c r="D65" s="1"/>
  <c r="C62"/>
  <c r="I62"/>
  <c r="J65" s="1"/>
  <c r="O62"/>
  <c r="C63"/>
  <c r="D66" s="1"/>
  <c r="I63"/>
  <c r="O63"/>
  <c r="C64"/>
  <c r="I64"/>
  <c r="O64"/>
  <c r="C65"/>
  <c r="I65"/>
  <c r="O65"/>
  <c r="C66"/>
  <c r="I66"/>
  <c r="O66"/>
  <c r="C67"/>
  <c r="I67"/>
  <c r="O67"/>
  <c r="C68"/>
  <c r="I68"/>
  <c r="O68"/>
  <c r="C72"/>
  <c r="I72"/>
  <c r="C73"/>
  <c r="I73"/>
  <c r="C74"/>
  <c r="I74"/>
  <c r="C75"/>
  <c r="I75"/>
  <c r="C76"/>
  <c r="I76"/>
  <c r="C77"/>
  <c r="I77"/>
  <c r="C78"/>
  <c r="I78"/>
  <c r="C79"/>
  <c r="I79"/>
  <c r="F83"/>
  <c r="N83"/>
  <c r="F84"/>
  <c r="F85"/>
  <c r="C116" s="1"/>
  <c r="E116" s="1"/>
  <c r="G106"/>
  <c r="G107"/>
  <c r="G108"/>
  <c r="D125" s="1"/>
  <c r="G109"/>
  <c r="D134" s="1"/>
  <c r="G110"/>
  <c r="G111"/>
  <c r="G112"/>
  <c r="D144" s="1"/>
  <c r="G144" s="1"/>
  <c r="J144" s="1"/>
  <c r="C113"/>
  <c r="E113" s="1"/>
  <c r="G113"/>
  <c r="D155" s="1"/>
  <c r="G155" s="1"/>
  <c r="C114"/>
  <c r="E114" s="1"/>
  <c r="G114"/>
  <c r="C115"/>
  <c r="E115" s="1"/>
  <c r="G115"/>
  <c r="G116"/>
  <c r="J155" s="1"/>
  <c r="B23" i="3"/>
  <c r="C23"/>
  <c r="D23"/>
  <c r="E23"/>
  <c r="F23"/>
  <c r="G23"/>
  <c r="C37"/>
  <c r="C38"/>
  <c r="C39"/>
  <c r="C40"/>
  <c r="C41"/>
  <c r="C42"/>
  <c r="C43"/>
  <c r="C44"/>
  <c r="D65"/>
  <c r="D68"/>
  <c r="D76"/>
  <c r="N109" i="1"/>
  <c r="K109"/>
  <c r="H109"/>
  <c r="E109"/>
  <c r="K101"/>
  <c r="H101"/>
  <c r="E101"/>
  <c r="E93"/>
  <c r="E86"/>
  <c r="E28"/>
  <c r="E29"/>
  <c r="E30"/>
  <c r="E31"/>
  <c r="E32"/>
  <c r="E33"/>
  <c r="E34"/>
  <c r="P61" i="4" l="1"/>
  <c r="J78"/>
  <c r="C36"/>
  <c r="J75"/>
  <c r="D73"/>
  <c r="D67"/>
  <c r="P62"/>
  <c r="Q61" s="1"/>
  <c r="J67"/>
  <c r="K64" s="1"/>
  <c r="C35"/>
  <c r="C37"/>
  <c r="E63"/>
  <c r="D78"/>
  <c r="D76"/>
  <c r="J66"/>
  <c r="K63" s="1"/>
  <c r="P64"/>
  <c r="D79"/>
  <c r="D77"/>
  <c r="E78" s="1"/>
  <c r="J68"/>
  <c r="D75"/>
  <c r="J73"/>
  <c r="D64"/>
  <c r="E67"/>
  <c r="D63"/>
  <c r="E62" s="1"/>
  <c r="P65"/>
  <c r="D72"/>
  <c r="E72" s="1"/>
  <c r="J64"/>
  <c r="P67"/>
  <c r="J72"/>
  <c r="J77"/>
  <c r="D74"/>
  <c r="D62"/>
  <c r="C38"/>
  <c r="P66"/>
  <c r="J76"/>
  <c r="P63"/>
  <c r="J63"/>
  <c r="J61"/>
  <c r="J79"/>
  <c r="K79" s="1"/>
  <c r="J74"/>
  <c r="J62"/>
  <c r="D61"/>
  <c r="D42" i="3"/>
  <c r="D37"/>
  <c r="D44"/>
  <c r="D40"/>
  <c r="D39"/>
  <c r="D75"/>
  <c r="G71" s="1"/>
  <c r="D113" s="1"/>
  <c r="G113" s="1"/>
  <c r="J113" s="1"/>
  <c r="D43"/>
  <c r="D38"/>
  <c r="M155" i="4"/>
  <c r="P68"/>
  <c r="D68"/>
  <c r="D41" i="3"/>
  <c r="F30" i="1"/>
  <c r="F29"/>
  <c r="F28"/>
  <c r="E35"/>
  <c r="F33"/>
  <c r="F34"/>
  <c r="Q65" i="4" l="1"/>
  <c r="K67"/>
  <c r="Q66"/>
  <c r="K76"/>
  <c r="E68"/>
  <c r="F68" s="1"/>
  <c r="K68"/>
  <c r="E79"/>
  <c r="Q67"/>
  <c r="E74"/>
  <c r="Q68"/>
  <c r="K65"/>
  <c r="K72"/>
  <c r="K73"/>
  <c r="L76" s="1"/>
  <c r="E66"/>
  <c r="F67" s="1"/>
  <c r="F75"/>
  <c r="Q62"/>
  <c r="R65" s="1"/>
  <c r="E75"/>
  <c r="F73" s="1"/>
  <c r="L62"/>
  <c r="E65"/>
  <c r="K61"/>
  <c r="E73"/>
  <c r="F76" s="1"/>
  <c r="K78"/>
  <c r="L75" s="1"/>
  <c r="Q64"/>
  <c r="E76"/>
  <c r="K62"/>
  <c r="L66"/>
  <c r="K66"/>
  <c r="K77"/>
  <c r="L78" s="1"/>
  <c r="Q63"/>
  <c r="R63"/>
  <c r="E64"/>
  <c r="F66" s="1"/>
  <c r="K74"/>
  <c r="E77"/>
  <c r="K75"/>
  <c r="E61"/>
  <c r="F61" s="1"/>
  <c r="C108" s="1"/>
  <c r="F79"/>
  <c r="E40" i="3"/>
  <c r="E38"/>
  <c r="E39"/>
  <c r="F42" s="1"/>
  <c r="E37"/>
  <c r="G69"/>
  <c r="D103" s="1"/>
  <c r="G103" s="1"/>
  <c r="J103" s="1"/>
  <c r="G73"/>
  <c r="G67"/>
  <c r="D84" s="1"/>
  <c r="G74"/>
  <c r="G72"/>
  <c r="G66"/>
  <c r="G70"/>
  <c r="E42"/>
  <c r="E44"/>
  <c r="G68"/>
  <c r="D93" s="1"/>
  <c r="G65"/>
  <c r="F38"/>
  <c r="C69" s="1"/>
  <c r="E41"/>
  <c r="F39" s="1"/>
  <c r="C70" s="1"/>
  <c r="E70" s="1"/>
  <c r="F41"/>
  <c r="G41" s="1"/>
  <c r="R67" i="4"/>
  <c r="E96"/>
  <c r="C106" s="1"/>
  <c r="E106" s="1"/>
  <c r="E100"/>
  <c r="C118" s="1"/>
  <c r="E43" i="3"/>
  <c r="G32" i="1"/>
  <c r="G28"/>
  <c r="H29"/>
  <c r="G29"/>
  <c r="G33"/>
  <c r="G30"/>
  <c r="G34"/>
  <c r="L68" i="4" l="1"/>
  <c r="L64"/>
  <c r="F63"/>
  <c r="C111" s="1"/>
  <c r="E111" s="1"/>
  <c r="F64"/>
  <c r="R64"/>
  <c r="R68"/>
  <c r="L72"/>
  <c r="F65"/>
  <c r="C112" s="1"/>
  <c r="E112" s="1"/>
  <c r="F74"/>
  <c r="L61"/>
  <c r="F62"/>
  <c r="C110" s="1"/>
  <c r="E110" s="1"/>
  <c r="F78"/>
  <c r="L67"/>
  <c r="R61"/>
  <c r="F77"/>
  <c r="L65"/>
  <c r="L79"/>
  <c r="R66"/>
  <c r="F72"/>
  <c r="L74"/>
  <c r="L77"/>
  <c r="L63"/>
  <c r="L73"/>
  <c r="R62"/>
  <c r="F37" i="3"/>
  <c r="C65" s="1"/>
  <c r="E65" s="1"/>
  <c r="F40"/>
  <c r="C71" s="1"/>
  <c r="E71" s="1"/>
  <c r="D47"/>
  <c r="C67" s="1"/>
  <c r="C72"/>
  <c r="E72" s="1"/>
  <c r="G39"/>
  <c r="F43"/>
  <c r="G43" s="1"/>
  <c r="E118" i="4"/>
  <c r="E107"/>
  <c r="E108"/>
  <c r="E69" i="3"/>
  <c r="C73"/>
  <c r="E73" s="1"/>
  <c r="G42"/>
  <c r="F44"/>
  <c r="E39" i="1"/>
  <c r="H31"/>
  <c r="H33"/>
  <c r="H30"/>
  <c r="H34"/>
  <c r="H28"/>
  <c r="H32"/>
  <c r="E109" i="4" l="1"/>
  <c r="C74" i="3"/>
  <c r="E74" s="1"/>
  <c r="G40"/>
  <c r="C76"/>
  <c r="E68"/>
  <c r="E67"/>
  <c r="C66"/>
  <c r="E66" s="1"/>
  <c r="F70" i="1"/>
  <c r="F69"/>
  <c r="K21"/>
  <c r="I21"/>
  <c r="G21"/>
  <c r="E21"/>
  <c r="E117" i="4" l="1"/>
  <c r="F109" s="1"/>
  <c r="D133" s="1"/>
  <c r="C75" i="3"/>
  <c r="E75" s="1"/>
  <c r="F113" i="4"/>
  <c r="D154" s="1"/>
  <c r="F114"/>
  <c r="G154" s="1"/>
  <c r="F111"/>
  <c r="G143" s="1"/>
  <c r="F106"/>
  <c r="J33" i="1"/>
  <c r="K33" s="1"/>
  <c r="J31"/>
  <c r="J32"/>
  <c r="K32" s="1"/>
  <c r="J34"/>
  <c r="K34" s="1"/>
  <c r="J30"/>
  <c r="E74" s="1"/>
  <c r="G74" s="1"/>
  <c r="F78"/>
  <c r="I70" s="1"/>
  <c r="F66" i="3" l="1"/>
  <c r="F65"/>
  <c r="F71"/>
  <c r="D112" s="1"/>
  <c r="F70"/>
  <c r="G102" s="1"/>
  <c r="F69"/>
  <c r="D102" s="1"/>
  <c r="F112" i="4"/>
  <c r="J143" s="1"/>
  <c r="F107"/>
  <c r="F116"/>
  <c r="M154" s="1"/>
  <c r="F115"/>
  <c r="J154" s="1"/>
  <c r="F110"/>
  <c r="D143" s="1"/>
  <c r="F108"/>
  <c r="D124" s="1"/>
  <c r="F72" i="3"/>
  <c r="J102" s="1"/>
  <c r="F68"/>
  <c r="D92" s="1"/>
  <c r="F67"/>
  <c r="D83" s="1"/>
  <c r="F74"/>
  <c r="G112" s="1"/>
  <c r="F73"/>
  <c r="J112" s="1"/>
  <c r="I72" i="1"/>
  <c r="I73"/>
  <c r="I74"/>
  <c r="I75"/>
  <c r="I76"/>
  <c r="I77"/>
  <c r="I71"/>
  <c r="E76"/>
  <c r="G76" s="1"/>
  <c r="E73" l="1"/>
  <c r="G73" s="1"/>
  <c r="G72"/>
  <c r="E75"/>
  <c r="G75" s="1"/>
  <c r="G71"/>
  <c r="E77"/>
  <c r="G77" s="1"/>
  <c r="E70" l="1"/>
  <c r="G70" s="1"/>
  <c r="E79"/>
  <c r="E78" l="1"/>
  <c r="G78" s="1"/>
  <c r="H71" s="1"/>
  <c r="H70" l="1"/>
  <c r="E92" s="1"/>
  <c r="E85"/>
  <c r="H74"/>
  <c r="E108" s="1"/>
  <c r="H76"/>
  <c r="K108" s="1"/>
  <c r="H72"/>
  <c r="H100" s="1"/>
  <c r="H73"/>
  <c r="K100" s="1"/>
  <c r="H77"/>
  <c r="N108" s="1"/>
  <c r="H75"/>
  <c r="H108" s="1"/>
  <c r="E100"/>
</calcChain>
</file>

<file path=xl/sharedStrings.xml><?xml version="1.0" encoding="utf-8"?>
<sst xmlns="http://schemas.openxmlformats.org/spreadsheetml/2006/main" count="580" uniqueCount="322">
  <si>
    <t>Block 1</t>
  </si>
  <si>
    <t>block2</t>
  </si>
  <si>
    <t>block3</t>
  </si>
  <si>
    <t>block4</t>
  </si>
  <si>
    <t>n</t>
  </si>
  <si>
    <t>pk</t>
  </si>
  <si>
    <t>npk</t>
  </si>
  <si>
    <t>k</t>
  </si>
  <si>
    <t>nk</t>
  </si>
  <si>
    <t>p</t>
  </si>
  <si>
    <t>np</t>
  </si>
  <si>
    <t>0th</t>
  </si>
  <si>
    <t>1st</t>
  </si>
  <si>
    <t>2nd</t>
  </si>
  <si>
    <t>3rd</t>
  </si>
  <si>
    <t>Two levels of each factor were used. The upper level of a factor indicated the application of fixed quantity of the factor, while lower level its</t>
  </si>
  <si>
    <t>absence.the plan and yields are given in the following table:</t>
  </si>
  <si>
    <t xml:space="preserve">Solution: </t>
  </si>
  <si>
    <r>
      <t>A 2</t>
    </r>
    <r>
      <rPr>
        <vertAlign val="superscript"/>
        <sz val="14"/>
        <color theme="1"/>
        <rFont val="Century"/>
        <family val="1"/>
      </rPr>
      <t>3</t>
    </r>
    <r>
      <rPr>
        <sz val="14"/>
        <color theme="1"/>
        <rFont val="Century"/>
        <family val="1"/>
      </rPr>
      <t xml:space="preserve"> factorial experiment was conducted to study the effects of the nutrients nitrogen(N), Phosporous(P), Potassium(K) on the yield of potatos.</t>
    </r>
  </si>
  <si>
    <t>G</t>
  </si>
  <si>
    <t>N</t>
  </si>
  <si>
    <t>P</t>
  </si>
  <si>
    <t>NP</t>
  </si>
  <si>
    <t>K</t>
  </si>
  <si>
    <t>NK</t>
  </si>
  <si>
    <t>PK</t>
  </si>
  <si>
    <t>NPK</t>
  </si>
  <si>
    <t>r=</t>
  </si>
  <si>
    <t>Sum of Square</t>
  </si>
  <si>
    <t>(-)</t>
  </si>
  <si>
    <t>Mean Sum of Square</t>
  </si>
  <si>
    <t>G =</t>
  </si>
  <si>
    <t>ANOVA  TABLE</t>
  </si>
  <si>
    <t>Fcal</t>
  </si>
  <si>
    <t>Error</t>
  </si>
  <si>
    <t>Total</t>
  </si>
  <si>
    <t>m=</t>
  </si>
  <si>
    <t>blocks</t>
  </si>
  <si>
    <t>treatments</t>
  </si>
  <si>
    <t>Ftab</t>
  </si>
  <si>
    <t>b=</t>
  </si>
  <si>
    <t>v=</t>
  </si>
  <si>
    <t>No of Factors</t>
  </si>
  <si>
    <r>
      <t>2</t>
    </r>
    <r>
      <rPr>
        <b/>
        <vertAlign val="superscript"/>
        <sz val="12"/>
        <color theme="1"/>
        <rFont val="Calibri"/>
        <family val="2"/>
        <scheme val="minor"/>
      </rPr>
      <t xml:space="preserve">3 </t>
    </r>
    <r>
      <rPr>
        <b/>
        <sz val="12"/>
        <color theme="1"/>
        <rFont val="Calibri"/>
        <family val="2"/>
        <scheme val="minor"/>
      </rPr>
      <t>* r =</t>
    </r>
  </si>
  <si>
    <t>No. of Replication</t>
  </si>
  <si>
    <t>No.of Blocks</t>
  </si>
  <si>
    <t>No of Treatments</t>
  </si>
  <si>
    <t xml:space="preserve">Source </t>
  </si>
  <si>
    <t>Degrees of Freedom</t>
  </si>
  <si>
    <t>Main Effect</t>
  </si>
  <si>
    <t>Interaction Effect</t>
  </si>
  <si>
    <t>Hypothesis:</t>
  </si>
  <si>
    <t>vs</t>
  </si>
  <si>
    <t>Conclusion:</t>
  </si>
  <si>
    <t>For Blocks</t>
  </si>
  <si>
    <t>For Treatments</t>
  </si>
  <si>
    <t>For Main Effects</t>
  </si>
  <si>
    <t>Practical - 5 - Factorial Design</t>
  </si>
  <si>
    <t>Fcal=</t>
  </si>
  <si>
    <t>Ftab=</t>
  </si>
  <si>
    <t xml:space="preserve">Fcal </t>
  </si>
  <si>
    <t xml:space="preserve"> Hence, all blocks are equally effective.</t>
  </si>
  <si>
    <t>Hence, all blocks are equally effective.</t>
  </si>
  <si>
    <t xml:space="preserve"> Hence, all treatments are not equally effective.</t>
  </si>
  <si>
    <t>Hence, all treatments are not equally effective.</t>
  </si>
  <si>
    <r>
      <t>H</t>
    </r>
    <r>
      <rPr>
        <vertAlign val="subscript"/>
        <sz val="14"/>
        <color theme="1"/>
        <rFont val="Times New Roman"/>
        <family val="1"/>
      </rPr>
      <t>01</t>
    </r>
    <r>
      <rPr>
        <sz val="14"/>
        <color theme="1"/>
        <rFont val="Times New Roman"/>
        <family val="1"/>
      </rPr>
      <t>: All blocks are equally effective</t>
    </r>
  </si>
  <si>
    <r>
      <t>H</t>
    </r>
    <r>
      <rPr>
        <vertAlign val="subscript"/>
        <sz val="14"/>
        <color theme="1"/>
        <rFont val="Times New Roman"/>
        <family val="1"/>
      </rPr>
      <t>11</t>
    </r>
    <r>
      <rPr>
        <sz val="14"/>
        <color theme="1"/>
        <rFont val="Times New Roman"/>
        <family val="1"/>
      </rPr>
      <t>: Atleast one Inequality holds</t>
    </r>
  </si>
  <si>
    <r>
      <t>H</t>
    </r>
    <r>
      <rPr>
        <vertAlign val="subscript"/>
        <sz val="14"/>
        <color theme="1"/>
        <rFont val="Times New Roman"/>
        <family val="1"/>
      </rPr>
      <t>02</t>
    </r>
    <r>
      <rPr>
        <sz val="14"/>
        <color theme="1"/>
        <rFont val="Times New Roman"/>
        <family val="1"/>
      </rPr>
      <t>: All treatmetns are equally effective</t>
    </r>
  </si>
  <si>
    <r>
      <t>H</t>
    </r>
    <r>
      <rPr>
        <vertAlign val="subscript"/>
        <sz val="14"/>
        <color theme="1"/>
        <rFont val="Times New Roman"/>
        <family val="1"/>
      </rPr>
      <t>12</t>
    </r>
    <r>
      <rPr>
        <sz val="14"/>
        <color theme="1"/>
        <rFont val="Times New Roman"/>
        <family val="1"/>
      </rPr>
      <t>: Atleast one Inequality holds</t>
    </r>
  </si>
  <si>
    <r>
      <t>H</t>
    </r>
    <r>
      <rPr>
        <vertAlign val="subscript"/>
        <sz val="14"/>
        <color theme="1"/>
        <rFont val="Times New Roman"/>
        <family val="1"/>
      </rPr>
      <t>03</t>
    </r>
    <r>
      <rPr>
        <sz val="14"/>
        <color theme="1"/>
        <rFont val="Times New Roman"/>
        <family val="1"/>
      </rPr>
      <t>: All main effects are equally effective</t>
    </r>
  </si>
  <si>
    <r>
      <t>H</t>
    </r>
    <r>
      <rPr>
        <vertAlign val="subscript"/>
        <sz val="14"/>
        <color theme="1"/>
        <rFont val="Times New Roman"/>
        <family val="1"/>
      </rPr>
      <t>13</t>
    </r>
    <r>
      <rPr>
        <sz val="14"/>
        <color theme="1"/>
        <rFont val="Times New Roman"/>
        <family val="1"/>
      </rPr>
      <t>: Atleast one Inequality holds</t>
    </r>
  </si>
  <si>
    <r>
      <t>H</t>
    </r>
    <r>
      <rPr>
        <vertAlign val="subscript"/>
        <sz val="14"/>
        <color theme="1"/>
        <rFont val="Times New Roman"/>
        <family val="1"/>
      </rPr>
      <t>04</t>
    </r>
    <r>
      <rPr>
        <sz val="14"/>
        <color theme="1"/>
        <rFont val="Times New Roman"/>
        <family val="1"/>
      </rPr>
      <t>: All interaction effects are equally effective</t>
    </r>
  </si>
  <si>
    <r>
      <t>H</t>
    </r>
    <r>
      <rPr>
        <vertAlign val="subscript"/>
        <sz val="14"/>
        <color theme="1"/>
        <rFont val="Times New Roman"/>
        <family val="1"/>
      </rPr>
      <t>14</t>
    </r>
    <r>
      <rPr>
        <sz val="14"/>
        <color theme="1"/>
        <rFont val="Times New Roman"/>
        <family val="1"/>
      </rPr>
      <t>: Atleast one Inequality holds</t>
    </r>
  </si>
  <si>
    <t>Question: 1</t>
  </si>
  <si>
    <r>
      <t>Here, F</t>
    </r>
    <r>
      <rPr>
        <vertAlign val="subscript"/>
        <sz val="14"/>
        <color theme="1"/>
        <rFont val="Times New Roman"/>
        <family val="1"/>
      </rPr>
      <t>cal</t>
    </r>
    <r>
      <rPr>
        <sz val="14"/>
        <color theme="1"/>
        <rFont val="Times New Roman"/>
        <family val="1"/>
      </rPr>
      <t xml:space="preserve"> &gt;  F</t>
    </r>
    <r>
      <rPr>
        <vertAlign val="subscript"/>
        <sz val="14"/>
        <color theme="1"/>
        <rFont val="Times New Roman"/>
        <family val="1"/>
      </rPr>
      <t>tab</t>
    </r>
    <r>
      <rPr>
        <sz val="14"/>
        <color theme="1"/>
        <rFont val="Times New Roman"/>
        <family val="1"/>
      </rPr>
      <t xml:space="preserve">. So, we </t>
    </r>
    <r>
      <rPr>
        <b/>
        <i/>
        <sz val="14"/>
        <color theme="1"/>
        <rFont val="Times New Roman"/>
        <family val="1"/>
      </rPr>
      <t>Reject H</t>
    </r>
    <r>
      <rPr>
        <b/>
        <i/>
        <vertAlign val="subscript"/>
        <sz val="14"/>
        <color theme="1"/>
        <rFont val="Times New Roman"/>
        <family val="1"/>
      </rPr>
      <t>0</t>
    </r>
    <r>
      <rPr>
        <sz val="14"/>
        <color theme="1"/>
        <rFont val="Times New Roman"/>
        <family val="1"/>
      </rPr>
      <t xml:space="preserve"> at 5% level of significance and 7 and 21 degrees of freedom.</t>
    </r>
  </si>
  <si>
    <r>
      <t>Here, F</t>
    </r>
    <r>
      <rPr>
        <vertAlign val="subscript"/>
        <sz val="14"/>
        <color theme="1"/>
        <rFont val="Times New Roman"/>
        <family val="1"/>
      </rPr>
      <t>cal</t>
    </r>
    <r>
      <rPr>
        <sz val="14"/>
        <color theme="1"/>
        <rFont val="Times New Roman"/>
        <family val="1"/>
      </rPr>
      <t xml:space="preserve"> &lt;  F</t>
    </r>
    <r>
      <rPr>
        <vertAlign val="subscript"/>
        <sz val="14"/>
        <color theme="1"/>
        <rFont val="Times New Roman"/>
        <family val="1"/>
      </rPr>
      <t>tab</t>
    </r>
    <r>
      <rPr>
        <sz val="14"/>
        <color theme="1"/>
        <rFont val="Times New Roman"/>
        <family val="1"/>
      </rPr>
      <t xml:space="preserve"> . So, we </t>
    </r>
    <r>
      <rPr>
        <b/>
        <i/>
        <sz val="14"/>
        <color theme="1"/>
        <rFont val="Times New Roman"/>
        <family val="1"/>
      </rPr>
      <t>do not reject  Ho</t>
    </r>
    <r>
      <rPr>
        <sz val="14"/>
        <color theme="1"/>
        <rFont val="Times New Roman"/>
        <family val="1"/>
      </rPr>
      <t xml:space="preserve"> at 5% level of significance and 3 and 21 degrees of freedom.</t>
    </r>
  </si>
  <si>
    <t>YATE'S TABLE</t>
  </si>
  <si>
    <r>
      <t>Here, F</t>
    </r>
    <r>
      <rPr>
        <vertAlign val="subscript"/>
        <sz val="14"/>
        <color theme="1"/>
        <rFont val="Times New Roman"/>
        <family val="1"/>
      </rPr>
      <t>cal</t>
    </r>
    <r>
      <rPr>
        <sz val="14"/>
        <color theme="1"/>
        <rFont val="Times New Roman"/>
        <family val="1"/>
      </rPr>
      <t xml:space="preserve"> &gt;  F</t>
    </r>
    <r>
      <rPr>
        <vertAlign val="subscript"/>
        <sz val="14"/>
        <color theme="1"/>
        <rFont val="Times New Roman"/>
        <family val="1"/>
      </rPr>
      <t>tab</t>
    </r>
    <r>
      <rPr>
        <sz val="14"/>
        <color theme="1"/>
        <rFont val="Times New Roman"/>
        <family val="1"/>
      </rPr>
      <t xml:space="preserve">. So, we </t>
    </r>
    <r>
      <rPr>
        <b/>
        <sz val="14"/>
        <color theme="1"/>
        <rFont val="Times New Roman"/>
        <family val="1"/>
      </rPr>
      <t>R</t>
    </r>
    <r>
      <rPr>
        <b/>
        <i/>
        <sz val="14"/>
        <color theme="1"/>
        <rFont val="Times New Roman"/>
        <family val="1"/>
      </rPr>
      <t>eject H0</t>
    </r>
    <r>
      <rPr>
        <sz val="14"/>
        <color theme="1"/>
        <rFont val="Times New Roman"/>
        <family val="1"/>
      </rPr>
      <t xml:space="preserve"> at 5% level of significance and 1 and 21 degrees of freedom.</t>
    </r>
  </si>
  <si>
    <t>Hence, all main effects are not equally effective.</t>
  </si>
  <si>
    <t>For Interaction Effects</t>
  </si>
  <si>
    <r>
      <t>Here, F</t>
    </r>
    <r>
      <rPr>
        <vertAlign val="subscript"/>
        <sz val="14"/>
        <color theme="1"/>
        <rFont val="Times New Roman"/>
        <family val="1"/>
      </rPr>
      <t>cal</t>
    </r>
    <r>
      <rPr>
        <sz val="14"/>
        <color theme="1"/>
        <rFont val="Times New Roman"/>
        <family val="1"/>
      </rPr>
      <t xml:space="preserve"> &gt;  F</t>
    </r>
    <r>
      <rPr>
        <vertAlign val="subscript"/>
        <sz val="14"/>
        <color theme="1"/>
        <rFont val="Times New Roman"/>
        <family val="1"/>
      </rPr>
      <t>tab</t>
    </r>
    <r>
      <rPr>
        <sz val="14"/>
        <color theme="1"/>
        <rFont val="Times New Roman"/>
        <family val="1"/>
      </rPr>
      <t xml:space="preserve">. For interaction effect </t>
    </r>
    <r>
      <rPr>
        <b/>
        <sz val="14"/>
        <color theme="1"/>
        <rFont val="Times New Roman"/>
        <family val="1"/>
      </rPr>
      <t>"NK"</t>
    </r>
    <r>
      <rPr>
        <sz val="14"/>
        <color theme="1"/>
        <rFont val="Times New Roman"/>
        <family val="1"/>
      </rPr>
      <t xml:space="preserve">. So, we </t>
    </r>
    <r>
      <rPr>
        <b/>
        <i/>
        <sz val="14"/>
        <color theme="1"/>
        <rFont val="Times New Roman"/>
        <family val="1"/>
      </rPr>
      <t>Reject H</t>
    </r>
    <r>
      <rPr>
        <b/>
        <i/>
        <vertAlign val="subscript"/>
        <sz val="14"/>
        <color theme="1"/>
        <rFont val="Times New Roman"/>
        <family val="1"/>
      </rPr>
      <t>0</t>
    </r>
    <r>
      <rPr>
        <sz val="14"/>
        <color theme="1"/>
        <rFont val="Times New Roman"/>
        <family val="1"/>
      </rPr>
      <t xml:space="preserve"> at 5% level of significance and 1 and 21 degrees of freedom.</t>
    </r>
  </si>
  <si>
    <r>
      <t>And, F</t>
    </r>
    <r>
      <rPr>
        <vertAlign val="subscript"/>
        <sz val="14"/>
        <color theme="1"/>
        <rFont val="Times New Roman"/>
        <family val="1"/>
      </rPr>
      <t xml:space="preserve">cal </t>
    </r>
    <r>
      <rPr>
        <sz val="14"/>
        <color theme="1"/>
        <rFont val="Times New Roman"/>
        <family val="1"/>
      </rPr>
      <t>&lt; F</t>
    </r>
    <r>
      <rPr>
        <vertAlign val="subscript"/>
        <sz val="14"/>
        <color theme="1"/>
        <rFont val="Times New Roman"/>
        <family val="1"/>
      </rPr>
      <t>tab. F</t>
    </r>
    <r>
      <rPr>
        <sz val="14"/>
        <color theme="1"/>
        <rFont val="Times New Roman"/>
        <family val="1"/>
      </rPr>
      <t>or interaction effects</t>
    </r>
    <r>
      <rPr>
        <b/>
        <sz val="14"/>
        <color theme="1"/>
        <rFont val="Times New Roman"/>
        <family val="1"/>
      </rPr>
      <t xml:space="preserve"> "NP"</t>
    </r>
    <r>
      <rPr>
        <sz val="14"/>
        <color theme="1"/>
        <rFont val="Times New Roman"/>
        <family val="1"/>
      </rPr>
      <t>,</t>
    </r>
    <r>
      <rPr>
        <b/>
        <sz val="14"/>
        <color theme="1"/>
        <rFont val="Times New Roman"/>
        <family val="1"/>
      </rPr>
      <t xml:space="preserve"> "PK"</t>
    </r>
    <r>
      <rPr>
        <sz val="14"/>
        <color theme="1"/>
        <rFont val="Times New Roman"/>
        <family val="1"/>
      </rPr>
      <t xml:space="preserve"> ,</t>
    </r>
    <r>
      <rPr>
        <b/>
        <sz val="14"/>
        <color theme="1"/>
        <rFont val="Times New Roman"/>
        <family val="1"/>
      </rPr>
      <t>"NPK"</t>
    </r>
    <r>
      <rPr>
        <sz val="14"/>
        <color theme="1"/>
        <rFont val="Times New Roman"/>
        <family val="1"/>
      </rPr>
      <t xml:space="preserve">. So, we do not </t>
    </r>
    <r>
      <rPr>
        <b/>
        <i/>
        <sz val="14"/>
        <color theme="1"/>
        <rFont val="Times New Roman"/>
        <family val="1"/>
      </rPr>
      <t>Reject  H</t>
    </r>
    <r>
      <rPr>
        <b/>
        <i/>
        <vertAlign val="subscript"/>
        <sz val="14"/>
        <color theme="1"/>
        <rFont val="Times New Roman"/>
        <family val="1"/>
      </rPr>
      <t>0</t>
    </r>
    <r>
      <rPr>
        <b/>
        <i/>
        <sz val="14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at 5% level of significance and 1 and 21 degrees of freedom.</t>
    </r>
  </si>
  <si>
    <r>
      <t xml:space="preserve">Hence,Interaction effect </t>
    </r>
    <r>
      <rPr>
        <b/>
        <sz val="14"/>
        <color theme="1"/>
        <rFont val="Times New Roman"/>
        <family val="1"/>
      </rPr>
      <t>"NK"</t>
    </r>
    <r>
      <rPr>
        <sz val="14"/>
        <color theme="1"/>
        <rFont val="Times New Roman"/>
        <family val="1"/>
      </rPr>
      <t xml:space="preserve"> is not equally effective.</t>
    </r>
  </si>
  <si>
    <r>
      <t xml:space="preserve">Hence, interaction effects </t>
    </r>
    <r>
      <rPr>
        <b/>
        <sz val="14"/>
        <color theme="1"/>
        <rFont val="Times New Roman"/>
        <family val="1"/>
      </rPr>
      <t xml:space="preserve"> "NP"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"PK"</t>
    </r>
    <r>
      <rPr>
        <sz val="14"/>
        <color theme="1"/>
        <rFont val="Times New Roman"/>
        <family val="1"/>
      </rPr>
      <t xml:space="preserve"> ,</t>
    </r>
    <r>
      <rPr>
        <b/>
        <sz val="14"/>
        <color theme="1"/>
        <rFont val="Times New Roman"/>
        <family val="1"/>
      </rPr>
      <t>"NPK"</t>
    </r>
    <r>
      <rPr>
        <sz val="14"/>
        <color theme="1"/>
        <rFont val="Times New Roman"/>
        <family val="1"/>
      </rPr>
      <t xml:space="preserve"> are equally effective.</t>
    </r>
  </si>
  <si>
    <t>Hence, interaction effect "ac" is effective.</t>
  </si>
  <si>
    <t>Hence, interaction effect "ab" and "bc" are not effective.</t>
  </si>
  <si>
    <t>ac</t>
  </si>
  <si>
    <t>bc</t>
  </si>
  <si>
    <t>ab</t>
  </si>
  <si>
    <t>All interaction effects are not equally effective</t>
  </si>
  <si>
    <t>All interaction effects are equally effective</t>
  </si>
  <si>
    <t>c</t>
  </si>
  <si>
    <t>b</t>
  </si>
  <si>
    <t>a</t>
  </si>
  <si>
    <t>All main effects are not equally effective</t>
  </si>
  <si>
    <t>All main effects are equally effective</t>
  </si>
  <si>
    <t>All treatments are not equally effective</t>
  </si>
  <si>
    <t>All treatments are equally effective</t>
  </si>
  <si>
    <t>All blocks are not equally effective</t>
  </si>
  <si>
    <t>All blocks are equally effective</t>
  </si>
  <si>
    <t xml:space="preserve">b </t>
  </si>
  <si>
    <t>Treatment</t>
  </si>
  <si>
    <t>Block</t>
  </si>
  <si>
    <t>Block within replication</t>
  </si>
  <si>
    <t>Replication</t>
  </si>
  <si>
    <t>Source</t>
  </si>
  <si>
    <t>ANOVA</t>
  </si>
  <si>
    <t>abc</t>
  </si>
  <si>
    <t xml:space="preserve">      -</t>
  </si>
  <si>
    <t>s.s</t>
  </si>
  <si>
    <t>Treatments</t>
  </si>
  <si>
    <t xml:space="preserve">No. of observation </t>
  </si>
  <si>
    <t>n =</t>
  </si>
  <si>
    <t>No. of replication</t>
  </si>
  <si>
    <t>r =</t>
  </si>
  <si>
    <t>No. of blocks</t>
  </si>
  <si>
    <t>b =</t>
  </si>
  <si>
    <t>Main Treatment a,b,c</t>
  </si>
  <si>
    <t>k =</t>
  </si>
  <si>
    <t>abc 21</t>
  </si>
  <si>
    <t>c 25</t>
  </si>
  <si>
    <t>b 13</t>
  </si>
  <si>
    <t>a 17</t>
  </si>
  <si>
    <t>Block VI</t>
  </si>
  <si>
    <t>bc 23</t>
  </si>
  <si>
    <t>ac 14</t>
  </si>
  <si>
    <t>ab 11</t>
  </si>
  <si>
    <t>(1)24</t>
  </si>
  <si>
    <t>Block V</t>
  </si>
  <si>
    <t>Replication III</t>
  </si>
  <si>
    <t>abc 20</t>
  </si>
  <si>
    <t>c 28</t>
  </si>
  <si>
    <t>b 11</t>
  </si>
  <si>
    <t>a 15</t>
  </si>
  <si>
    <t>bc 16</t>
  </si>
  <si>
    <t>ab 8</t>
  </si>
  <si>
    <t>(1)26</t>
  </si>
  <si>
    <t>Block III</t>
  </si>
  <si>
    <t>Replication II</t>
  </si>
  <si>
    <t xml:space="preserve"> </t>
  </si>
  <si>
    <t>b 14</t>
  </si>
  <si>
    <t>a 18</t>
  </si>
  <si>
    <t>(1)30</t>
  </si>
  <si>
    <t>Block I</t>
  </si>
  <si>
    <t>Replication I</t>
  </si>
  <si>
    <t>Hence, interaction effects are equally effective.</t>
  </si>
  <si>
    <t>mnp</t>
  </si>
  <si>
    <t>mp</t>
  </si>
  <si>
    <t>mn</t>
  </si>
  <si>
    <t>Hence, m and n effects are not equally effective &amp; p is equally effective.</t>
  </si>
  <si>
    <t>m</t>
  </si>
  <si>
    <r>
      <t>F</t>
    </r>
    <r>
      <rPr>
        <vertAlign val="subscript"/>
        <sz val="11"/>
        <color theme="1"/>
        <rFont val="Calibri"/>
        <family val="2"/>
        <scheme val="minor"/>
      </rPr>
      <t>tab</t>
    </r>
  </si>
  <si>
    <r>
      <t>F</t>
    </r>
    <r>
      <rPr>
        <vertAlign val="subscript"/>
        <sz val="11"/>
        <color theme="1"/>
        <rFont val="Calibri"/>
        <family val="2"/>
        <scheme val="minor"/>
      </rPr>
      <t>cal</t>
    </r>
  </si>
  <si>
    <t>M.S.S.</t>
  </si>
  <si>
    <t>d.f.</t>
  </si>
  <si>
    <t>S.S.</t>
  </si>
  <si>
    <t>I</t>
  </si>
  <si>
    <t>2^3(r-1) = 24</t>
  </si>
  <si>
    <t>8 = no. of treatment/no. of blocks</t>
  </si>
  <si>
    <t>II</t>
  </si>
  <si>
    <t>32 = no. of observations</t>
  </si>
  <si>
    <t>IV</t>
  </si>
  <si>
    <t>III</t>
  </si>
  <si>
    <t>divisor</t>
  </si>
  <si>
    <t>Total from which confounded</t>
  </si>
  <si>
    <t>Replication in which confounded</t>
  </si>
  <si>
    <t>Interaction</t>
  </si>
  <si>
    <t xml:space="preserve">Table 4 </t>
  </si>
  <si>
    <t xml:space="preserve">Table 3 </t>
  </si>
  <si>
    <t>Table 2</t>
  </si>
  <si>
    <t xml:space="preserve">Table 1 </t>
  </si>
  <si>
    <t>32p</t>
  </si>
  <si>
    <t>43n</t>
  </si>
  <si>
    <t>42(1)</t>
  </si>
  <si>
    <t>53np</t>
  </si>
  <si>
    <t>74mnp</t>
  </si>
  <si>
    <t>37mp</t>
  </si>
  <si>
    <t>83mnp</t>
  </si>
  <si>
    <t>71np</t>
  </si>
  <si>
    <t>52np</t>
  </si>
  <si>
    <t>82mnp</t>
  </si>
  <si>
    <t>80mnp</t>
  </si>
  <si>
    <t>58mp</t>
  </si>
  <si>
    <t>41m</t>
  </si>
  <si>
    <t>42p</t>
  </si>
  <si>
    <t>55m</t>
  </si>
  <si>
    <t>49m</t>
  </si>
  <si>
    <t>60mp</t>
  </si>
  <si>
    <t>72mn</t>
  </si>
  <si>
    <t>50n</t>
  </si>
  <si>
    <t>11np</t>
  </si>
  <si>
    <t>52n</t>
  </si>
  <si>
    <t>35p</t>
  </si>
  <si>
    <t>81mn</t>
  </si>
  <si>
    <t>65mn</t>
  </si>
  <si>
    <t>27(1)</t>
  </si>
  <si>
    <t>40p</t>
  </si>
  <si>
    <t>54m</t>
  </si>
  <si>
    <t>43(1)</t>
  </si>
  <si>
    <t>53n</t>
  </si>
  <si>
    <t>34(1)</t>
  </si>
  <si>
    <t>p 32</t>
  </si>
  <si>
    <t>np 52</t>
  </si>
  <si>
    <t>m 49</t>
  </si>
  <si>
    <t>mn 65</t>
  </si>
  <si>
    <t>n 43</t>
  </si>
  <si>
    <t>mnp 82</t>
  </si>
  <si>
    <t>mp 60</t>
  </si>
  <si>
    <t>(1) 27</t>
  </si>
  <si>
    <t>(1) 42</t>
  </si>
  <si>
    <t>mnp 80</t>
  </si>
  <si>
    <t>mn 72</t>
  </si>
  <si>
    <t>p 40</t>
  </si>
  <si>
    <t>np 53</t>
  </si>
  <si>
    <t>mp 58</t>
  </si>
  <si>
    <t>n 50</t>
  </si>
  <si>
    <t>m 54</t>
  </si>
  <si>
    <t>mnp 74</t>
  </si>
  <si>
    <t>m 41</t>
  </si>
  <si>
    <t>np 11</t>
  </si>
  <si>
    <t>(1) 43</t>
  </si>
  <si>
    <t>mp 37</t>
  </si>
  <si>
    <t>p 42</t>
  </si>
  <si>
    <t>n 52</t>
  </si>
  <si>
    <t>mnp 83</t>
  </si>
  <si>
    <t>m 55</t>
  </si>
  <si>
    <t>p 35</t>
  </si>
  <si>
    <t>n 53</t>
  </si>
  <si>
    <t>np  71</t>
  </si>
  <si>
    <t>mn 81</t>
  </si>
  <si>
    <t>(1)34</t>
  </si>
  <si>
    <t>Question: 2</t>
  </si>
  <si>
    <r>
      <t>Following table shows the data of a confounded 2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experiment. Determine the confounded interaction and analyse the data.</t>
    </r>
  </si>
  <si>
    <t>Block II</t>
  </si>
  <si>
    <t>Block IV</t>
  </si>
  <si>
    <t>B-1</t>
  </si>
  <si>
    <t>B-2</t>
  </si>
  <si>
    <t>B-3</t>
  </si>
  <si>
    <t>B- 4</t>
  </si>
  <si>
    <t>B-5</t>
  </si>
  <si>
    <t>B-6</t>
  </si>
  <si>
    <t>(B-2) - (B-1)</t>
  </si>
  <si>
    <r>
      <rPr>
        <b/>
        <sz val="11"/>
        <color theme="1"/>
        <rFont val="Century"/>
        <family val="1"/>
      </rPr>
      <t>&gt;</t>
    </r>
    <r>
      <rPr>
        <sz val="11"/>
        <color theme="1"/>
        <rFont val="Century"/>
        <family val="1"/>
      </rPr>
      <t xml:space="preserve"> a+b+c+abc-1-ab-bc-ac</t>
    </r>
  </si>
  <si>
    <r>
      <rPr>
        <b/>
        <sz val="11"/>
        <color theme="1"/>
        <rFont val="Century"/>
        <family val="1"/>
      </rPr>
      <t>&gt;</t>
    </r>
    <r>
      <rPr>
        <sz val="11"/>
        <color theme="1"/>
        <rFont val="Century"/>
        <family val="1"/>
      </rPr>
      <t xml:space="preserve"> (a-1)-b(a-1)-c(a-1)+bc(a-1)</t>
    </r>
  </si>
  <si>
    <r>
      <rPr>
        <b/>
        <sz val="11"/>
        <color theme="1"/>
        <rFont val="Century"/>
        <family val="1"/>
      </rPr>
      <t>&gt;</t>
    </r>
    <r>
      <rPr>
        <sz val="11"/>
        <color theme="1"/>
        <rFont val="Century"/>
        <family val="1"/>
      </rPr>
      <t xml:space="preserve"> (a-1)[1-b-c+bc]</t>
    </r>
  </si>
  <si>
    <r>
      <rPr>
        <b/>
        <sz val="11"/>
        <color theme="1"/>
        <rFont val="Century"/>
        <family val="1"/>
      </rPr>
      <t>&gt;</t>
    </r>
    <r>
      <rPr>
        <sz val="11"/>
        <color theme="1"/>
        <rFont val="Century"/>
        <family val="1"/>
      </rPr>
      <t xml:space="preserve"> (a-1)[c(b-1)-(b-1)]</t>
    </r>
  </si>
  <si>
    <r>
      <rPr>
        <b/>
        <sz val="11"/>
        <color theme="1"/>
        <rFont val="Century"/>
        <family val="1"/>
      </rPr>
      <t>&gt;</t>
    </r>
    <r>
      <rPr>
        <sz val="11"/>
        <color theme="1"/>
        <rFont val="Century"/>
        <family val="1"/>
      </rPr>
      <t xml:space="preserve"> (a-1)(b-1)(c-1) = </t>
    </r>
    <r>
      <rPr>
        <b/>
        <sz val="11"/>
        <color theme="1"/>
        <rFont val="Century"/>
        <family val="1"/>
      </rPr>
      <t>abc is confounded</t>
    </r>
    <r>
      <rPr>
        <sz val="11"/>
        <color theme="1"/>
        <rFont val="Century"/>
        <family val="1"/>
      </rPr>
      <t>.</t>
    </r>
  </si>
  <si>
    <r>
      <t>R</t>
    </r>
    <r>
      <rPr>
        <vertAlign val="subscript"/>
        <sz val="11"/>
        <color theme="1"/>
        <rFont val="Century"/>
        <family val="1"/>
      </rPr>
      <t>1</t>
    </r>
    <r>
      <rPr>
        <sz val="11"/>
        <color theme="1"/>
        <rFont val="Century"/>
        <family val="1"/>
      </rPr>
      <t xml:space="preserve"> = </t>
    </r>
  </si>
  <si>
    <r>
      <t>R</t>
    </r>
    <r>
      <rPr>
        <vertAlign val="subscript"/>
        <sz val="11"/>
        <color theme="1"/>
        <rFont val="Century"/>
        <family val="1"/>
      </rPr>
      <t>2</t>
    </r>
    <r>
      <rPr>
        <sz val="11"/>
        <color theme="1"/>
        <rFont val="Century"/>
        <family val="1"/>
      </rPr>
      <t xml:space="preserve"> = </t>
    </r>
  </si>
  <si>
    <r>
      <t>R</t>
    </r>
    <r>
      <rPr>
        <vertAlign val="subscript"/>
        <sz val="11"/>
        <color theme="1"/>
        <rFont val="Century"/>
        <family val="1"/>
      </rPr>
      <t xml:space="preserve">3 </t>
    </r>
    <r>
      <rPr>
        <sz val="11"/>
        <color theme="1"/>
        <rFont val="Century"/>
        <family val="1"/>
      </rPr>
      <t xml:space="preserve">= </t>
    </r>
  </si>
  <si>
    <r>
      <t>2</t>
    </r>
    <r>
      <rPr>
        <vertAlign val="superscript"/>
        <sz val="12"/>
        <color theme="1"/>
        <rFont val="Century"/>
        <family val="1"/>
      </rPr>
      <t>k</t>
    </r>
    <r>
      <rPr>
        <sz val="12"/>
        <color theme="1"/>
        <rFont val="Century"/>
        <family val="1"/>
      </rPr>
      <t>=</t>
    </r>
  </si>
  <si>
    <r>
      <t>0</t>
    </r>
    <r>
      <rPr>
        <b/>
        <vertAlign val="superscript"/>
        <sz val="11"/>
        <color theme="1"/>
        <rFont val="Century"/>
        <family val="1"/>
      </rPr>
      <t>th</t>
    </r>
  </si>
  <si>
    <r>
      <t>1</t>
    </r>
    <r>
      <rPr>
        <b/>
        <vertAlign val="superscript"/>
        <sz val="11"/>
        <color theme="1"/>
        <rFont val="Century"/>
        <family val="1"/>
      </rPr>
      <t>st</t>
    </r>
  </si>
  <si>
    <r>
      <t>2</t>
    </r>
    <r>
      <rPr>
        <b/>
        <vertAlign val="superscript"/>
        <sz val="11"/>
        <color theme="1"/>
        <rFont val="Century"/>
        <family val="1"/>
      </rPr>
      <t>nd</t>
    </r>
  </si>
  <si>
    <r>
      <t>3</t>
    </r>
    <r>
      <rPr>
        <b/>
        <vertAlign val="superscript"/>
        <sz val="11"/>
        <color theme="1"/>
        <rFont val="Century"/>
        <family val="1"/>
      </rPr>
      <t>rd</t>
    </r>
  </si>
  <si>
    <t>SST =</t>
  </si>
  <si>
    <r>
      <t>H</t>
    </r>
    <r>
      <rPr>
        <vertAlign val="subscript"/>
        <sz val="12"/>
        <color theme="1"/>
        <rFont val="Times New Roman"/>
        <family val="1"/>
      </rPr>
      <t>01</t>
    </r>
    <r>
      <rPr>
        <sz val="12"/>
        <color theme="1"/>
        <rFont val="Times New Roman"/>
        <family val="1"/>
      </rPr>
      <t>:</t>
    </r>
  </si>
  <si>
    <r>
      <t>H</t>
    </r>
    <r>
      <rPr>
        <vertAlign val="subscript"/>
        <sz val="12"/>
        <color theme="1"/>
        <rFont val="Times New Roman"/>
        <family val="1"/>
      </rPr>
      <t>11</t>
    </r>
    <r>
      <rPr>
        <sz val="12"/>
        <color theme="1"/>
        <rFont val="Times New Roman"/>
        <family val="1"/>
      </rPr>
      <t>:</t>
    </r>
  </si>
  <si>
    <t>Hence, All blocks are equally effective.</t>
  </si>
  <si>
    <r>
      <t>Here, F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 &lt;  F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 xml:space="preserve"> . So, we do not </t>
    </r>
    <r>
      <rPr>
        <b/>
        <i/>
        <sz val="12"/>
        <color theme="1"/>
        <rFont val="Times New Roman"/>
        <family val="1"/>
      </rPr>
      <t>Reject Ho</t>
    </r>
    <r>
      <rPr>
        <sz val="12"/>
        <color theme="1"/>
        <rFont val="Times New Roman"/>
        <family val="1"/>
      </rPr>
      <t xml:space="preserve"> at 5% level of significance and 5 and 12 degrees of freedom.</t>
    </r>
  </si>
  <si>
    <r>
      <t>H</t>
    </r>
    <r>
      <rPr>
        <vertAlign val="subscript"/>
        <sz val="12"/>
        <color theme="1"/>
        <rFont val="Times New Roman"/>
        <family val="1"/>
      </rPr>
      <t>02</t>
    </r>
    <r>
      <rPr>
        <sz val="12"/>
        <color theme="1"/>
        <rFont val="Times New Roman"/>
        <family val="1"/>
      </rPr>
      <t>:</t>
    </r>
  </si>
  <si>
    <r>
      <t>H</t>
    </r>
    <r>
      <rPr>
        <vertAlign val="subscript"/>
        <sz val="12"/>
        <color theme="1"/>
        <rFont val="Times New Roman"/>
        <family val="1"/>
      </rPr>
      <t>12</t>
    </r>
    <r>
      <rPr>
        <sz val="12"/>
        <color theme="1"/>
        <rFont val="Times New Roman"/>
        <family val="1"/>
      </rPr>
      <t>:</t>
    </r>
  </si>
  <si>
    <r>
      <t>H</t>
    </r>
    <r>
      <rPr>
        <vertAlign val="subscript"/>
        <sz val="12"/>
        <color theme="1"/>
        <rFont val="Times New Roman"/>
        <family val="1"/>
      </rPr>
      <t>03</t>
    </r>
    <r>
      <rPr>
        <sz val="12"/>
        <color theme="1"/>
        <rFont val="Times New Roman"/>
        <family val="1"/>
      </rPr>
      <t>:</t>
    </r>
  </si>
  <si>
    <r>
      <t>H</t>
    </r>
    <r>
      <rPr>
        <vertAlign val="subscript"/>
        <sz val="12"/>
        <color theme="1"/>
        <rFont val="Times New Roman"/>
        <family val="1"/>
      </rPr>
      <t>13</t>
    </r>
    <r>
      <rPr>
        <sz val="12"/>
        <color theme="1"/>
        <rFont val="Times New Roman"/>
        <family val="1"/>
      </rPr>
      <t>:</t>
    </r>
  </si>
  <si>
    <r>
      <t>H</t>
    </r>
    <r>
      <rPr>
        <vertAlign val="subscript"/>
        <sz val="12"/>
        <color theme="1"/>
        <rFont val="Times New Roman"/>
        <family val="1"/>
      </rPr>
      <t>04</t>
    </r>
    <r>
      <rPr>
        <sz val="12"/>
        <color theme="1"/>
        <rFont val="Times New Roman"/>
        <family val="1"/>
      </rPr>
      <t>:</t>
    </r>
  </si>
  <si>
    <r>
      <t>H</t>
    </r>
    <r>
      <rPr>
        <vertAlign val="sub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:</t>
    </r>
  </si>
  <si>
    <r>
      <t>Here, F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 &gt;  F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>. So, we reject H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at 5% level of significance and 1 and 12 degrees of freedom.</t>
    </r>
  </si>
  <si>
    <r>
      <t>Here, F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 &gt;  F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 xml:space="preserve">. So, we </t>
    </r>
    <r>
      <rPr>
        <b/>
        <i/>
        <sz val="12"/>
        <color theme="1"/>
        <rFont val="Times New Roman"/>
        <family val="1"/>
      </rPr>
      <t>Reject H</t>
    </r>
    <r>
      <rPr>
        <b/>
        <i/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at 5% level of significance and 6 and 12 degrees of freedom.</t>
    </r>
  </si>
  <si>
    <r>
      <t>Here, F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 &gt;  F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 xml:space="preserve">. For interaction effect "ab" and "bc . So, we </t>
    </r>
    <r>
      <rPr>
        <b/>
        <i/>
        <sz val="12"/>
        <color theme="1"/>
        <rFont val="Times New Roman"/>
        <family val="1"/>
      </rPr>
      <t>Reject H</t>
    </r>
    <r>
      <rPr>
        <b/>
        <i/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at 5% level of significance and 1 and 12 degrees of freedom.</t>
    </r>
  </si>
  <si>
    <r>
      <t>And, F</t>
    </r>
    <r>
      <rPr>
        <vertAlign val="subscript"/>
        <sz val="12"/>
        <color theme="1"/>
        <rFont val="Times New Roman"/>
        <family val="1"/>
      </rPr>
      <t xml:space="preserve">cal </t>
    </r>
    <r>
      <rPr>
        <sz val="12"/>
        <color theme="1"/>
        <rFont val="Times New Roman"/>
        <family val="1"/>
      </rPr>
      <t>&lt; F</t>
    </r>
    <r>
      <rPr>
        <vertAlign val="subscript"/>
        <sz val="12"/>
        <color theme="1"/>
        <rFont val="Times New Roman"/>
        <family val="1"/>
      </rPr>
      <t>tab. F</t>
    </r>
    <r>
      <rPr>
        <sz val="12"/>
        <color theme="1"/>
        <rFont val="Times New Roman"/>
        <family val="1"/>
      </rPr>
      <t>or interaction effect "ac". So, we do not</t>
    </r>
    <r>
      <rPr>
        <b/>
        <i/>
        <sz val="12"/>
        <color theme="1"/>
        <rFont val="Times New Roman"/>
        <family val="1"/>
      </rPr>
      <t xml:space="preserve"> Reject  H</t>
    </r>
    <r>
      <rPr>
        <b/>
        <i/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at 5% level of significance and 1 and 12 degrees of freedom.</t>
    </r>
  </si>
  <si>
    <t>Question: 3</t>
  </si>
  <si>
    <t>Identify the confounded interactions and analyse the design.</t>
  </si>
  <si>
    <t>B-4</t>
  </si>
  <si>
    <t>B-7</t>
  </si>
  <si>
    <t>B-8</t>
  </si>
  <si>
    <r>
      <t>R</t>
    </r>
    <r>
      <rPr>
        <vertAlign val="subscript"/>
        <sz val="11"/>
        <color theme="1"/>
        <rFont val="Century"/>
        <family val="1"/>
      </rPr>
      <t>4</t>
    </r>
    <r>
      <rPr>
        <sz val="11"/>
        <color theme="1"/>
        <rFont val="Century"/>
        <family val="1"/>
      </rPr>
      <t xml:space="preserve"> = </t>
    </r>
  </si>
  <si>
    <t>Replication 1</t>
  </si>
  <si>
    <t>&gt; mn(p - 1) + (p - 1) - n(p - 1) - m(p - 1) = (p - 1)[mn + 1 - n - m]</t>
  </si>
  <si>
    <t>&gt; (p - 1)[m(n - 1) - (n - 1)] = (p-1)(n-1)(m-1)</t>
  </si>
  <si>
    <t>(B-2) - (B-1) = (n + p + m + mnp) - (1 + mn + mp + np) = n + p + m - mn - mp - np + mnp</t>
  </si>
  <si>
    <t>(B-4) - (B-3) = (1 + np + m + mnp) - (mn + n + p + mp) = m - p - n - mn - mp + np + 1 + mnp</t>
  </si>
  <si>
    <t xml:space="preserve">(B-6) - (B-5) = (1 + np + m + mnp) - (mn + n + p + mp) =p - m - n + mn - mp - np + mnp + 1 </t>
  </si>
  <si>
    <t>&gt; mn(p - 1) - m(p - 1) + n(p - 1) - (p - 1) = (p - 1)[mn - 1 + n - m]</t>
  </si>
  <si>
    <t>&gt; (p - 1)[m(n - 1) + (n - 1)] = (p-1)(n-1)(m+1)</t>
  </si>
  <si>
    <t>&gt; mn(p + 1) - m(p + 1) - n(p - 1) + (p - 1) = (p + 1)[mn + 1 - n - m]</t>
  </si>
  <si>
    <t>&gt; (p + 1)[m(n-1) - (n-1)] = (p + 1)(n - 1)(m - 1)</t>
  </si>
  <si>
    <t>Replication 2</t>
  </si>
  <si>
    <t>Replication 3</t>
  </si>
  <si>
    <t>Replication 4</t>
  </si>
  <si>
    <t>mn is Confounded</t>
  </si>
  <si>
    <t>mnp is Confounded</t>
  </si>
  <si>
    <t>np is Confounded</t>
  </si>
  <si>
    <t>mp is onfounded</t>
  </si>
  <si>
    <r>
      <t>0</t>
    </r>
    <r>
      <rPr>
        <b/>
        <vertAlign val="superscript"/>
        <sz val="12"/>
        <color rgb="FF000000"/>
        <rFont val="Century"/>
        <family val="1"/>
      </rPr>
      <t xml:space="preserve">th </t>
    </r>
  </si>
  <si>
    <r>
      <t>1</t>
    </r>
    <r>
      <rPr>
        <b/>
        <vertAlign val="superscript"/>
        <sz val="12"/>
        <color theme="1"/>
        <rFont val="Century"/>
        <family val="1"/>
      </rPr>
      <t>th</t>
    </r>
  </si>
  <si>
    <r>
      <t>2</t>
    </r>
    <r>
      <rPr>
        <b/>
        <vertAlign val="superscript"/>
        <sz val="12"/>
        <color theme="1"/>
        <rFont val="Century"/>
        <family val="1"/>
      </rPr>
      <t>nd</t>
    </r>
  </si>
  <si>
    <r>
      <t>3</t>
    </r>
    <r>
      <rPr>
        <b/>
        <vertAlign val="superscript"/>
        <sz val="12"/>
        <color theme="1"/>
        <rFont val="Century"/>
        <family val="1"/>
      </rPr>
      <t>rd</t>
    </r>
  </si>
  <si>
    <r>
      <t>Here, F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 &lt;  F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 xml:space="preserve"> . So, we </t>
    </r>
    <r>
      <rPr>
        <b/>
        <i/>
        <sz val="12"/>
        <color theme="1"/>
        <rFont val="Times New Roman"/>
        <family val="1"/>
      </rPr>
      <t>do not Reject Ho</t>
    </r>
    <r>
      <rPr>
        <sz val="12"/>
        <color theme="1"/>
        <rFont val="Times New Roman"/>
        <family val="1"/>
      </rPr>
      <t xml:space="preserve"> at 5% level of significance and 7 and 17 degrees of freedom.</t>
    </r>
  </si>
  <si>
    <r>
      <t>Here, F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 &gt;  F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 xml:space="preserve">. So, we </t>
    </r>
    <r>
      <rPr>
        <b/>
        <sz val="12"/>
        <color theme="1"/>
        <rFont val="Times New Roman"/>
        <family val="1"/>
      </rPr>
      <t>R</t>
    </r>
    <r>
      <rPr>
        <b/>
        <i/>
        <sz val="12"/>
        <color theme="1"/>
        <rFont val="Times New Roman"/>
        <family val="1"/>
      </rPr>
      <t>eject H</t>
    </r>
    <r>
      <rPr>
        <b/>
        <i/>
        <vertAlign val="subscript"/>
        <sz val="12"/>
        <color theme="1"/>
        <rFont val="Times New Roman"/>
        <family val="1"/>
      </rPr>
      <t>0</t>
    </r>
    <r>
      <rPr>
        <b/>
        <i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at 5% level of significance and 7 and 17 degrees of freedom.</t>
    </r>
  </si>
  <si>
    <r>
      <t>Here, F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 &gt;  F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 xml:space="preserve"> for m and n. So, we </t>
    </r>
    <r>
      <rPr>
        <b/>
        <i/>
        <sz val="12"/>
        <color theme="1"/>
        <rFont val="Times New Roman"/>
        <family val="1"/>
      </rPr>
      <t>Reject H0</t>
    </r>
    <r>
      <rPr>
        <sz val="12"/>
        <color theme="1"/>
        <rFont val="Times New Roman"/>
        <family val="1"/>
      </rPr>
      <t xml:space="preserve"> at 5% level of significance and 1 and 17 degrees of freedom.</t>
    </r>
  </si>
  <si>
    <r>
      <t xml:space="preserve">Here, Fcal &lt;  Ftab for p. So, we </t>
    </r>
    <r>
      <rPr>
        <b/>
        <i/>
        <sz val="12"/>
        <color theme="1"/>
        <rFont val="Times New Roman"/>
        <family val="1"/>
      </rPr>
      <t>do not Reject H0</t>
    </r>
    <r>
      <rPr>
        <sz val="12"/>
        <color theme="1"/>
        <rFont val="Times New Roman"/>
        <family val="1"/>
      </rPr>
      <t xml:space="preserve"> at 5% level of significance and 1 and 17</t>
    </r>
  </si>
  <si>
    <r>
      <t>Here, F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 &lt;  F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 xml:space="preserve">.  So, we </t>
    </r>
    <r>
      <rPr>
        <b/>
        <i/>
        <sz val="12"/>
        <color theme="1"/>
        <rFont val="Times New Roman"/>
        <family val="1"/>
      </rPr>
      <t>do not Reject H</t>
    </r>
    <r>
      <rPr>
        <b/>
        <i/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at 5% level of significance and 1 and 17 degrees of freedom.</t>
    </r>
  </si>
  <si>
    <t xml:space="preserve">(B-8) - (B-7)  = (mn + np + m + p) - (1 + n + mp + mnp) = p + m - n + mn - mp + np - mnp - 1 </t>
  </si>
  <si>
    <t xml:space="preserve">&gt; (-mn(p - 1)) - m(p-1) + n(p-1) + (p + 1) = (p - 1)[n - m  - mn + 1] </t>
  </si>
  <si>
    <t>&gt; (p - 1)[-n(m-1) - (m-1)] = (p - 1)(- n - 1)(m - 1)</t>
  </si>
  <si>
    <t>Block 2</t>
  </si>
  <si>
    <t>Block 3</t>
  </si>
  <si>
    <t>Block 4</t>
  </si>
  <si>
    <t>Block 5</t>
  </si>
  <si>
    <t>Block 6</t>
  </si>
  <si>
    <t>Block 7</t>
  </si>
  <si>
    <t>Block 8</t>
  </si>
  <si>
    <t>Name : VISHVA PATEL</t>
  </si>
  <si>
    <t>PRN: 2017033800132746</t>
  </si>
  <si>
    <t>Block 2 - Block 1</t>
  </si>
  <si>
    <t>a+b+c+abc-1-ab-bc-ac</t>
  </si>
  <si>
    <t>(a-1) - b (a-1) - c (a-1) + bc (a-1)</t>
  </si>
  <si>
    <t>(a-1) [1 - b - c + bc]</t>
  </si>
  <si>
    <t>(a-1) [ c (b-1) - (b-1) ]</t>
  </si>
  <si>
    <t>(a-1) (b-1) (c-1) = abc is confounded</t>
  </si>
  <si>
    <t>(a-1)(b-1) (c+1) = ab is confounded</t>
  </si>
  <si>
    <t>(a+1) (b-1) (c-1) =bc is confounded</t>
  </si>
</sst>
</file>

<file path=xl/styles.xml><?xml version="1.0" encoding="utf-8"?>
<styleSheet xmlns="http://schemas.openxmlformats.org/spreadsheetml/2006/main">
  <fonts count="7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6"/>
      <color rgb="FFFF0000"/>
      <name val="Times New Roman"/>
      <family val="1"/>
    </font>
    <font>
      <sz val="22"/>
      <color theme="1"/>
      <name val="Century"/>
      <family val="1"/>
    </font>
    <font>
      <sz val="11"/>
      <color theme="1"/>
      <name val="Century"/>
      <family val="1"/>
    </font>
    <font>
      <b/>
      <sz val="11"/>
      <color theme="1"/>
      <name val="Century"/>
      <family val="1"/>
    </font>
    <font>
      <sz val="14"/>
      <color theme="1"/>
      <name val="Century"/>
      <family val="1"/>
    </font>
    <font>
      <vertAlign val="superscript"/>
      <sz val="14"/>
      <color theme="1"/>
      <name val="Century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4"/>
      <color theme="8" tint="-0.499984740745262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entury"/>
      <family val="1"/>
    </font>
    <font>
      <b/>
      <sz val="14"/>
      <color theme="1"/>
      <name val="Century"/>
      <family val="1"/>
    </font>
    <font>
      <b/>
      <sz val="12"/>
      <color rgb="FFFF000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5"/>
      <name val="Times New Roman"/>
      <family val="1"/>
    </font>
    <font>
      <vertAlign val="subscript"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vertAlign val="subscript"/>
      <sz val="14"/>
      <color theme="1"/>
      <name val="Times New Roman"/>
      <family val="1"/>
    </font>
    <font>
      <b/>
      <sz val="16"/>
      <color theme="4" tint="-0.499984740745262"/>
      <name val="Times New Roman"/>
      <family val="1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u/>
      <sz val="14"/>
      <color rgb="FFFF0000"/>
      <name val="Times New Roman"/>
      <family val="1"/>
    </font>
    <font>
      <vertAlign val="superscript"/>
      <sz val="11"/>
      <color theme="1"/>
      <name val="Times New Roman"/>
      <family val="1"/>
    </font>
    <font>
      <sz val="12"/>
      <color rgb="FFFFFFFF"/>
      <name val="Century"/>
      <family val="1"/>
    </font>
    <font>
      <b/>
      <sz val="12"/>
      <color theme="1"/>
      <name val="Century"/>
      <family val="1"/>
    </font>
    <font>
      <b/>
      <u/>
      <sz val="14"/>
      <color rgb="FFFF0000"/>
      <name val="Times New Roman"/>
      <family val="1"/>
    </font>
    <font>
      <b/>
      <u/>
      <sz val="16"/>
      <color rgb="FFFF0000"/>
      <name val="Times New Roman"/>
      <family val="1"/>
    </font>
    <font>
      <b/>
      <sz val="11"/>
      <color theme="5" tint="-0.249977111117893"/>
      <name val="Calibri"/>
      <family val="2"/>
      <scheme val="minor"/>
    </font>
    <font>
      <b/>
      <sz val="11"/>
      <color theme="1"/>
      <name val="Times New Roman"/>
      <family val="1"/>
    </font>
    <font>
      <b/>
      <u/>
      <sz val="11"/>
      <color theme="1"/>
      <name val="Century"/>
      <family val="1"/>
    </font>
    <font>
      <vertAlign val="subscript"/>
      <sz val="11"/>
      <color theme="1"/>
      <name val="Century"/>
      <family val="1"/>
    </font>
    <font>
      <vertAlign val="superscript"/>
      <sz val="12"/>
      <color theme="1"/>
      <name val="Century"/>
      <family val="1"/>
    </font>
    <font>
      <b/>
      <sz val="11"/>
      <color theme="9" tint="-0.499984740745262"/>
      <name val="Century"/>
      <family val="1"/>
    </font>
    <font>
      <b/>
      <vertAlign val="superscript"/>
      <sz val="11"/>
      <color theme="1"/>
      <name val="Century"/>
      <family val="1"/>
    </font>
    <font>
      <b/>
      <sz val="12"/>
      <color theme="4" tint="-0.249977111117893"/>
      <name val="Century"/>
      <family val="1"/>
    </font>
    <font>
      <b/>
      <sz val="11"/>
      <color rgb="FFFF0000"/>
      <name val="Century"/>
      <family val="1"/>
    </font>
    <font>
      <b/>
      <sz val="11"/>
      <color theme="5" tint="-0.249977111117893"/>
      <name val="Century"/>
      <family val="1"/>
    </font>
    <font>
      <b/>
      <sz val="12"/>
      <color theme="5" tint="-0.249977111117893"/>
      <name val="Century"/>
      <family val="1"/>
    </font>
    <font>
      <b/>
      <i/>
      <sz val="12"/>
      <color theme="5" tint="-0.249977111117893"/>
      <name val="Calibri"/>
      <family val="2"/>
      <scheme val="minor"/>
    </font>
    <font>
      <b/>
      <i/>
      <sz val="12"/>
      <color theme="1"/>
      <name val="Times New Roman"/>
      <family val="1"/>
    </font>
    <font>
      <b/>
      <u/>
      <sz val="12"/>
      <color theme="1"/>
      <name val="Century"/>
      <family val="1"/>
    </font>
    <font>
      <b/>
      <i/>
      <u/>
      <sz val="14"/>
      <color theme="8"/>
      <name val="Times New Roman"/>
      <family val="1"/>
    </font>
    <font>
      <b/>
      <sz val="12"/>
      <color theme="9" tint="-0.249977111117893"/>
      <name val="Times New Roman"/>
      <family val="1"/>
    </font>
    <font>
      <b/>
      <u/>
      <sz val="16"/>
      <color theme="9" tint="-0.249977111117893"/>
      <name val="Times New Roman"/>
      <family val="1"/>
    </font>
    <font>
      <b/>
      <sz val="12"/>
      <color rgb="FFFF0000"/>
      <name val="Times New Roman"/>
      <family val="1"/>
    </font>
    <font>
      <b/>
      <u/>
      <sz val="14"/>
      <color theme="9" tint="-0.249977111117893"/>
      <name val="Times New Roman"/>
      <family val="1"/>
    </font>
    <font>
      <b/>
      <i/>
      <vertAlign val="subscript"/>
      <sz val="12"/>
      <color theme="1"/>
      <name val="Times New Roman"/>
      <family val="1"/>
    </font>
    <font>
      <b/>
      <sz val="11"/>
      <color theme="8" tint="-0.499984740745262"/>
      <name val="Century"/>
      <family val="1"/>
    </font>
    <font>
      <b/>
      <sz val="12"/>
      <color rgb="FF000000"/>
      <name val="Century"/>
      <family val="1"/>
    </font>
    <font>
      <b/>
      <vertAlign val="superscript"/>
      <sz val="12"/>
      <color rgb="FF000000"/>
      <name val="Century"/>
      <family val="1"/>
    </font>
    <font>
      <b/>
      <vertAlign val="superscript"/>
      <sz val="12"/>
      <color theme="1"/>
      <name val="Century"/>
      <family val="1"/>
    </font>
    <font>
      <b/>
      <sz val="12"/>
      <color theme="5" tint="-0.249977111117893"/>
      <name val="Times New Roman"/>
      <family val="1"/>
    </font>
    <font>
      <sz val="12"/>
      <color theme="5" tint="-0.249977111117893"/>
      <name val="Times New Roman"/>
      <family val="1"/>
    </font>
    <font>
      <b/>
      <i/>
      <sz val="16"/>
      <color theme="5" tint="-0.249977111117893"/>
      <name val="Times New Roman"/>
      <family val="1"/>
    </font>
    <font>
      <b/>
      <sz val="24"/>
      <color theme="4" tint="-0.249977111117893"/>
      <name val="Century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11" fillId="0" borderId="0" xfId="0" applyFont="1"/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6" fillId="0" borderId="0" xfId="0" applyFont="1"/>
    <xf numFmtId="0" fontId="19" fillId="4" borderId="0" xfId="0" applyFont="1" applyFill="1"/>
    <xf numFmtId="0" fontId="0" fillId="4" borderId="0" xfId="0" applyFill="1"/>
    <xf numFmtId="0" fontId="20" fillId="0" borderId="0" xfId="0" applyFont="1"/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6" fillId="0" borderId="0" xfId="0" applyFont="1"/>
    <xf numFmtId="0" fontId="21" fillId="0" borderId="0" xfId="0" applyFont="1"/>
    <xf numFmtId="0" fontId="2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5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" fillId="0" borderId="0" xfId="0" applyFont="1"/>
    <xf numFmtId="0" fontId="16" fillId="0" borderId="0" xfId="0" applyFont="1" applyAlignment="1">
      <alignment horizontal="left"/>
    </xf>
    <xf numFmtId="0" fontId="24" fillId="0" borderId="0" xfId="0" applyFont="1"/>
    <xf numFmtId="0" fontId="15" fillId="0" borderId="0" xfId="0" applyFont="1" applyAlignment="1">
      <alignment horizontal="center"/>
    </xf>
    <xf numFmtId="0" fontId="27" fillId="0" borderId="0" xfId="0" applyFont="1"/>
    <xf numFmtId="0" fontId="30" fillId="0" borderId="0" xfId="0" applyFont="1" applyAlignment="1">
      <alignment horizontal="left" vertical="center"/>
    </xf>
    <xf numFmtId="0" fontId="7" fillId="0" borderId="20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14" fillId="5" borderId="22" xfId="0" applyFont="1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 wrapText="1"/>
    </xf>
    <xf numFmtId="0" fontId="14" fillId="5" borderId="23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left" vertical="center"/>
    </xf>
    <xf numFmtId="0" fontId="14" fillId="5" borderId="9" xfId="0" applyFont="1" applyFill="1" applyBorder="1" applyAlignment="1">
      <alignment horizontal="left" vertical="center"/>
    </xf>
    <xf numFmtId="0" fontId="32" fillId="5" borderId="14" xfId="0" applyFont="1" applyFill="1" applyBorder="1" applyAlignment="1">
      <alignment horizontal="left" vertical="center"/>
    </xf>
    <xf numFmtId="0" fontId="32" fillId="5" borderId="8" xfId="0" applyFont="1" applyFill="1" applyBorder="1" applyAlignment="1">
      <alignment horizontal="left" vertical="center"/>
    </xf>
    <xf numFmtId="0" fontId="14" fillId="5" borderId="17" xfId="0" applyFont="1" applyFill="1" applyBorder="1" applyAlignment="1">
      <alignment horizontal="left" vertical="center"/>
    </xf>
    <xf numFmtId="0" fontId="14" fillId="5" borderId="22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3" fillId="5" borderId="8" xfId="0" applyFont="1" applyFill="1" applyBorder="1" applyAlignment="1">
      <alignment horizontal="left" vertical="center"/>
    </xf>
    <xf numFmtId="0" fontId="33" fillId="5" borderId="20" xfId="0" applyFont="1" applyFill="1" applyBorder="1" applyAlignment="1">
      <alignment horizontal="left" vertical="center"/>
    </xf>
    <xf numFmtId="0" fontId="36" fillId="0" borderId="0" xfId="0" applyFont="1"/>
    <xf numFmtId="0" fontId="2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35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38" fillId="0" borderId="0" xfId="0" applyFont="1"/>
    <xf numFmtId="0" fontId="7" fillId="0" borderId="10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6" xfId="0" applyFont="1" applyBorder="1" applyAlignment="1">
      <alignment vertical="center" wrapText="1"/>
    </xf>
    <xf numFmtId="0" fontId="7" fillId="0" borderId="35" xfId="0" applyFont="1" applyBorder="1" applyAlignment="1">
      <alignment horizontal="center" vertical="center" wrapText="1"/>
    </xf>
    <xf numFmtId="0" fontId="40" fillId="0" borderId="0" xfId="0" applyFont="1" applyAlignment="1">
      <alignment horizontal="left" vertical="center" indent="5"/>
    </xf>
    <xf numFmtId="0" fontId="21" fillId="0" borderId="0" xfId="0" applyFont="1" applyAlignment="1">
      <alignment horizontal="left" vertical="center" indent="5"/>
    </xf>
    <xf numFmtId="0" fontId="6" fillId="0" borderId="12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Border="1"/>
    <xf numFmtId="0" fontId="42" fillId="0" borderId="0" xfId="0" applyFont="1"/>
    <xf numFmtId="0" fontId="43" fillId="0" borderId="0" xfId="0" applyFont="1"/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44" fillId="0" borderId="17" xfId="0" applyFont="1" applyBorder="1" applyAlignment="1">
      <alignment horizontal="center"/>
    </xf>
    <xf numFmtId="0" fontId="44" fillId="0" borderId="18" xfId="0" applyFont="1" applyBorder="1" applyAlignment="1">
      <alignment horizontal="center"/>
    </xf>
    <xf numFmtId="0" fontId="44" fillId="0" borderId="19" xfId="0" applyFont="1" applyBorder="1" applyAlignment="1">
      <alignment horizontal="center"/>
    </xf>
    <xf numFmtId="0" fontId="45" fillId="0" borderId="0" xfId="0" applyFont="1"/>
    <xf numFmtId="0" fontId="7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/>
    </xf>
    <xf numFmtId="0" fontId="4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49" fillId="0" borderId="0" xfId="0" applyFont="1"/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7" fillId="0" borderId="11" xfId="0" applyFont="1" applyBorder="1"/>
    <xf numFmtId="0" fontId="53" fillId="0" borderId="12" xfId="0" applyFont="1" applyBorder="1"/>
    <xf numFmtId="0" fontId="44" fillId="0" borderId="0" xfId="0" applyFont="1"/>
    <xf numFmtId="0" fontId="2" fillId="0" borderId="0" xfId="0" applyFont="1" applyBorder="1" applyAlignment="1"/>
    <xf numFmtId="0" fontId="2" fillId="0" borderId="0" xfId="0" applyFont="1" applyBorder="1"/>
    <xf numFmtId="0" fontId="54" fillId="0" borderId="0" xfId="0" applyFont="1" applyBorder="1"/>
    <xf numFmtId="0" fontId="53" fillId="0" borderId="0" xfId="0" applyFont="1"/>
    <xf numFmtId="0" fontId="55" fillId="0" borderId="0" xfId="0" applyFont="1"/>
    <xf numFmtId="0" fontId="7" fillId="7" borderId="10" xfId="0" applyFont="1" applyFill="1" applyBorder="1" applyAlignment="1">
      <alignment vertical="center"/>
    </xf>
    <xf numFmtId="0" fontId="7" fillId="7" borderId="18" xfId="0" applyFont="1" applyFill="1" applyBorder="1" applyAlignment="1">
      <alignment vertical="center"/>
    </xf>
    <xf numFmtId="0" fontId="7" fillId="7" borderId="19" xfId="0" applyFont="1" applyFill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7" borderId="31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21" fillId="0" borderId="0" xfId="0" applyFont="1" applyAlignment="1">
      <alignment horizontal="left"/>
    </xf>
    <xf numFmtId="0" fontId="58" fillId="0" borderId="0" xfId="0" applyFont="1"/>
    <xf numFmtId="0" fontId="16" fillId="0" borderId="0" xfId="0" applyFont="1" applyBorder="1" applyAlignment="1">
      <alignment horizontal="left"/>
    </xf>
    <xf numFmtId="0" fontId="16" fillId="0" borderId="0" xfId="0" applyFont="1" applyBorder="1"/>
    <xf numFmtId="0" fontId="18" fillId="0" borderId="0" xfId="0" applyFont="1" applyBorder="1" applyAlignment="1">
      <alignment horizontal="left"/>
    </xf>
    <xf numFmtId="0" fontId="59" fillId="0" borderId="0" xfId="0" applyFont="1" applyBorder="1" applyAlignment="1">
      <alignment horizontal="left"/>
    </xf>
    <xf numFmtId="0" fontId="16" fillId="0" borderId="42" xfId="0" applyFont="1" applyBorder="1" applyAlignment="1">
      <alignment horizontal="left"/>
    </xf>
    <xf numFmtId="0" fontId="16" fillId="0" borderId="41" xfId="0" applyFont="1" applyBorder="1" applyAlignment="1">
      <alignment horizontal="left"/>
    </xf>
    <xf numFmtId="0" fontId="16" fillId="0" borderId="41" xfId="0" applyFont="1" applyBorder="1"/>
    <xf numFmtId="0" fontId="16" fillId="0" borderId="40" xfId="0" applyFont="1" applyBorder="1"/>
    <xf numFmtId="0" fontId="16" fillId="0" borderId="39" xfId="0" applyFont="1" applyBorder="1" applyAlignment="1">
      <alignment horizontal="left"/>
    </xf>
    <xf numFmtId="0" fontId="16" fillId="0" borderId="38" xfId="0" applyFont="1" applyBorder="1"/>
    <xf numFmtId="0" fontId="16" fillId="0" borderId="36" xfId="0" applyFont="1" applyBorder="1" applyAlignment="1">
      <alignment horizontal="left"/>
    </xf>
    <xf numFmtId="0" fontId="16" fillId="0" borderId="36" xfId="0" applyFont="1" applyBorder="1"/>
    <xf numFmtId="0" fontId="16" fillId="0" borderId="35" xfId="0" applyFont="1" applyBorder="1"/>
    <xf numFmtId="0" fontId="41" fillId="0" borderId="39" xfId="0" applyFont="1" applyBorder="1" applyAlignment="1">
      <alignment horizontal="left"/>
    </xf>
    <xf numFmtId="0" fontId="21" fillId="0" borderId="37" xfId="0" applyFont="1" applyBorder="1" applyAlignment="1">
      <alignment horizontal="left"/>
    </xf>
    <xf numFmtId="0" fontId="21" fillId="0" borderId="42" xfId="0" applyFont="1" applyBorder="1" applyAlignment="1">
      <alignment horizontal="left"/>
    </xf>
    <xf numFmtId="0" fontId="21" fillId="0" borderId="39" xfId="0" applyFont="1" applyBorder="1" applyAlignment="1">
      <alignment horizontal="left"/>
    </xf>
    <xf numFmtId="0" fontId="60" fillId="0" borderId="0" xfId="0" applyFont="1" applyBorder="1" applyAlignment="1">
      <alignment horizontal="left"/>
    </xf>
    <xf numFmtId="0" fontId="21" fillId="0" borderId="39" xfId="0" applyFont="1" applyBorder="1"/>
    <xf numFmtId="0" fontId="62" fillId="0" borderId="0" xfId="0" applyFont="1" applyBorder="1" applyAlignment="1">
      <alignment horizontal="left"/>
    </xf>
    <xf numFmtId="0" fontId="61" fillId="0" borderId="0" xfId="0" applyFont="1" applyBorder="1" applyAlignment="1">
      <alignment horizontal="left"/>
    </xf>
    <xf numFmtId="0" fontId="16" fillId="0" borderId="37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4" fillId="0" borderId="17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52" fillId="0" borderId="0" xfId="0" applyFont="1"/>
    <xf numFmtId="0" fontId="6" fillId="0" borderId="10" xfId="0" applyFont="1" applyBorder="1" applyAlignment="1">
      <alignment horizontal="center"/>
    </xf>
    <xf numFmtId="0" fontId="41" fillId="0" borderId="17" xfId="0" applyFont="1" applyBorder="1" applyAlignment="1">
      <alignment horizontal="center" vertical="center"/>
    </xf>
    <xf numFmtId="0" fontId="65" fillId="0" borderId="18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41" fillId="0" borderId="48" xfId="0" applyFont="1" applyBorder="1" applyAlignment="1">
      <alignment horizontal="center"/>
    </xf>
    <xf numFmtId="0" fontId="41" fillId="0" borderId="50" xfId="0" applyFont="1" applyBorder="1" applyAlignment="1">
      <alignment horizontal="center"/>
    </xf>
    <xf numFmtId="0" fontId="41" fillId="0" borderId="53" xfId="0" applyFont="1" applyBorder="1" applyAlignment="1">
      <alignment horizontal="center"/>
    </xf>
    <xf numFmtId="0" fontId="41" fillId="0" borderId="56" xfId="0" applyFont="1" applyBorder="1" applyAlignment="1">
      <alignment horizontal="center"/>
    </xf>
    <xf numFmtId="0" fontId="65" fillId="0" borderId="57" xfId="0" applyFont="1" applyBorder="1" applyAlignment="1">
      <alignment horizontal="center"/>
    </xf>
    <xf numFmtId="0" fontId="41" fillId="0" borderId="57" xfId="0" applyFont="1" applyBorder="1" applyAlignment="1">
      <alignment horizontal="center"/>
    </xf>
    <xf numFmtId="0" fontId="41" fillId="0" borderId="58" xfId="0" applyFont="1" applyBorder="1" applyAlignment="1">
      <alignment horizontal="center"/>
    </xf>
    <xf numFmtId="0" fontId="21" fillId="0" borderId="54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51" xfId="0" applyFont="1" applyBorder="1" applyAlignment="1">
      <alignment horizontal="center"/>
    </xf>
    <xf numFmtId="0" fontId="21" fillId="0" borderId="52" xfId="0" applyFont="1" applyBorder="1" applyAlignment="1">
      <alignment horizontal="center"/>
    </xf>
    <xf numFmtId="0" fontId="41" fillId="0" borderId="56" xfId="0" applyFont="1" applyBorder="1" applyAlignment="1">
      <alignment horizontal="center" vertical="center"/>
    </xf>
    <xf numFmtId="0" fontId="65" fillId="0" borderId="57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1" fillId="0" borderId="58" xfId="0" applyFont="1" applyBorder="1" applyAlignment="1">
      <alignment horizontal="center" vertical="center"/>
    </xf>
    <xf numFmtId="0" fontId="4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41" fillId="0" borderId="48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41" fillId="0" borderId="50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3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53" fillId="0" borderId="10" xfId="0" applyFont="1" applyBorder="1"/>
    <xf numFmtId="0" fontId="2" fillId="7" borderId="10" xfId="0" applyFont="1" applyFill="1" applyBorder="1" applyAlignment="1">
      <alignment horizontal="left"/>
    </xf>
    <xf numFmtId="0" fontId="0" fillId="7" borderId="10" xfId="0" applyFill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0" xfId="0" applyFill="1" applyBorder="1" applyAlignment="1">
      <alignment horizontal="left" wrapText="1"/>
    </xf>
    <xf numFmtId="0" fontId="16" fillId="0" borderId="38" xfId="0" applyFont="1" applyBorder="1" applyAlignment="1">
      <alignment horizontal="left"/>
    </xf>
    <xf numFmtId="0" fontId="16" fillId="0" borderId="35" xfId="0" applyFont="1" applyBorder="1" applyAlignment="1">
      <alignment horizontal="left"/>
    </xf>
    <xf numFmtId="0" fontId="68" fillId="0" borderId="0" xfId="0" applyFont="1" applyBorder="1" applyAlignment="1">
      <alignment horizontal="left"/>
    </xf>
    <xf numFmtId="0" fontId="69" fillId="0" borderId="0" xfId="0" applyFont="1" applyBorder="1" applyAlignment="1">
      <alignment horizontal="left"/>
    </xf>
    <xf numFmtId="0" fontId="68" fillId="0" borderId="38" xfId="0" applyFont="1" applyBorder="1" applyAlignment="1">
      <alignment horizontal="left"/>
    </xf>
    <xf numFmtId="0" fontId="70" fillId="0" borderId="0" xfId="0" applyFont="1"/>
    <xf numFmtId="0" fontId="57" fillId="0" borderId="39" xfId="0" applyFont="1" applyBorder="1" applyAlignment="1">
      <alignment horizontal="left"/>
    </xf>
    <xf numFmtId="0" fontId="0" fillId="0" borderId="41" xfId="0" applyBorder="1"/>
    <xf numFmtId="0" fontId="0" fillId="0" borderId="40" xfId="0" applyBorder="1"/>
    <xf numFmtId="0" fontId="0" fillId="0" borderId="39" xfId="0" applyFont="1" applyBorder="1"/>
    <xf numFmtId="0" fontId="0" fillId="0" borderId="38" xfId="0" applyBorder="1"/>
    <xf numFmtId="0" fontId="24" fillId="0" borderId="0" xfId="0" applyFont="1" applyBorder="1" applyAlignment="1">
      <alignment horizontal="left"/>
    </xf>
    <xf numFmtId="0" fontId="24" fillId="0" borderId="38" xfId="0" applyFont="1" applyBorder="1" applyAlignment="1">
      <alignment horizontal="left"/>
    </xf>
    <xf numFmtId="0" fontId="0" fillId="0" borderId="37" xfId="0" applyFont="1" applyBorder="1"/>
    <xf numFmtId="0" fontId="24" fillId="0" borderId="36" xfId="0" applyFont="1" applyBorder="1" applyAlignment="1">
      <alignment horizontal="left"/>
    </xf>
    <xf numFmtId="0" fontId="24" fillId="0" borderId="35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3" fillId="0" borderId="38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0" fillId="0" borderId="0" xfId="0" applyFont="1" applyBorder="1"/>
    <xf numFmtId="0" fontId="20" fillId="0" borderId="38" xfId="0" applyFont="1" applyBorder="1"/>
    <xf numFmtId="0" fontId="34" fillId="0" borderId="0" xfId="0" applyFon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22" fillId="0" borderId="11" xfId="0" applyFont="1" applyBorder="1"/>
    <xf numFmtId="0" fontId="0" fillId="0" borderId="12" xfId="0" applyBorder="1"/>
    <xf numFmtId="0" fontId="0" fillId="0" borderId="13" xfId="0" applyBorder="1"/>
    <xf numFmtId="0" fontId="1" fillId="0" borderId="0" xfId="0" applyFont="1"/>
    <xf numFmtId="0" fontId="53" fillId="0" borderId="29" xfId="0" applyFont="1" applyFill="1" applyBorder="1"/>
    <xf numFmtId="0" fontId="71" fillId="0" borderId="0" xfId="0" applyFont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3" fillId="5" borderId="28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left"/>
    </xf>
    <xf numFmtId="0" fontId="6" fillId="0" borderId="47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0" fillId="0" borderId="10" xfId="0" applyBorder="1" applyAlignment="1">
      <alignment horizontal="center"/>
    </xf>
    <xf numFmtId="0" fontId="41" fillId="0" borderId="3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40</xdr:row>
      <xdr:rowOff>186690</xdr:rowOff>
    </xdr:from>
    <xdr:ext cx="1638300" cy="49149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083554E9-0427-410D-92B5-E588B147D196}"/>
            </a:ext>
          </a:extLst>
        </xdr:cNvPr>
        <xdr:cNvSpPr txBox="1"/>
      </xdr:nvSpPr>
      <xdr:spPr>
        <a:xfrm>
          <a:off x="3116580" y="8660130"/>
          <a:ext cx="1638300" cy="4914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</a:rPr>
            <a:t>𝐶.𝐹=  𝐺^2/(2^3∗𝑟)</a:t>
          </a:r>
          <a:endParaRPr lang="en-IN" sz="1100"/>
        </a:p>
      </xdr:txBody>
    </xdr:sp>
    <xdr:clientData/>
  </xdr:oneCellAnchor>
  <xdr:oneCellAnchor>
    <xdr:from>
      <xdr:col>2</xdr:col>
      <xdr:colOff>464820</xdr:colOff>
      <xdr:row>44</xdr:row>
      <xdr:rowOff>30480</xdr:rowOff>
    </xdr:from>
    <xdr:ext cx="3063240" cy="4343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E3FDA05B-6C21-45DB-84E2-58613180A7A9}"/>
            </a:ext>
          </a:extLst>
        </xdr:cNvPr>
        <xdr:cNvSpPr txBox="1"/>
      </xdr:nvSpPr>
      <xdr:spPr>
        <a:xfrm>
          <a:off x="1699260" y="9273540"/>
          <a:ext cx="3063240" cy="4343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</a:rPr>
            <a:t>𝑇𝑜𝑡𝑎𝑙 𝑆𝑢𝑚 𝑜𝑓 𝑆𝑞𝑎𝑟𝑒(𝑇𝑆𝑆)= ∑▒〖𝑦^2−𝐶.𝐹〗</a:t>
          </a:r>
          <a:endParaRPr lang="en-IN" sz="1100"/>
        </a:p>
      </xdr:txBody>
    </xdr:sp>
    <xdr:clientData/>
  </xdr:oneCellAnchor>
  <xdr:oneCellAnchor>
    <xdr:from>
      <xdr:col>1</xdr:col>
      <xdr:colOff>266700</xdr:colOff>
      <xdr:row>48</xdr:row>
      <xdr:rowOff>22860</xdr:rowOff>
    </xdr:from>
    <xdr:ext cx="3855720" cy="4343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ADD9DFD8-5E9F-4C56-885C-E08AE3738D23}"/>
            </a:ext>
          </a:extLst>
        </xdr:cNvPr>
        <xdr:cNvSpPr txBox="1"/>
      </xdr:nvSpPr>
      <xdr:spPr>
        <a:xfrm>
          <a:off x="891540" y="10043160"/>
          <a:ext cx="3855720" cy="4343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</a:rPr>
            <a:t>𝑆𝑢𝑚 𝑜𝑓 𝑆𝑞𝑎𝑟𝑒 𝑑𝑢𝑒 𝑡𝑜 𝑇𝑟𝑒𝑎𝑡𝑚𝑒𝑛𝑡(𝑆𝑆𝑇)=1/2^(𝑚−1)  ∑▒𝑇_𝑖^2 −𝐶.𝐹 </a:t>
          </a:r>
          <a:endParaRPr lang="en-IN" sz="1100"/>
        </a:p>
      </xdr:txBody>
    </xdr:sp>
    <xdr:clientData/>
  </xdr:oneCellAnchor>
  <xdr:oneCellAnchor>
    <xdr:from>
      <xdr:col>1</xdr:col>
      <xdr:colOff>487680</xdr:colOff>
      <xdr:row>52</xdr:row>
      <xdr:rowOff>15240</xdr:rowOff>
    </xdr:from>
    <xdr:ext cx="3649980" cy="4343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F7D0F6CB-3E65-4C3E-A77C-C59077A1E36C}"/>
            </a:ext>
          </a:extLst>
        </xdr:cNvPr>
        <xdr:cNvSpPr txBox="1"/>
      </xdr:nvSpPr>
      <xdr:spPr>
        <a:xfrm>
          <a:off x="1112520" y="10797540"/>
          <a:ext cx="3649980" cy="4343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1100" b="0" i="0">
              <a:latin typeface="Cambria Math" panose="02040503050406030204" pitchFamily="18" charset="0"/>
            </a:rPr>
            <a:t>𝑆𝑢𝑚 𝑜𝑓 𝑆𝑞𝑎𝑟𝑒 𝑑𝑢𝑒 𝑡𝑜 𝐵𝑙𝑜𝑐𝑘(𝑆𝑆𝑇)=1/2^𝑚  ∑▒𝐵_𝐽^2 −𝐶.𝐹 </a:t>
          </a:r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98611</xdr:colOff>
      <xdr:row>30</xdr:row>
      <xdr:rowOff>19339</xdr:rowOff>
    </xdr:from>
    <xdr:ext cx="566057" cy="4099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719E535D-55F9-4D42-9963-D2D30036933E}"/>
            </a:ext>
          </a:extLst>
        </xdr:cNvPr>
        <xdr:cNvSpPr txBox="1"/>
      </xdr:nvSpPr>
      <xdr:spPr>
        <a:xfrm>
          <a:off x="708211" y="6420139"/>
          <a:ext cx="566057" cy="4099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IN" sz="1100" i="0">
              <a:latin typeface="Cambria Math" panose="02040503050406030204" pitchFamily="18" charset="0"/>
            </a:rPr>
            <a:t>∑</a:t>
          </a:r>
          <a:r>
            <a:rPr lang="en-IN" sz="1100" b="0" i="0">
              <a:latin typeface="Cambria Math" panose="02040503050406030204" pitchFamily="18" charset="0"/>
            </a:rPr>
            <a:t>▒〖𝑅_𝑗^2= 〗</a:t>
          </a:r>
          <a:endParaRPr lang="en-IN" sz="1100"/>
        </a:p>
      </xdr:txBody>
    </xdr:sp>
    <xdr:clientData/>
  </xdr:oneCellAnchor>
  <xdr:oneCellAnchor>
    <xdr:from>
      <xdr:col>1</xdr:col>
      <xdr:colOff>52753</xdr:colOff>
      <xdr:row>50</xdr:row>
      <xdr:rowOff>13827</xdr:rowOff>
    </xdr:from>
    <xdr:ext cx="2133600" cy="4609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CEF9AD3A-B426-4FCA-ABD3-263F51786DE5}"/>
            </a:ext>
          </a:extLst>
        </xdr:cNvPr>
        <xdr:cNvSpPr txBox="1"/>
      </xdr:nvSpPr>
      <xdr:spPr>
        <a:xfrm>
          <a:off x="779584" y="9767427"/>
          <a:ext cx="2133600" cy="46095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1400" b="0" i="0">
              <a:latin typeface="Cambria Math" panose="02040503050406030204" pitchFamily="18" charset="0"/>
            </a:rPr>
            <a:t>𝑆𝑆𝐵</a:t>
          </a:r>
          <a:r>
            <a:rPr lang="en-IN" sz="1400" b="0" i="0">
              <a:latin typeface="Cambria Math" panose="02040503050406030204" pitchFamily="18" charset="0"/>
            </a:rPr>
            <a:t>=  (∑▒𝐵_𝑗^2 )/(2^(𝑘−1)  )  −</a:t>
          </a:r>
          <a:r>
            <a:rPr lang="en-IN" sz="1400">
              <a:latin typeface="Century" panose="02040604050505020304" pitchFamily="18" charset="0"/>
            </a:rPr>
            <a:t> C.F.</a:t>
          </a:r>
        </a:p>
      </xdr:txBody>
    </xdr:sp>
    <xdr:clientData/>
  </xdr:oneCellAnchor>
  <xdr:oneCellAnchor>
    <xdr:from>
      <xdr:col>1</xdr:col>
      <xdr:colOff>152400</xdr:colOff>
      <xdr:row>53</xdr:row>
      <xdr:rowOff>200691</xdr:rowOff>
    </xdr:from>
    <xdr:ext cx="2643051" cy="43821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35B0BE03-80EB-4400-9238-C020A488760A}"/>
            </a:ext>
          </a:extLst>
        </xdr:cNvPr>
        <xdr:cNvSpPr txBox="1"/>
      </xdr:nvSpPr>
      <xdr:spPr>
        <a:xfrm>
          <a:off x="879231" y="10534583"/>
          <a:ext cx="2643051" cy="4382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IN" sz="1400" b="0"/>
            <a:t>Replicated</a:t>
          </a:r>
          <a:r>
            <a:rPr lang="en-IN" sz="1400" b="0" i="0">
              <a:latin typeface="Cambria Math" panose="02040503050406030204" pitchFamily="18" charset="0"/>
            </a:rPr>
            <a:t> 𝑆.𝑆. =  (∑▒𝑅_𝑖^2 )/2^𝑘   −  𝐺^2/(𝑟∗2^𝑘 )</a:t>
          </a:r>
          <a:endParaRPr lang="en-IN" sz="1400"/>
        </a:p>
      </xdr:txBody>
    </xdr:sp>
    <xdr:clientData/>
  </xdr:oneCellAnchor>
  <xdr:oneCellAnchor>
    <xdr:from>
      <xdr:col>1</xdr:col>
      <xdr:colOff>275492</xdr:colOff>
      <xdr:row>57</xdr:row>
      <xdr:rowOff>184538</xdr:rowOff>
    </xdr:from>
    <xdr:ext cx="2508737" cy="52174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4DB99DB3-380C-4CD8-AB57-164F9B37AD77}"/>
            </a:ext>
          </a:extLst>
        </xdr:cNvPr>
        <xdr:cNvSpPr txBox="1"/>
      </xdr:nvSpPr>
      <xdr:spPr>
        <a:xfrm>
          <a:off x="1002323" y="11303876"/>
          <a:ext cx="2508737" cy="52174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IN" sz="1400" b="0" i="0">
              <a:latin typeface="Cambria Math" panose="02040503050406030204" pitchFamily="18" charset="0"/>
            </a:rPr>
            <a:t>𝑇𝑜𝑡𝑎𝑙 𝑆.𝑆. = ∑▒〖∑▒𝑌_𝑖𝑗^2   −</a:t>
          </a:r>
          <a:r>
            <a:rPr lang="en-US" sz="1400" b="0" i="0">
              <a:latin typeface="Cambria Math" panose="02040503050406030204" pitchFamily="18" charset="0"/>
            </a:rPr>
            <a:t>𝐶.𝐹</a:t>
          </a:r>
          <a:r>
            <a:rPr lang="en-IN" sz="1400" b="0" i="0">
              <a:latin typeface="Cambria Math" panose="02040503050406030204" pitchFamily="18" charset="0"/>
            </a:rPr>
            <a:t>.〗</a:t>
          </a:r>
          <a:endParaRPr lang="en-IN" sz="1100"/>
        </a:p>
      </xdr:txBody>
    </xdr:sp>
    <xdr:clientData/>
  </xdr:oneCellAnchor>
  <xdr:oneCellAnchor>
    <xdr:from>
      <xdr:col>1</xdr:col>
      <xdr:colOff>680324</xdr:colOff>
      <xdr:row>46</xdr:row>
      <xdr:rowOff>6771</xdr:rowOff>
    </xdr:from>
    <xdr:ext cx="843676" cy="54982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AF97CA12-80F5-4698-805A-C11896679A61}"/>
            </a:ext>
          </a:extLst>
        </xdr:cNvPr>
        <xdr:cNvSpPr txBox="1"/>
      </xdr:nvSpPr>
      <xdr:spPr>
        <a:xfrm>
          <a:off x="1402567" y="9011623"/>
          <a:ext cx="843676" cy="5498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1400" b="0" i="0">
              <a:latin typeface="Cambria Math" panose="02040503050406030204" pitchFamily="18" charset="0"/>
            </a:rPr>
            <a:t>𝐶.𝐹</a:t>
          </a:r>
          <a:r>
            <a:rPr lang="en-IN" sz="1400" b="0" i="0">
              <a:latin typeface="Cambria Math" panose="02040503050406030204" pitchFamily="18" charset="0"/>
            </a:rPr>
            <a:t>=  𝐺^2/𝑛</a:t>
          </a:r>
          <a:endParaRPr lang="en-IN" sz="14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496956</xdr:colOff>
      <xdr:row>90</xdr:row>
      <xdr:rowOff>9937</xdr:rowOff>
    </xdr:from>
    <xdr:ext cx="2133600" cy="4803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5F5704D6-3FE9-4291-A8AE-A3AD21D878C2}"/>
            </a:ext>
          </a:extLst>
        </xdr:cNvPr>
        <xdr:cNvSpPr txBox="1"/>
      </xdr:nvSpPr>
      <xdr:spPr>
        <a:xfrm>
          <a:off x="1292086" y="18079276"/>
          <a:ext cx="2133600" cy="4803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IN" sz="1400" b="0" i="0">
              <a:latin typeface="Cambria Math" panose="02040503050406030204" pitchFamily="18" charset="0"/>
            </a:rPr>
            <a:t>𝐵𝑙𝑜𝑐𝑘 𝑆.𝑆. =  (∑▒𝐵_𝑗^2 )/𝑟  −</a:t>
          </a:r>
          <a:r>
            <a:rPr lang="en-IN" sz="1400">
              <a:latin typeface="Century" panose="02040604050505020304" pitchFamily="18" charset="0"/>
            </a:rPr>
            <a:t>  C.F.</a:t>
          </a:r>
        </a:p>
      </xdr:txBody>
    </xdr:sp>
    <xdr:clientData/>
  </xdr:oneCellAnchor>
  <xdr:oneCellAnchor>
    <xdr:from>
      <xdr:col>1</xdr:col>
      <xdr:colOff>238539</xdr:colOff>
      <xdr:row>94</xdr:row>
      <xdr:rowOff>189049</xdr:rowOff>
    </xdr:from>
    <xdr:ext cx="2386359" cy="51331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2BE889D2-0901-45B1-9FCC-F698FF853538}"/>
            </a:ext>
          </a:extLst>
        </xdr:cNvPr>
        <xdr:cNvSpPr txBox="1"/>
      </xdr:nvSpPr>
      <xdr:spPr>
        <a:xfrm>
          <a:off x="1033669" y="19053519"/>
          <a:ext cx="2386359" cy="51331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IN" sz="1400" b="0" i="0">
              <a:latin typeface="Cambria Math" panose="02040503050406030204" pitchFamily="18" charset="0"/>
            </a:rPr>
            <a:t>𝑅𝑒𝑝𝑙𝑖𝑐𝑎𝑡𝑒 𝑆.𝑆. =  (∑▒𝑅_𝑖^2 )/𝑘  −</a:t>
          </a:r>
          <a:r>
            <a:rPr lang="en-US" sz="1400" b="0" i="0">
              <a:latin typeface="Cambria Math" panose="02040503050406030204" pitchFamily="18" charset="0"/>
            </a:rPr>
            <a:t>𝐶.𝐹</a:t>
          </a:r>
          <a:r>
            <a:rPr lang="en-IN" sz="1400" b="0" i="0">
              <a:latin typeface="Cambria Math" panose="02040503050406030204" pitchFamily="18" charset="0"/>
            </a:rPr>
            <a:t>. </a:t>
          </a:r>
          <a:endParaRPr lang="en-IN" sz="1400">
            <a:latin typeface="Century" panose="02040604050505020304" pitchFamily="18" charset="0"/>
          </a:endParaRPr>
        </a:p>
      </xdr:txBody>
    </xdr:sp>
    <xdr:clientData/>
  </xdr:oneCellAnchor>
  <xdr:oneCellAnchor>
    <xdr:from>
      <xdr:col>1</xdr:col>
      <xdr:colOff>145775</xdr:colOff>
      <xdr:row>99</xdr:row>
      <xdr:rowOff>13023</xdr:rowOff>
    </xdr:from>
    <xdr:ext cx="2484782" cy="52174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98B0ABB2-3293-4576-84B5-274120F03CE8}"/>
            </a:ext>
          </a:extLst>
        </xdr:cNvPr>
        <xdr:cNvSpPr txBox="1"/>
      </xdr:nvSpPr>
      <xdr:spPr>
        <a:xfrm>
          <a:off x="940905" y="19871406"/>
          <a:ext cx="2484782" cy="52174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IN" sz="1400" b="0" i="0">
              <a:latin typeface="Cambria Math" panose="02040503050406030204" pitchFamily="18" charset="0"/>
            </a:rPr>
            <a:t>𝑇𝑜𝑡𝑎𝑙 𝑆.𝑆. = ∑▒〖∑▒𝑌_𝑖𝑗^2   −</a:t>
          </a:r>
          <a:r>
            <a:rPr lang="en-US" sz="1400" b="0" i="0">
              <a:latin typeface="Cambria Math" panose="02040503050406030204" pitchFamily="18" charset="0"/>
            </a:rPr>
            <a:t>𝐶.𝐹</a:t>
          </a:r>
          <a:r>
            <a:rPr lang="en-IN" sz="1400" b="0" i="0">
              <a:latin typeface="Cambria Math" panose="02040503050406030204" pitchFamily="18" charset="0"/>
            </a:rPr>
            <a:t>.〗</a:t>
          </a:r>
          <a:endParaRPr lang="en-IN" sz="1100"/>
        </a:p>
      </xdr:txBody>
    </xdr:sp>
    <xdr:clientData/>
  </xdr:oneCellAnchor>
  <xdr:oneCellAnchor>
    <xdr:from>
      <xdr:col>1</xdr:col>
      <xdr:colOff>960782</xdr:colOff>
      <xdr:row>86</xdr:row>
      <xdr:rowOff>182218</xdr:rowOff>
    </xdr:from>
    <xdr:ext cx="808384" cy="36774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xmlns:a14="http://schemas.microsoft.com/office/drawing/2010/main" xmlns:mc="http://schemas.openxmlformats.org/markup-compatibility/2006" id="{FBCDFDE5-82EC-4081-AD32-FF461A86C154}"/>
            </a:ext>
          </a:extLst>
        </xdr:cNvPr>
        <xdr:cNvSpPr txBox="1"/>
      </xdr:nvSpPr>
      <xdr:spPr>
        <a:xfrm>
          <a:off x="1755912" y="17456427"/>
          <a:ext cx="808384" cy="3677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IN" sz="1400" b="0">
              <a:latin typeface="Century" panose="02040604050505020304" pitchFamily="18" charset="0"/>
            </a:rPr>
            <a:t>C.F</a:t>
          </a:r>
          <a:r>
            <a:rPr lang="en-IN" sz="1400" b="0" i="0">
              <a:latin typeface="Cambria Math" panose="02040503050406030204" pitchFamily="18" charset="0"/>
            </a:rPr>
            <a:t>. =  𝐺^2/𝑛</a:t>
          </a:r>
          <a:endParaRPr lang="en-IN" sz="1400">
            <a:latin typeface="Century" panose="020406040505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4"/>
  <sheetViews>
    <sheetView topLeftCell="A60" zoomScale="66" zoomScaleNormal="66" workbookViewId="0">
      <selection activeCell="H68" sqref="H68"/>
    </sheetView>
  </sheetViews>
  <sheetFormatPr defaultRowHeight="15"/>
  <cols>
    <col min="1" max="1" width="9.140625" style="3"/>
    <col min="2" max="2" width="8.85546875" style="3"/>
    <col min="3" max="3" width="12.85546875" style="3" customWidth="1"/>
    <col min="4" max="4" width="13.42578125" customWidth="1"/>
    <col min="5" max="5" width="23.140625" customWidth="1"/>
    <col min="6" max="6" width="11" customWidth="1"/>
    <col min="7" max="7" width="15.28515625" customWidth="1"/>
    <col min="8" max="8" width="12.140625" customWidth="1"/>
    <col min="9" max="9" width="18.5703125" customWidth="1"/>
    <col min="10" max="10" width="13.42578125" customWidth="1"/>
    <col min="11" max="11" width="12.28515625" customWidth="1"/>
    <col min="12" max="12" width="14.7109375" customWidth="1"/>
    <col min="14" max="14" width="13.7109375" customWidth="1"/>
  </cols>
  <sheetData>
    <row r="1" spans="1:21" ht="14.45" customHeight="1">
      <c r="E1" s="299" t="s">
        <v>57</v>
      </c>
      <c r="F1" s="299"/>
      <c r="G1" s="299"/>
      <c r="H1" s="299"/>
      <c r="I1" s="299"/>
      <c r="K1" s="27"/>
      <c r="L1" s="27"/>
      <c r="M1" s="27"/>
      <c r="N1" s="27"/>
      <c r="O1" s="27"/>
      <c r="P1" s="27"/>
      <c r="Q1" s="27"/>
      <c r="R1" s="27"/>
    </row>
    <row r="2" spans="1:21" ht="14.45" customHeight="1">
      <c r="E2" s="299"/>
      <c r="F2" s="299"/>
      <c r="G2" s="299"/>
      <c r="H2" s="299"/>
      <c r="I2" s="299"/>
      <c r="K2" s="27"/>
      <c r="L2" s="27"/>
      <c r="M2" s="27"/>
      <c r="N2" s="27"/>
      <c r="O2" s="27"/>
      <c r="P2" s="27"/>
      <c r="Q2" s="27"/>
      <c r="R2" s="27"/>
    </row>
    <row r="3" spans="1:21" ht="14.45" customHeight="1">
      <c r="E3" s="299"/>
      <c r="F3" s="299"/>
      <c r="G3" s="299"/>
      <c r="H3" s="299"/>
      <c r="I3" s="299"/>
      <c r="K3" s="27"/>
      <c r="L3" s="27"/>
      <c r="M3" s="27"/>
      <c r="N3" s="27"/>
      <c r="O3" s="27"/>
      <c r="P3" s="27"/>
      <c r="Q3" s="27"/>
      <c r="R3" s="27"/>
    </row>
    <row r="4" spans="1:21" ht="14.45" customHeight="1">
      <c r="A4" s="45" t="s">
        <v>312</v>
      </c>
      <c r="B4" s="45"/>
      <c r="C4" s="45"/>
      <c r="E4" s="299"/>
      <c r="F4" s="299"/>
      <c r="G4" s="299"/>
      <c r="H4" s="299"/>
      <c r="I4" s="299"/>
      <c r="J4" s="6"/>
      <c r="K4" s="27"/>
      <c r="L4" s="27"/>
      <c r="M4" s="27"/>
      <c r="N4" s="27"/>
      <c r="O4" s="27"/>
      <c r="P4" s="27"/>
      <c r="Q4" s="27"/>
      <c r="R4" s="27"/>
    </row>
    <row r="5" spans="1:21" ht="14.45" customHeight="1">
      <c r="A5" s="45" t="s">
        <v>313</v>
      </c>
      <c r="B5" s="45"/>
      <c r="C5" s="45"/>
      <c r="H5" s="6"/>
      <c r="I5" s="6"/>
      <c r="J5" s="6"/>
      <c r="K5" s="27"/>
      <c r="L5" s="27"/>
      <c r="M5" s="27"/>
      <c r="N5" s="27"/>
      <c r="O5" s="27"/>
      <c r="P5" s="27"/>
      <c r="Q5" s="27"/>
      <c r="R5" s="27"/>
    </row>
    <row r="6" spans="1:21" ht="14.45" customHeight="1"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21" ht="20.25">
      <c r="A7" s="116" t="s">
        <v>73</v>
      </c>
      <c r="B7" s="4"/>
      <c r="C7" s="4"/>
    </row>
    <row r="8" spans="1:21" ht="21">
      <c r="C8" s="15" t="s">
        <v>18</v>
      </c>
      <c r="D8" s="15"/>
      <c r="E8" s="15"/>
      <c r="F8" s="15"/>
      <c r="G8" s="15"/>
      <c r="H8" s="15"/>
      <c r="I8" s="2"/>
      <c r="J8" s="2"/>
      <c r="K8" s="2"/>
      <c r="L8" s="2"/>
      <c r="M8" s="2"/>
      <c r="N8" s="2"/>
      <c r="O8" s="2"/>
      <c r="P8" s="2"/>
      <c r="Q8" s="2"/>
      <c r="R8" s="2"/>
      <c r="U8" s="2"/>
    </row>
    <row r="9" spans="1:21" ht="18.75">
      <c r="C9" s="15" t="s">
        <v>15</v>
      </c>
      <c r="D9" s="15"/>
      <c r="E9" s="15"/>
      <c r="F9" s="15"/>
      <c r="G9" s="15"/>
      <c r="H9" s="15"/>
      <c r="I9" s="2"/>
      <c r="J9" s="2"/>
      <c r="K9" s="2"/>
      <c r="L9" s="2"/>
      <c r="M9" s="2"/>
      <c r="N9" s="2"/>
      <c r="O9" s="2"/>
      <c r="P9" s="2"/>
      <c r="Q9" s="2"/>
      <c r="R9" s="2"/>
      <c r="U9" s="2"/>
    </row>
    <row r="10" spans="1:21" ht="18.75">
      <c r="C10" s="15" t="s">
        <v>16</v>
      </c>
      <c r="D10" s="15"/>
      <c r="E10" s="15"/>
      <c r="F10" s="15"/>
      <c r="G10" s="15"/>
      <c r="H10" s="15"/>
      <c r="I10" s="2"/>
      <c r="J10" s="2"/>
      <c r="K10" s="2"/>
      <c r="L10" s="2"/>
      <c r="M10" s="2"/>
      <c r="N10" s="2"/>
      <c r="O10" s="2"/>
      <c r="P10" s="2"/>
      <c r="Q10" s="2"/>
      <c r="R10" s="2"/>
      <c r="U10" s="2"/>
    </row>
    <row r="11" spans="1:21" ht="19.5" thickBot="1"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D12" s="39"/>
      <c r="E12" s="40" t="s">
        <v>0</v>
      </c>
      <c r="F12" s="41"/>
      <c r="G12" s="40" t="s">
        <v>1</v>
      </c>
      <c r="H12" s="41"/>
      <c r="I12" s="40" t="s">
        <v>2</v>
      </c>
      <c r="J12" s="41"/>
      <c r="K12" s="42" t="s">
        <v>3</v>
      </c>
    </row>
    <row r="13" spans="1:21">
      <c r="D13" s="9">
        <v>1</v>
      </c>
      <c r="E13" s="7">
        <v>29</v>
      </c>
      <c r="F13" s="8" t="s">
        <v>4</v>
      </c>
      <c r="G13" s="7">
        <v>62</v>
      </c>
      <c r="H13" s="8" t="s">
        <v>9</v>
      </c>
      <c r="I13" s="7">
        <v>17</v>
      </c>
      <c r="J13" s="8" t="s">
        <v>10</v>
      </c>
      <c r="K13" s="10">
        <v>43</v>
      </c>
    </row>
    <row r="14" spans="1:21">
      <c r="D14" s="9" t="s">
        <v>4</v>
      </c>
      <c r="E14" s="7">
        <v>37</v>
      </c>
      <c r="F14" s="8" t="s">
        <v>9</v>
      </c>
      <c r="G14" s="7">
        <v>23</v>
      </c>
      <c r="H14" s="8" t="s">
        <v>5</v>
      </c>
      <c r="I14" s="7">
        <v>78</v>
      </c>
      <c r="J14" s="8" t="s">
        <v>8</v>
      </c>
      <c r="K14" s="10">
        <v>83</v>
      </c>
    </row>
    <row r="15" spans="1:21">
      <c r="D15" s="9" t="s">
        <v>5</v>
      </c>
      <c r="E15" s="7">
        <v>54</v>
      </c>
      <c r="F15" s="8" t="s">
        <v>5</v>
      </c>
      <c r="G15" s="7">
        <v>33</v>
      </c>
      <c r="H15" s="8" t="s">
        <v>4</v>
      </c>
      <c r="I15" s="7">
        <v>30</v>
      </c>
      <c r="J15" s="8" t="s">
        <v>9</v>
      </c>
      <c r="K15" s="10">
        <v>26</v>
      </c>
    </row>
    <row r="16" spans="1:21">
      <c r="D16" s="9" t="s">
        <v>6</v>
      </c>
      <c r="E16" s="7">
        <v>145</v>
      </c>
      <c r="F16" s="8" t="s">
        <v>8</v>
      </c>
      <c r="G16" s="7">
        <v>86</v>
      </c>
      <c r="H16" s="8" t="s">
        <v>7</v>
      </c>
      <c r="I16" s="7">
        <v>66</v>
      </c>
      <c r="J16" s="8" t="s">
        <v>4</v>
      </c>
      <c r="K16" s="10">
        <v>32</v>
      </c>
    </row>
    <row r="17" spans="1:16">
      <c r="D17" s="9" t="s">
        <v>9</v>
      </c>
      <c r="E17" s="7">
        <v>30</v>
      </c>
      <c r="F17" s="8" t="s">
        <v>10</v>
      </c>
      <c r="G17" s="7">
        <v>46</v>
      </c>
      <c r="H17" s="8" t="s">
        <v>8</v>
      </c>
      <c r="I17" s="7">
        <v>112</v>
      </c>
      <c r="J17" s="8" t="s">
        <v>6</v>
      </c>
      <c r="K17" s="10">
        <v>124</v>
      </c>
    </row>
    <row r="18" spans="1:16">
      <c r="D18" s="9" t="s">
        <v>7</v>
      </c>
      <c r="E18" s="7">
        <v>48</v>
      </c>
      <c r="F18" s="8">
        <v>1</v>
      </c>
      <c r="G18" s="7">
        <v>34</v>
      </c>
      <c r="H18" s="8" t="s">
        <v>6</v>
      </c>
      <c r="I18" s="7">
        <v>113</v>
      </c>
      <c r="J18" s="8" t="s">
        <v>7</v>
      </c>
      <c r="K18" s="10">
        <v>38</v>
      </c>
    </row>
    <row r="19" spans="1:16">
      <c r="D19" s="9" t="s">
        <v>8</v>
      </c>
      <c r="E19" s="7">
        <v>130</v>
      </c>
      <c r="F19" s="8" t="s">
        <v>6</v>
      </c>
      <c r="G19" s="7">
        <v>131</v>
      </c>
      <c r="H19" s="8">
        <v>1</v>
      </c>
      <c r="I19" s="7">
        <v>25</v>
      </c>
      <c r="J19" s="8" t="s">
        <v>5</v>
      </c>
      <c r="K19" s="10">
        <v>58</v>
      </c>
    </row>
    <row r="20" spans="1:16" ht="15.75" thickBot="1">
      <c r="D20" s="11" t="s">
        <v>10</v>
      </c>
      <c r="E20" s="12">
        <v>62</v>
      </c>
      <c r="F20" s="13" t="s">
        <v>7</v>
      </c>
      <c r="G20" s="12">
        <v>33</v>
      </c>
      <c r="H20" s="13" t="s">
        <v>10</v>
      </c>
      <c r="I20" s="12">
        <v>52</v>
      </c>
      <c r="J20" s="13">
        <v>1</v>
      </c>
      <c r="K20" s="14">
        <v>14</v>
      </c>
    </row>
    <row r="21" spans="1:16" ht="15.75" thickBot="1">
      <c r="D21" s="43" t="s">
        <v>35</v>
      </c>
      <c r="E21" s="43">
        <f>SUM(E13:E20)</f>
        <v>535</v>
      </c>
      <c r="F21" s="44"/>
      <c r="G21" s="43">
        <f>SUM(G13:G20)</f>
        <v>448</v>
      </c>
      <c r="H21" s="44"/>
      <c r="I21" s="43">
        <f>SUM(I13:I20)</f>
        <v>493</v>
      </c>
      <c r="J21" s="44"/>
      <c r="K21" s="43">
        <f>SUM(K13:K20)</f>
        <v>418</v>
      </c>
    </row>
    <row r="22" spans="1:16">
      <c r="D22" s="5"/>
      <c r="E22" s="5"/>
      <c r="F22" s="5"/>
      <c r="G22" s="5"/>
      <c r="H22" s="5"/>
      <c r="I22" s="5"/>
      <c r="J22" s="5"/>
      <c r="K22" s="5"/>
    </row>
    <row r="24" spans="1:16" ht="20.25">
      <c r="A24" s="116" t="s">
        <v>17</v>
      </c>
      <c r="B24" s="4"/>
      <c r="C24" s="4"/>
    </row>
    <row r="25" spans="1:16" ht="21" thickBot="1">
      <c r="A25" s="4"/>
      <c r="B25" s="4"/>
      <c r="C25" s="4"/>
      <c r="D25" s="66" t="s">
        <v>76</v>
      </c>
    </row>
    <row r="26" spans="1:16" ht="57" customHeight="1" thickBot="1">
      <c r="D26" s="35"/>
      <c r="E26" s="36" t="s">
        <v>11</v>
      </c>
      <c r="F26" s="36" t="s">
        <v>12</v>
      </c>
      <c r="G26" s="36" t="s">
        <v>13</v>
      </c>
      <c r="H26" s="36" t="s">
        <v>14</v>
      </c>
      <c r="I26" s="36"/>
      <c r="J26" s="37" t="s">
        <v>28</v>
      </c>
      <c r="K26" s="38" t="s">
        <v>30</v>
      </c>
      <c r="M26" s="20" t="s">
        <v>43</v>
      </c>
      <c r="N26" s="19">
        <f>(2^3)*4</f>
        <v>32</v>
      </c>
    </row>
    <row r="27" spans="1:16">
      <c r="D27" s="32">
        <v>1</v>
      </c>
      <c r="E27" s="16">
        <f>E13+G18+I19+K20</f>
        <v>102</v>
      </c>
      <c r="F27" s="16">
        <f>E27+E28</f>
        <v>263</v>
      </c>
      <c r="G27" s="16">
        <f>F27+F28</f>
        <v>562</v>
      </c>
      <c r="H27" s="16">
        <f>G27+G28</f>
        <v>1894</v>
      </c>
      <c r="I27" s="17" t="s">
        <v>19</v>
      </c>
      <c r="J27" s="17" t="s">
        <v>29</v>
      </c>
      <c r="K27" s="33" t="s">
        <v>29</v>
      </c>
    </row>
    <row r="28" spans="1:16" ht="15.75">
      <c r="D28" s="32" t="s">
        <v>4</v>
      </c>
      <c r="E28" s="16">
        <f>E14+G13+I15+K16</f>
        <v>161</v>
      </c>
      <c r="F28" s="16">
        <f>E29+E30</f>
        <v>299</v>
      </c>
      <c r="G28" s="16">
        <f>F30+F29</f>
        <v>1332</v>
      </c>
      <c r="H28" s="16">
        <f>G30+G29</f>
        <v>682</v>
      </c>
      <c r="I28" s="17" t="s">
        <v>20</v>
      </c>
      <c r="J28" s="17">
        <f>(H28^2)/$N$26</f>
        <v>14535.125</v>
      </c>
      <c r="K28" s="33">
        <f>J28/1</f>
        <v>14535.125</v>
      </c>
      <c r="M28" s="21" t="s">
        <v>36</v>
      </c>
      <c r="N28" s="21">
        <v>3</v>
      </c>
      <c r="O28" s="18" t="s">
        <v>42</v>
      </c>
      <c r="P28" s="18"/>
    </row>
    <row r="29" spans="1:16" ht="15.75">
      <c r="D29" s="32" t="s">
        <v>9</v>
      </c>
      <c r="E29" s="16">
        <f>E17+G14+I13+K15</f>
        <v>96</v>
      </c>
      <c r="F29" s="16">
        <f>E31+E32</f>
        <v>596</v>
      </c>
      <c r="G29" s="16">
        <f>F32+F31</f>
        <v>166</v>
      </c>
      <c r="H29" s="16">
        <f>G31+G32</f>
        <v>176</v>
      </c>
      <c r="I29" s="17" t="s">
        <v>21</v>
      </c>
      <c r="J29" s="17">
        <f>(H29^2)/$N$26</f>
        <v>968</v>
      </c>
      <c r="K29" s="33">
        <f>J29/1</f>
        <v>968</v>
      </c>
      <c r="M29" s="21" t="s">
        <v>27</v>
      </c>
      <c r="N29" s="21">
        <v>4</v>
      </c>
      <c r="O29" s="18" t="s">
        <v>44</v>
      </c>
      <c r="P29" s="18"/>
    </row>
    <row r="30" spans="1:16" ht="15.75">
      <c r="D30" s="32" t="s">
        <v>10</v>
      </c>
      <c r="E30" s="16">
        <f>E20+G17+I20+K13</f>
        <v>203</v>
      </c>
      <c r="F30" s="16">
        <f>E33+E34</f>
        <v>736</v>
      </c>
      <c r="G30" s="16">
        <f>F34+F33</f>
        <v>516</v>
      </c>
      <c r="H30" s="16">
        <f>G34+G33</f>
        <v>112</v>
      </c>
      <c r="I30" s="17" t="s">
        <v>22</v>
      </c>
      <c r="J30" s="17">
        <f t="shared" ref="J30:J34" si="0">(H30^2)/$N$26</f>
        <v>392</v>
      </c>
      <c r="K30" s="33">
        <f>J30/1</f>
        <v>392</v>
      </c>
      <c r="M30" s="21" t="s">
        <v>40</v>
      </c>
      <c r="N30" s="21">
        <v>4</v>
      </c>
      <c r="O30" s="18" t="s">
        <v>45</v>
      </c>
      <c r="P30" s="18"/>
    </row>
    <row r="31" spans="1:16" ht="15.75">
      <c r="D31" s="32" t="s">
        <v>7</v>
      </c>
      <c r="E31" s="16">
        <f>E18+G20+I16+K18</f>
        <v>185</v>
      </c>
      <c r="F31" s="16">
        <f>E28-E27</f>
        <v>59</v>
      </c>
      <c r="G31" s="16">
        <f>F28-F27</f>
        <v>36</v>
      </c>
      <c r="H31" s="16">
        <f>G28-G27</f>
        <v>770</v>
      </c>
      <c r="I31" s="17" t="s">
        <v>23</v>
      </c>
      <c r="J31" s="17">
        <f t="shared" si="0"/>
        <v>18528.125</v>
      </c>
      <c r="K31" s="33">
        <f>J31/1</f>
        <v>18528.125</v>
      </c>
      <c r="M31" s="21" t="s">
        <v>41</v>
      </c>
      <c r="N31" s="21">
        <v>8</v>
      </c>
      <c r="O31" s="18" t="s">
        <v>46</v>
      </c>
      <c r="P31" s="18"/>
    </row>
    <row r="32" spans="1:16">
      <c r="D32" s="32" t="s">
        <v>8</v>
      </c>
      <c r="E32" s="16">
        <f>E19+G16+I17+K14</f>
        <v>411</v>
      </c>
      <c r="F32" s="16">
        <f>E30-E29</f>
        <v>107</v>
      </c>
      <c r="G32" s="16">
        <f>F30-F29</f>
        <v>140</v>
      </c>
      <c r="H32" s="16">
        <f>G30-G29</f>
        <v>350</v>
      </c>
      <c r="I32" s="17" t="s">
        <v>24</v>
      </c>
      <c r="J32" s="17">
        <f t="shared" si="0"/>
        <v>3828.125</v>
      </c>
      <c r="K32" s="33">
        <f t="shared" ref="K32:K34" si="1">J32/1</f>
        <v>3828.125</v>
      </c>
    </row>
    <row r="33" spans="4:11">
      <c r="D33" s="32" t="s">
        <v>5</v>
      </c>
      <c r="E33" s="16">
        <f>E15+G15+I14+K19</f>
        <v>223</v>
      </c>
      <c r="F33" s="16">
        <f>E32-E31</f>
        <v>226</v>
      </c>
      <c r="G33" s="16">
        <f>F32-F31</f>
        <v>48</v>
      </c>
      <c r="H33" s="16">
        <f>G32-G31</f>
        <v>104</v>
      </c>
      <c r="I33" s="17" t="s">
        <v>25</v>
      </c>
      <c r="J33" s="17">
        <f t="shared" si="0"/>
        <v>338</v>
      </c>
      <c r="K33" s="33">
        <f t="shared" si="1"/>
        <v>338</v>
      </c>
    </row>
    <row r="34" spans="4:11" ht="15.75" thickBot="1">
      <c r="D34" s="67" t="s">
        <v>6</v>
      </c>
      <c r="E34" s="68">
        <f>E16+G19+I18+K17</f>
        <v>513</v>
      </c>
      <c r="F34" s="68">
        <f>E34-E33</f>
        <v>290</v>
      </c>
      <c r="G34" s="68">
        <f>F34-F33</f>
        <v>64</v>
      </c>
      <c r="H34" s="68">
        <f>G34-G33</f>
        <v>16</v>
      </c>
      <c r="I34" s="69" t="s">
        <v>26</v>
      </c>
      <c r="J34" s="69">
        <f t="shared" si="0"/>
        <v>8</v>
      </c>
      <c r="K34" s="70">
        <f t="shared" si="1"/>
        <v>8</v>
      </c>
    </row>
    <row r="35" spans="4:11" ht="15.75" thickBot="1">
      <c r="D35" s="72"/>
      <c r="E35" s="73">
        <f>SUM(E27:E34)</f>
        <v>1894</v>
      </c>
      <c r="F35" s="74"/>
      <c r="G35" s="74"/>
      <c r="H35" s="74"/>
      <c r="I35" s="74"/>
      <c r="J35" s="74"/>
      <c r="K35" s="75"/>
    </row>
    <row r="38" spans="4:11" ht="15.75" thickBot="1"/>
    <row r="39" spans="4:11" ht="19.5" thickBot="1">
      <c r="D39" s="53" t="s">
        <v>31</v>
      </c>
      <c r="E39" s="54">
        <f>H27</f>
        <v>1894</v>
      </c>
    </row>
    <row r="40" spans="4:11">
      <c r="D40" s="1"/>
      <c r="E40" s="1"/>
    </row>
    <row r="41" spans="4:11" ht="15.75" thickBot="1">
      <c r="D41" s="1"/>
      <c r="E41" s="1"/>
    </row>
    <row r="42" spans="4:11" ht="16.5" thickBot="1">
      <c r="D42" s="1"/>
      <c r="G42" s="22">
        <f>(E39^2)/N26</f>
        <v>112101.125</v>
      </c>
    </row>
    <row r="43" spans="4:11">
      <c r="D43" s="1"/>
      <c r="E43" s="1"/>
    </row>
    <row r="44" spans="4:11" ht="15.75" thickBot="1">
      <c r="D44" s="1"/>
      <c r="E44" s="1"/>
    </row>
    <row r="45" spans="4:11" ht="16.5" thickBot="1">
      <c r="F45" s="1"/>
      <c r="G45" s="22">
        <f>(SUMSQ(E13:E20,G13:G20,I13:I20,K13:K20))-G42</f>
        <v>43466.875</v>
      </c>
    </row>
    <row r="46" spans="4:11" ht="15.75">
      <c r="F46" s="1"/>
      <c r="I46" s="23"/>
    </row>
    <row r="47" spans="4:11">
      <c r="F47" s="1"/>
      <c r="I47" s="1"/>
    </row>
    <row r="48" spans="4:11" ht="15.75" thickBot="1">
      <c r="D48" s="1"/>
      <c r="E48" s="1"/>
    </row>
    <row r="49" spans="3:9" ht="16.5" thickBot="1">
      <c r="D49" s="1"/>
      <c r="G49" s="22">
        <f>((1/(2^(N28-1)))*(SUMSQ(E27:E34)))-G42</f>
        <v>38597.375</v>
      </c>
      <c r="I49">
        <f>(1/N29)*(SUMSQ(E27:E34))-(G42)</f>
        <v>38597.375</v>
      </c>
    </row>
    <row r="50" spans="3:9">
      <c r="D50" s="1"/>
      <c r="E50" s="1"/>
    </row>
    <row r="51" spans="3:9">
      <c r="D51" s="1"/>
      <c r="E51" s="1"/>
    </row>
    <row r="52" spans="3:9" ht="15.75" thickBot="1">
      <c r="D52" s="1"/>
      <c r="E52" s="1"/>
    </row>
    <row r="53" spans="3:9" ht="16.5" thickBot="1">
      <c r="D53" s="1"/>
      <c r="G53" s="22">
        <f>((1/(2^N28))*SUMSQ(E21,G21,I21,K21))-G42</f>
        <v>986.625</v>
      </c>
      <c r="I53" s="22">
        <f>((1/(N29))*SUMSQ(E21,G21,I21,K21))-G42</f>
        <v>114074.375</v>
      </c>
    </row>
    <row r="57" spans="3:9" ht="20.25">
      <c r="C57" s="65" t="s">
        <v>51</v>
      </c>
    </row>
    <row r="59" spans="3:9" ht="20.25">
      <c r="C59" s="63" t="s">
        <v>65</v>
      </c>
      <c r="D59" s="63"/>
      <c r="E59" s="63"/>
      <c r="F59" s="64" t="s">
        <v>52</v>
      </c>
      <c r="G59" s="63" t="s">
        <v>66</v>
      </c>
      <c r="H59" s="63"/>
    </row>
    <row r="60" spans="3:9" ht="20.25">
      <c r="C60" s="63" t="s">
        <v>67</v>
      </c>
      <c r="D60" s="63"/>
      <c r="E60" s="63"/>
      <c r="F60" s="64" t="s">
        <v>52</v>
      </c>
      <c r="G60" s="63" t="s">
        <v>68</v>
      </c>
      <c r="H60" s="63"/>
    </row>
    <row r="61" spans="3:9" ht="20.25">
      <c r="C61" s="63" t="s">
        <v>69</v>
      </c>
      <c r="D61" s="63"/>
      <c r="E61" s="63"/>
      <c r="F61" s="64" t="s">
        <v>52</v>
      </c>
      <c r="G61" s="63" t="s">
        <v>70</v>
      </c>
      <c r="H61" s="63"/>
    </row>
    <row r="62" spans="3:9" ht="20.25">
      <c r="C62" s="63" t="s">
        <v>71</v>
      </c>
      <c r="D62" s="63"/>
      <c r="E62" s="63"/>
      <c r="F62" s="64" t="s">
        <v>52</v>
      </c>
      <c r="G62" s="63" t="s">
        <v>72</v>
      </c>
      <c r="H62" s="63"/>
    </row>
    <row r="66" spans="3:9" ht="15.75" thickBot="1"/>
    <row r="67" spans="3:9" ht="19.5" thickBot="1">
      <c r="C67" s="302" t="s">
        <v>32</v>
      </c>
      <c r="D67" s="303"/>
      <c r="E67" s="303"/>
      <c r="F67" s="303"/>
      <c r="G67" s="303"/>
      <c r="H67" s="303"/>
      <c r="I67" s="304"/>
    </row>
    <row r="68" spans="3:9" ht="75.75" thickBot="1">
      <c r="C68" s="76"/>
      <c r="D68" s="76" t="s">
        <v>47</v>
      </c>
      <c r="E68" s="77" t="s">
        <v>28</v>
      </c>
      <c r="F68" s="77" t="s">
        <v>48</v>
      </c>
      <c r="G68" s="77" t="s">
        <v>30</v>
      </c>
      <c r="H68" s="78" t="s">
        <v>33</v>
      </c>
      <c r="I68" s="79" t="s">
        <v>39</v>
      </c>
    </row>
    <row r="69" spans="3:9" ht="18.75">
      <c r="C69" s="300"/>
      <c r="D69" s="80" t="s">
        <v>37</v>
      </c>
      <c r="E69" s="28">
        <f>G53</f>
        <v>986.625</v>
      </c>
      <c r="F69" s="28">
        <f>4-1</f>
        <v>3</v>
      </c>
      <c r="G69" s="28">
        <f>E69/F69</f>
        <v>328.875</v>
      </c>
      <c r="H69" s="28">
        <f>G69/$G$78</f>
        <v>1.778675594759038</v>
      </c>
      <c r="I69" s="29" t="e">
        <f ca="1">_xlfn.F.INV.RT(0.05,F69,F78)</f>
        <v>#NAME?</v>
      </c>
    </row>
    <row r="70" spans="3:9" ht="19.5" thickBot="1">
      <c r="C70" s="301"/>
      <c r="D70" s="81" t="s">
        <v>38</v>
      </c>
      <c r="E70" s="30">
        <f>G49</f>
        <v>38597.375</v>
      </c>
      <c r="F70" s="30">
        <f>8-1</f>
        <v>7</v>
      </c>
      <c r="G70" s="30">
        <f>E70/F70</f>
        <v>5513.9107142857147</v>
      </c>
      <c r="H70" s="30">
        <f>G70/$G$78</f>
        <v>29.821234265846829</v>
      </c>
      <c r="I70" s="31">
        <f>_xlfn.F.INV.RT(0.05,F70,F78)</f>
        <v>2.487577703722041</v>
      </c>
    </row>
    <row r="71" spans="3:9" ht="18.75">
      <c r="C71" s="300" t="s">
        <v>49</v>
      </c>
      <c r="D71" s="82" t="s">
        <v>20</v>
      </c>
      <c r="E71" s="25">
        <f>K28</f>
        <v>14535.125</v>
      </c>
      <c r="F71" s="25">
        <v>1</v>
      </c>
      <c r="G71" s="25">
        <f>E71/F71</f>
        <v>14535.125</v>
      </c>
      <c r="H71" s="25">
        <f t="array" ref="H71">G71/$G$78</f>
        <v>78.6112416701542</v>
      </c>
      <c r="I71" s="26">
        <f>_xlfn.F.INV.RT(0.05,F71,$F$78)</f>
        <v>4.3247937431830454</v>
      </c>
    </row>
    <row r="72" spans="3:9" ht="18.75">
      <c r="C72" s="308"/>
      <c r="D72" s="83" t="s">
        <v>21</v>
      </c>
      <c r="E72" s="24">
        <f>K29</f>
        <v>968</v>
      </c>
      <c r="F72" s="24">
        <v>1</v>
      </c>
      <c r="G72" s="24">
        <f t="shared" ref="G72:G77" si="2">E72/F72</f>
        <v>968</v>
      </c>
      <c r="H72" s="24">
        <f>G72/$G$78</f>
        <v>5.2352960113318101</v>
      </c>
      <c r="I72" s="26">
        <f t="shared" ref="I72:I77" si="3">_xlfn.F.INV.RT(0.05,F72,$F$78)</f>
        <v>4.3247937431830454</v>
      </c>
    </row>
    <row r="73" spans="3:9" ht="18.75">
      <c r="C73" s="309"/>
      <c r="D73" s="83" t="s">
        <v>23</v>
      </c>
      <c r="E73" s="24">
        <f>K31</f>
        <v>18528.125</v>
      </c>
      <c r="F73" s="24">
        <v>1</v>
      </c>
      <c r="G73" s="24">
        <f>E73/F73</f>
        <v>18528.125</v>
      </c>
      <c r="H73" s="24">
        <f>G73/$G$78</f>
        <v>100.20683771689792</v>
      </c>
      <c r="I73" s="26">
        <f t="shared" si="3"/>
        <v>4.3247937431830454</v>
      </c>
    </row>
    <row r="74" spans="3:9" ht="36" customHeight="1">
      <c r="C74" s="305" t="s">
        <v>50</v>
      </c>
      <c r="D74" s="88" t="s">
        <v>22</v>
      </c>
      <c r="E74" s="24">
        <f>K30</f>
        <v>392</v>
      </c>
      <c r="F74" s="24">
        <v>1</v>
      </c>
      <c r="G74" s="24">
        <f t="shared" si="2"/>
        <v>392</v>
      </c>
      <c r="H74" s="24">
        <f t="shared" ref="H74" si="4">G74/$G$78</f>
        <v>2.12007855004346</v>
      </c>
      <c r="I74" s="26">
        <f t="shared" si="3"/>
        <v>4.3247937431830454</v>
      </c>
    </row>
    <row r="75" spans="3:9" ht="36" customHeight="1">
      <c r="C75" s="306"/>
      <c r="D75" s="88" t="s">
        <v>24</v>
      </c>
      <c r="E75" s="24">
        <f>K32</f>
        <v>3828.125</v>
      </c>
      <c r="F75" s="24">
        <v>1</v>
      </c>
      <c r="G75" s="24">
        <f t="shared" si="2"/>
        <v>3828.125</v>
      </c>
      <c r="H75" s="24">
        <f>G75/$G$78</f>
        <v>20.703892090268166</v>
      </c>
      <c r="I75" s="26">
        <f t="shared" si="3"/>
        <v>4.3247937431830454</v>
      </c>
    </row>
    <row r="76" spans="3:9" ht="18.75">
      <c r="C76" s="306"/>
      <c r="D76" s="88" t="s">
        <v>25</v>
      </c>
      <c r="E76" s="24">
        <f>K33</f>
        <v>338</v>
      </c>
      <c r="F76" s="24">
        <v>1</v>
      </c>
      <c r="G76" s="24">
        <f t="shared" si="2"/>
        <v>338</v>
      </c>
      <c r="H76" s="24">
        <f>G76/$G$78</f>
        <v>1.8280269130476774</v>
      </c>
      <c r="I76" s="26">
        <f t="shared" si="3"/>
        <v>4.3247937431830454</v>
      </c>
    </row>
    <row r="77" spans="3:9" ht="19.5" thickBot="1">
      <c r="C77" s="307"/>
      <c r="D77" s="89" t="s">
        <v>26</v>
      </c>
      <c r="E77" s="46">
        <f>K34</f>
        <v>8</v>
      </c>
      <c r="F77" s="46">
        <v>1</v>
      </c>
      <c r="G77" s="46">
        <f t="shared" si="2"/>
        <v>8</v>
      </c>
      <c r="H77" s="46">
        <f>G77/$G$78</f>
        <v>4.3266909184560408E-2</v>
      </c>
      <c r="I77" s="26">
        <f t="shared" si="3"/>
        <v>4.3247937431830454</v>
      </c>
    </row>
    <row r="78" spans="3:9" ht="19.5" thickBot="1">
      <c r="C78" s="300"/>
      <c r="D78" s="84" t="s">
        <v>34</v>
      </c>
      <c r="E78" s="47">
        <f>E79-E69-E70</f>
        <v>3882.875</v>
      </c>
      <c r="F78" s="47">
        <f>F79-(SUM(F69:F70))</f>
        <v>21</v>
      </c>
      <c r="G78" s="47">
        <f>E78/F78</f>
        <v>184.89880952380952</v>
      </c>
      <c r="H78" s="47"/>
      <c r="I78" s="48"/>
    </row>
    <row r="79" spans="3:9" ht="19.5" thickBot="1">
      <c r="C79" s="301"/>
      <c r="D79" s="85" t="s">
        <v>35</v>
      </c>
      <c r="E79" s="86">
        <f>G45</f>
        <v>43466.875</v>
      </c>
      <c r="F79" s="86">
        <v>31</v>
      </c>
      <c r="G79" s="86"/>
      <c r="H79" s="86"/>
      <c r="I79" s="87"/>
    </row>
    <row r="82" spans="3:13" ht="22.5">
      <c r="C82" s="50" t="s">
        <v>53</v>
      </c>
      <c r="D82" s="51"/>
    </row>
    <row r="83" spans="3:13" ht="15.75" thickBot="1"/>
    <row r="84" spans="3:13" ht="18.75" thickBot="1">
      <c r="C84" s="294" t="s">
        <v>54</v>
      </c>
      <c r="D84" s="295"/>
      <c r="E84" s="274"/>
      <c r="F84" s="274"/>
      <c r="G84" s="274"/>
      <c r="H84" s="274"/>
      <c r="I84" s="274"/>
      <c r="J84" s="274"/>
      <c r="K84" s="275"/>
    </row>
    <row r="85" spans="3:13" ht="18.75">
      <c r="C85" s="276"/>
      <c r="D85" s="293" t="s">
        <v>60</v>
      </c>
      <c r="E85" s="60">
        <f>H69</f>
        <v>1.778675594759038</v>
      </c>
      <c r="F85" s="114"/>
      <c r="G85" s="114"/>
      <c r="H85" s="114"/>
      <c r="I85" s="114"/>
      <c r="J85" s="114"/>
      <c r="K85" s="277"/>
    </row>
    <row r="86" spans="3:13" ht="18.75">
      <c r="C86" s="276"/>
      <c r="D86" s="59" t="s">
        <v>39</v>
      </c>
      <c r="E86" s="60" t="e">
        <f ca="1">I69</f>
        <v>#NAME?</v>
      </c>
      <c r="F86" s="114"/>
      <c r="G86" s="114"/>
      <c r="H86" s="114"/>
      <c r="I86" s="114"/>
      <c r="J86" s="114"/>
      <c r="K86" s="277"/>
    </row>
    <row r="87" spans="3:13">
      <c r="C87" s="276"/>
      <c r="D87" s="114"/>
      <c r="E87" s="114"/>
      <c r="F87" s="114"/>
      <c r="G87" s="114"/>
      <c r="H87" s="114"/>
      <c r="I87" s="114"/>
      <c r="J87" s="114"/>
      <c r="K87" s="277"/>
    </row>
    <row r="88" spans="3:13" ht="20.25">
      <c r="C88" s="276"/>
      <c r="D88" s="278" t="s">
        <v>75</v>
      </c>
      <c r="E88" s="278"/>
      <c r="F88" s="278"/>
      <c r="G88" s="278"/>
      <c r="H88" s="278"/>
      <c r="I88" s="278"/>
      <c r="J88" s="278"/>
      <c r="K88" s="279"/>
      <c r="L88" s="58"/>
      <c r="M88" s="63"/>
    </row>
    <row r="89" spans="3:13" ht="19.5" thickBot="1">
      <c r="C89" s="280"/>
      <c r="D89" s="281" t="s">
        <v>62</v>
      </c>
      <c r="E89" s="281"/>
      <c r="F89" s="281"/>
      <c r="G89" s="281"/>
      <c r="H89" s="281"/>
      <c r="I89" s="281"/>
      <c r="J89" s="281"/>
      <c r="K89" s="282"/>
      <c r="L89" s="58"/>
      <c r="M89" s="63"/>
    </row>
    <row r="90" spans="3:13" ht="15.75" thickBot="1"/>
    <row r="91" spans="3:13" ht="18.75" thickBot="1">
      <c r="C91" s="294" t="s">
        <v>55</v>
      </c>
      <c r="D91" s="295"/>
      <c r="E91" s="274"/>
      <c r="F91" s="274"/>
      <c r="G91" s="274"/>
      <c r="H91" s="274"/>
      <c r="I91" s="274"/>
      <c r="J91" s="274"/>
      <c r="K91" s="275"/>
    </row>
    <row r="92" spans="3:13" ht="18.75">
      <c r="C92" s="276"/>
      <c r="D92" s="293" t="s">
        <v>60</v>
      </c>
      <c r="E92" s="60">
        <f>H70</f>
        <v>29.821234265846829</v>
      </c>
      <c r="F92" s="114"/>
      <c r="G92" s="114"/>
      <c r="H92" s="114"/>
      <c r="I92" s="114"/>
      <c r="J92" s="114"/>
      <c r="K92" s="277"/>
    </row>
    <row r="93" spans="3:13" ht="18.75">
      <c r="C93" s="276"/>
      <c r="D93" s="59" t="s">
        <v>39</v>
      </c>
      <c r="E93" s="60">
        <f>I70</f>
        <v>2.487577703722041</v>
      </c>
      <c r="F93" s="114"/>
      <c r="G93" s="114"/>
      <c r="H93" s="114"/>
      <c r="I93" s="114"/>
      <c r="J93" s="114"/>
      <c r="K93" s="277"/>
    </row>
    <row r="94" spans="3:13">
      <c r="C94" s="276"/>
      <c r="D94" s="114"/>
      <c r="E94" s="114"/>
      <c r="F94" s="114"/>
      <c r="G94" s="114"/>
      <c r="H94" s="114"/>
      <c r="I94" s="114"/>
      <c r="J94" s="114"/>
      <c r="K94" s="277"/>
    </row>
    <row r="95" spans="3:13" ht="21">
      <c r="C95" s="276"/>
      <c r="D95" s="278" t="s">
        <v>74</v>
      </c>
      <c r="E95" s="278"/>
      <c r="F95" s="278"/>
      <c r="G95" s="278"/>
      <c r="H95" s="278"/>
      <c r="I95" s="278"/>
      <c r="J95" s="278"/>
      <c r="K95" s="283"/>
      <c r="L95" s="57"/>
    </row>
    <row r="96" spans="3:13" ht="19.5" thickBot="1">
      <c r="C96" s="280"/>
      <c r="D96" s="281" t="s">
        <v>64</v>
      </c>
      <c r="E96" s="281"/>
      <c r="F96" s="281"/>
      <c r="G96" s="281"/>
      <c r="H96" s="281"/>
      <c r="I96" s="281"/>
      <c r="J96" s="281"/>
      <c r="K96" s="284"/>
      <c r="L96" s="57"/>
    </row>
    <row r="97" spans="3:16" ht="15.75" thickBot="1"/>
    <row r="98" spans="3:16" ht="18.75" thickBot="1">
      <c r="C98" s="294" t="s">
        <v>56</v>
      </c>
      <c r="D98" s="295"/>
      <c r="E98" s="274"/>
      <c r="F98" s="274"/>
      <c r="G98" s="274"/>
      <c r="H98" s="274"/>
      <c r="I98" s="274"/>
      <c r="J98" s="274"/>
      <c r="K98" s="275"/>
    </row>
    <row r="99" spans="3:16" ht="21">
      <c r="C99" s="276"/>
      <c r="D99" s="285" t="s">
        <v>20</v>
      </c>
      <c r="E99" s="286"/>
      <c r="F99" s="286"/>
      <c r="G99" s="285" t="s">
        <v>21</v>
      </c>
      <c r="H99" s="286"/>
      <c r="I99" s="286"/>
      <c r="J99" s="285" t="s">
        <v>23</v>
      </c>
      <c r="K99" s="287"/>
    </row>
    <row r="100" spans="3:16" ht="18.75">
      <c r="C100" s="276"/>
      <c r="D100" s="59" t="s">
        <v>60</v>
      </c>
      <c r="E100" s="60">
        <f>H71</f>
        <v>78.6112416701542</v>
      </c>
      <c r="F100" s="288"/>
      <c r="G100" s="59" t="s">
        <v>60</v>
      </c>
      <c r="H100" s="60">
        <f>H72</f>
        <v>5.2352960113318101</v>
      </c>
      <c r="I100" s="288"/>
      <c r="J100" s="59" t="s">
        <v>60</v>
      </c>
      <c r="K100" s="289">
        <f>H73</f>
        <v>100.20683771689792</v>
      </c>
    </row>
    <row r="101" spans="3:16" ht="18.75">
      <c r="C101" s="276"/>
      <c r="D101" s="59" t="s">
        <v>39</v>
      </c>
      <c r="E101" s="60">
        <f>I71</f>
        <v>4.3247937431830454</v>
      </c>
      <c r="F101" s="288"/>
      <c r="G101" s="59" t="s">
        <v>39</v>
      </c>
      <c r="H101" s="60">
        <f>I72</f>
        <v>4.3247937431830454</v>
      </c>
      <c r="I101" s="288"/>
      <c r="J101" s="59" t="s">
        <v>39</v>
      </c>
      <c r="K101" s="289">
        <f>I73</f>
        <v>4.3247937431830454</v>
      </c>
    </row>
    <row r="102" spans="3:16">
      <c r="C102" s="276"/>
      <c r="D102" s="290"/>
      <c r="E102" s="290"/>
      <c r="F102" s="290"/>
      <c r="G102" s="290"/>
      <c r="H102" s="290"/>
      <c r="I102" s="290"/>
      <c r="J102" s="290"/>
      <c r="K102" s="291"/>
    </row>
    <row r="103" spans="3:16" ht="20.25">
      <c r="C103" s="276"/>
      <c r="D103" s="278" t="s">
        <v>77</v>
      </c>
      <c r="E103" s="278"/>
      <c r="F103" s="278"/>
      <c r="G103" s="278"/>
      <c r="H103" s="278"/>
      <c r="I103" s="278"/>
      <c r="J103" s="278"/>
      <c r="K103" s="279"/>
      <c r="L103" s="58"/>
    </row>
    <row r="104" spans="3:16" ht="19.5" thickBot="1">
      <c r="C104" s="280"/>
      <c r="D104" s="281" t="s">
        <v>78</v>
      </c>
      <c r="E104" s="281"/>
      <c r="F104" s="281"/>
      <c r="G104" s="281"/>
      <c r="H104" s="281"/>
      <c r="I104" s="281"/>
      <c r="J104" s="281"/>
      <c r="K104" s="282"/>
      <c r="L104" s="58"/>
    </row>
    <row r="105" spans="3:16" ht="15.75" thickBot="1"/>
    <row r="106" spans="3:16" ht="18.75" thickBot="1">
      <c r="C106" s="294" t="s">
        <v>79</v>
      </c>
      <c r="D106" s="296"/>
      <c r="E106" s="295"/>
      <c r="F106" s="274"/>
      <c r="G106" s="274"/>
      <c r="H106" s="274"/>
      <c r="I106" s="274"/>
      <c r="J106" s="274"/>
      <c r="K106" s="274"/>
      <c r="L106" s="274"/>
      <c r="M106" s="274"/>
      <c r="N106" s="275"/>
    </row>
    <row r="107" spans="3:16" ht="21">
      <c r="C107" s="276"/>
      <c r="D107" s="292" t="s">
        <v>22</v>
      </c>
      <c r="E107" s="286"/>
      <c r="F107" s="286"/>
      <c r="G107" s="292" t="s">
        <v>24</v>
      </c>
      <c r="H107" s="286"/>
      <c r="I107" s="286"/>
      <c r="J107" s="292" t="s">
        <v>25</v>
      </c>
      <c r="K107" s="286"/>
      <c r="L107" s="114"/>
      <c r="M107" s="292" t="s">
        <v>26</v>
      </c>
      <c r="N107" s="287"/>
    </row>
    <row r="108" spans="3:16" ht="18.75">
      <c r="C108" s="276"/>
      <c r="D108" s="59" t="s">
        <v>60</v>
      </c>
      <c r="E108" s="60">
        <f>H74</f>
        <v>2.12007855004346</v>
      </c>
      <c r="F108" s="288"/>
      <c r="G108" s="59" t="s">
        <v>60</v>
      </c>
      <c r="H108" s="60">
        <f>H75</f>
        <v>20.703892090268166</v>
      </c>
      <c r="I108" s="288"/>
      <c r="J108" s="59" t="s">
        <v>60</v>
      </c>
      <c r="K108" s="60">
        <f>H76</f>
        <v>1.8280269130476774</v>
      </c>
      <c r="L108" s="114"/>
      <c r="M108" s="59" t="s">
        <v>60</v>
      </c>
      <c r="N108" s="289">
        <f>H77</f>
        <v>4.3266909184560408E-2</v>
      </c>
    </row>
    <row r="109" spans="3:16" ht="18.75">
      <c r="C109" s="276"/>
      <c r="D109" s="59" t="s">
        <v>39</v>
      </c>
      <c r="E109" s="60">
        <f>I74</f>
        <v>4.3247937431830454</v>
      </c>
      <c r="F109" s="288"/>
      <c r="G109" s="59" t="s">
        <v>39</v>
      </c>
      <c r="H109" s="60">
        <f>I75</f>
        <v>4.3247937431830454</v>
      </c>
      <c r="I109" s="288"/>
      <c r="J109" s="59" t="s">
        <v>39</v>
      </c>
      <c r="K109" s="60">
        <f>I76</f>
        <v>4.3247937431830454</v>
      </c>
      <c r="L109" s="114"/>
      <c r="M109" s="59" t="s">
        <v>39</v>
      </c>
      <c r="N109" s="289">
        <f>I77</f>
        <v>4.3247937431830454</v>
      </c>
    </row>
    <row r="110" spans="3:16">
      <c r="C110" s="276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277"/>
    </row>
    <row r="111" spans="3:16" ht="21">
      <c r="C111" s="276"/>
      <c r="D111" s="278" t="s">
        <v>80</v>
      </c>
      <c r="E111" s="278"/>
      <c r="F111" s="278"/>
      <c r="G111" s="278"/>
      <c r="H111" s="278"/>
      <c r="I111" s="278"/>
      <c r="J111" s="278"/>
      <c r="K111" s="278"/>
      <c r="L111" s="278"/>
      <c r="M111" s="278"/>
      <c r="N111" s="279"/>
      <c r="O111" s="63"/>
      <c r="P111" s="63"/>
    </row>
    <row r="112" spans="3:16" ht="18.75">
      <c r="C112" s="276"/>
      <c r="D112" s="278" t="s">
        <v>82</v>
      </c>
      <c r="E112" s="278"/>
      <c r="F112" s="278"/>
      <c r="G112" s="278"/>
      <c r="H112" s="278"/>
      <c r="I112" s="278"/>
      <c r="J112" s="278"/>
      <c r="K112" s="278"/>
      <c r="L112" s="278"/>
      <c r="M112" s="278"/>
      <c r="N112" s="279"/>
      <c r="O112" s="63"/>
      <c r="P112" s="63"/>
    </row>
    <row r="113" spans="3:16" ht="21">
      <c r="C113" s="276"/>
      <c r="D113" s="278" t="s">
        <v>81</v>
      </c>
      <c r="E113" s="278"/>
      <c r="F113" s="278"/>
      <c r="G113" s="278"/>
      <c r="H113" s="278"/>
      <c r="I113" s="278"/>
      <c r="J113" s="278"/>
      <c r="K113" s="278"/>
      <c r="L113" s="278"/>
      <c r="M113" s="278"/>
      <c r="N113" s="279"/>
      <c r="O113" s="63"/>
      <c r="P113" s="63"/>
    </row>
    <row r="114" spans="3:16" ht="19.5" thickBot="1">
      <c r="C114" s="280"/>
      <c r="D114" s="281" t="s">
        <v>83</v>
      </c>
      <c r="E114" s="281"/>
      <c r="F114" s="281"/>
      <c r="G114" s="281"/>
      <c r="H114" s="281"/>
      <c r="I114" s="281"/>
      <c r="J114" s="281"/>
      <c r="K114" s="281"/>
      <c r="L114" s="281"/>
      <c r="M114" s="281"/>
      <c r="N114" s="282"/>
      <c r="O114" s="63"/>
      <c r="P114" s="63"/>
    </row>
  </sheetData>
  <mergeCells count="6">
    <mergeCell ref="E1:I4"/>
    <mergeCell ref="C69:C70"/>
    <mergeCell ref="C67:I67"/>
    <mergeCell ref="C78:C79"/>
    <mergeCell ref="C74:C77"/>
    <mergeCell ref="C71:C73"/>
  </mergeCells>
  <pageMargins left="0.7" right="0.7" top="0.75" bottom="0.75" header="0.3" footer="0.3"/>
  <pageSetup orientation="portrait" r:id="rId1"/>
  <ignoredErrors>
    <ignoredError sqref="G2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43"/>
  <sheetViews>
    <sheetView tabSelected="1" zoomScale="77" zoomScaleNormal="77" workbookViewId="0">
      <selection activeCell="H70" sqref="H70"/>
    </sheetView>
  </sheetViews>
  <sheetFormatPr defaultColWidth="8.85546875" defaultRowHeight="15"/>
  <cols>
    <col min="1" max="1" width="10.5703125" customWidth="1"/>
    <col min="2" max="2" width="14.5703125" customWidth="1"/>
    <col min="4" max="4" width="10" customWidth="1"/>
  </cols>
  <sheetData>
    <row r="1" spans="1:14" ht="18.75">
      <c r="A1" s="115" t="s">
        <v>231</v>
      </c>
      <c r="B1" s="103"/>
    </row>
    <row r="2" spans="1:14" ht="18">
      <c r="A2" s="90"/>
      <c r="B2" s="316" t="s">
        <v>232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</row>
    <row r="3" spans="1:14">
      <c r="A3" s="90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</row>
    <row r="4" spans="1:14" ht="16.5" thickBot="1">
      <c r="A4" s="90"/>
      <c r="B4" s="318" t="s">
        <v>144</v>
      </c>
      <c r="C4" s="318"/>
      <c r="D4" s="132"/>
      <c r="E4" s="132"/>
      <c r="F4" s="132"/>
      <c r="G4" s="98"/>
      <c r="H4" s="98"/>
      <c r="I4" s="98"/>
      <c r="J4" s="98"/>
      <c r="K4" s="98"/>
      <c r="L4" s="98"/>
      <c r="M4" s="98"/>
      <c r="N4" s="98"/>
    </row>
    <row r="5" spans="1:14" ht="15.75" thickBot="1">
      <c r="A5" s="90"/>
      <c r="B5" s="104" t="s">
        <v>143</v>
      </c>
      <c r="C5" s="110" t="s">
        <v>142</v>
      </c>
      <c r="D5" s="110" t="s">
        <v>126</v>
      </c>
      <c r="E5" s="110" t="s">
        <v>125</v>
      </c>
      <c r="F5" s="110" t="s">
        <v>134</v>
      </c>
      <c r="G5" s="98"/>
      <c r="H5" s="98"/>
      <c r="I5" s="98"/>
      <c r="J5" s="98"/>
      <c r="K5" s="98"/>
      <c r="L5" s="98"/>
      <c r="M5" s="98"/>
      <c r="N5" s="98"/>
    </row>
    <row r="6" spans="1:14" ht="15.75" thickBot="1">
      <c r="A6" s="90"/>
      <c r="B6" s="106" t="s">
        <v>233</v>
      </c>
      <c r="C6" s="111" t="s">
        <v>141</v>
      </c>
      <c r="D6" s="111" t="s">
        <v>140</v>
      </c>
      <c r="E6" s="111" t="s">
        <v>131</v>
      </c>
      <c r="F6" s="111" t="s">
        <v>130</v>
      </c>
      <c r="G6" s="98"/>
      <c r="H6" s="98"/>
      <c r="I6" s="98"/>
      <c r="J6" s="98"/>
      <c r="K6" s="98"/>
      <c r="L6" s="98"/>
      <c r="M6" s="98"/>
      <c r="N6" s="98"/>
    </row>
    <row r="7" spans="1:14" ht="15.75">
      <c r="A7" s="90"/>
      <c r="B7" s="108" t="s">
        <v>139</v>
      </c>
      <c r="C7" s="55"/>
      <c r="D7" s="55"/>
      <c r="E7" s="55"/>
      <c r="F7" s="55"/>
      <c r="G7" s="98"/>
      <c r="H7" s="98"/>
      <c r="I7" s="98"/>
      <c r="J7" s="98"/>
      <c r="K7" s="98"/>
      <c r="L7" s="98"/>
      <c r="M7" s="98"/>
      <c r="N7" s="98"/>
    </row>
    <row r="8" spans="1:14" ht="16.5" thickBot="1">
      <c r="A8" s="90"/>
      <c r="B8" s="318" t="s">
        <v>138</v>
      </c>
      <c r="C8" s="318"/>
      <c r="D8" s="55"/>
      <c r="E8" s="55"/>
      <c r="F8" s="55"/>
      <c r="G8" s="98"/>
      <c r="H8" s="98"/>
      <c r="I8" s="98"/>
      <c r="J8" s="98"/>
      <c r="K8" s="98"/>
      <c r="L8" s="98"/>
      <c r="M8" s="98"/>
      <c r="N8" s="98"/>
    </row>
    <row r="9" spans="1:14" ht="15.75" thickBot="1">
      <c r="A9" s="90"/>
      <c r="B9" s="104" t="s">
        <v>137</v>
      </c>
      <c r="C9" s="110" t="s">
        <v>136</v>
      </c>
      <c r="D9" s="110" t="s">
        <v>135</v>
      </c>
      <c r="E9" s="110" t="s">
        <v>125</v>
      </c>
      <c r="F9" s="110" t="s">
        <v>134</v>
      </c>
      <c r="G9" s="98"/>
      <c r="H9" s="98"/>
      <c r="I9" s="98"/>
      <c r="J9" s="98"/>
      <c r="K9" s="98"/>
      <c r="L9" s="98"/>
      <c r="M9" s="98"/>
      <c r="N9" s="98"/>
    </row>
    <row r="10" spans="1:14" ht="15.75" thickBot="1">
      <c r="A10" s="90"/>
      <c r="B10" s="106" t="s">
        <v>234</v>
      </c>
      <c r="C10" s="111" t="s">
        <v>133</v>
      </c>
      <c r="D10" s="111" t="s">
        <v>132</v>
      </c>
      <c r="E10" s="111" t="s">
        <v>131</v>
      </c>
      <c r="F10" s="111" t="s">
        <v>130</v>
      </c>
      <c r="G10" s="98"/>
      <c r="H10" s="98"/>
      <c r="I10" s="98"/>
      <c r="J10" s="98"/>
      <c r="K10" s="98"/>
      <c r="L10" s="98"/>
      <c r="M10" s="98"/>
      <c r="N10" s="98"/>
    </row>
    <row r="11" spans="1:14" ht="15.75">
      <c r="A11" s="90"/>
      <c r="B11" s="109"/>
      <c r="C11" s="55"/>
      <c r="D11" s="55"/>
      <c r="E11" s="55"/>
      <c r="F11" s="55"/>
      <c r="G11" s="98"/>
      <c r="H11" s="98"/>
      <c r="I11" s="98"/>
      <c r="J11" s="98"/>
      <c r="K11" s="98"/>
      <c r="L11" s="98"/>
      <c r="M11" s="98"/>
      <c r="N11" s="98"/>
    </row>
    <row r="12" spans="1:14" ht="16.5" thickBot="1">
      <c r="A12" s="90"/>
      <c r="B12" s="318" t="s">
        <v>129</v>
      </c>
      <c r="C12" s="318"/>
      <c r="D12" s="55"/>
      <c r="E12" s="55"/>
      <c r="F12" s="55"/>
      <c r="G12" s="98"/>
      <c r="H12" s="98"/>
      <c r="I12" s="98"/>
      <c r="J12" s="98"/>
      <c r="K12" s="98"/>
      <c r="L12" s="98"/>
      <c r="M12" s="98"/>
      <c r="N12" s="98"/>
    </row>
    <row r="13" spans="1:14" ht="15.75" thickBot="1">
      <c r="A13" s="90"/>
      <c r="B13" s="104" t="s">
        <v>128</v>
      </c>
      <c r="C13" s="110" t="s">
        <v>127</v>
      </c>
      <c r="D13" s="110" t="s">
        <v>126</v>
      </c>
      <c r="E13" s="110" t="s">
        <v>125</v>
      </c>
      <c r="F13" s="110" t="s">
        <v>124</v>
      </c>
      <c r="G13" s="98"/>
      <c r="H13" s="98"/>
      <c r="I13" s="98"/>
      <c r="J13" s="98"/>
      <c r="K13" s="98"/>
      <c r="L13" s="98"/>
      <c r="M13" s="98"/>
      <c r="N13" s="98"/>
    </row>
    <row r="14" spans="1:14" ht="15.75" thickBot="1">
      <c r="B14" s="106" t="s">
        <v>123</v>
      </c>
      <c r="C14" s="111" t="s">
        <v>122</v>
      </c>
      <c r="D14" s="111" t="s">
        <v>121</v>
      </c>
      <c r="E14" s="111" t="s">
        <v>120</v>
      </c>
      <c r="F14" s="111" t="s">
        <v>119</v>
      </c>
    </row>
    <row r="15" spans="1:14">
      <c r="B15" s="97"/>
      <c r="C15" s="96"/>
      <c r="D15" s="96"/>
      <c r="E15" s="96"/>
      <c r="F15" s="95"/>
    </row>
    <row r="16" spans="1:14" ht="18.75">
      <c r="A16" s="115" t="s">
        <v>17</v>
      </c>
      <c r="B16" s="103"/>
      <c r="C16" s="113"/>
      <c r="D16" s="113"/>
      <c r="E16" s="113"/>
      <c r="F16" s="113"/>
      <c r="G16" s="114"/>
    </row>
    <row r="17" spans="1:16" ht="15.75" thickBot="1">
      <c r="B17" s="112"/>
      <c r="C17" s="113"/>
      <c r="D17" s="113"/>
      <c r="E17" s="113"/>
      <c r="F17" s="113"/>
      <c r="G17" s="114"/>
    </row>
    <row r="18" spans="1:16" s="94" customFormat="1" ht="19.5" thickBot="1">
      <c r="A18" s="90"/>
      <c r="B18" s="117" t="s">
        <v>235</v>
      </c>
      <c r="C18" s="118" t="s">
        <v>236</v>
      </c>
      <c r="D18" s="118" t="s">
        <v>237</v>
      </c>
      <c r="E18" s="118" t="s">
        <v>238</v>
      </c>
      <c r="F18" s="118" t="s">
        <v>239</v>
      </c>
      <c r="G18" s="119" t="s">
        <v>240</v>
      </c>
      <c r="I18" s="133" t="s">
        <v>241</v>
      </c>
      <c r="J18" s="130"/>
      <c r="K18" s="130"/>
      <c r="L18" s="130"/>
      <c r="N18" s="297" t="s">
        <v>314</v>
      </c>
      <c r="O18" s="297"/>
      <c r="P18" s="297"/>
    </row>
    <row r="19" spans="1:16" ht="18.75">
      <c r="B19" s="120">
        <v>30</v>
      </c>
      <c r="C19" s="121">
        <v>18</v>
      </c>
      <c r="D19" s="121">
        <v>26</v>
      </c>
      <c r="E19" s="121">
        <v>15</v>
      </c>
      <c r="F19" s="121">
        <v>24</v>
      </c>
      <c r="G19" s="122">
        <v>17</v>
      </c>
      <c r="I19" s="55" t="s">
        <v>242</v>
      </c>
      <c r="J19" s="55"/>
      <c r="K19" s="55"/>
      <c r="L19" s="55"/>
      <c r="N19" s="297" t="s">
        <v>315</v>
      </c>
      <c r="O19" s="297"/>
      <c r="P19" s="297"/>
    </row>
    <row r="20" spans="1:16" ht="18.75">
      <c r="B20" s="123">
        <v>11</v>
      </c>
      <c r="C20" s="71">
        <v>14</v>
      </c>
      <c r="D20" s="71">
        <v>8</v>
      </c>
      <c r="E20" s="71">
        <v>11</v>
      </c>
      <c r="F20" s="71">
        <v>11</v>
      </c>
      <c r="G20" s="33">
        <v>13</v>
      </c>
      <c r="I20" s="55" t="s">
        <v>243</v>
      </c>
      <c r="J20" s="55"/>
      <c r="K20" s="55"/>
      <c r="L20" s="55"/>
      <c r="N20" s="297" t="s">
        <v>316</v>
      </c>
      <c r="O20" s="297"/>
      <c r="P20" s="297"/>
    </row>
    <row r="21" spans="1:16" ht="18.75">
      <c r="B21" s="123">
        <v>14</v>
      </c>
      <c r="C21" s="71">
        <v>28</v>
      </c>
      <c r="D21" s="71">
        <v>14</v>
      </c>
      <c r="E21" s="71">
        <v>28</v>
      </c>
      <c r="F21" s="71">
        <v>14</v>
      </c>
      <c r="G21" s="33">
        <v>25</v>
      </c>
      <c r="I21" s="55" t="s">
        <v>244</v>
      </c>
      <c r="J21" s="55"/>
      <c r="K21" s="55"/>
      <c r="L21" s="55"/>
      <c r="N21" s="297" t="s">
        <v>317</v>
      </c>
      <c r="O21" s="297"/>
      <c r="P21" s="297"/>
    </row>
    <row r="22" spans="1:16" ht="19.5" thickBot="1">
      <c r="B22" s="124">
        <v>16</v>
      </c>
      <c r="C22" s="125">
        <v>20</v>
      </c>
      <c r="D22" s="125">
        <v>16</v>
      </c>
      <c r="E22" s="125">
        <v>20</v>
      </c>
      <c r="F22" s="125">
        <v>23</v>
      </c>
      <c r="G22" s="70">
        <v>21</v>
      </c>
      <c r="I22" s="55" t="s">
        <v>245</v>
      </c>
      <c r="J22" s="55"/>
      <c r="K22" s="55"/>
      <c r="L22" s="55"/>
      <c r="N22" s="297" t="s">
        <v>318</v>
      </c>
      <c r="O22" s="297"/>
      <c r="P22" s="297"/>
    </row>
    <row r="23" spans="1:16" s="94" customFormat="1" ht="19.5" thickBot="1">
      <c r="B23" s="126">
        <f t="shared" ref="B23:G23" si="0">SUM(B19:B22)</f>
        <v>71</v>
      </c>
      <c r="C23" s="127">
        <f t="shared" si="0"/>
        <v>80</v>
      </c>
      <c r="D23" s="127">
        <f t="shared" si="0"/>
        <v>64</v>
      </c>
      <c r="E23" s="127">
        <f t="shared" si="0"/>
        <v>74</v>
      </c>
      <c r="F23" s="127">
        <f t="shared" si="0"/>
        <v>72</v>
      </c>
      <c r="G23" s="128">
        <f t="shared" si="0"/>
        <v>76</v>
      </c>
      <c r="I23" s="131" t="s">
        <v>246</v>
      </c>
      <c r="J23" s="55"/>
      <c r="K23" s="55"/>
      <c r="L23" s="130"/>
      <c r="N23" s="297" t="s">
        <v>319</v>
      </c>
      <c r="O23" s="297"/>
      <c r="P23" s="297"/>
    </row>
    <row r="24" spans="1:16" ht="18.75">
      <c r="N24" s="297" t="s">
        <v>320</v>
      </c>
      <c r="O24" s="297"/>
      <c r="P24" s="297"/>
    </row>
    <row r="25" spans="1:16" ht="18.75">
      <c r="N25" s="297" t="s">
        <v>321</v>
      </c>
      <c r="O25" s="297"/>
      <c r="P25" s="297"/>
    </row>
    <row r="27" spans="1:16" ht="18.75">
      <c r="B27" s="16" t="s">
        <v>247</v>
      </c>
      <c r="C27" s="16">
        <f t="array" ref="C27">SUM(B23:C23)</f>
        <v>151</v>
      </c>
      <c r="E27" s="136" t="s">
        <v>118</v>
      </c>
      <c r="F27" s="136">
        <v>3</v>
      </c>
      <c r="G27" s="137" t="s">
        <v>117</v>
      </c>
      <c r="H27" s="7"/>
      <c r="I27" s="18"/>
    </row>
    <row r="28" spans="1:16" ht="18.75">
      <c r="B28" s="16" t="s">
        <v>248</v>
      </c>
      <c r="C28" s="16">
        <f t="array" ref="C28">SUM(D23:E23)</f>
        <v>138</v>
      </c>
      <c r="E28" s="136" t="s">
        <v>116</v>
      </c>
      <c r="F28" s="136">
        <v>6</v>
      </c>
      <c r="G28" s="310" t="s">
        <v>115</v>
      </c>
      <c r="H28" s="311"/>
      <c r="I28" s="312"/>
    </row>
    <row r="29" spans="1:16" ht="18.75">
      <c r="B29" s="16" t="s">
        <v>249</v>
      </c>
      <c r="C29" s="16">
        <f t="array" ref="C29">SUM(F23:G23)</f>
        <v>148</v>
      </c>
      <c r="E29" s="136" t="s">
        <v>114</v>
      </c>
      <c r="F29" s="136">
        <v>3</v>
      </c>
      <c r="G29" s="310" t="s">
        <v>113</v>
      </c>
      <c r="H29" s="311"/>
      <c r="I29" s="312"/>
    </row>
    <row r="30" spans="1:16" ht="19.5" thickBot="1">
      <c r="E30" s="136" t="s">
        <v>250</v>
      </c>
      <c r="F30" s="136">
        <v>8</v>
      </c>
      <c r="G30" s="313"/>
      <c r="H30" s="314"/>
      <c r="I30" s="315"/>
    </row>
    <row r="31" spans="1:16" ht="16.5" thickBot="1">
      <c r="B31" s="317"/>
      <c r="E31" s="136" t="s">
        <v>112</v>
      </c>
      <c r="F31" s="136">
        <v>24</v>
      </c>
      <c r="G31" s="137" t="s">
        <v>111</v>
      </c>
      <c r="H31" s="7"/>
      <c r="I31" s="18"/>
    </row>
    <row r="32" spans="1:16" ht="15.75" thickBot="1">
      <c r="B32" s="317"/>
      <c r="C32" s="138">
        <f t="array" ref="C32">SUMSQ(C27:C29)</f>
        <v>63749</v>
      </c>
    </row>
    <row r="33" spans="2:7">
      <c r="B33" s="5"/>
      <c r="C33" s="138"/>
    </row>
    <row r="34" spans="2:7">
      <c r="B34" s="5"/>
      <c r="C34" s="138"/>
    </row>
    <row r="35" spans="2:7" ht="16.5" thickBot="1">
      <c r="B35" s="156" t="s">
        <v>76</v>
      </c>
    </row>
    <row r="36" spans="2:7" ht="18" thickBot="1">
      <c r="B36" s="151" t="s">
        <v>110</v>
      </c>
      <c r="C36" s="152" t="s">
        <v>251</v>
      </c>
      <c r="D36" s="153" t="s">
        <v>252</v>
      </c>
      <c r="E36" s="153" t="s">
        <v>253</v>
      </c>
      <c r="F36" s="153" t="s">
        <v>254</v>
      </c>
      <c r="G36" s="154" t="s">
        <v>109</v>
      </c>
    </row>
    <row r="37" spans="2:7">
      <c r="B37" s="141">
        <v>1</v>
      </c>
      <c r="C37" s="142">
        <f>30+26+24</f>
        <v>80</v>
      </c>
      <c r="D37" s="143">
        <f>C37+C38</f>
        <v>130</v>
      </c>
      <c r="E37" s="143">
        <f>D37+D38</f>
        <v>198</v>
      </c>
      <c r="F37" s="143">
        <f>E37+E38</f>
        <v>437</v>
      </c>
      <c r="G37" s="144" t="s">
        <v>108</v>
      </c>
    </row>
    <row r="38" spans="2:7">
      <c r="B38" s="145" t="s">
        <v>93</v>
      </c>
      <c r="C38" s="146">
        <f>18+15+17</f>
        <v>50</v>
      </c>
      <c r="D38" s="16">
        <f>C39+C40</f>
        <v>68</v>
      </c>
      <c r="E38" s="16">
        <f>D39+D40</f>
        <v>239</v>
      </c>
      <c r="F38" s="16">
        <f>E39+E40</f>
        <v>-71</v>
      </c>
      <c r="G38" s="147">
        <f t="array" ref="G38">(F38^2)/(8*3)</f>
        <v>210.04166666666666</v>
      </c>
    </row>
    <row r="39" spans="2:7">
      <c r="B39" s="145" t="s">
        <v>92</v>
      </c>
      <c r="C39" s="146">
        <f>14+11+13</f>
        <v>38</v>
      </c>
      <c r="D39" s="16">
        <f>C41+C42</f>
        <v>123</v>
      </c>
      <c r="E39" s="16">
        <f>D41+D42</f>
        <v>-38</v>
      </c>
      <c r="F39" s="16">
        <f>E41+E42</f>
        <v>-69</v>
      </c>
      <c r="G39" s="147">
        <f t="shared" ref="G39:G43" si="1">(F39^2)/(8*3)</f>
        <v>198.375</v>
      </c>
    </row>
    <row r="40" spans="2:7">
      <c r="B40" s="145" t="s">
        <v>88</v>
      </c>
      <c r="C40" s="146">
        <f>11+8+11</f>
        <v>30</v>
      </c>
      <c r="D40" s="16">
        <f>C43+C44</f>
        <v>116</v>
      </c>
      <c r="E40" s="16">
        <f>D43+D44</f>
        <v>-33</v>
      </c>
      <c r="F40" s="16">
        <f>E43+E44</f>
        <v>67</v>
      </c>
      <c r="G40" s="147">
        <f t="shared" si="1"/>
        <v>187.04166666666666</v>
      </c>
    </row>
    <row r="41" spans="2:7">
      <c r="B41" s="145" t="s">
        <v>91</v>
      </c>
      <c r="C41" s="146">
        <f>28+28+25</f>
        <v>81</v>
      </c>
      <c r="D41" s="16">
        <f>C38-C37</f>
        <v>-30</v>
      </c>
      <c r="E41" s="16">
        <f>D38-D37</f>
        <v>-62</v>
      </c>
      <c r="F41" s="16">
        <f>E38-E37</f>
        <v>41</v>
      </c>
      <c r="G41" s="147">
        <f t="shared" si="1"/>
        <v>70.041666666666671</v>
      </c>
    </row>
    <row r="42" spans="2:7">
      <c r="B42" s="145" t="s">
        <v>86</v>
      </c>
      <c r="C42" s="146">
        <f>14+14+14</f>
        <v>42</v>
      </c>
      <c r="D42" s="16">
        <f>C40-C39</f>
        <v>-8</v>
      </c>
      <c r="E42" s="16">
        <f>D40-D39</f>
        <v>-7</v>
      </c>
      <c r="F42" s="16">
        <f>E40-E39</f>
        <v>5</v>
      </c>
      <c r="G42" s="147">
        <f t="shared" si="1"/>
        <v>1.0416666666666667</v>
      </c>
    </row>
    <row r="43" spans="2:7">
      <c r="B43" s="145" t="s">
        <v>87</v>
      </c>
      <c r="C43" s="146">
        <f>16+16+23</f>
        <v>55</v>
      </c>
      <c r="D43" s="16">
        <f>C42-C41</f>
        <v>-39</v>
      </c>
      <c r="E43" s="16">
        <f>D42-D41</f>
        <v>22</v>
      </c>
      <c r="F43" s="16">
        <f>E42-E41</f>
        <v>55</v>
      </c>
      <c r="G43" s="147">
        <f t="shared" si="1"/>
        <v>126.04166666666667</v>
      </c>
    </row>
    <row r="44" spans="2:7" ht="15.75" thickBot="1">
      <c r="B44" s="148" t="s">
        <v>107</v>
      </c>
      <c r="C44" s="149">
        <f>20+20+21</f>
        <v>61</v>
      </c>
      <c r="D44" s="34">
        <f>C44-C43</f>
        <v>6</v>
      </c>
      <c r="E44" s="34">
        <f>D44-D43</f>
        <v>45</v>
      </c>
      <c r="F44" s="34">
        <f>E44-E43</f>
        <v>23</v>
      </c>
      <c r="G44" s="150"/>
    </row>
    <row r="45" spans="2:7" ht="16.5" thickBot="1">
      <c r="B45" s="93"/>
      <c r="C45" s="92"/>
      <c r="D45" s="61"/>
    </row>
    <row r="46" spans="2:7" ht="16.5" thickBot="1">
      <c r="B46" s="160"/>
      <c r="C46" s="160"/>
      <c r="D46" s="161"/>
      <c r="F46" s="157" t="s">
        <v>255</v>
      </c>
      <c r="G46" s="158">
        <f t="array" ref="G46">SUM(G38:G43)</f>
        <v>792.58333333333314</v>
      </c>
    </row>
    <row r="47" spans="2:7" ht="15.75">
      <c r="B47" s="160"/>
      <c r="C47" s="160"/>
      <c r="D47" s="162">
        <f>F37^2/F31</f>
        <v>7957.041666666667</v>
      </c>
    </row>
    <row r="48" spans="2:7" ht="15.75">
      <c r="B48" s="160"/>
      <c r="C48" s="160"/>
      <c r="D48" s="161"/>
    </row>
    <row r="49" spans="2:7" ht="15.75">
      <c r="B49" s="161"/>
      <c r="C49" s="161"/>
      <c r="D49" s="161"/>
    </row>
    <row r="50" spans="2:7" ht="16.149999999999999" customHeight="1">
      <c r="B50" s="160"/>
      <c r="C50" s="160"/>
      <c r="D50" s="160"/>
    </row>
    <row r="51" spans="2:7" ht="15" customHeight="1">
      <c r="B51" s="160"/>
      <c r="C51" s="160"/>
      <c r="D51" s="160"/>
      <c r="E51" s="163">
        <f>SUMSQ(B23:G23)/4-D47</f>
        <v>36.20833333333303</v>
      </c>
    </row>
    <row r="52" spans="2:7" ht="15" customHeight="1">
      <c r="B52" s="160"/>
      <c r="C52" s="160"/>
      <c r="D52" s="160"/>
    </row>
    <row r="53" spans="2:7" ht="15" customHeight="1">
      <c r="B53" s="61"/>
      <c r="C53" s="61"/>
      <c r="D53" s="61"/>
    </row>
    <row r="54" spans="2:7" ht="16.149999999999999" customHeight="1">
      <c r="B54" s="160"/>
      <c r="C54" s="160"/>
      <c r="D54" s="160"/>
      <c r="E54" s="160"/>
    </row>
    <row r="55" spans="2:7" ht="15" customHeight="1">
      <c r="B55" s="160"/>
      <c r="C55" s="160"/>
      <c r="D55" s="160"/>
      <c r="E55" s="160"/>
      <c r="F55" s="159">
        <f>SUMSQ(C27:C29)/8- ((F37^2)/(3*8))</f>
        <v>11.58333333333303</v>
      </c>
    </row>
    <row r="56" spans="2:7" ht="15" customHeight="1">
      <c r="B56" s="160"/>
      <c r="C56" s="160"/>
      <c r="D56" s="160"/>
      <c r="E56" s="160"/>
    </row>
    <row r="57" spans="2:7" ht="15" customHeight="1">
      <c r="B57" s="61"/>
      <c r="C57" s="61"/>
      <c r="D57" s="61"/>
    </row>
    <row r="58" spans="2:7" ht="16.149999999999999" customHeight="1">
      <c r="B58" s="160"/>
      <c r="C58" s="160"/>
      <c r="D58" s="160"/>
      <c r="E58" s="160"/>
    </row>
    <row r="59" spans="2:7" ht="15" customHeight="1">
      <c r="B59" s="160"/>
      <c r="C59" s="160"/>
      <c r="D59" s="160"/>
      <c r="E59" s="160"/>
      <c r="F59" s="159">
        <f>SUMSQ(B19:G22)-D47</f>
        <v>887.95833333333303</v>
      </c>
    </row>
    <row r="60" spans="2:7" ht="15" customHeight="1">
      <c r="B60" s="160"/>
      <c r="C60" s="160"/>
      <c r="D60" s="160"/>
      <c r="E60" s="160"/>
    </row>
    <row r="61" spans="2:7" ht="15" customHeight="1">
      <c r="B61" s="61"/>
      <c r="C61" s="61"/>
      <c r="D61" s="61"/>
    </row>
    <row r="63" spans="2:7" ht="16.5" thickBot="1">
      <c r="B63" s="164" t="s">
        <v>106</v>
      </c>
    </row>
    <row r="64" spans="2:7" ht="72" thickBot="1">
      <c r="B64" s="165" t="s">
        <v>105</v>
      </c>
      <c r="C64" s="173" t="s">
        <v>28</v>
      </c>
      <c r="D64" s="174" t="s">
        <v>48</v>
      </c>
      <c r="E64" s="174" t="s">
        <v>30</v>
      </c>
      <c r="F64" s="166" t="s">
        <v>33</v>
      </c>
      <c r="G64" s="167" t="s">
        <v>39</v>
      </c>
    </row>
    <row r="65" spans="2:30">
      <c r="B65" s="168" t="s">
        <v>104</v>
      </c>
      <c r="C65" s="146">
        <f>F55</f>
        <v>11.58333333333303</v>
      </c>
      <c r="D65" s="16">
        <f>3-1</f>
        <v>2</v>
      </c>
      <c r="E65" s="16">
        <f t="shared" ref="E65:E75" si="2">C65/D65</f>
        <v>5.7916666666665151</v>
      </c>
      <c r="F65" s="16">
        <f t="array" ref="F65">E65/$E$75</f>
        <v>1.1746478873239092</v>
      </c>
      <c r="G65" s="147">
        <f t="shared" ref="G65:G74" si="3">_xlfn.F.INV.RT(0.05,D65,$D$75)</f>
        <v>3.8852938346523942</v>
      </c>
    </row>
    <row r="66" spans="2:30" ht="42.75">
      <c r="B66" s="175" t="s">
        <v>103</v>
      </c>
      <c r="C66" s="146">
        <f>C67-C65</f>
        <v>24.625</v>
      </c>
      <c r="D66" s="16">
        <f t="array" ref="D66">D67-D65</f>
        <v>3</v>
      </c>
      <c r="E66" s="16">
        <f t="shared" si="2"/>
        <v>8.2083333333333339</v>
      </c>
      <c r="F66" s="16">
        <f t="shared" ref="F66:F74" si="4">E66/$E$75</f>
        <v>1.6647887323943611</v>
      </c>
      <c r="G66" s="147">
        <f t="shared" si="3"/>
        <v>3.4902948194976045</v>
      </c>
    </row>
    <row r="67" spans="2:30">
      <c r="B67" s="168" t="s">
        <v>102</v>
      </c>
      <c r="C67" s="146">
        <f>E51</f>
        <v>36.20833333333303</v>
      </c>
      <c r="D67" s="16">
        <f t="array" ref="D67">6-1</f>
        <v>5</v>
      </c>
      <c r="E67" s="16">
        <f t="shared" si="2"/>
        <v>7.2416666666666059</v>
      </c>
      <c r="F67" s="16">
        <f t="shared" si="4"/>
        <v>1.4687323943661801</v>
      </c>
      <c r="G67" s="147">
        <f t="shared" si="3"/>
        <v>3.1058752390841229</v>
      </c>
    </row>
    <row r="68" spans="2:30">
      <c r="B68" s="168" t="s">
        <v>101</v>
      </c>
      <c r="C68" s="146">
        <f>SUM(C69:C74)</f>
        <v>792.58333333333314</v>
      </c>
      <c r="D68" s="16">
        <f>SUM(D69:D74)</f>
        <v>6</v>
      </c>
      <c r="E68" s="16">
        <f t="shared" si="2"/>
        <v>132.0972222222222</v>
      </c>
      <c r="F68" s="16">
        <f t="shared" si="4"/>
        <v>26.791549295774558</v>
      </c>
      <c r="G68" s="147">
        <f t="shared" si="3"/>
        <v>2.996120377517109</v>
      </c>
    </row>
    <row r="69" spans="2:30">
      <c r="B69" s="168" t="s">
        <v>93</v>
      </c>
      <c r="C69" s="146">
        <f t="shared" ref="C69:C74" si="5">(F38^2)/(8*3)</f>
        <v>210.04166666666666</v>
      </c>
      <c r="D69" s="16">
        <v>1</v>
      </c>
      <c r="E69" s="16">
        <f t="shared" si="2"/>
        <v>210.04166666666666</v>
      </c>
      <c r="F69" s="16">
        <f t="shared" si="4"/>
        <v>42.599999999999859</v>
      </c>
      <c r="G69" s="147">
        <f t="shared" si="3"/>
        <v>4.7472253467225149</v>
      </c>
    </row>
    <row r="70" spans="2:30">
      <c r="B70" s="168" t="s">
        <v>100</v>
      </c>
      <c r="C70" s="146">
        <f t="shared" si="5"/>
        <v>198.375</v>
      </c>
      <c r="D70" s="16">
        <v>1</v>
      </c>
      <c r="E70" s="16">
        <f t="shared" si="2"/>
        <v>198.375</v>
      </c>
      <c r="F70" s="16">
        <f t="shared" si="4"/>
        <v>40.233802816901282</v>
      </c>
      <c r="G70" s="147">
        <f t="shared" si="3"/>
        <v>4.7472253467225149</v>
      </c>
    </row>
    <row r="71" spans="2:30">
      <c r="B71" s="168" t="s">
        <v>88</v>
      </c>
      <c r="C71" s="146">
        <f t="shared" si="5"/>
        <v>187.04166666666666</v>
      </c>
      <c r="D71" s="16">
        <v>1</v>
      </c>
      <c r="E71" s="16">
        <f t="shared" si="2"/>
        <v>187.04166666666666</v>
      </c>
      <c r="F71" s="16">
        <f t="shared" si="4"/>
        <v>37.93521126760551</v>
      </c>
      <c r="G71" s="147">
        <f t="shared" si="3"/>
        <v>4.7472253467225149</v>
      </c>
    </row>
    <row r="72" spans="2:30">
      <c r="B72" s="168" t="s">
        <v>91</v>
      </c>
      <c r="C72" s="146">
        <f t="shared" si="5"/>
        <v>70.041666666666671</v>
      </c>
      <c r="D72" s="16">
        <v>1</v>
      </c>
      <c r="E72" s="16">
        <f t="shared" si="2"/>
        <v>70.041666666666671</v>
      </c>
      <c r="F72" s="16">
        <f t="shared" si="4"/>
        <v>14.205633802816857</v>
      </c>
      <c r="G72" s="147">
        <f t="shared" si="3"/>
        <v>4.7472253467225149</v>
      </c>
    </row>
    <row r="73" spans="2:30">
      <c r="B73" s="168" t="s">
        <v>86</v>
      </c>
      <c r="C73" s="146">
        <f t="shared" si="5"/>
        <v>1.0416666666666667</v>
      </c>
      <c r="D73" s="16">
        <v>1</v>
      </c>
      <c r="E73" s="16">
        <f t="shared" si="2"/>
        <v>1.0416666666666667</v>
      </c>
      <c r="F73" s="16">
        <f t="shared" si="4"/>
        <v>0.21126760563380215</v>
      </c>
      <c r="G73" s="147">
        <f t="shared" si="3"/>
        <v>4.7472253467225149</v>
      </c>
    </row>
    <row r="74" spans="2:30">
      <c r="B74" s="168" t="s">
        <v>87</v>
      </c>
      <c r="C74" s="146">
        <f t="shared" si="5"/>
        <v>126.04166666666667</v>
      </c>
      <c r="D74" s="16">
        <v>1</v>
      </c>
      <c r="E74" s="16">
        <f t="shared" si="2"/>
        <v>126.04166666666667</v>
      </c>
      <c r="F74" s="16">
        <f t="shared" si="4"/>
        <v>25.563380281690058</v>
      </c>
      <c r="G74" s="147">
        <f t="shared" si="3"/>
        <v>4.7472253467225149</v>
      </c>
    </row>
    <row r="75" spans="2:30" ht="15.75" thickBot="1">
      <c r="B75" s="168" t="s">
        <v>34</v>
      </c>
      <c r="C75" s="146">
        <f>C76-C68-C67</f>
        <v>59.166666666666856</v>
      </c>
      <c r="D75" s="16">
        <f>D76-D68-D67</f>
        <v>12</v>
      </c>
      <c r="E75" s="16">
        <f t="shared" si="2"/>
        <v>4.9305555555555713</v>
      </c>
      <c r="F75" s="16"/>
      <c r="G75" s="147"/>
    </row>
    <row r="76" spans="2:30" ht="15.75" thickBot="1">
      <c r="B76" s="169" t="s">
        <v>35</v>
      </c>
      <c r="C76" s="170">
        <f>F59</f>
        <v>887.95833333333303</v>
      </c>
      <c r="D76" s="171">
        <f>24-1</f>
        <v>23</v>
      </c>
      <c r="E76" s="171"/>
      <c r="F76" s="171"/>
      <c r="G76" s="172"/>
    </row>
    <row r="77" spans="2:30">
      <c r="B77" s="200"/>
      <c r="C77" s="200"/>
      <c r="D77" s="200"/>
      <c r="E77" s="200"/>
      <c r="F77" s="200"/>
      <c r="G77" s="200"/>
    </row>
    <row r="78" spans="2:30" ht="19.5">
      <c r="B78" s="177" t="s">
        <v>51</v>
      </c>
    </row>
    <row r="79" spans="2:30" ht="16.5" thickBot="1"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</row>
    <row r="80" spans="2:30" ht="18.75">
      <c r="B80" s="182"/>
      <c r="C80" s="183" t="s">
        <v>256</v>
      </c>
      <c r="D80" s="183" t="s">
        <v>99</v>
      </c>
      <c r="E80" s="183"/>
      <c r="F80" s="183"/>
      <c r="G80" s="183"/>
      <c r="H80" s="183"/>
      <c r="I80" s="183"/>
      <c r="J80" s="183"/>
      <c r="K80" s="183"/>
      <c r="L80" s="184"/>
      <c r="M80" s="185"/>
      <c r="N80" s="49"/>
      <c r="O80" s="49"/>
      <c r="P80" s="49"/>
      <c r="Q80" s="49"/>
      <c r="R80" s="49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</row>
    <row r="81" spans="2:30" ht="18.75">
      <c r="B81" s="186"/>
      <c r="C81" s="178" t="s">
        <v>257</v>
      </c>
      <c r="D81" s="178" t="s">
        <v>98</v>
      </c>
      <c r="E81" s="178"/>
      <c r="F81" s="178"/>
      <c r="G81" s="178"/>
      <c r="H81" s="178"/>
      <c r="I81" s="178"/>
      <c r="J81" s="178"/>
      <c r="K81" s="178"/>
      <c r="L81" s="179"/>
      <c r="M81" s="187"/>
      <c r="N81" s="49"/>
      <c r="O81" s="49"/>
      <c r="P81" s="49"/>
      <c r="Q81" s="49"/>
      <c r="R81" s="49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</row>
    <row r="82" spans="2:30" ht="15.75">
      <c r="B82" s="186"/>
      <c r="C82" s="178"/>
      <c r="D82" s="178"/>
      <c r="E82" s="178"/>
      <c r="F82" s="178"/>
      <c r="G82" s="178"/>
      <c r="H82" s="178"/>
      <c r="I82" s="178"/>
      <c r="J82" s="178"/>
      <c r="K82" s="178"/>
      <c r="L82" s="179"/>
      <c r="M82" s="187"/>
      <c r="N82" s="49"/>
      <c r="O82" s="49"/>
      <c r="P82" s="49"/>
      <c r="Q82" s="49"/>
      <c r="R82" s="49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</row>
    <row r="83" spans="2:30" ht="15.75">
      <c r="B83" s="186"/>
      <c r="C83" s="180" t="s">
        <v>58</v>
      </c>
      <c r="D83" s="181">
        <f>F67</f>
        <v>1.4687323943661801</v>
      </c>
      <c r="E83" s="179"/>
      <c r="F83" s="178"/>
      <c r="G83" s="178"/>
      <c r="H83" s="178"/>
      <c r="I83" s="178"/>
      <c r="J83" s="178"/>
      <c r="K83" s="178"/>
      <c r="L83" s="179"/>
      <c r="M83" s="187"/>
      <c r="N83" s="49"/>
      <c r="O83" s="49"/>
      <c r="P83" s="49"/>
      <c r="Q83" s="49"/>
      <c r="R83" s="49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</row>
    <row r="84" spans="2:30" ht="15.75">
      <c r="B84" s="186"/>
      <c r="C84" s="180" t="s">
        <v>59</v>
      </c>
      <c r="D84" s="181">
        <f>G67</f>
        <v>3.1058752390841229</v>
      </c>
      <c r="E84" s="178"/>
      <c r="F84" s="178"/>
      <c r="G84" s="178"/>
      <c r="H84" s="178"/>
      <c r="I84" s="178"/>
      <c r="J84" s="178"/>
      <c r="K84" s="178"/>
      <c r="L84" s="179"/>
      <c r="M84" s="187"/>
      <c r="N84" s="49"/>
      <c r="O84" s="49"/>
      <c r="P84" s="49"/>
      <c r="Q84" s="49"/>
      <c r="R84" s="49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</row>
    <row r="85" spans="2:30" ht="15.75">
      <c r="B85" s="186"/>
      <c r="C85" s="178"/>
      <c r="D85" s="178"/>
      <c r="E85" s="178"/>
      <c r="F85" s="178"/>
      <c r="G85" s="178"/>
      <c r="H85" s="178"/>
      <c r="I85" s="178"/>
      <c r="J85" s="178"/>
      <c r="K85" s="178"/>
      <c r="L85" s="179"/>
      <c r="M85" s="187"/>
      <c r="N85" s="49"/>
      <c r="O85" s="49"/>
      <c r="P85" s="49"/>
      <c r="Q85" s="49"/>
      <c r="R85" s="49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</row>
    <row r="86" spans="2:30" ht="18.75">
      <c r="B86" s="191" t="s">
        <v>53</v>
      </c>
      <c r="C86" s="178" t="s">
        <v>259</v>
      </c>
      <c r="D86" s="178"/>
      <c r="E86" s="178"/>
      <c r="F86" s="178"/>
      <c r="G86" s="178"/>
      <c r="H86" s="178"/>
      <c r="I86" s="178"/>
      <c r="J86" s="178"/>
      <c r="K86" s="178"/>
      <c r="L86" s="179"/>
      <c r="M86" s="187"/>
      <c r="N86" s="49"/>
      <c r="O86" s="49"/>
      <c r="P86" s="49"/>
      <c r="Q86" s="49"/>
      <c r="R86" s="49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</row>
    <row r="87" spans="2:30" ht="16.5" thickBot="1">
      <c r="B87" s="192"/>
      <c r="C87" s="188" t="s">
        <v>258</v>
      </c>
      <c r="D87" s="188"/>
      <c r="E87" s="188"/>
      <c r="F87" s="188"/>
      <c r="G87" s="188"/>
      <c r="H87" s="188"/>
      <c r="I87" s="188"/>
      <c r="J87" s="188"/>
      <c r="K87" s="188"/>
      <c r="L87" s="189"/>
      <c r="M87" s="190"/>
      <c r="N87" s="49"/>
      <c r="O87" s="49"/>
      <c r="P87" s="49"/>
      <c r="Q87" s="49"/>
      <c r="R87" s="49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</row>
    <row r="88" spans="2:30" ht="16.5" thickBot="1">
      <c r="B88" s="176"/>
      <c r="C88" s="62"/>
      <c r="D88" s="62"/>
      <c r="E88" s="62"/>
      <c r="F88" s="62"/>
      <c r="G88" s="62"/>
      <c r="H88" s="62"/>
      <c r="I88" s="62"/>
      <c r="J88" s="62"/>
      <c r="K88" s="62"/>
      <c r="L88" s="49"/>
      <c r="M88" s="49"/>
      <c r="N88" s="49"/>
      <c r="O88" s="49"/>
      <c r="P88" s="49"/>
      <c r="Q88" s="49"/>
      <c r="R88" s="49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</row>
    <row r="89" spans="2:30" ht="18.75">
      <c r="B89" s="193"/>
      <c r="C89" s="183" t="s">
        <v>260</v>
      </c>
      <c r="D89" s="183" t="s">
        <v>97</v>
      </c>
      <c r="E89" s="183"/>
      <c r="F89" s="183"/>
      <c r="G89" s="183"/>
      <c r="H89" s="183"/>
      <c r="I89" s="183"/>
      <c r="J89" s="183"/>
      <c r="K89" s="183"/>
      <c r="L89" s="184"/>
      <c r="M89" s="185"/>
      <c r="N89" s="49"/>
      <c r="O89" s="49"/>
      <c r="P89" s="49"/>
      <c r="Q89" s="49"/>
      <c r="R89" s="49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</row>
    <row r="90" spans="2:30" ht="18.75">
      <c r="B90" s="194"/>
      <c r="C90" s="178" t="s">
        <v>261</v>
      </c>
      <c r="D90" s="178" t="s">
        <v>96</v>
      </c>
      <c r="E90" s="178"/>
      <c r="F90" s="178"/>
      <c r="G90" s="178"/>
      <c r="H90" s="178"/>
      <c r="I90" s="178"/>
      <c r="J90" s="178"/>
      <c r="K90" s="178"/>
      <c r="L90" s="179"/>
      <c r="M90" s="187"/>
      <c r="N90" s="49"/>
      <c r="O90" s="49"/>
      <c r="P90" s="49"/>
      <c r="Q90" s="49"/>
      <c r="R90" s="49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</row>
    <row r="91" spans="2:30" ht="15.75">
      <c r="B91" s="194"/>
      <c r="C91" s="178"/>
      <c r="D91" s="178"/>
      <c r="E91" s="178"/>
      <c r="F91" s="178"/>
      <c r="G91" s="178"/>
      <c r="H91" s="178"/>
      <c r="I91" s="178"/>
      <c r="J91" s="178"/>
      <c r="K91" s="178"/>
      <c r="L91" s="179"/>
      <c r="M91" s="187"/>
      <c r="N91" s="49"/>
      <c r="O91" s="49"/>
      <c r="P91" s="49"/>
      <c r="Q91" s="49"/>
      <c r="R91" s="49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</row>
    <row r="92" spans="2:30" ht="15.75">
      <c r="B92" s="194"/>
      <c r="C92" s="178" t="s">
        <v>58</v>
      </c>
      <c r="D92" s="181">
        <f>F68</f>
        <v>26.791549295774558</v>
      </c>
      <c r="E92" s="178"/>
      <c r="F92" s="178"/>
      <c r="G92" s="178"/>
      <c r="H92" s="178"/>
      <c r="I92" s="178"/>
      <c r="J92" s="178"/>
      <c r="K92" s="178"/>
      <c r="L92" s="179"/>
      <c r="M92" s="187"/>
      <c r="N92" s="49"/>
      <c r="O92" s="49"/>
      <c r="P92" s="49"/>
      <c r="Q92" s="49"/>
      <c r="R92" s="49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</row>
    <row r="93" spans="2:30" ht="15.75">
      <c r="B93" s="194"/>
      <c r="C93" s="178" t="s">
        <v>59</v>
      </c>
      <c r="D93" s="181">
        <f>G68</f>
        <v>2.996120377517109</v>
      </c>
      <c r="E93" s="178"/>
      <c r="F93" s="178"/>
      <c r="G93" s="178"/>
      <c r="H93" s="178"/>
      <c r="I93" s="178"/>
      <c r="J93" s="178"/>
      <c r="K93" s="178"/>
      <c r="L93" s="179"/>
      <c r="M93" s="187"/>
      <c r="N93" s="49"/>
      <c r="O93" s="49"/>
      <c r="P93" s="49"/>
      <c r="Q93" s="49"/>
      <c r="R93" s="49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</row>
    <row r="94" spans="2:30" ht="15.75">
      <c r="B94" s="194"/>
      <c r="C94" s="178"/>
      <c r="D94" s="178"/>
      <c r="E94" s="178"/>
      <c r="F94" s="178"/>
      <c r="G94" s="178"/>
      <c r="H94" s="178"/>
      <c r="I94" s="178"/>
      <c r="J94" s="178"/>
      <c r="K94" s="178"/>
      <c r="L94" s="179"/>
      <c r="M94" s="187"/>
      <c r="N94" s="49"/>
      <c r="O94" s="49"/>
      <c r="P94" s="49"/>
      <c r="Q94" s="49"/>
      <c r="R94" s="49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</row>
    <row r="95" spans="2:30" ht="18.75">
      <c r="B95" s="191" t="s">
        <v>53</v>
      </c>
      <c r="C95" s="178" t="s">
        <v>267</v>
      </c>
      <c r="D95" s="178"/>
      <c r="E95" s="178"/>
      <c r="F95" s="178"/>
      <c r="G95" s="178"/>
      <c r="H95" s="178"/>
      <c r="I95" s="178"/>
      <c r="J95" s="178"/>
      <c r="K95" s="178"/>
      <c r="L95" s="179"/>
      <c r="M95" s="187"/>
      <c r="N95" s="49"/>
      <c r="O95" s="49"/>
      <c r="P95" s="49"/>
      <c r="Q95" s="49"/>
      <c r="R95" s="49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</row>
    <row r="96" spans="2:30" ht="16.5" thickBot="1">
      <c r="B96" s="192"/>
      <c r="C96" s="188" t="s">
        <v>63</v>
      </c>
      <c r="D96" s="188"/>
      <c r="E96" s="188"/>
      <c r="F96" s="188"/>
      <c r="G96" s="188"/>
      <c r="H96" s="188"/>
      <c r="I96" s="188"/>
      <c r="J96" s="188"/>
      <c r="K96" s="188"/>
      <c r="L96" s="189"/>
      <c r="M96" s="190"/>
      <c r="N96" s="49"/>
      <c r="O96" s="49"/>
      <c r="P96" s="49"/>
      <c r="Q96" s="49"/>
      <c r="R96" s="49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</row>
    <row r="97" spans="2:30" ht="16.5" thickBot="1">
      <c r="B97" s="176"/>
      <c r="C97" s="62"/>
      <c r="D97" s="62"/>
      <c r="E97" s="62"/>
      <c r="F97" s="62"/>
      <c r="G97" s="62"/>
      <c r="H97" s="62"/>
      <c r="I97" s="62"/>
      <c r="J97" s="62"/>
      <c r="K97" s="62"/>
      <c r="L97" s="49"/>
      <c r="M97" s="49"/>
      <c r="N97" s="49"/>
      <c r="O97" s="49"/>
      <c r="P97" s="49"/>
      <c r="Q97" s="49"/>
      <c r="R97" s="49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</row>
    <row r="98" spans="2:30" ht="18.75">
      <c r="B98" s="193"/>
      <c r="C98" s="183" t="s">
        <v>262</v>
      </c>
      <c r="D98" s="183" t="s">
        <v>95</v>
      </c>
      <c r="E98" s="183"/>
      <c r="F98" s="183"/>
      <c r="G98" s="183"/>
      <c r="H98" s="183"/>
      <c r="I98" s="183"/>
      <c r="J98" s="183"/>
      <c r="K98" s="183"/>
      <c r="L98" s="184"/>
      <c r="M98" s="185"/>
      <c r="N98" s="49"/>
      <c r="O98" s="49"/>
      <c r="P98" s="49"/>
      <c r="Q98" s="49"/>
      <c r="R98" s="49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</row>
    <row r="99" spans="2:30" ht="18.75">
      <c r="B99" s="194"/>
      <c r="C99" s="178" t="s">
        <v>263</v>
      </c>
      <c r="D99" s="178" t="s">
        <v>94</v>
      </c>
      <c r="E99" s="178"/>
      <c r="F99" s="178"/>
      <c r="G99" s="178"/>
      <c r="H99" s="178"/>
      <c r="I99" s="178"/>
      <c r="J99" s="178"/>
      <c r="K99" s="178"/>
      <c r="L99" s="179"/>
      <c r="M99" s="187"/>
      <c r="N99" s="49"/>
      <c r="O99" s="49"/>
      <c r="P99" s="49"/>
      <c r="Q99" s="49"/>
      <c r="R99" s="49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</row>
    <row r="100" spans="2:30" ht="15.75">
      <c r="B100" s="194"/>
      <c r="C100" s="179"/>
      <c r="D100" s="179"/>
      <c r="E100" s="179"/>
      <c r="F100" s="179"/>
      <c r="G100" s="179"/>
      <c r="H100" s="179"/>
      <c r="I100" s="179"/>
      <c r="J100" s="179"/>
      <c r="K100" s="178"/>
      <c r="L100" s="179"/>
      <c r="M100" s="187"/>
      <c r="N100" s="49"/>
      <c r="O100" s="49"/>
      <c r="P100" s="49"/>
      <c r="Q100" s="49"/>
      <c r="R100" s="49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</row>
    <row r="101" spans="2:30" ht="20.25">
      <c r="B101" s="194"/>
      <c r="C101" s="195" t="s">
        <v>93</v>
      </c>
      <c r="D101" s="181"/>
      <c r="E101" s="181"/>
      <c r="F101" s="195" t="s">
        <v>92</v>
      </c>
      <c r="G101" s="181"/>
      <c r="H101" s="181"/>
      <c r="I101" s="195" t="s">
        <v>91</v>
      </c>
      <c r="J101" s="178"/>
      <c r="K101" s="178"/>
      <c r="L101" s="179"/>
      <c r="M101" s="187"/>
      <c r="N101" s="49"/>
      <c r="O101" s="49"/>
      <c r="P101" s="49"/>
      <c r="Q101" s="49"/>
      <c r="R101" s="49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</row>
    <row r="102" spans="2:30" ht="15.75">
      <c r="B102" s="194"/>
      <c r="C102" s="178" t="s">
        <v>58</v>
      </c>
      <c r="D102" s="181">
        <f>F69</f>
        <v>42.599999999999859</v>
      </c>
      <c r="E102" s="178"/>
      <c r="F102" s="178" t="s">
        <v>58</v>
      </c>
      <c r="G102" s="181">
        <f>F70</f>
        <v>40.233802816901282</v>
      </c>
      <c r="H102" s="178"/>
      <c r="I102" s="178" t="s">
        <v>58</v>
      </c>
      <c r="J102" s="181">
        <f>F72</f>
        <v>14.205633802816857</v>
      </c>
      <c r="K102" s="178"/>
      <c r="L102" s="179"/>
      <c r="M102" s="187"/>
      <c r="N102" s="49"/>
      <c r="O102" s="49"/>
      <c r="P102" s="49"/>
      <c r="Q102" s="49"/>
      <c r="R102" s="49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</row>
    <row r="103" spans="2:30" ht="15.75">
      <c r="B103" s="194"/>
      <c r="C103" s="178" t="s">
        <v>59</v>
      </c>
      <c r="D103" s="181">
        <f>G69</f>
        <v>4.7472253467225149</v>
      </c>
      <c r="E103" s="178"/>
      <c r="F103" s="178" t="s">
        <v>59</v>
      </c>
      <c r="G103" s="181">
        <f>D103</f>
        <v>4.7472253467225149</v>
      </c>
      <c r="H103" s="178"/>
      <c r="I103" s="178" t="s">
        <v>59</v>
      </c>
      <c r="J103" s="181">
        <f>G103</f>
        <v>4.7472253467225149</v>
      </c>
      <c r="K103" s="178"/>
      <c r="L103" s="179"/>
      <c r="M103" s="187"/>
      <c r="N103" s="49"/>
      <c r="O103" s="49"/>
      <c r="P103" s="49"/>
      <c r="Q103" s="49"/>
      <c r="R103" s="49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</row>
    <row r="104" spans="2:30" ht="15.75">
      <c r="B104" s="194"/>
      <c r="C104" s="178"/>
      <c r="D104" s="178"/>
      <c r="E104" s="178"/>
      <c r="F104" s="178"/>
      <c r="G104" s="178"/>
      <c r="H104" s="178"/>
      <c r="I104" s="178"/>
      <c r="J104" s="178"/>
      <c r="K104" s="178"/>
      <c r="L104" s="179"/>
      <c r="M104" s="187"/>
      <c r="N104" s="49"/>
      <c r="O104" s="49"/>
      <c r="P104" s="49"/>
      <c r="Q104" s="49"/>
      <c r="R104" s="49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</row>
    <row r="105" spans="2:30" ht="18.75">
      <c r="B105" s="191" t="s">
        <v>53</v>
      </c>
      <c r="C105" s="178" t="s">
        <v>266</v>
      </c>
      <c r="D105" s="178"/>
      <c r="E105" s="178"/>
      <c r="F105" s="178"/>
      <c r="G105" s="178"/>
      <c r="H105" s="178"/>
      <c r="I105" s="178"/>
      <c r="J105" s="178"/>
      <c r="K105" s="178"/>
      <c r="L105" s="179"/>
      <c r="M105" s="187"/>
      <c r="N105" s="49"/>
      <c r="O105" s="49"/>
      <c r="P105" s="49"/>
      <c r="Q105" s="49"/>
      <c r="R105" s="49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</row>
    <row r="106" spans="2:30" ht="16.5" thickBot="1">
      <c r="B106" s="192"/>
      <c r="C106" s="188" t="s">
        <v>78</v>
      </c>
      <c r="D106" s="188"/>
      <c r="E106" s="188"/>
      <c r="F106" s="188"/>
      <c r="G106" s="188"/>
      <c r="H106" s="188"/>
      <c r="I106" s="188"/>
      <c r="J106" s="188"/>
      <c r="K106" s="188"/>
      <c r="L106" s="189"/>
      <c r="M106" s="190"/>
      <c r="N106" s="49"/>
      <c r="O106" s="49"/>
      <c r="P106" s="49"/>
      <c r="Q106" s="49"/>
      <c r="R106" s="49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</row>
    <row r="107" spans="2:30" ht="16.5" thickBot="1">
      <c r="B107" s="176"/>
      <c r="C107" s="62"/>
      <c r="D107" s="62"/>
      <c r="E107" s="62"/>
      <c r="F107" s="62"/>
      <c r="G107" s="62"/>
      <c r="H107" s="62"/>
      <c r="I107" s="62"/>
      <c r="J107" s="62"/>
      <c r="K107" s="62"/>
      <c r="L107" s="49"/>
      <c r="M107" s="49"/>
      <c r="N107" s="49"/>
      <c r="O107" s="49"/>
      <c r="P107" s="49"/>
      <c r="Q107" s="49"/>
      <c r="R107" s="49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</row>
    <row r="108" spans="2:30" ht="18.75">
      <c r="B108" s="193"/>
      <c r="C108" s="183" t="s">
        <v>264</v>
      </c>
      <c r="D108" s="183" t="s">
        <v>90</v>
      </c>
      <c r="E108" s="183"/>
      <c r="F108" s="183"/>
      <c r="G108" s="183"/>
      <c r="H108" s="183"/>
      <c r="I108" s="183"/>
      <c r="J108" s="183"/>
      <c r="K108" s="183"/>
      <c r="L108" s="184"/>
      <c r="M108" s="184"/>
      <c r="N108" s="184"/>
      <c r="O108" s="184"/>
      <c r="P108" s="185"/>
      <c r="Q108" s="49"/>
      <c r="R108" s="49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</row>
    <row r="109" spans="2:30" ht="18.75">
      <c r="B109" s="194"/>
      <c r="C109" s="178" t="s">
        <v>265</v>
      </c>
      <c r="D109" s="178" t="s">
        <v>89</v>
      </c>
      <c r="E109" s="178"/>
      <c r="F109" s="178"/>
      <c r="G109" s="178"/>
      <c r="H109" s="178"/>
      <c r="I109" s="178"/>
      <c r="J109" s="178"/>
      <c r="K109" s="178"/>
      <c r="L109" s="179"/>
      <c r="M109" s="179"/>
      <c r="N109" s="179"/>
      <c r="O109" s="179"/>
      <c r="P109" s="187"/>
      <c r="Q109" s="49"/>
      <c r="R109" s="49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</row>
    <row r="110" spans="2:30" ht="15.75">
      <c r="B110" s="194"/>
      <c r="C110" s="178"/>
      <c r="D110" s="178"/>
      <c r="E110" s="178"/>
      <c r="F110" s="178"/>
      <c r="G110" s="178"/>
      <c r="H110" s="178"/>
      <c r="I110" s="178"/>
      <c r="J110" s="178"/>
      <c r="K110" s="178"/>
      <c r="L110" s="179"/>
      <c r="M110" s="179"/>
      <c r="N110" s="179"/>
      <c r="O110" s="179"/>
      <c r="P110" s="187"/>
      <c r="Q110" s="49"/>
      <c r="R110" s="49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</row>
    <row r="111" spans="2:30" ht="18.75">
      <c r="B111" s="196"/>
      <c r="C111" s="197" t="s">
        <v>88</v>
      </c>
      <c r="D111" s="197"/>
      <c r="E111" s="197"/>
      <c r="F111" s="197" t="s">
        <v>87</v>
      </c>
      <c r="G111" s="197"/>
      <c r="H111" s="197"/>
      <c r="I111" s="197" t="s">
        <v>86</v>
      </c>
      <c r="J111" s="178"/>
      <c r="K111" s="179"/>
      <c r="L111" s="178"/>
      <c r="M111" s="178"/>
      <c r="N111" s="179"/>
      <c r="O111" s="179"/>
      <c r="P111" s="187"/>
      <c r="Q111" s="49"/>
      <c r="R111" s="49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</row>
    <row r="112" spans="2:30" ht="15.75">
      <c r="B112" s="196"/>
      <c r="C112" s="178" t="s">
        <v>58</v>
      </c>
      <c r="D112" s="181">
        <f>F71</f>
        <v>37.93521126760551</v>
      </c>
      <c r="E112" s="178"/>
      <c r="F112" s="178" t="s">
        <v>58</v>
      </c>
      <c r="G112" s="181">
        <f>F74</f>
        <v>25.563380281690058</v>
      </c>
      <c r="H112" s="178"/>
      <c r="I112" s="178" t="s">
        <v>58</v>
      </c>
      <c r="J112" s="181">
        <f>F73</f>
        <v>0.21126760563380215</v>
      </c>
      <c r="K112" s="179"/>
      <c r="L112" s="178"/>
      <c r="M112" s="178"/>
      <c r="N112" s="179"/>
      <c r="O112" s="179"/>
      <c r="P112" s="187"/>
      <c r="Q112" s="49"/>
      <c r="R112" s="49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</row>
    <row r="113" spans="2:30" ht="15.75">
      <c r="B113" s="196"/>
      <c r="C113" s="178" t="s">
        <v>59</v>
      </c>
      <c r="D113" s="181">
        <f>G71</f>
        <v>4.7472253467225149</v>
      </c>
      <c r="E113" s="178"/>
      <c r="F113" s="178" t="s">
        <v>59</v>
      </c>
      <c r="G113" s="181">
        <f>D113</f>
        <v>4.7472253467225149</v>
      </c>
      <c r="H113" s="178"/>
      <c r="I113" s="178" t="s">
        <v>59</v>
      </c>
      <c r="J113" s="181">
        <f>G113</f>
        <v>4.7472253467225149</v>
      </c>
      <c r="K113" s="179"/>
      <c r="L113" s="178"/>
      <c r="M113" s="178"/>
      <c r="N113" s="179"/>
      <c r="O113" s="179"/>
      <c r="P113" s="187"/>
      <c r="Q113" s="49"/>
      <c r="R113" s="49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</row>
    <row r="114" spans="2:30" ht="15.75">
      <c r="B114" s="196"/>
      <c r="C114" s="179"/>
      <c r="D114" s="179"/>
      <c r="E114" s="179"/>
      <c r="F114" s="179"/>
      <c r="G114" s="179"/>
      <c r="H114" s="179"/>
      <c r="I114" s="179"/>
      <c r="J114" s="198"/>
      <c r="K114" s="179"/>
      <c r="L114" s="179"/>
      <c r="M114" s="179"/>
      <c r="N114" s="179"/>
      <c r="O114" s="179"/>
      <c r="P114" s="187"/>
      <c r="Q114" s="49"/>
      <c r="R114" s="49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</row>
    <row r="115" spans="2:30" ht="15.75">
      <c r="B115" s="194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9"/>
      <c r="O115" s="179"/>
      <c r="P115" s="187"/>
      <c r="Q115" s="49"/>
      <c r="R115" s="49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</row>
    <row r="116" spans="2:30" ht="18.75">
      <c r="B116" s="191" t="s">
        <v>53</v>
      </c>
      <c r="C116" s="178" t="s">
        <v>268</v>
      </c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9"/>
      <c r="O116" s="179"/>
      <c r="P116" s="187"/>
      <c r="Q116" s="49"/>
      <c r="R116" s="49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</row>
    <row r="117" spans="2:30" ht="15.75">
      <c r="B117" s="186"/>
      <c r="C117" s="178" t="s">
        <v>85</v>
      </c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9"/>
      <c r="O117" s="179"/>
      <c r="P117" s="187"/>
      <c r="Q117" s="49"/>
      <c r="R117" s="49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</row>
    <row r="118" spans="2:30" ht="18.75">
      <c r="B118" s="186"/>
      <c r="C118" s="178" t="s">
        <v>269</v>
      </c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9"/>
      <c r="O118" s="179"/>
      <c r="P118" s="187"/>
      <c r="Q118" s="49"/>
      <c r="R118" s="49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</row>
    <row r="119" spans="2:30" ht="16.5" thickBot="1">
      <c r="B119" s="199"/>
      <c r="C119" s="188" t="s">
        <v>84</v>
      </c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9"/>
      <c r="O119" s="189"/>
      <c r="P119" s="190"/>
      <c r="Q119" s="49"/>
      <c r="R119" s="49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</row>
    <row r="120" spans="2:30" ht="15.75"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49"/>
      <c r="O120" s="49"/>
      <c r="P120" s="49"/>
      <c r="Q120" s="49"/>
      <c r="R120" s="49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</row>
    <row r="121" spans="2:30" ht="15.75"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</row>
    <row r="122" spans="2:30" ht="15.75"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</row>
    <row r="123" spans="2:30" ht="15.75"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</row>
    <row r="124" spans="2:30" ht="15.75"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</row>
    <row r="125" spans="2:30" ht="15.75"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</row>
    <row r="126" spans="2:30" ht="15.75"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</row>
    <row r="127" spans="2:30" ht="15.75"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</row>
    <row r="128" spans="2:30" ht="15.75"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</row>
    <row r="129" spans="2:30" ht="15.75"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</row>
    <row r="130" spans="2:30" ht="15.75"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</row>
    <row r="131" spans="2:30" ht="15.75"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</row>
    <row r="132" spans="2:30" ht="15.75"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</row>
    <row r="133" spans="2:30" ht="15.75"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</row>
    <row r="134" spans="2:30" ht="15.75"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</row>
    <row r="135" spans="2:30" ht="15.75"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</row>
    <row r="136" spans="2:30" ht="15.75"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</row>
    <row r="137" spans="2:30" ht="15.75"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</row>
    <row r="138" spans="2:30" ht="15.75"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</row>
    <row r="139" spans="2:30" ht="15.75"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</row>
    <row r="140" spans="2:30" ht="15.75"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</row>
    <row r="141" spans="2:30" ht="15.75"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</row>
    <row r="142" spans="2:30" ht="15.75"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</row>
    <row r="143" spans="2:30" ht="15.75"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</row>
  </sheetData>
  <mergeCells count="8">
    <mergeCell ref="G28:I28"/>
    <mergeCell ref="G29:I29"/>
    <mergeCell ref="G30:I30"/>
    <mergeCell ref="B2:N2"/>
    <mergeCell ref="B31:B32"/>
    <mergeCell ref="B8:C8"/>
    <mergeCell ref="B4:C4"/>
    <mergeCell ref="B12:C12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66"/>
  <sheetViews>
    <sheetView topLeftCell="A104" zoomScale="115" zoomScaleNormal="115" workbookViewId="0">
      <selection activeCell="C118" sqref="C118"/>
    </sheetView>
  </sheetViews>
  <sheetFormatPr defaultRowHeight="15"/>
  <cols>
    <col min="1" max="1" width="11.5703125" customWidth="1"/>
    <col min="2" max="2" width="14" customWidth="1"/>
    <col min="3" max="3" width="11.7109375" customWidth="1"/>
    <col min="4" max="4" width="12.5703125" customWidth="1"/>
    <col min="6" max="6" width="11.140625" bestFit="1" customWidth="1"/>
    <col min="8" max="8" width="13" customWidth="1"/>
    <col min="14" max="14" width="12.7109375" customWidth="1"/>
  </cols>
  <sheetData>
    <row r="1" spans="1:6" ht="18.75">
      <c r="A1" s="115" t="s">
        <v>270</v>
      </c>
    </row>
    <row r="2" spans="1:6" ht="15.75">
      <c r="B2" s="56" t="s">
        <v>271</v>
      </c>
    </row>
    <row r="3" spans="1:6" ht="15.75">
      <c r="B3" s="49"/>
    </row>
    <row r="4" spans="1:6" ht="16.5" thickBot="1">
      <c r="A4" s="90"/>
      <c r="B4" s="155" t="s">
        <v>276</v>
      </c>
      <c r="C4" s="130"/>
      <c r="D4" s="130"/>
      <c r="E4" s="130"/>
      <c r="F4" s="130"/>
    </row>
    <row r="5" spans="1:6" ht="15.75" thickBot="1">
      <c r="A5" s="90"/>
      <c r="B5" s="104" t="s">
        <v>0</v>
      </c>
      <c r="C5" s="105" t="s">
        <v>230</v>
      </c>
      <c r="D5" s="105" t="s">
        <v>229</v>
      </c>
      <c r="E5" s="105" t="s">
        <v>214</v>
      </c>
      <c r="F5" s="105" t="s">
        <v>228</v>
      </c>
    </row>
    <row r="6" spans="1:6" ht="15.75" thickBot="1">
      <c r="A6" s="90"/>
      <c r="B6" s="106" t="s">
        <v>305</v>
      </c>
      <c r="C6" s="107" t="s">
        <v>227</v>
      </c>
      <c r="D6" s="107" t="s">
        <v>226</v>
      </c>
      <c r="E6" s="107" t="s">
        <v>225</v>
      </c>
      <c r="F6" s="107" t="s">
        <v>224</v>
      </c>
    </row>
    <row r="7" spans="1:6" ht="15.75">
      <c r="A7" s="90"/>
      <c r="B7" s="108" t="s">
        <v>139</v>
      </c>
      <c r="C7" s="55"/>
      <c r="D7" s="55"/>
      <c r="E7" s="55"/>
      <c r="F7" s="55"/>
    </row>
    <row r="8" spans="1:6" ht="16.5" thickBot="1">
      <c r="A8" s="90"/>
      <c r="B8" s="201" t="s">
        <v>286</v>
      </c>
      <c r="C8" s="130"/>
      <c r="D8" s="130"/>
      <c r="E8" s="130"/>
      <c r="F8" s="130"/>
    </row>
    <row r="9" spans="1:6" ht="15.75" thickBot="1">
      <c r="A9" s="90"/>
      <c r="B9" s="104" t="s">
        <v>306</v>
      </c>
      <c r="C9" s="105" t="s">
        <v>211</v>
      </c>
      <c r="D9" s="105" t="s">
        <v>223</v>
      </c>
      <c r="E9" s="105" t="s">
        <v>222</v>
      </c>
      <c r="F9" s="105" t="s">
        <v>221</v>
      </c>
    </row>
    <row r="10" spans="1:6" ht="15.75" thickBot="1">
      <c r="A10" s="90"/>
      <c r="B10" s="106" t="s">
        <v>307</v>
      </c>
      <c r="C10" s="107" t="s">
        <v>220</v>
      </c>
      <c r="D10" s="107" t="s">
        <v>219</v>
      </c>
      <c r="E10" s="107" t="s">
        <v>218</v>
      </c>
      <c r="F10" s="107" t="s">
        <v>217</v>
      </c>
    </row>
    <row r="11" spans="1:6" ht="15.75">
      <c r="A11" s="90"/>
      <c r="B11" s="109"/>
      <c r="C11" s="55"/>
      <c r="D11" s="55"/>
      <c r="E11" s="55"/>
      <c r="F11" s="55"/>
    </row>
    <row r="12" spans="1:6" ht="16.5" thickBot="1">
      <c r="A12" s="90"/>
      <c r="B12" s="201" t="s">
        <v>287</v>
      </c>
      <c r="C12" s="130"/>
      <c r="D12" s="130"/>
      <c r="E12" s="130"/>
      <c r="F12" s="130"/>
    </row>
    <row r="13" spans="1:6" ht="15.75" thickBot="1">
      <c r="A13" s="90"/>
      <c r="B13" s="104" t="s">
        <v>308</v>
      </c>
      <c r="C13" s="105" t="s">
        <v>216</v>
      </c>
      <c r="D13" s="105" t="s">
        <v>215</v>
      </c>
      <c r="E13" s="105" t="s">
        <v>214</v>
      </c>
      <c r="F13" s="105" t="s">
        <v>213</v>
      </c>
    </row>
    <row r="14" spans="1:6" ht="29.25" thickBot="1">
      <c r="A14" s="90"/>
      <c r="B14" s="106" t="s">
        <v>309</v>
      </c>
      <c r="C14" s="107" t="s">
        <v>212</v>
      </c>
      <c r="D14" s="107" t="s">
        <v>211</v>
      </c>
      <c r="E14" s="107" t="s">
        <v>210</v>
      </c>
      <c r="F14" s="107" t="s">
        <v>209</v>
      </c>
    </row>
    <row r="15" spans="1:6">
      <c r="A15" s="90"/>
      <c r="B15" s="202"/>
      <c r="C15" s="203"/>
      <c r="D15" s="203"/>
      <c r="E15" s="203"/>
      <c r="F15" s="203"/>
    </row>
    <row r="16" spans="1:6" ht="16.5" thickBot="1">
      <c r="A16" s="90"/>
      <c r="B16" s="201" t="s">
        <v>288</v>
      </c>
      <c r="C16" s="130"/>
      <c r="D16" s="130"/>
      <c r="E16" s="130"/>
      <c r="F16" s="130"/>
    </row>
    <row r="17" spans="1:9" ht="29.25" thickBot="1">
      <c r="A17" s="90"/>
      <c r="B17" s="104" t="s">
        <v>310</v>
      </c>
      <c r="C17" s="105" t="s">
        <v>208</v>
      </c>
      <c r="D17" s="105" t="s">
        <v>207</v>
      </c>
      <c r="E17" s="105" t="s">
        <v>206</v>
      </c>
      <c r="F17" s="105" t="s">
        <v>205</v>
      </c>
    </row>
    <row r="18" spans="1:9" ht="15.75" thickBot="1">
      <c r="A18" s="90"/>
      <c r="B18" s="106" t="s">
        <v>311</v>
      </c>
      <c r="C18" s="107" t="s">
        <v>204</v>
      </c>
      <c r="D18" s="107" t="s">
        <v>203</v>
      </c>
      <c r="E18" s="107" t="s">
        <v>202</v>
      </c>
      <c r="F18" s="107" t="s">
        <v>201</v>
      </c>
    </row>
    <row r="19" spans="1:9">
      <c r="A19" s="90"/>
      <c r="B19" s="202"/>
      <c r="C19" s="203"/>
      <c r="D19" s="203"/>
      <c r="E19" s="203"/>
      <c r="F19" s="203"/>
    </row>
    <row r="20" spans="1:9" ht="18.75">
      <c r="A20" s="115" t="s">
        <v>17</v>
      </c>
      <c r="B20" s="202"/>
      <c r="C20" s="203"/>
      <c r="D20" s="203"/>
      <c r="E20" s="203"/>
      <c r="F20" s="203"/>
    </row>
    <row r="21" spans="1:9" ht="15.75" thickBot="1"/>
    <row r="22" spans="1:9" ht="15.75" thickBot="1">
      <c r="A22" s="90"/>
      <c r="B22" s="204" t="s">
        <v>235</v>
      </c>
      <c r="C22" s="139" t="s">
        <v>236</v>
      </c>
      <c r="D22" s="139" t="s">
        <v>237</v>
      </c>
      <c r="E22" s="139" t="s">
        <v>272</v>
      </c>
      <c r="F22" s="139" t="s">
        <v>239</v>
      </c>
      <c r="G22" s="139" t="s">
        <v>240</v>
      </c>
      <c r="H22" s="139" t="s">
        <v>273</v>
      </c>
      <c r="I22" s="140" t="s">
        <v>274</v>
      </c>
    </row>
    <row r="23" spans="1:9">
      <c r="B23" s="205" t="s">
        <v>200</v>
      </c>
      <c r="C23" s="143" t="s">
        <v>199</v>
      </c>
      <c r="D23" s="143" t="s">
        <v>188</v>
      </c>
      <c r="E23" s="143" t="s">
        <v>198</v>
      </c>
      <c r="F23" s="143" t="s">
        <v>197</v>
      </c>
      <c r="G23" s="143" t="s">
        <v>196</v>
      </c>
      <c r="H23" s="143" t="s">
        <v>195</v>
      </c>
      <c r="I23" s="144" t="s">
        <v>194</v>
      </c>
    </row>
    <row r="24" spans="1:9">
      <c r="B24" s="206" t="s">
        <v>193</v>
      </c>
      <c r="C24" s="16" t="s">
        <v>192</v>
      </c>
      <c r="D24" s="16" t="s">
        <v>191</v>
      </c>
      <c r="E24" s="16" t="s">
        <v>190</v>
      </c>
      <c r="F24" s="16" t="s">
        <v>189</v>
      </c>
      <c r="G24" s="16" t="s">
        <v>188</v>
      </c>
      <c r="H24" s="16" t="s">
        <v>187</v>
      </c>
      <c r="I24" s="147" t="s">
        <v>186</v>
      </c>
    </row>
    <row r="25" spans="1:9">
      <c r="B25" s="206" t="s">
        <v>182</v>
      </c>
      <c r="C25" s="16" t="s">
        <v>185</v>
      </c>
      <c r="D25" s="16" t="s">
        <v>184</v>
      </c>
      <c r="E25" s="16" t="s">
        <v>183</v>
      </c>
      <c r="F25" s="16" t="s">
        <v>182</v>
      </c>
      <c r="G25" s="16" t="s">
        <v>181</v>
      </c>
      <c r="H25" s="16" t="s">
        <v>180</v>
      </c>
      <c r="I25" s="147" t="s">
        <v>179</v>
      </c>
    </row>
    <row r="26" spans="1:9" ht="15.75" thickBot="1">
      <c r="B26" s="207" t="s">
        <v>178</v>
      </c>
      <c r="C26" s="34" t="s">
        <v>177</v>
      </c>
      <c r="D26" s="34" t="s">
        <v>176</v>
      </c>
      <c r="E26" s="34" t="s">
        <v>175</v>
      </c>
      <c r="F26" s="34" t="s">
        <v>174</v>
      </c>
      <c r="G26" s="34" t="s">
        <v>173</v>
      </c>
      <c r="H26" s="34" t="s">
        <v>172</v>
      </c>
      <c r="I26" s="150" t="s">
        <v>171</v>
      </c>
    </row>
    <row r="27" spans="1:9" ht="15.75" thickBot="1">
      <c r="B27" s="55"/>
      <c r="C27" s="55"/>
      <c r="D27" s="55"/>
      <c r="E27" s="55"/>
      <c r="F27" s="55"/>
      <c r="G27" s="55"/>
      <c r="H27" s="55"/>
      <c r="I27" s="55"/>
    </row>
    <row r="28" spans="1:9" ht="15.75" thickBot="1">
      <c r="B28" s="204" t="s">
        <v>235</v>
      </c>
      <c r="C28" s="139" t="s">
        <v>236</v>
      </c>
      <c r="D28" s="139" t="s">
        <v>237</v>
      </c>
      <c r="E28" s="139" t="s">
        <v>272</v>
      </c>
      <c r="F28" s="139" t="s">
        <v>239</v>
      </c>
      <c r="G28" s="139" t="s">
        <v>240</v>
      </c>
      <c r="H28" s="139" t="s">
        <v>273</v>
      </c>
      <c r="I28" s="140" t="s">
        <v>274</v>
      </c>
    </row>
    <row r="29" spans="1:9">
      <c r="B29" s="205">
        <v>34</v>
      </c>
      <c r="C29" s="143">
        <v>53</v>
      </c>
      <c r="D29" s="143">
        <v>72</v>
      </c>
      <c r="E29" s="143">
        <v>43</v>
      </c>
      <c r="F29" s="143">
        <v>54</v>
      </c>
      <c r="G29" s="143">
        <v>40</v>
      </c>
      <c r="H29" s="143">
        <v>27</v>
      </c>
      <c r="I29" s="144">
        <v>65</v>
      </c>
    </row>
    <row r="30" spans="1:9">
      <c r="B30" s="206">
        <v>81</v>
      </c>
      <c r="C30" s="16">
        <v>35</v>
      </c>
      <c r="D30" s="16">
        <v>52</v>
      </c>
      <c r="E30" s="16">
        <v>11</v>
      </c>
      <c r="F30" s="16">
        <v>50</v>
      </c>
      <c r="G30" s="16">
        <v>72</v>
      </c>
      <c r="H30" s="16">
        <v>60</v>
      </c>
      <c r="I30" s="147">
        <v>49</v>
      </c>
    </row>
    <row r="31" spans="1:9">
      <c r="B31" s="206">
        <v>58</v>
      </c>
      <c r="C31" s="16">
        <v>55</v>
      </c>
      <c r="D31" s="16">
        <v>42</v>
      </c>
      <c r="E31" s="16">
        <v>41</v>
      </c>
      <c r="F31" s="16">
        <v>58</v>
      </c>
      <c r="G31" s="16">
        <v>80</v>
      </c>
      <c r="H31" s="16">
        <v>82</v>
      </c>
      <c r="I31" s="147">
        <v>52</v>
      </c>
    </row>
    <row r="32" spans="1:9" ht="15.75" thickBot="1">
      <c r="B32" s="208">
        <v>71</v>
      </c>
      <c r="C32" s="68">
        <v>83</v>
      </c>
      <c r="D32" s="68">
        <v>37</v>
      </c>
      <c r="E32" s="68">
        <v>74</v>
      </c>
      <c r="F32" s="68">
        <v>53</v>
      </c>
      <c r="G32" s="68">
        <v>42</v>
      </c>
      <c r="H32" s="68">
        <v>43</v>
      </c>
      <c r="I32" s="209">
        <v>32</v>
      </c>
    </row>
    <row r="33" spans="1:16" ht="15.75" thickBot="1">
      <c r="B33" s="210">
        <f t="shared" ref="B33:I33" si="0">SUM(B29:B32)</f>
        <v>244</v>
      </c>
      <c r="C33" s="211">
        <f t="shared" si="0"/>
        <v>226</v>
      </c>
      <c r="D33" s="211">
        <f t="shared" si="0"/>
        <v>203</v>
      </c>
      <c r="E33" s="211">
        <f t="shared" si="0"/>
        <v>169</v>
      </c>
      <c r="F33" s="211">
        <f t="shared" si="0"/>
        <v>215</v>
      </c>
      <c r="G33" s="211">
        <f t="shared" si="0"/>
        <v>234</v>
      </c>
      <c r="H33" s="211">
        <f t="shared" si="0"/>
        <v>212</v>
      </c>
      <c r="I33" s="212">
        <f t="shared" si="0"/>
        <v>198</v>
      </c>
    </row>
    <row r="34" spans="1:16" ht="15.75" thickBot="1">
      <c r="B34" s="213"/>
      <c r="C34" s="213"/>
      <c r="D34" s="213"/>
      <c r="E34" s="213"/>
      <c r="F34" s="213"/>
      <c r="G34" s="213"/>
      <c r="H34" s="213"/>
      <c r="I34" s="213"/>
      <c r="P34">
        <f>+Q34</f>
        <v>0</v>
      </c>
    </row>
    <row r="35" spans="1:16" ht="19.5" thickBot="1">
      <c r="B35" s="214" t="s">
        <v>247</v>
      </c>
      <c r="C35" s="256">
        <f>SUM(B33+C33)</f>
        <v>470</v>
      </c>
      <c r="D35" s="213"/>
      <c r="E35" s="213"/>
      <c r="F35" s="213"/>
      <c r="G35" s="213"/>
      <c r="H35" s="213"/>
      <c r="I35" s="213"/>
    </row>
    <row r="36" spans="1:16" ht="19.5" thickBot="1">
      <c r="B36" s="214" t="s">
        <v>248</v>
      </c>
      <c r="C36" s="256">
        <f>SUM(D33+E33)</f>
        <v>372</v>
      </c>
      <c r="D36" s="213"/>
      <c r="E36" s="213"/>
      <c r="F36" s="213"/>
      <c r="G36" s="213"/>
      <c r="H36" s="213"/>
      <c r="I36" s="213"/>
    </row>
    <row r="37" spans="1:16" ht="19.5" thickBot="1">
      <c r="B37" s="214" t="s">
        <v>249</v>
      </c>
      <c r="C37" s="256">
        <f>SUM(F33+G33)</f>
        <v>449</v>
      </c>
      <c r="D37" s="213"/>
      <c r="E37" s="213"/>
      <c r="F37" s="213"/>
      <c r="G37" s="213"/>
      <c r="H37" s="213"/>
      <c r="I37" s="213"/>
    </row>
    <row r="38" spans="1:16" ht="19.5" thickBot="1">
      <c r="B38" s="214" t="s">
        <v>275</v>
      </c>
      <c r="C38" s="256">
        <f>SUM(H33+I33)</f>
        <v>410</v>
      </c>
      <c r="D38" s="213"/>
      <c r="E38" s="213"/>
      <c r="F38" s="213"/>
      <c r="G38" s="213"/>
      <c r="H38" s="213"/>
      <c r="I38" s="213"/>
    </row>
    <row r="40" spans="1:16">
      <c r="A40" s="52"/>
      <c r="B40" s="52" t="s">
        <v>279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</row>
    <row r="41" spans="1:16">
      <c r="A41" s="52"/>
      <c r="B41" s="52"/>
      <c r="C41" s="52"/>
      <c r="D41" s="52" t="s">
        <v>277</v>
      </c>
      <c r="E41" s="52"/>
      <c r="F41" s="52"/>
      <c r="G41" s="52"/>
      <c r="H41" s="52"/>
      <c r="I41" s="52"/>
      <c r="J41" s="129" t="s">
        <v>276</v>
      </c>
      <c r="K41" s="52"/>
      <c r="L41" s="52"/>
    </row>
    <row r="42" spans="1:16">
      <c r="A42" s="52"/>
      <c r="B42" s="52"/>
      <c r="C42" s="52"/>
      <c r="D42" s="52" t="s">
        <v>278</v>
      </c>
      <c r="E42" s="52"/>
      <c r="F42" s="52"/>
      <c r="G42" s="52"/>
      <c r="H42" s="52"/>
      <c r="I42" s="52"/>
      <c r="J42" s="52"/>
      <c r="K42" s="52"/>
      <c r="L42" s="52"/>
    </row>
    <row r="43" spans="1:16">
      <c r="A43" s="52"/>
      <c r="B43" s="52"/>
      <c r="C43" s="52"/>
      <c r="D43" s="129" t="s">
        <v>290</v>
      </c>
      <c r="E43" s="52"/>
      <c r="F43" s="52"/>
      <c r="G43" s="52"/>
      <c r="H43" s="52"/>
      <c r="I43" s="52"/>
      <c r="J43" s="52"/>
      <c r="K43" s="52"/>
      <c r="L43" s="52"/>
    </row>
    <row r="44" spans="1:16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</row>
    <row r="45" spans="1:16">
      <c r="A45" s="52"/>
      <c r="B45" s="52" t="s">
        <v>280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</row>
    <row r="46" spans="1:16">
      <c r="A46" s="52"/>
      <c r="B46" s="52"/>
      <c r="C46" s="52"/>
      <c r="D46" s="52" t="s">
        <v>282</v>
      </c>
      <c r="E46" s="52"/>
      <c r="F46" s="52"/>
      <c r="G46" s="52"/>
      <c r="H46" s="52"/>
      <c r="I46" s="52"/>
      <c r="J46" s="129" t="s">
        <v>286</v>
      </c>
      <c r="K46" s="52"/>
      <c r="L46" s="52"/>
    </row>
    <row r="47" spans="1:16">
      <c r="A47" s="52"/>
      <c r="B47" s="52"/>
      <c r="C47" s="52"/>
      <c r="D47" s="52" t="s">
        <v>283</v>
      </c>
      <c r="E47" s="52"/>
      <c r="F47" s="52"/>
      <c r="G47" s="52"/>
      <c r="H47" s="52"/>
      <c r="I47" s="52"/>
      <c r="J47" s="52"/>
      <c r="K47" s="52"/>
      <c r="L47" s="52"/>
    </row>
    <row r="48" spans="1:16">
      <c r="A48" s="52"/>
      <c r="B48" s="52"/>
      <c r="C48" s="52"/>
      <c r="D48" s="129" t="s">
        <v>291</v>
      </c>
      <c r="E48" s="52"/>
      <c r="F48" s="52"/>
      <c r="G48" s="52"/>
      <c r="H48" s="52"/>
      <c r="I48" s="52"/>
      <c r="J48" s="52"/>
      <c r="K48" s="52"/>
      <c r="L48" s="52"/>
    </row>
    <row r="49" spans="1:18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</row>
    <row r="50" spans="1:18">
      <c r="A50" s="52"/>
      <c r="B50" s="52" t="s">
        <v>281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</row>
    <row r="51" spans="1:18">
      <c r="A51" s="52"/>
      <c r="B51" s="52"/>
      <c r="C51" s="52"/>
      <c r="D51" s="52" t="s">
        <v>284</v>
      </c>
      <c r="E51" s="52"/>
      <c r="F51" s="52"/>
      <c r="G51" s="52"/>
      <c r="H51" s="52"/>
      <c r="I51" s="52"/>
      <c r="J51" s="129" t="s">
        <v>287</v>
      </c>
      <c r="K51" s="52"/>
      <c r="L51" s="52"/>
    </row>
    <row r="52" spans="1:18">
      <c r="A52" s="52"/>
      <c r="B52" s="52"/>
      <c r="C52" s="52"/>
      <c r="D52" s="52" t="s">
        <v>285</v>
      </c>
      <c r="E52" s="52"/>
      <c r="F52" s="52"/>
      <c r="G52" s="52"/>
      <c r="H52" s="52"/>
      <c r="I52" s="52"/>
      <c r="J52" s="52"/>
      <c r="K52" s="52"/>
      <c r="L52" s="52"/>
    </row>
    <row r="53" spans="1:18">
      <c r="A53" s="52"/>
      <c r="B53" s="52"/>
      <c r="C53" s="52"/>
      <c r="D53" s="129" t="s">
        <v>289</v>
      </c>
      <c r="E53" s="52"/>
      <c r="F53" s="52"/>
      <c r="G53" s="52"/>
      <c r="H53" s="52"/>
      <c r="I53" s="52"/>
      <c r="J53" s="52"/>
      <c r="K53" s="52"/>
      <c r="L53" s="52"/>
    </row>
    <row r="54" spans="1:18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</row>
    <row r="55" spans="1:18">
      <c r="A55" s="52"/>
      <c r="B55" s="52" t="s">
        <v>302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</row>
    <row r="56" spans="1:18">
      <c r="A56" s="52"/>
      <c r="B56" s="52"/>
      <c r="C56" s="52"/>
      <c r="D56" s="52" t="s">
        <v>303</v>
      </c>
      <c r="E56" s="52"/>
      <c r="F56" s="52"/>
      <c r="G56" s="52"/>
      <c r="H56" s="52"/>
      <c r="I56" s="52"/>
      <c r="J56" s="129" t="s">
        <v>288</v>
      </c>
      <c r="K56" s="52"/>
      <c r="L56" s="52"/>
    </row>
    <row r="57" spans="1:18">
      <c r="A57" s="52"/>
      <c r="B57" s="52"/>
      <c r="C57" s="52"/>
      <c r="D57" s="52" t="s">
        <v>304</v>
      </c>
      <c r="E57" s="52"/>
      <c r="F57" s="52"/>
      <c r="G57" s="52"/>
      <c r="H57" s="52"/>
      <c r="I57" s="52"/>
      <c r="J57" s="52"/>
      <c r="K57" s="52"/>
      <c r="L57" s="52"/>
    </row>
    <row r="58" spans="1:18">
      <c r="A58" s="52"/>
      <c r="B58" s="52"/>
      <c r="C58" s="52"/>
      <c r="D58" s="129" t="s">
        <v>292</v>
      </c>
      <c r="E58" s="52"/>
      <c r="F58" s="52"/>
      <c r="G58" s="52"/>
      <c r="H58" s="52"/>
      <c r="I58" s="52"/>
      <c r="J58" s="52"/>
      <c r="K58" s="52"/>
      <c r="L58" s="52"/>
    </row>
    <row r="59" spans="1:18" ht="15.75" thickBot="1">
      <c r="B59" s="55"/>
      <c r="C59" s="55"/>
      <c r="D59" s="55"/>
      <c r="E59" s="55"/>
      <c r="F59" s="55"/>
      <c r="G59" s="55"/>
      <c r="H59" s="130" t="s">
        <v>170</v>
      </c>
      <c r="I59" s="55"/>
      <c r="J59" s="55"/>
      <c r="K59" s="55"/>
      <c r="L59" s="55"/>
      <c r="M59" s="55"/>
      <c r="N59" s="130" t="s">
        <v>169</v>
      </c>
      <c r="O59" s="55"/>
      <c r="P59" s="55"/>
      <c r="Q59" s="55"/>
      <c r="R59" s="55"/>
    </row>
    <row r="60" spans="1:18" ht="19.5" thickBot="1">
      <c r="B60" s="215" t="s">
        <v>101</v>
      </c>
      <c r="C60" s="216" t="s">
        <v>293</v>
      </c>
      <c r="D60" s="217" t="s">
        <v>294</v>
      </c>
      <c r="E60" s="217" t="s">
        <v>295</v>
      </c>
      <c r="F60" s="218" t="s">
        <v>296</v>
      </c>
      <c r="G60" s="55"/>
      <c r="H60" s="241" t="s">
        <v>101</v>
      </c>
      <c r="I60" s="242" t="s">
        <v>293</v>
      </c>
      <c r="J60" s="243" t="s">
        <v>294</v>
      </c>
      <c r="K60" s="243" t="s">
        <v>295</v>
      </c>
      <c r="L60" s="244" t="s">
        <v>296</v>
      </c>
      <c r="M60" s="135"/>
      <c r="N60" s="241" t="s">
        <v>101</v>
      </c>
      <c r="O60" s="242" t="s">
        <v>293</v>
      </c>
      <c r="P60" s="243" t="s">
        <v>294</v>
      </c>
      <c r="Q60" s="243" t="s">
        <v>295</v>
      </c>
      <c r="R60" s="244" t="s">
        <v>296</v>
      </c>
    </row>
    <row r="61" spans="1:18" ht="15.75">
      <c r="B61" s="219">
        <v>1</v>
      </c>
      <c r="C61" s="220">
        <f>34+43+42+27</f>
        <v>146</v>
      </c>
      <c r="D61" s="220">
        <f>SUM(C61:C62)</f>
        <v>345</v>
      </c>
      <c r="E61" s="220">
        <f>SUM(D61:D62)</f>
        <v>833</v>
      </c>
      <c r="F61" s="221">
        <f>SUM(E61:E62)</f>
        <v>1701</v>
      </c>
      <c r="G61" s="55"/>
      <c r="H61" s="245">
        <v>1</v>
      </c>
      <c r="I61" s="246">
        <f>43+42+27</f>
        <v>112</v>
      </c>
      <c r="J61" s="246">
        <f>SUM(I61:I62)</f>
        <v>256</v>
      </c>
      <c r="K61" s="246">
        <f>SUM(J61:J62)</f>
        <v>610</v>
      </c>
      <c r="L61" s="247">
        <f>SUM(K61:K62)</f>
        <v>1231</v>
      </c>
      <c r="M61" s="135"/>
      <c r="N61" s="245">
        <v>1</v>
      </c>
      <c r="O61" s="246">
        <f>34+42+27</f>
        <v>103</v>
      </c>
      <c r="P61" s="246">
        <f>SUM(O61:O62)</f>
        <v>261</v>
      </c>
      <c r="Q61" s="246">
        <f>SUM(P61:P62)</f>
        <v>625</v>
      </c>
      <c r="R61" s="247">
        <f>SUM(Q61:Q62)</f>
        <v>1329</v>
      </c>
    </row>
    <row r="62" spans="1:18" ht="15.75">
      <c r="B62" s="222" t="s">
        <v>150</v>
      </c>
      <c r="C62" s="223">
        <f>55+41+54+49</f>
        <v>199</v>
      </c>
      <c r="D62" s="223">
        <f>SUM(C63:C64)</f>
        <v>488</v>
      </c>
      <c r="E62" s="223">
        <f>SUM(D63:D64)</f>
        <v>868</v>
      </c>
      <c r="F62" s="224">
        <f>SUM(E63:E64)</f>
        <v>341</v>
      </c>
      <c r="G62" s="55"/>
      <c r="H62" s="249" t="s">
        <v>150</v>
      </c>
      <c r="I62" s="248">
        <f>41+54+49</f>
        <v>144</v>
      </c>
      <c r="J62" s="248">
        <f>SUM(I63:I64)</f>
        <v>354</v>
      </c>
      <c r="K62" s="248">
        <f>SUM(J63:J64)</f>
        <v>621</v>
      </c>
      <c r="L62" s="250">
        <f>SUM(K63:K64)</f>
        <v>257</v>
      </c>
      <c r="M62" s="135"/>
      <c r="N62" s="249" t="s">
        <v>150</v>
      </c>
      <c r="O62" s="248">
        <f>55+54+49</f>
        <v>158</v>
      </c>
      <c r="P62" s="248">
        <f>SUM(O63:O64)</f>
        <v>364</v>
      </c>
      <c r="Q62" s="248">
        <f>SUM(P63:P64)</f>
        <v>704</v>
      </c>
      <c r="R62" s="250">
        <f>SUM(Q63:Q64)</f>
        <v>265</v>
      </c>
    </row>
    <row r="63" spans="1:18" ht="15.75">
      <c r="B63" s="222" t="s">
        <v>4</v>
      </c>
      <c r="C63" s="223">
        <f>53+52+50+43</f>
        <v>198</v>
      </c>
      <c r="D63" s="223">
        <f>SUM(C65:C66)</f>
        <v>362</v>
      </c>
      <c r="E63" s="223">
        <f>SUM(D65:D66)</f>
        <v>145</v>
      </c>
      <c r="F63" s="224">
        <f>SUM(E65:E66)</f>
        <v>287</v>
      </c>
      <c r="G63" s="55"/>
      <c r="H63" s="249" t="s">
        <v>4</v>
      </c>
      <c r="I63" s="248">
        <f>52+50+43</f>
        <v>145</v>
      </c>
      <c r="J63" s="248">
        <f>SUM(I65:I66)</f>
        <v>269</v>
      </c>
      <c r="K63" s="248">
        <f>SUM(J65:J66)</f>
        <v>96</v>
      </c>
      <c r="L63" s="250">
        <f>SUM(K65:K66)</f>
        <v>181</v>
      </c>
      <c r="M63" s="135"/>
      <c r="N63" s="249" t="s">
        <v>4</v>
      </c>
      <c r="O63" s="248">
        <f>53+50+43</f>
        <v>146</v>
      </c>
      <c r="P63" s="248">
        <f>SUM(O65:O66)</f>
        <v>283</v>
      </c>
      <c r="Q63" s="248">
        <f>SUM(P65:P66)</f>
        <v>127</v>
      </c>
      <c r="R63" s="250">
        <f>SUM(Q65:Q66)</f>
        <v>241</v>
      </c>
    </row>
    <row r="64" spans="1:18" ht="15.75">
      <c r="B64" s="222" t="s">
        <v>148</v>
      </c>
      <c r="C64" s="223">
        <f>81+72+72+65</f>
        <v>290</v>
      </c>
      <c r="D64" s="223">
        <f>SUM(C67:C68)</f>
        <v>506</v>
      </c>
      <c r="E64" s="223">
        <f>SUM(D67:D68)</f>
        <v>196</v>
      </c>
      <c r="F64" s="224">
        <f>SUM(E67:E68)</f>
        <v>107</v>
      </c>
      <c r="G64" s="55"/>
      <c r="H64" s="249" t="s">
        <v>148</v>
      </c>
      <c r="I64" s="248">
        <f>72+72+65</f>
        <v>209</v>
      </c>
      <c r="J64" s="248">
        <f>SUM(I67:I68)</f>
        <v>352</v>
      </c>
      <c r="K64" s="248">
        <f>SUM(J67:J68)</f>
        <v>161</v>
      </c>
      <c r="L64" s="250">
        <f>SUM(K67:K68)</f>
        <v>111</v>
      </c>
      <c r="M64" s="135"/>
      <c r="N64" s="249" t="s">
        <v>148</v>
      </c>
      <c r="O64" s="248">
        <f>81+72+65</f>
        <v>218</v>
      </c>
      <c r="P64" s="248">
        <f>SUM(O67:O68)</f>
        <v>421</v>
      </c>
      <c r="Q64" s="248">
        <f>SUM(P67:P68)</f>
        <v>138</v>
      </c>
      <c r="R64" s="250">
        <f>SUM(Q67:Q68)</f>
        <v>17</v>
      </c>
    </row>
    <row r="65" spans="2:18" ht="15.75">
      <c r="B65" s="222" t="s">
        <v>9</v>
      </c>
      <c r="C65" s="223">
        <f>35+42+40+32</f>
        <v>149</v>
      </c>
      <c r="D65" s="223">
        <f>C62-C61</f>
        <v>53</v>
      </c>
      <c r="E65" s="223">
        <f>D62-D61</f>
        <v>143</v>
      </c>
      <c r="F65" s="224">
        <f>E62-E61</f>
        <v>35</v>
      </c>
      <c r="G65" s="55"/>
      <c r="H65" s="249" t="s">
        <v>9</v>
      </c>
      <c r="I65" s="248">
        <f>42+40+32</f>
        <v>114</v>
      </c>
      <c r="J65" s="248">
        <f>I62-I61</f>
        <v>32</v>
      </c>
      <c r="K65" s="248">
        <f>J62-J61</f>
        <v>98</v>
      </c>
      <c r="L65" s="250">
        <f>K62-K61</f>
        <v>11</v>
      </c>
      <c r="M65" s="135"/>
      <c r="N65" s="249" t="s">
        <v>9</v>
      </c>
      <c r="O65" s="248">
        <f>35+40+32</f>
        <v>107</v>
      </c>
      <c r="P65" s="248">
        <f>O62-O61</f>
        <v>55</v>
      </c>
      <c r="Q65" s="248">
        <f>P62-P61</f>
        <v>103</v>
      </c>
      <c r="R65" s="250">
        <f>Q62-Q61</f>
        <v>79</v>
      </c>
    </row>
    <row r="66" spans="2:18" ht="15.75">
      <c r="B66" s="222" t="s">
        <v>147</v>
      </c>
      <c r="C66" s="223">
        <f>58+37+58+60</f>
        <v>213</v>
      </c>
      <c r="D66" s="223">
        <f>C64-C63</f>
        <v>92</v>
      </c>
      <c r="E66" s="223">
        <f>D64-D63</f>
        <v>144</v>
      </c>
      <c r="F66" s="224">
        <f>E64-E63</f>
        <v>51</v>
      </c>
      <c r="G66" s="55"/>
      <c r="H66" s="249" t="s">
        <v>147</v>
      </c>
      <c r="I66" s="248">
        <f>37+58+60</f>
        <v>155</v>
      </c>
      <c r="J66" s="248">
        <f>I64-I63</f>
        <v>64</v>
      </c>
      <c r="K66" s="248">
        <f>J64-J63</f>
        <v>83</v>
      </c>
      <c r="L66" s="250">
        <f>K64-K63</f>
        <v>65</v>
      </c>
      <c r="M66" s="135"/>
      <c r="N66" s="249" t="s">
        <v>147</v>
      </c>
      <c r="O66" s="248">
        <f>58+58+60</f>
        <v>176</v>
      </c>
      <c r="P66" s="248">
        <f>O64-O63</f>
        <v>72</v>
      </c>
      <c r="Q66" s="248">
        <f>P64-P63</f>
        <v>138</v>
      </c>
      <c r="R66" s="250">
        <f>Q64-Q63</f>
        <v>11</v>
      </c>
    </row>
    <row r="67" spans="2:18" ht="15.75">
      <c r="B67" s="222" t="s">
        <v>10</v>
      </c>
      <c r="C67" s="223">
        <f>71+11+53+52</f>
        <v>187</v>
      </c>
      <c r="D67" s="223">
        <f>C66-C65</f>
        <v>64</v>
      </c>
      <c r="E67" s="223">
        <f>D66-D65</f>
        <v>39</v>
      </c>
      <c r="F67" s="224">
        <f>E66-E65</f>
        <v>1</v>
      </c>
      <c r="G67" s="55"/>
      <c r="H67" s="249" t="s">
        <v>10</v>
      </c>
      <c r="I67" s="248">
        <f>11+53+52</f>
        <v>116</v>
      </c>
      <c r="J67" s="248">
        <f>I66-I65</f>
        <v>41</v>
      </c>
      <c r="K67" s="248">
        <f>J66-J65</f>
        <v>32</v>
      </c>
      <c r="L67" s="250">
        <f>K66-K65</f>
        <v>-15</v>
      </c>
      <c r="M67" s="135"/>
      <c r="N67" s="249" t="s">
        <v>10</v>
      </c>
      <c r="O67" s="248">
        <f>71+53+52</f>
        <v>176</v>
      </c>
      <c r="P67" s="248">
        <f>O66-O65</f>
        <v>69</v>
      </c>
      <c r="Q67" s="248">
        <f>P66-P65</f>
        <v>17</v>
      </c>
      <c r="R67" s="250">
        <f>Q66-Q65</f>
        <v>35</v>
      </c>
    </row>
    <row r="68" spans="2:18" ht="16.5" thickBot="1">
      <c r="B68" s="225" t="s">
        <v>146</v>
      </c>
      <c r="C68" s="226">
        <f>83+74+80+82</f>
        <v>319</v>
      </c>
      <c r="D68" s="226">
        <f>C68-C67</f>
        <v>132</v>
      </c>
      <c r="E68" s="226">
        <f>D68-D67</f>
        <v>68</v>
      </c>
      <c r="F68" s="227">
        <f>E68-E67</f>
        <v>29</v>
      </c>
      <c r="G68" s="55"/>
      <c r="H68" s="251" t="s">
        <v>146</v>
      </c>
      <c r="I68" s="252">
        <f>74+80+82</f>
        <v>236</v>
      </c>
      <c r="J68" s="252">
        <f>I68-I67</f>
        <v>120</v>
      </c>
      <c r="K68" s="252">
        <f>J68-J67</f>
        <v>79</v>
      </c>
      <c r="L68" s="253">
        <f>K68-K67</f>
        <v>47</v>
      </c>
      <c r="M68" s="135"/>
      <c r="N68" s="251" t="s">
        <v>146</v>
      </c>
      <c r="O68" s="252">
        <f>83+80+82</f>
        <v>245</v>
      </c>
      <c r="P68" s="252">
        <f>O68-O67</f>
        <v>69</v>
      </c>
      <c r="Q68" s="252">
        <f>P68-P67</f>
        <v>0</v>
      </c>
      <c r="R68" s="253">
        <f>Q68-Q67</f>
        <v>-17</v>
      </c>
    </row>
    <row r="69" spans="2:18"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spans="2:18" ht="16.899999999999999" customHeight="1" thickBot="1">
      <c r="B70" s="255" t="s">
        <v>168</v>
      </c>
      <c r="C70" s="134"/>
      <c r="D70" s="134"/>
      <c r="E70" s="134"/>
      <c r="F70" s="134"/>
      <c r="G70" s="134"/>
      <c r="H70" s="255" t="s">
        <v>167</v>
      </c>
      <c r="I70" s="134"/>
      <c r="J70" s="134"/>
      <c r="K70" s="134"/>
      <c r="L70" s="134"/>
      <c r="M70" s="55"/>
      <c r="N70" s="55"/>
      <c r="O70" s="55"/>
      <c r="P70" s="55"/>
      <c r="Q70" s="55"/>
      <c r="R70" s="55"/>
    </row>
    <row r="71" spans="2:18" s="94" customFormat="1" ht="19.5" thickBot="1">
      <c r="B71" s="231" t="s">
        <v>101</v>
      </c>
      <c r="C71" s="232" t="s">
        <v>293</v>
      </c>
      <c r="D71" s="233" t="s">
        <v>294</v>
      </c>
      <c r="E71" s="233" t="s">
        <v>295</v>
      </c>
      <c r="F71" s="234" t="s">
        <v>296</v>
      </c>
      <c r="G71" s="254"/>
      <c r="H71" s="231" t="s">
        <v>101</v>
      </c>
      <c r="I71" s="232" t="s">
        <v>293</v>
      </c>
      <c r="J71" s="233" t="s">
        <v>294</v>
      </c>
      <c r="K71" s="233" t="s">
        <v>295</v>
      </c>
      <c r="L71" s="234" t="s">
        <v>296</v>
      </c>
      <c r="M71" s="130"/>
      <c r="N71" s="130"/>
      <c r="O71" s="130"/>
      <c r="P71" s="130"/>
      <c r="Q71" s="130"/>
      <c r="R71" s="130"/>
    </row>
    <row r="72" spans="2:18" ht="15.75">
      <c r="B72" s="230">
        <v>1</v>
      </c>
      <c r="C72" s="235">
        <f>34+43+27</f>
        <v>104</v>
      </c>
      <c r="D72" s="235">
        <f>SUM(C72:C73)</f>
        <v>249</v>
      </c>
      <c r="E72" s="235">
        <f>SUM(D72:D73)</f>
        <v>615</v>
      </c>
      <c r="F72" s="236">
        <f>SUM(E72:E73)</f>
        <v>1252</v>
      </c>
      <c r="G72" s="134"/>
      <c r="H72" s="230">
        <v>1</v>
      </c>
      <c r="I72" s="235">
        <f>34+43+42</f>
        <v>119</v>
      </c>
      <c r="J72" s="235">
        <f>SUM(I72:I73)</f>
        <v>269</v>
      </c>
      <c r="K72" s="235">
        <f>SUM(J72:J73)</f>
        <v>649</v>
      </c>
      <c r="L72" s="236">
        <f>SUM(K72:K73)</f>
        <v>1291</v>
      </c>
      <c r="M72" s="55"/>
      <c r="N72" s="55"/>
      <c r="O72" s="55"/>
      <c r="P72" s="55"/>
      <c r="Q72" s="55"/>
      <c r="R72" s="55"/>
    </row>
    <row r="73" spans="2:18" ht="15.75">
      <c r="B73" s="228" t="s">
        <v>150</v>
      </c>
      <c r="C73" s="237">
        <f>55+41+49</f>
        <v>145</v>
      </c>
      <c r="D73" s="237">
        <f>SUM(C74:C75)</f>
        <v>366</v>
      </c>
      <c r="E73" s="237">
        <f>SUM(D74:D75)</f>
        <v>637</v>
      </c>
      <c r="F73" s="238">
        <f>SUM(E74:E75)</f>
        <v>262</v>
      </c>
      <c r="G73" s="134"/>
      <c r="H73" s="228" t="s">
        <v>150</v>
      </c>
      <c r="I73" s="237">
        <f>55+41+54</f>
        <v>150</v>
      </c>
      <c r="J73" s="237">
        <f>SUM(I74:I75)</f>
        <v>380</v>
      </c>
      <c r="K73" s="237">
        <f>SUM(J74:J75)</f>
        <v>642</v>
      </c>
      <c r="L73" s="238">
        <f>SUM(K74:K75)</f>
        <v>239</v>
      </c>
      <c r="M73" s="55"/>
      <c r="N73" s="55"/>
      <c r="O73" s="55"/>
      <c r="P73" s="55"/>
      <c r="Q73" s="55"/>
      <c r="R73" s="55"/>
    </row>
    <row r="74" spans="2:18" ht="15.75">
      <c r="B74" s="228" t="s">
        <v>4</v>
      </c>
      <c r="C74" s="237">
        <f>53+52+43</f>
        <v>148</v>
      </c>
      <c r="D74" s="237">
        <f>SUM(C76:C77)</f>
        <v>264</v>
      </c>
      <c r="E74" s="237">
        <f>SUM(D76:D77)</f>
        <v>111</v>
      </c>
      <c r="F74" s="238">
        <f>SUM(E76:E77)</f>
        <v>226</v>
      </c>
      <c r="G74" s="134"/>
      <c r="H74" s="228" t="s">
        <v>4</v>
      </c>
      <c r="I74" s="237">
        <f>53+52+50</f>
        <v>155</v>
      </c>
      <c r="J74" s="237">
        <f>SUM(I76:I77)</f>
        <v>270</v>
      </c>
      <c r="K74" s="237">
        <f>SUM(J76:J77)</f>
        <v>101</v>
      </c>
      <c r="L74" s="238">
        <f>SUM(K76:K77)</f>
        <v>213</v>
      </c>
      <c r="M74" s="55"/>
      <c r="N74" s="55"/>
      <c r="O74" s="55"/>
      <c r="P74" s="55"/>
      <c r="Q74" s="55"/>
      <c r="R74" s="55"/>
    </row>
    <row r="75" spans="2:18" ht="15.75">
      <c r="B75" s="228" t="s">
        <v>148</v>
      </c>
      <c r="C75" s="237">
        <f>81+72+65</f>
        <v>218</v>
      </c>
      <c r="D75" s="237">
        <f>SUM(C78:C79)</f>
        <v>373</v>
      </c>
      <c r="E75" s="237">
        <f>SUM(D78:D79)</f>
        <v>151</v>
      </c>
      <c r="F75" s="238">
        <f>SUM(E78:E79)</f>
        <v>88</v>
      </c>
      <c r="G75" s="134"/>
      <c r="H75" s="228" t="s">
        <v>148</v>
      </c>
      <c r="I75" s="237">
        <f>81+72+72</f>
        <v>225</v>
      </c>
      <c r="J75" s="237">
        <f>SUM(I78:I79)</f>
        <v>372</v>
      </c>
      <c r="K75" s="237">
        <f>SUM(J78:J79)</f>
        <v>138</v>
      </c>
      <c r="L75" s="238">
        <f>SUM(K78:K79)</f>
        <v>105</v>
      </c>
      <c r="M75" s="55"/>
      <c r="N75" s="55"/>
      <c r="O75" s="55"/>
      <c r="P75" s="55"/>
      <c r="Q75" s="55"/>
      <c r="R75" s="55"/>
    </row>
    <row r="76" spans="2:18" ht="15.75">
      <c r="B76" s="228" t="s">
        <v>9</v>
      </c>
      <c r="C76" s="237">
        <f>35+42+32</f>
        <v>109</v>
      </c>
      <c r="D76" s="237">
        <f>C73-C72</f>
        <v>41</v>
      </c>
      <c r="E76" s="237">
        <f>D73-D72</f>
        <v>117</v>
      </c>
      <c r="F76" s="238">
        <f>E73-E72</f>
        <v>22</v>
      </c>
      <c r="G76" s="134"/>
      <c r="H76" s="228" t="s">
        <v>9</v>
      </c>
      <c r="I76" s="237">
        <f>35+42+40</f>
        <v>117</v>
      </c>
      <c r="J76" s="237">
        <f>I73-I72</f>
        <v>31</v>
      </c>
      <c r="K76" s="237">
        <f>J73-J72</f>
        <v>111</v>
      </c>
      <c r="L76" s="238">
        <f>K73-K72</f>
        <v>-7</v>
      </c>
      <c r="M76" s="55"/>
      <c r="N76" s="55"/>
      <c r="O76" s="55"/>
      <c r="P76" s="55"/>
      <c r="Q76" s="55"/>
      <c r="R76" s="55"/>
    </row>
    <row r="77" spans="2:18" ht="15.75">
      <c r="B77" s="228" t="s">
        <v>147</v>
      </c>
      <c r="C77" s="237">
        <f>58+37+60</f>
        <v>155</v>
      </c>
      <c r="D77" s="237">
        <f>C75-C74</f>
        <v>70</v>
      </c>
      <c r="E77" s="237">
        <f>D75-D74</f>
        <v>109</v>
      </c>
      <c r="F77" s="238">
        <f>E75-E74</f>
        <v>40</v>
      </c>
      <c r="G77" s="134"/>
      <c r="H77" s="228" t="s">
        <v>147</v>
      </c>
      <c r="I77" s="237">
        <f>58+37+58</f>
        <v>153</v>
      </c>
      <c r="J77" s="237">
        <f>I75-I74</f>
        <v>70</v>
      </c>
      <c r="K77" s="237">
        <f>J75-J74</f>
        <v>102</v>
      </c>
      <c r="L77" s="238">
        <f>K75-K74</f>
        <v>37</v>
      </c>
      <c r="M77" s="55"/>
      <c r="N77" s="55"/>
      <c r="O77" s="55"/>
      <c r="P77" s="55"/>
      <c r="Q77" s="55"/>
      <c r="R77" s="55"/>
    </row>
    <row r="78" spans="2:18" ht="15.75">
      <c r="B78" s="228" t="s">
        <v>10</v>
      </c>
      <c r="C78" s="237">
        <f>71+11+52</f>
        <v>134</v>
      </c>
      <c r="D78" s="237">
        <f>C77-C76</f>
        <v>46</v>
      </c>
      <c r="E78" s="237">
        <f>D77-D76</f>
        <v>29</v>
      </c>
      <c r="F78" s="238">
        <f>E77-E76</f>
        <v>-8</v>
      </c>
      <c r="G78" s="134"/>
      <c r="H78" s="228" t="s">
        <v>10</v>
      </c>
      <c r="I78" s="237">
        <f>71+11+53</f>
        <v>135</v>
      </c>
      <c r="J78" s="237">
        <f>I77-I76</f>
        <v>36</v>
      </c>
      <c r="K78" s="237">
        <f>J77-J76</f>
        <v>39</v>
      </c>
      <c r="L78" s="238">
        <f>K77-K76</f>
        <v>-9</v>
      </c>
      <c r="M78" s="55"/>
      <c r="N78" s="55"/>
      <c r="O78" s="55"/>
      <c r="P78" s="55"/>
      <c r="Q78" s="55"/>
      <c r="R78" s="55"/>
    </row>
    <row r="79" spans="2:18" ht="16.5" thickBot="1">
      <c r="B79" s="229" t="s">
        <v>146</v>
      </c>
      <c r="C79" s="239">
        <f>83+74+82</f>
        <v>239</v>
      </c>
      <c r="D79" s="239">
        <f>C79-C78</f>
        <v>105</v>
      </c>
      <c r="E79" s="239">
        <f>D79-D78</f>
        <v>59</v>
      </c>
      <c r="F79" s="240">
        <f>E79-E78</f>
        <v>30</v>
      </c>
      <c r="G79" s="134"/>
      <c r="H79" s="229" t="s">
        <v>146</v>
      </c>
      <c r="I79" s="239">
        <f>83+74+80</f>
        <v>237</v>
      </c>
      <c r="J79" s="239">
        <f>I79-I78</f>
        <v>102</v>
      </c>
      <c r="K79" s="239">
        <f>J79-J78</f>
        <v>66</v>
      </c>
      <c r="L79" s="240">
        <f>K79-K78</f>
        <v>27</v>
      </c>
      <c r="M79" s="55"/>
      <c r="N79" s="55"/>
      <c r="O79" s="55"/>
      <c r="P79" s="55"/>
      <c r="Q79" s="55"/>
      <c r="R79" s="55"/>
    </row>
    <row r="80" spans="2:18" ht="15.75" thickBot="1"/>
    <row r="81" spans="2:14" ht="45.6" customHeight="1" thickBot="1">
      <c r="B81" s="257" t="s">
        <v>166</v>
      </c>
      <c r="C81" s="258" t="s">
        <v>165</v>
      </c>
      <c r="D81" s="258" t="s">
        <v>164</v>
      </c>
      <c r="E81" s="259" t="s">
        <v>163</v>
      </c>
      <c r="F81" s="260" t="s">
        <v>155</v>
      </c>
    </row>
    <row r="82" spans="2:14" ht="16.5" thickBot="1">
      <c r="B82" s="261" t="s">
        <v>148</v>
      </c>
      <c r="C82" s="214" t="s">
        <v>162</v>
      </c>
      <c r="D82" s="260">
        <v>88</v>
      </c>
      <c r="E82" s="214">
        <v>24</v>
      </c>
      <c r="F82" s="262">
        <f>D82^2/E82</f>
        <v>322.66666666666669</v>
      </c>
      <c r="I82">
        <f>32-8</f>
        <v>24</v>
      </c>
    </row>
    <row r="83" spans="2:14" ht="16.5" thickBot="1">
      <c r="B83" s="261" t="s">
        <v>147</v>
      </c>
      <c r="C83" s="214" t="s">
        <v>161</v>
      </c>
      <c r="D83" s="260">
        <v>37</v>
      </c>
      <c r="E83" s="214">
        <v>24</v>
      </c>
      <c r="F83" s="262">
        <f>D83^2/E83</f>
        <v>57.041666666666664</v>
      </c>
      <c r="I83" t="s">
        <v>160</v>
      </c>
      <c r="N83">
        <f>2^3*(4-1)</f>
        <v>24</v>
      </c>
    </row>
    <row r="84" spans="2:14" ht="16.5" thickBot="1">
      <c r="B84" s="261" t="s">
        <v>10</v>
      </c>
      <c r="C84" s="214" t="s">
        <v>159</v>
      </c>
      <c r="D84" s="260">
        <v>35</v>
      </c>
      <c r="E84" s="214">
        <v>24</v>
      </c>
      <c r="F84" s="262">
        <f>D84^2/E84</f>
        <v>51.041666666666664</v>
      </c>
      <c r="I84" t="s">
        <v>158</v>
      </c>
      <c r="N84" t="s">
        <v>157</v>
      </c>
    </row>
    <row r="85" spans="2:14" ht="16.5" thickBot="1">
      <c r="B85" s="261" t="s">
        <v>146</v>
      </c>
      <c r="C85" s="214" t="s">
        <v>156</v>
      </c>
      <c r="D85" s="260">
        <v>47</v>
      </c>
      <c r="E85" s="214">
        <v>24</v>
      </c>
      <c r="F85" s="262">
        <f>D85^2/E85</f>
        <v>92.041666666666671</v>
      </c>
    </row>
    <row r="86" spans="2:14">
      <c r="F86" s="298"/>
    </row>
    <row r="87" spans="2:14" ht="15.75">
      <c r="B87" s="160"/>
      <c r="C87" s="160"/>
      <c r="E87" s="93"/>
      <c r="F87" s="92"/>
      <c r="G87" s="61"/>
      <c r="H87" s="92"/>
      <c r="I87" s="61"/>
    </row>
    <row r="88" spans="2:14" ht="15.75">
      <c r="B88" s="160"/>
      <c r="C88" s="160"/>
      <c r="D88" s="159">
        <f>F61^2/(4*8)</f>
        <v>90418.78125</v>
      </c>
      <c r="G88" s="61"/>
      <c r="H88" s="92"/>
      <c r="I88" s="61"/>
    </row>
    <row r="89" spans="2:14" ht="15.75">
      <c r="B89" s="160"/>
      <c r="C89" s="160"/>
      <c r="G89" s="91"/>
      <c r="H89" s="92"/>
      <c r="I89" s="61"/>
    </row>
    <row r="90" spans="2:14" ht="15.75">
      <c r="B90" s="61"/>
      <c r="C90" s="61"/>
      <c r="D90" s="61"/>
      <c r="G90" s="61"/>
      <c r="H90" s="61"/>
      <c r="I90" s="61"/>
    </row>
    <row r="91" spans="2:14" ht="15.75">
      <c r="B91" s="160"/>
      <c r="C91" s="160"/>
      <c r="D91" s="160"/>
      <c r="H91" s="61"/>
      <c r="I91" s="61"/>
    </row>
    <row r="92" spans="2:14" ht="15.75">
      <c r="B92" s="160"/>
      <c r="C92" s="160"/>
      <c r="D92" s="160"/>
      <c r="E92" s="163">
        <f>SUMSQ(B33:I33)/4-D88</f>
        <v>958.96875</v>
      </c>
      <c r="H92" s="61"/>
      <c r="I92" s="61"/>
    </row>
    <row r="93" spans="2:14" ht="15.75">
      <c r="B93" s="160"/>
      <c r="C93" s="160"/>
      <c r="D93" s="160"/>
      <c r="H93" s="91"/>
      <c r="I93" s="61"/>
    </row>
    <row r="94" spans="2:14" ht="15.75">
      <c r="B94" s="61"/>
      <c r="C94" s="61"/>
      <c r="D94" s="61"/>
      <c r="H94" s="61"/>
      <c r="I94" s="61"/>
    </row>
    <row r="95" spans="2:14" ht="15.75">
      <c r="B95" s="160"/>
      <c r="C95" s="160"/>
      <c r="D95" s="160"/>
      <c r="H95" s="61"/>
      <c r="I95" s="61"/>
    </row>
    <row r="96" spans="2:14" ht="15.75">
      <c r="B96" s="160"/>
      <c r="C96" s="160"/>
      <c r="D96" s="160"/>
      <c r="E96" s="163">
        <f>SUMSQ(C35:C38)/8-D88</f>
        <v>704.34375</v>
      </c>
      <c r="H96" s="61"/>
      <c r="I96" s="61"/>
    </row>
    <row r="97" spans="2:9" ht="15.75">
      <c r="B97" s="160"/>
      <c r="C97" s="160"/>
      <c r="D97" s="160"/>
      <c r="H97" s="91"/>
      <c r="I97" s="61"/>
    </row>
    <row r="98" spans="2:9" ht="15.75">
      <c r="B98" s="61"/>
      <c r="C98" s="61"/>
      <c r="D98" s="61"/>
      <c r="H98" s="61"/>
      <c r="I98" s="61"/>
    </row>
    <row r="99" spans="2:9" ht="15.75">
      <c r="B99" s="160"/>
      <c r="C99" s="160"/>
      <c r="D99" s="160"/>
      <c r="H99" s="61"/>
      <c r="I99" s="61"/>
    </row>
    <row r="100" spans="2:9" ht="15.75">
      <c r="B100" s="160"/>
      <c r="C100" s="160"/>
      <c r="D100" s="160"/>
      <c r="E100" s="163">
        <f>SUMSQ(B29:I32)-D88</f>
        <v>9592.21875</v>
      </c>
      <c r="H100" s="61"/>
      <c r="I100" s="61"/>
    </row>
    <row r="101" spans="2:9" ht="15.75">
      <c r="B101" s="160"/>
      <c r="C101" s="160"/>
      <c r="D101" s="160"/>
      <c r="H101" s="91"/>
      <c r="I101" s="61"/>
    </row>
    <row r="102" spans="2:9" ht="15.75">
      <c r="H102" s="61"/>
      <c r="I102" s="61"/>
    </row>
    <row r="103" spans="2:9" ht="15.75">
      <c r="B103" s="101"/>
    </row>
    <row r="104" spans="2:9" ht="16.5" thickBot="1">
      <c r="B104" s="164" t="s">
        <v>106</v>
      </c>
    </row>
    <row r="105" spans="2:9" ht="18.75" thickBot="1">
      <c r="B105" s="263" t="s">
        <v>105</v>
      </c>
      <c r="C105" s="264" t="s">
        <v>155</v>
      </c>
      <c r="D105" s="264" t="s">
        <v>154</v>
      </c>
      <c r="E105" s="264" t="s">
        <v>153</v>
      </c>
      <c r="F105" s="264" t="s">
        <v>152</v>
      </c>
      <c r="G105" s="264" t="s">
        <v>151</v>
      </c>
    </row>
    <row r="106" spans="2:9" ht="15.75" thickBot="1">
      <c r="B106" s="265" t="s">
        <v>104</v>
      </c>
      <c r="C106" s="102">
        <f>E96</f>
        <v>704.34375</v>
      </c>
      <c r="D106" s="102">
        <v>3</v>
      </c>
      <c r="E106" s="102">
        <f t="shared" ref="E106:E118" si="1">C106/D106</f>
        <v>234.78125</v>
      </c>
      <c r="F106" s="102">
        <f t="shared" ref="F106:F116" si="2">E106/$E$117</f>
        <v>2.1408265774196984</v>
      </c>
      <c r="G106" s="102">
        <f t="shared" ref="G106:G116" si="3">_xlfn.F.INV.RT(0.05,D106,$D$117)</f>
        <v>3.1967768409433446</v>
      </c>
    </row>
    <row r="107" spans="2:9" ht="30.75" thickBot="1">
      <c r="B107" s="266" t="s">
        <v>103</v>
      </c>
      <c r="C107" s="102">
        <f>C108-C106</f>
        <v>254.625</v>
      </c>
      <c r="D107" s="102">
        <v>4</v>
      </c>
      <c r="E107" s="102">
        <f t="shared" si="1"/>
        <v>63.65625</v>
      </c>
      <c r="F107" s="102">
        <f t="shared" si="2"/>
        <v>0.58044239827018851</v>
      </c>
      <c r="G107" s="102">
        <f t="shared" si="3"/>
        <v>2.9647081100410797</v>
      </c>
    </row>
    <row r="108" spans="2:9" ht="15.75" thickBot="1">
      <c r="B108" s="265" t="s">
        <v>102</v>
      </c>
      <c r="C108" s="102">
        <f>E92</f>
        <v>958.96875</v>
      </c>
      <c r="D108" s="102">
        <v>7</v>
      </c>
      <c r="E108" s="102">
        <f t="shared" si="1"/>
        <v>136.99553571428572</v>
      </c>
      <c r="F108" s="102">
        <f t="shared" si="2"/>
        <v>1.24917847504855</v>
      </c>
      <c r="G108" s="102">
        <f t="shared" si="3"/>
        <v>2.6142990451333183</v>
      </c>
    </row>
    <row r="109" spans="2:9" ht="15.75" thickBot="1">
      <c r="B109" s="265" t="s">
        <v>101</v>
      </c>
      <c r="C109" s="102">
        <f>SUM(C110:C116)</f>
        <v>6768.8854166666679</v>
      </c>
      <c r="D109" s="102">
        <v>7</v>
      </c>
      <c r="E109" s="102">
        <f t="shared" si="1"/>
        <v>966.98363095238108</v>
      </c>
      <c r="F109" s="102">
        <f t="shared" si="2"/>
        <v>8.8173321211666558</v>
      </c>
      <c r="G109" s="102">
        <f t="shared" si="3"/>
        <v>2.6142990451333183</v>
      </c>
    </row>
    <row r="110" spans="2:9" ht="16.5" thickBot="1">
      <c r="B110" s="99" t="s">
        <v>150</v>
      </c>
      <c r="C110" s="102">
        <f>F62^2/(8*4)</f>
        <v>3633.78125</v>
      </c>
      <c r="D110" s="102">
        <v>1</v>
      </c>
      <c r="E110" s="102">
        <f t="shared" si="1"/>
        <v>3633.78125</v>
      </c>
      <c r="F110" s="102">
        <f t="shared" si="2"/>
        <v>33.134228037926256</v>
      </c>
      <c r="G110" s="102">
        <f t="shared" si="3"/>
        <v>4.4513217724681331</v>
      </c>
    </row>
    <row r="111" spans="2:9" ht="15.75" thickBot="1">
      <c r="B111" s="100" t="s">
        <v>4</v>
      </c>
      <c r="C111" s="102">
        <f>F63^2/(8*4)</f>
        <v>2574.03125</v>
      </c>
      <c r="D111" s="102">
        <v>1</v>
      </c>
      <c r="E111" s="102">
        <f t="shared" si="1"/>
        <v>2574.03125</v>
      </c>
      <c r="F111" s="102">
        <f t="shared" si="2"/>
        <v>23.471016152733018</v>
      </c>
      <c r="G111" s="102">
        <f t="shared" si="3"/>
        <v>4.4513217724681331</v>
      </c>
    </row>
    <row r="112" spans="2:9" ht="16.5" thickBot="1">
      <c r="B112" s="99" t="s">
        <v>9</v>
      </c>
      <c r="C112" s="102">
        <f>F65^2/(8*4)</f>
        <v>38.28125</v>
      </c>
      <c r="D112" s="102">
        <v>1</v>
      </c>
      <c r="E112" s="102">
        <f t="shared" si="1"/>
        <v>38.28125</v>
      </c>
      <c r="F112" s="102">
        <f t="shared" si="2"/>
        <v>0.34906329792880753</v>
      </c>
      <c r="G112" s="102">
        <f t="shared" si="3"/>
        <v>4.4513217724681331</v>
      </c>
    </row>
    <row r="113" spans="2:14" ht="15.75" thickBot="1">
      <c r="B113" s="100" t="s">
        <v>148</v>
      </c>
      <c r="C113" s="102">
        <f>F82</f>
        <v>322.66666666666669</v>
      </c>
      <c r="D113" s="102">
        <v>1</v>
      </c>
      <c r="E113" s="102">
        <f t="shared" si="1"/>
        <v>322.66666666666669</v>
      </c>
      <c r="F113" s="102">
        <f t="shared" si="2"/>
        <v>2.9421999228959841</v>
      </c>
      <c r="G113" s="102">
        <f t="shared" si="3"/>
        <v>4.4513217724681331</v>
      </c>
    </row>
    <row r="114" spans="2:14" ht="16.5" thickBot="1">
      <c r="B114" s="99" t="s">
        <v>147</v>
      </c>
      <c r="C114" s="102">
        <f>F83</f>
        <v>57.041666666666664</v>
      </c>
      <c r="D114" s="102">
        <v>1</v>
      </c>
      <c r="E114" s="102">
        <f t="shared" si="1"/>
        <v>57.041666666666664</v>
      </c>
      <c r="F114" s="102">
        <f t="shared" si="2"/>
        <v>0.52012805971650333</v>
      </c>
      <c r="G114" s="102">
        <f t="shared" si="3"/>
        <v>4.4513217724681331</v>
      </c>
    </row>
    <row r="115" spans="2:14" ht="15.75" thickBot="1">
      <c r="B115" s="100" t="s">
        <v>10</v>
      </c>
      <c r="C115" s="102">
        <f>F84</f>
        <v>51.041666666666664</v>
      </c>
      <c r="D115" s="102">
        <v>1</v>
      </c>
      <c r="E115" s="102">
        <f t="shared" si="1"/>
        <v>51.041666666666664</v>
      </c>
      <c r="F115" s="102">
        <f t="shared" si="2"/>
        <v>0.46541773057174329</v>
      </c>
      <c r="G115" s="102">
        <f t="shared" si="3"/>
        <v>4.4513217724681331</v>
      </c>
    </row>
    <row r="116" spans="2:14" ht="16.5" thickBot="1">
      <c r="B116" s="99" t="s">
        <v>146</v>
      </c>
      <c r="C116" s="102">
        <f>F85</f>
        <v>92.041666666666671</v>
      </c>
      <c r="D116" s="102">
        <v>1</v>
      </c>
      <c r="E116" s="102">
        <f t="shared" si="1"/>
        <v>92.041666666666671</v>
      </c>
      <c r="F116" s="102">
        <f t="shared" si="2"/>
        <v>0.83927164639427032</v>
      </c>
      <c r="G116" s="102">
        <f t="shared" si="3"/>
        <v>4.4513217724681331</v>
      </c>
    </row>
    <row r="117" spans="2:14" ht="15.75" thickBot="1">
      <c r="B117" s="265" t="s">
        <v>34</v>
      </c>
      <c r="C117" s="102">
        <f>C118-C108-C109</f>
        <v>1864.3645833333321</v>
      </c>
      <c r="D117" s="102">
        <v>17</v>
      </c>
      <c r="E117" s="102">
        <f t="shared" si="1"/>
        <v>109.66850490196072</v>
      </c>
      <c r="F117" s="102"/>
      <c r="G117" s="102"/>
    </row>
    <row r="118" spans="2:14" ht="16.5" thickBot="1">
      <c r="B118" s="263" t="s">
        <v>35</v>
      </c>
      <c r="C118" s="102">
        <f>E100</f>
        <v>9592.21875</v>
      </c>
      <c r="D118" s="102">
        <v>31</v>
      </c>
      <c r="E118" s="102">
        <f t="shared" si="1"/>
        <v>309.42641129032256</v>
      </c>
      <c r="F118" s="102"/>
      <c r="G118" s="102"/>
    </row>
    <row r="120" spans="2:14" ht="21" thickBot="1">
      <c r="B120" s="272" t="s">
        <v>51</v>
      </c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52"/>
    </row>
    <row r="121" spans="2:14" ht="18.75">
      <c r="B121" s="182"/>
      <c r="C121" s="183" t="s">
        <v>256</v>
      </c>
      <c r="D121" s="183" t="s">
        <v>99</v>
      </c>
      <c r="E121" s="183"/>
      <c r="F121" s="183"/>
      <c r="G121" s="183"/>
      <c r="H121" s="183"/>
      <c r="I121" s="183"/>
      <c r="J121" s="183"/>
      <c r="K121" s="183"/>
      <c r="L121" s="185"/>
      <c r="M121" s="49"/>
      <c r="N121" s="52"/>
    </row>
    <row r="122" spans="2:14" ht="18.75">
      <c r="B122" s="186"/>
      <c r="C122" s="178" t="s">
        <v>257</v>
      </c>
      <c r="D122" s="178" t="s">
        <v>98</v>
      </c>
      <c r="E122" s="178"/>
      <c r="F122" s="178"/>
      <c r="G122" s="178"/>
      <c r="H122" s="178"/>
      <c r="I122" s="178"/>
      <c r="J122" s="178"/>
      <c r="K122" s="178"/>
      <c r="L122" s="187"/>
      <c r="M122" s="49"/>
      <c r="N122" s="52"/>
    </row>
    <row r="123" spans="2:14" ht="15.75">
      <c r="B123" s="186"/>
      <c r="C123" s="178"/>
      <c r="D123" s="178"/>
      <c r="E123" s="178"/>
      <c r="F123" s="178"/>
      <c r="G123" s="178"/>
      <c r="H123" s="178"/>
      <c r="I123" s="178"/>
      <c r="J123" s="178"/>
      <c r="K123" s="178"/>
      <c r="L123" s="187"/>
      <c r="M123" s="49"/>
      <c r="N123" s="52"/>
    </row>
    <row r="124" spans="2:14" ht="15.75">
      <c r="B124" s="186"/>
      <c r="C124" s="178" t="s">
        <v>58</v>
      </c>
      <c r="D124" s="269">
        <f>F108</f>
        <v>1.24917847504855</v>
      </c>
      <c r="E124" s="179"/>
      <c r="F124" s="178"/>
      <c r="G124" s="178"/>
      <c r="H124" s="178"/>
      <c r="I124" s="178"/>
      <c r="J124" s="178"/>
      <c r="K124" s="178"/>
      <c r="L124" s="187"/>
      <c r="M124" s="49"/>
      <c r="N124" s="52"/>
    </row>
    <row r="125" spans="2:14" ht="15.75">
      <c r="B125" s="186"/>
      <c r="C125" s="178" t="s">
        <v>59</v>
      </c>
      <c r="D125" s="269">
        <f>G108</f>
        <v>2.6142990451333183</v>
      </c>
      <c r="E125" s="178"/>
      <c r="F125" s="178"/>
      <c r="G125" s="178"/>
      <c r="H125" s="178"/>
      <c r="I125" s="178"/>
      <c r="J125" s="178"/>
      <c r="K125" s="178"/>
      <c r="L125" s="187"/>
      <c r="M125" s="49"/>
      <c r="N125" s="52"/>
    </row>
    <row r="126" spans="2:14" ht="15.75">
      <c r="B126" s="186"/>
      <c r="C126" s="178"/>
      <c r="D126" s="178"/>
      <c r="E126" s="178"/>
      <c r="F126" s="178"/>
      <c r="G126" s="178"/>
      <c r="H126" s="178"/>
      <c r="I126" s="178"/>
      <c r="J126" s="178"/>
      <c r="K126" s="178"/>
      <c r="L126" s="187"/>
      <c r="M126" s="49"/>
      <c r="N126" s="52"/>
    </row>
    <row r="127" spans="2:14" ht="18.75">
      <c r="B127" s="273" t="s">
        <v>53</v>
      </c>
      <c r="C127" s="178" t="s">
        <v>297</v>
      </c>
      <c r="D127" s="178"/>
      <c r="E127" s="178"/>
      <c r="F127" s="178"/>
      <c r="G127" s="178"/>
      <c r="H127" s="178"/>
      <c r="I127" s="178"/>
      <c r="J127" s="178"/>
      <c r="K127" s="178"/>
      <c r="L127" s="187"/>
      <c r="M127" s="49"/>
      <c r="N127" s="52"/>
    </row>
    <row r="128" spans="2:14" ht="16.5" thickBot="1">
      <c r="B128" s="192"/>
      <c r="C128" s="188" t="s">
        <v>61</v>
      </c>
      <c r="D128" s="188"/>
      <c r="E128" s="188"/>
      <c r="F128" s="188"/>
      <c r="G128" s="188"/>
      <c r="H128" s="188"/>
      <c r="I128" s="188"/>
      <c r="J128" s="188"/>
      <c r="K128" s="188"/>
      <c r="L128" s="190"/>
      <c r="M128" s="49"/>
      <c r="N128" s="52"/>
    </row>
    <row r="129" spans="2:14" ht="16.5" thickBot="1">
      <c r="B129" s="176"/>
      <c r="C129" s="62"/>
      <c r="D129" s="188"/>
      <c r="E129" s="62"/>
      <c r="F129" s="62"/>
      <c r="G129" s="62"/>
      <c r="H129" s="62"/>
      <c r="I129" s="62"/>
      <c r="J129" s="62"/>
      <c r="K129" s="62"/>
      <c r="L129" s="49"/>
      <c r="M129" s="49"/>
      <c r="N129" s="52"/>
    </row>
    <row r="130" spans="2:14" ht="18.75">
      <c r="B130" s="193"/>
      <c r="C130" s="183" t="s">
        <v>260</v>
      </c>
      <c r="D130" s="183" t="s">
        <v>97</v>
      </c>
      <c r="E130" s="183"/>
      <c r="F130" s="183"/>
      <c r="G130" s="183"/>
      <c r="H130" s="183"/>
      <c r="I130" s="183"/>
      <c r="J130" s="183"/>
      <c r="K130" s="183"/>
      <c r="L130" s="185"/>
      <c r="M130" s="49"/>
      <c r="N130" s="52"/>
    </row>
    <row r="131" spans="2:14" ht="18.75">
      <c r="B131" s="194"/>
      <c r="C131" s="178" t="s">
        <v>261</v>
      </c>
      <c r="D131" s="178" t="s">
        <v>96</v>
      </c>
      <c r="E131" s="178"/>
      <c r="F131" s="178"/>
      <c r="G131" s="178"/>
      <c r="H131" s="178"/>
      <c r="I131" s="178"/>
      <c r="J131" s="178"/>
      <c r="K131" s="178"/>
      <c r="L131" s="187"/>
      <c r="M131" s="49"/>
      <c r="N131" s="52"/>
    </row>
    <row r="132" spans="2:14" ht="15.75">
      <c r="B132" s="194"/>
      <c r="C132" s="178"/>
      <c r="D132" s="178"/>
      <c r="E132" s="178"/>
      <c r="F132" s="178"/>
      <c r="G132" s="178"/>
      <c r="H132" s="178"/>
      <c r="I132" s="178"/>
      <c r="J132" s="178"/>
      <c r="K132" s="178"/>
      <c r="L132" s="187"/>
      <c r="M132" s="49"/>
      <c r="N132" s="52"/>
    </row>
    <row r="133" spans="2:14" ht="15.75">
      <c r="B133" s="194"/>
      <c r="C133" s="178" t="s">
        <v>58</v>
      </c>
      <c r="D133" s="269">
        <f>F109</f>
        <v>8.8173321211666558</v>
      </c>
      <c r="E133" s="178"/>
      <c r="F133" s="178"/>
      <c r="G133" s="178"/>
      <c r="H133" s="178"/>
      <c r="I133" s="178"/>
      <c r="J133" s="178"/>
      <c r="K133" s="178"/>
      <c r="L133" s="187"/>
      <c r="M133" s="49"/>
      <c r="N133" s="52"/>
    </row>
    <row r="134" spans="2:14" ht="15.75">
      <c r="B134" s="194"/>
      <c r="C134" s="178" t="s">
        <v>59</v>
      </c>
      <c r="D134" s="269">
        <f>G109</f>
        <v>2.6142990451333183</v>
      </c>
      <c r="E134" s="178"/>
      <c r="F134" s="178"/>
      <c r="G134" s="178"/>
      <c r="H134" s="178"/>
      <c r="I134" s="178"/>
      <c r="J134" s="178"/>
      <c r="K134" s="178"/>
      <c r="L134" s="187"/>
      <c r="M134" s="49"/>
      <c r="N134" s="52"/>
    </row>
    <row r="135" spans="2:14" ht="15.75">
      <c r="B135" s="194"/>
      <c r="C135" s="178"/>
      <c r="D135" s="178"/>
      <c r="E135" s="178"/>
      <c r="F135" s="178"/>
      <c r="G135" s="178"/>
      <c r="H135" s="178"/>
      <c r="I135" s="178"/>
      <c r="J135" s="178"/>
      <c r="K135" s="178"/>
      <c r="L135" s="187"/>
      <c r="M135" s="49"/>
      <c r="N135" s="52"/>
    </row>
    <row r="136" spans="2:14" ht="18.75">
      <c r="B136" s="273" t="s">
        <v>53</v>
      </c>
      <c r="C136" s="178" t="s">
        <v>298</v>
      </c>
      <c r="D136" s="178"/>
      <c r="E136" s="178"/>
      <c r="F136" s="178"/>
      <c r="G136" s="178"/>
      <c r="H136" s="178"/>
      <c r="I136" s="178"/>
      <c r="J136" s="178"/>
      <c r="K136" s="178"/>
      <c r="L136" s="187"/>
      <c r="M136" s="49"/>
      <c r="N136" s="52"/>
    </row>
    <row r="137" spans="2:14" ht="16.5" thickBot="1">
      <c r="B137" s="192"/>
      <c r="C137" s="188" t="s">
        <v>63</v>
      </c>
      <c r="D137" s="188"/>
      <c r="E137" s="188"/>
      <c r="F137" s="188"/>
      <c r="G137" s="188"/>
      <c r="H137" s="188"/>
      <c r="I137" s="188"/>
      <c r="J137" s="188"/>
      <c r="K137" s="188"/>
      <c r="L137" s="190"/>
      <c r="M137" s="49"/>
      <c r="N137" s="52"/>
    </row>
    <row r="138" spans="2:14" ht="16.5" thickBot="1">
      <c r="B138" s="176"/>
      <c r="C138" s="62"/>
      <c r="D138" s="62"/>
      <c r="E138" s="62"/>
      <c r="F138" s="62"/>
      <c r="G138" s="62"/>
      <c r="H138" s="62"/>
      <c r="I138" s="62"/>
      <c r="J138" s="62"/>
      <c r="K138" s="62"/>
      <c r="L138" s="49"/>
      <c r="M138" s="49"/>
      <c r="N138" s="52"/>
    </row>
    <row r="139" spans="2:14" ht="18.75">
      <c r="B139" s="193"/>
      <c r="C139" s="183" t="s">
        <v>262</v>
      </c>
      <c r="D139" s="183" t="s">
        <v>95</v>
      </c>
      <c r="E139" s="183"/>
      <c r="F139" s="183"/>
      <c r="G139" s="183"/>
      <c r="H139" s="183"/>
      <c r="I139" s="183"/>
      <c r="J139" s="183"/>
      <c r="K139" s="183"/>
      <c r="L139" s="185"/>
      <c r="M139" s="49"/>
      <c r="N139" s="52"/>
    </row>
    <row r="140" spans="2:14" ht="18.75">
      <c r="B140" s="194"/>
      <c r="C140" s="178" t="s">
        <v>263</v>
      </c>
      <c r="D140" s="178" t="s">
        <v>94</v>
      </c>
      <c r="E140" s="178"/>
      <c r="F140" s="178"/>
      <c r="G140" s="178"/>
      <c r="H140" s="178"/>
      <c r="I140" s="178"/>
      <c r="J140" s="178"/>
      <c r="K140" s="178"/>
      <c r="L140" s="187"/>
      <c r="M140" s="49"/>
      <c r="N140" s="52"/>
    </row>
    <row r="141" spans="2:14" ht="15.75">
      <c r="B141" s="194"/>
      <c r="C141" s="179"/>
      <c r="D141" s="179"/>
      <c r="E141" s="179"/>
      <c r="F141" s="179"/>
      <c r="G141" s="179"/>
      <c r="H141" s="179"/>
      <c r="I141" s="179"/>
      <c r="J141" s="179"/>
      <c r="K141" s="178"/>
      <c r="L141" s="187"/>
      <c r="M141" s="49"/>
      <c r="N141" s="52"/>
    </row>
    <row r="142" spans="2:14" ht="15.75">
      <c r="B142" s="194"/>
      <c r="C142" s="269" t="s">
        <v>150</v>
      </c>
      <c r="D142" s="269"/>
      <c r="E142" s="269"/>
      <c r="F142" s="269" t="s">
        <v>4</v>
      </c>
      <c r="G142" s="269"/>
      <c r="H142" s="269"/>
      <c r="I142" s="269" t="s">
        <v>9</v>
      </c>
      <c r="J142" s="270"/>
      <c r="K142" s="178"/>
      <c r="L142" s="187"/>
      <c r="M142" s="49"/>
      <c r="N142" s="52"/>
    </row>
    <row r="143" spans="2:14" ht="15.75">
      <c r="B143" s="194"/>
      <c r="C143" s="178" t="s">
        <v>58</v>
      </c>
      <c r="D143" s="269">
        <f>F110</f>
        <v>33.134228037926256</v>
      </c>
      <c r="E143" s="178"/>
      <c r="F143" s="178" t="s">
        <v>58</v>
      </c>
      <c r="G143" s="269">
        <f>F111</f>
        <v>23.471016152733018</v>
      </c>
      <c r="H143" s="178"/>
      <c r="I143" s="178" t="s">
        <v>58</v>
      </c>
      <c r="J143" s="269">
        <f>F112</f>
        <v>0.34906329792880753</v>
      </c>
      <c r="K143" s="178"/>
      <c r="L143" s="187"/>
      <c r="M143" s="49"/>
      <c r="N143" s="52"/>
    </row>
    <row r="144" spans="2:14" ht="15.75">
      <c r="B144" s="194"/>
      <c r="C144" s="178" t="s">
        <v>59</v>
      </c>
      <c r="D144" s="269">
        <f>G112</f>
        <v>4.4513217724681331</v>
      </c>
      <c r="E144" s="178"/>
      <c r="F144" s="178" t="s">
        <v>59</v>
      </c>
      <c r="G144" s="269">
        <f>D144</f>
        <v>4.4513217724681331</v>
      </c>
      <c r="H144" s="178"/>
      <c r="I144" s="178" t="s">
        <v>59</v>
      </c>
      <c r="J144" s="269">
        <f>G144</f>
        <v>4.4513217724681331</v>
      </c>
      <c r="K144" s="178"/>
      <c r="L144" s="187"/>
      <c r="M144" s="49"/>
      <c r="N144" s="52"/>
    </row>
    <row r="145" spans="2:14" ht="15.75">
      <c r="B145" s="194"/>
      <c r="C145" s="178"/>
      <c r="D145" s="178"/>
      <c r="E145" s="178"/>
      <c r="F145" s="178"/>
      <c r="G145" s="178"/>
      <c r="H145" s="178"/>
      <c r="I145" s="178"/>
      <c r="J145" s="178"/>
      <c r="K145" s="178"/>
      <c r="L145" s="187"/>
      <c r="M145" s="49"/>
      <c r="N145" s="52"/>
    </row>
    <row r="146" spans="2:14" ht="18.75">
      <c r="B146" s="273" t="s">
        <v>53</v>
      </c>
      <c r="C146" s="178" t="s">
        <v>299</v>
      </c>
      <c r="D146" s="178"/>
      <c r="E146" s="178"/>
      <c r="F146" s="178"/>
      <c r="G146" s="178"/>
      <c r="H146" s="178"/>
      <c r="I146" s="178"/>
      <c r="J146" s="178"/>
      <c r="K146" s="178"/>
      <c r="L146" s="187"/>
      <c r="M146" s="49"/>
      <c r="N146" s="52"/>
    </row>
    <row r="147" spans="2:14" ht="15.75">
      <c r="B147" s="273"/>
      <c r="C147" s="178" t="s">
        <v>300</v>
      </c>
      <c r="D147" s="178"/>
      <c r="E147" s="178"/>
      <c r="F147" s="178"/>
      <c r="G147" s="178"/>
      <c r="H147" s="178"/>
      <c r="I147" s="178"/>
      <c r="J147" s="178"/>
      <c r="K147" s="178"/>
      <c r="L147" s="187"/>
      <c r="M147" s="49"/>
      <c r="N147" s="52"/>
    </row>
    <row r="148" spans="2:14" ht="16.5" thickBot="1">
      <c r="B148" s="192"/>
      <c r="C148" s="188" t="s">
        <v>149</v>
      </c>
      <c r="D148" s="188"/>
      <c r="E148" s="188"/>
      <c r="F148" s="188"/>
      <c r="G148" s="188"/>
      <c r="H148" s="188"/>
      <c r="I148" s="188"/>
      <c r="J148" s="188"/>
      <c r="K148" s="188"/>
      <c r="L148" s="190"/>
      <c r="M148" s="49"/>
      <c r="N148" s="52"/>
    </row>
    <row r="149" spans="2:14" ht="16.5" thickBot="1">
      <c r="B149" s="176"/>
      <c r="C149" s="62"/>
      <c r="D149" s="62"/>
      <c r="E149" s="62"/>
      <c r="F149" s="62"/>
      <c r="G149" s="62"/>
      <c r="H149" s="62"/>
      <c r="I149" s="62"/>
      <c r="J149" s="62"/>
      <c r="K149" s="62"/>
      <c r="L149" s="49"/>
      <c r="M149" s="49"/>
      <c r="N149" s="52"/>
    </row>
    <row r="150" spans="2:14" ht="18.75">
      <c r="B150" s="193"/>
      <c r="C150" s="183" t="s">
        <v>264</v>
      </c>
      <c r="D150" s="183" t="s">
        <v>90</v>
      </c>
      <c r="E150" s="183"/>
      <c r="F150" s="183"/>
      <c r="G150" s="183"/>
      <c r="H150" s="183"/>
      <c r="I150" s="183"/>
      <c r="J150" s="183"/>
      <c r="K150" s="183"/>
      <c r="L150" s="184"/>
      <c r="M150" s="185"/>
      <c r="N150" s="52"/>
    </row>
    <row r="151" spans="2:14" ht="18.75">
      <c r="B151" s="194"/>
      <c r="C151" s="178" t="s">
        <v>265</v>
      </c>
      <c r="D151" s="178" t="s">
        <v>89</v>
      </c>
      <c r="E151" s="178"/>
      <c r="F151" s="178"/>
      <c r="G151" s="178"/>
      <c r="H151" s="178"/>
      <c r="I151" s="178"/>
      <c r="J151" s="178"/>
      <c r="K151" s="178"/>
      <c r="L151" s="179"/>
      <c r="M151" s="187"/>
      <c r="N151" s="52"/>
    </row>
    <row r="152" spans="2:14" ht="15.75">
      <c r="B152" s="194"/>
      <c r="C152" s="178"/>
      <c r="D152" s="178"/>
      <c r="E152" s="178"/>
      <c r="F152" s="178"/>
      <c r="G152" s="178"/>
      <c r="H152" s="178"/>
      <c r="I152" s="178"/>
      <c r="J152" s="178"/>
      <c r="K152" s="178"/>
      <c r="L152" s="179"/>
      <c r="M152" s="187"/>
      <c r="N152" s="52"/>
    </row>
    <row r="153" spans="2:14" ht="15.75">
      <c r="B153" s="196"/>
      <c r="C153" s="269" t="s">
        <v>148</v>
      </c>
      <c r="D153" s="198"/>
      <c r="E153" s="198"/>
      <c r="F153" s="269" t="s">
        <v>147</v>
      </c>
      <c r="G153" s="198"/>
      <c r="H153" s="198"/>
      <c r="I153" s="269" t="s">
        <v>10</v>
      </c>
      <c r="J153" s="178"/>
      <c r="K153" s="179"/>
      <c r="L153" s="269" t="s">
        <v>146</v>
      </c>
      <c r="M153" s="267"/>
      <c r="N153" s="52"/>
    </row>
    <row r="154" spans="2:14" ht="15.75">
      <c r="B154" s="196"/>
      <c r="C154" s="178" t="s">
        <v>58</v>
      </c>
      <c r="D154" s="269">
        <f>F113</f>
        <v>2.9421999228959841</v>
      </c>
      <c r="E154" s="178"/>
      <c r="F154" s="178" t="s">
        <v>58</v>
      </c>
      <c r="G154" s="269">
        <f>F114</f>
        <v>0.52012805971650333</v>
      </c>
      <c r="H154" s="178"/>
      <c r="I154" s="178" t="s">
        <v>58</v>
      </c>
      <c r="J154" s="269">
        <f>F115</f>
        <v>0.46541773057174329</v>
      </c>
      <c r="K154" s="179"/>
      <c r="L154" s="178" t="s">
        <v>58</v>
      </c>
      <c r="M154" s="271">
        <f>F116</f>
        <v>0.83927164639427032</v>
      </c>
      <c r="N154" s="52"/>
    </row>
    <row r="155" spans="2:14" ht="15.75">
      <c r="B155" s="196"/>
      <c r="C155" s="178" t="s">
        <v>59</v>
      </c>
      <c r="D155" s="269">
        <f>G113</f>
        <v>4.4513217724681331</v>
      </c>
      <c r="E155" s="178"/>
      <c r="F155" s="178" t="s">
        <v>59</v>
      </c>
      <c r="G155" s="269">
        <f>D155</f>
        <v>4.4513217724681331</v>
      </c>
      <c r="H155" s="178"/>
      <c r="I155" s="178" t="s">
        <v>59</v>
      </c>
      <c r="J155" s="269">
        <f>G116</f>
        <v>4.4513217724681331</v>
      </c>
      <c r="K155" s="179"/>
      <c r="L155" s="178" t="s">
        <v>59</v>
      </c>
      <c r="M155" s="271">
        <f>G116</f>
        <v>4.4513217724681331</v>
      </c>
      <c r="N155" s="52"/>
    </row>
    <row r="156" spans="2:14" ht="15.75">
      <c r="B156" s="196"/>
      <c r="C156" s="179"/>
      <c r="D156" s="179"/>
      <c r="E156" s="179"/>
      <c r="F156" s="179"/>
      <c r="G156" s="179"/>
      <c r="H156" s="179"/>
      <c r="I156" s="179"/>
      <c r="J156" s="198"/>
      <c r="K156" s="179"/>
      <c r="L156" s="179"/>
      <c r="M156" s="187"/>
      <c r="N156" s="52"/>
    </row>
    <row r="157" spans="2:14" ht="15.75">
      <c r="B157" s="194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267"/>
      <c r="N157" s="52"/>
    </row>
    <row r="158" spans="2:14" ht="18.75">
      <c r="B158" s="273" t="s">
        <v>53</v>
      </c>
      <c r="C158" s="178" t="s">
        <v>301</v>
      </c>
      <c r="D158" s="178"/>
      <c r="E158" s="178"/>
      <c r="F158" s="178"/>
      <c r="G158" s="178"/>
      <c r="H158" s="178"/>
      <c r="I158" s="178"/>
      <c r="J158" s="178"/>
      <c r="K158" s="178"/>
      <c r="L158" s="178"/>
      <c r="M158" s="267"/>
      <c r="N158" s="52"/>
    </row>
    <row r="159" spans="2:14" ht="16.5" thickBot="1">
      <c r="B159" s="192"/>
      <c r="C159" s="188" t="s">
        <v>145</v>
      </c>
      <c r="D159" s="188"/>
      <c r="E159" s="188"/>
      <c r="F159" s="188"/>
      <c r="G159" s="188"/>
      <c r="H159" s="188"/>
      <c r="I159" s="188"/>
      <c r="J159" s="188"/>
      <c r="K159" s="188"/>
      <c r="L159" s="188"/>
      <c r="M159" s="268"/>
      <c r="N159" s="52"/>
    </row>
    <row r="160" spans="2:14" ht="15.7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</row>
    <row r="161" spans="2:13" ht="15.7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</row>
    <row r="162" spans="2:13" ht="15.7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</row>
    <row r="163" spans="2:13" ht="15.75">
      <c r="H163" s="57"/>
    </row>
    <row r="164" spans="2:13" ht="15.75">
      <c r="H164" s="57"/>
    </row>
    <row r="165" spans="2:13" ht="15.75">
      <c r="H165" s="57"/>
    </row>
    <row r="166" spans="2:13" ht="15.75">
      <c r="H166" s="5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- 1</vt:lpstr>
      <vt:lpstr>Question - 2</vt:lpstr>
      <vt:lpstr>Question - 3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Yogendra</cp:lastModifiedBy>
  <dcterms:created xsi:type="dcterms:W3CDTF">2021-09-29T07:51:28Z</dcterms:created>
  <dcterms:modified xsi:type="dcterms:W3CDTF">2022-10-11T07:25:33Z</dcterms:modified>
</cp:coreProperties>
</file>