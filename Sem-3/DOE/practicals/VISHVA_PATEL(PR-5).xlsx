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patel\Desktop\Msc sem3\DOE\practicals\"/>
    </mc:Choice>
  </mc:AlternateContent>
  <xr:revisionPtr revIDLastSave="0" documentId="13_ncr:1_{01266287-0AAC-49AB-B74B-3FB36429C4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G26" i="1" s="1"/>
  <c r="M30" i="1" s="1"/>
  <c r="H43" i="1" a="1"/>
  <c r="H43" i="1" s="1"/>
  <c r="F45" i="1"/>
  <c r="F42" i="1"/>
  <c r="F41" i="1"/>
  <c r="D41" i="1"/>
  <c r="G34" i="1" a="1"/>
  <c r="G30" i="1"/>
  <c r="M26" i="1"/>
  <c r="L11" i="1" a="1"/>
  <c r="L11" i="1" s="1"/>
  <c r="M11" i="1" s="1" a="1"/>
  <c r="M11" i="1" s="1"/>
  <c r="L12" i="1"/>
  <c r="M12" i="1" s="1"/>
  <c r="L13" i="1"/>
  <c r="M13" i="1" s="1"/>
  <c r="L14" i="1"/>
  <c r="E45" i="1" s="1"/>
  <c r="D14" i="1" a="1"/>
  <c r="D14" i="1" s="1"/>
  <c r="D15" i="1" s="1" a="1"/>
  <c r="D15" i="1" s="1"/>
  <c r="D45" i="1"/>
  <c r="D44" i="1"/>
  <c r="D43" i="1"/>
  <c r="D42" i="1"/>
  <c r="K14" i="1"/>
  <c r="K15" i="1" s="1"/>
  <c r="J14" i="1"/>
  <c r="J15" i="1" s="1"/>
  <c r="I14" i="1"/>
  <c r="I15" i="1" s="1"/>
  <c r="H14" i="1"/>
  <c r="H15" i="1" s="1"/>
  <c r="G14" i="1"/>
  <c r="G15" i="1" s="1"/>
  <c r="F14" i="1"/>
  <c r="F15" i="1" s="1"/>
  <c r="E14" i="1"/>
  <c r="E15" i="1" s="1"/>
  <c r="G34" i="1" l="1"/>
  <c r="L15" i="1"/>
  <c r="J17" i="1"/>
  <c r="M14" i="1"/>
  <c r="E42" i="1"/>
  <c r="E41" i="1"/>
  <c r="E43" i="1"/>
  <c r="F43" i="1" s="1"/>
  <c r="E44" i="1" l="1"/>
  <c r="F44" i="1" s="1"/>
  <c r="G43" i="1" s="1"/>
</calcChain>
</file>

<file path=xl/sharedStrings.xml><?xml version="1.0" encoding="utf-8"?>
<sst xmlns="http://schemas.openxmlformats.org/spreadsheetml/2006/main" count="45" uniqueCount="45">
  <si>
    <t>VISHVA PATEL</t>
  </si>
  <si>
    <t>2017033800132746</t>
  </si>
  <si>
    <t xml:space="preserve">Practical -3 : - Repeated Measurement analysis </t>
  </si>
  <si>
    <t xml:space="preserve">Q-1 </t>
  </si>
  <si>
    <t xml:space="preserve">A researcher examined the effect of alterations in diet composition on energy expenditure and nutrient balance in humans. One measure of expenditure employed was a quantity called </t>
  </si>
  <si>
    <t xml:space="preserve">respiratory quotient (RQ). Table given below shows for three different points in time, the daily 24 hour RQ following a high calorie diet of eight subjects who participated in the study. Is </t>
  </si>
  <si>
    <t>there any difference in the mean RQ values among the three points in time .</t>
  </si>
  <si>
    <t>Subjects</t>
  </si>
  <si>
    <t>Base line</t>
  </si>
  <si>
    <t>Day 3</t>
  </si>
  <si>
    <t>Day 7</t>
  </si>
  <si>
    <t>Hypothesis:</t>
  </si>
  <si>
    <t>H0: All tretment means are equal.</t>
  </si>
  <si>
    <t>H1: Inequallity at at least one place.</t>
  </si>
  <si>
    <t xml:space="preserve">Here, we want to test equality of 3 means hence we will use ANOVA, F-test to test this hypothesis. </t>
  </si>
  <si>
    <t xml:space="preserve">Fcal =  </t>
  </si>
  <si>
    <t>SST</t>
  </si>
  <si>
    <t>SSE</t>
  </si>
  <si>
    <t>ANOVA</t>
  </si>
  <si>
    <t xml:space="preserve">Source </t>
  </si>
  <si>
    <t>d.f</t>
  </si>
  <si>
    <t>S.S</t>
  </si>
  <si>
    <t>M.S.S</t>
  </si>
  <si>
    <t>Fcal</t>
  </si>
  <si>
    <t>Ftab</t>
  </si>
  <si>
    <t xml:space="preserve">Between </t>
  </si>
  <si>
    <t>Within</t>
  </si>
  <si>
    <t>Treatment</t>
  </si>
  <si>
    <t>Error</t>
  </si>
  <si>
    <t>Total</t>
  </si>
  <si>
    <t>Here ,Fcal&lt;Ftab. Hence we fail to reject the H0 at 5% level of significance and (2,14) degrees of freedom. So. All tretment means are equally effective.</t>
  </si>
  <si>
    <t>Conclusion:</t>
  </si>
  <si>
    <t>There is no difference in the mean RQ values among the three points in time.</t>
  </si>
  <si>
    <t xml:space="preserve"> n=</t>
  </si>
  <si>
    <t>no. of subjects:</t>
  </si>
  <si>
    <t>no. of tretaments:</t>
  </si>
  <si>
    <t>a=</t>
  </si>
  <si>
    <t>&gt;&gt;&gt;</t>
  </si>
  <si>
    <t>yi.^2</t>
  </si>
  <si>
    <t xml:space="preserve">    Ti</t>
  </si>
  <si>
    <t>Bj</t>
  </si>
  <si>
    <t>y.j^2</t>
  </si>
  <si>
    <t>G=</t>
  </si>
  <si>
    <t>CF=</t>
  </si>
  <si>
    <t xml:space="preserve">          Error=SS(within subjects) - SS(Treatments)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</si>
</sst>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4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0" xfId="0" applyFont="1" applyFill="1"/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781050</xdr:colOff>
      <xdr:row>28</xdr:row>
      <xdr:rowOff>23812</xdr:rowOff>
    </xdr:from>
    <xdr:ext cx="2447925" cy="6638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28284B6-67F2-432F-9E3A-734F85ECB81D}"/>
                </a:ext>
              </a:extLst>
            </xdr:cNvPr>
            <xdr:cNvSpPr txBox="1"/>
          </xdr:nvSpPr>
          <xdr:spPr>
            <a:xfrm>
              <a:off x="2400300" y="6424612"/>
              <a:ext cx="2447925" cy="6638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𝐵𝑒𝑡𝑤𝑒𝑒𝑛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𝑠𝑢𝑏𝑗𝑒𝑐𝑡𝑠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I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2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IN" sz="12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en-IN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IN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2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IN" sz="12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IN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IN" sz="12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nary>
                    <m:r>
                      <a:rPr lang="en-IN" sz="120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sz="12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IN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2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..</m:t>
                            </m:r>
                          </m:e>
                          <m:sup>
                            <m:r>
                              <a:rPr lang="en-IN" sz="12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𝑎𝑛</m:t>
                        </m:r>
                      </m:den>
                    </m:f>
                  </m:oMath>
                </m:oMathPara>
              </a14:m>
              <a:endParaRPr lang="en-IN" sz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28284B6-67F2-432F-9E3A-734F85ECB81D}"/>
                </a:ext>
              </a:extLst>
            </xdr:cNvPr>
            <xdr:cNvSpPr txBox="1"/>
          </xdr:nvSpPr>
          <xdr:spPr>
            <a:xfrm>
              <a:off x="2400300" y="6424612"/>
              <a:ext cx="2447925" cy="6638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𝐵𝑒𝑡𝑤𝑒𝑒𝑛 𝑠𝑢𝑏𝑗𝑒𝑐𝑡𝑠=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 sz="1200" i="0">
                  <a:latin typeface="Cambria Math" panose="02040503050406030204" pitchFamily="18" charset="0"/>
                </a:rPr>
                <a:t>∑129_(𝑗=1)^𝑛▒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200" i="0">
                  <a:latin typeface="Cambria Math" panose="02040503050406030204" pitchFamily="18" charset="0"/>
                </a:rPr>
                <a:t>𝑦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US" sz="1200" b="0" i="0">
                  <a:latin typeface="Cambria Math" panose="02040503050406030204" pitchFamily="18" charset="0"/>
                </a:rPr>
                <a:t>.</a:t>
              </a:r>
              <a:r>
                <a:rPr lang="en-IN" sz="1200" i="0">
                  <a:latin typeface="Cambria Math" panose="02040503050406030204" pitchFamily="18" charset="0"/>
                </a:rPr>
                <a:t>𝑗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en-IN" sz="1200" i="0">
                  <a:latin typeface="Cambria Math" panose="02040503050406030204" pitchFamily="18" charset="0"/>
                </a:rPr>
                <a:t>2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200" i="0">
                  <a:latin typeface="Cambria Math" panose="02040503050406030204" pitchFamily="18" charset="0"/>
                </a:rPr>
                <a:t>𝑎−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〖</a:t>
              </a:r>
              <a:r>
                <a:rPr lang="en-IN" sz="1200" i="0">
                  <a:latin typeface="Cambria Math" panose="02040503050406030204" pitchFamily="18" charset="0"/>
                </a:rPr>
                <a:t>𝑦</a:t>
              </a:r>
              <a:r>
                <a:rPr lang="en-US" sz="1200" b="0" i="0">
                  <a:latin typeface="Cambria Math" panose="02040503050406030204" pitchFamily="18" charset="0"/>
                </a:rPr>
                <a:t>..</a:t>
              </a:r>
              <a:r>
                <a:rPr lang="en-IN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〗^</a:t>
              </a:r>
              <a:r>
                <a:rPr lang="en-IN" sz="1200" i="0">
                  <a:latin typeface="Cambria Math" panose="02040503050406030204" pitchFamily="18" charset="0"/>
                </a:rPr>
                <a:t>2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200" i="0">
                  <a:latin typeface="Cambria Math" panose="02040503050406030204" pitchFamily="18" charset="0"/>
                </a:rPr>
                <a:t>𝑎𝑛</a:t>
              </a:r>
              <a:endParaRPr lang="en-IN" sz="1200"/>
            </a:p>
          </xdr:txBody>
        </xdr:sp>
      </mc:Fallback>
    </mc:AlternateContent>
    <xdr:clientData/>
  </xdr:oneCellAnchor>
  <xdr:oneCellAnchor>
    <xdr:from>
      <xdr:col>8</xdr:col>
      <xdr:colOff>409575</xdr:colOff>
      <xdr:row>32</xdr:row>
      <xdr:rowOff>42862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AAA172-EA6A-45B5-BE3B-B6843DE73C9D}"/>
            </a:ext>
          </a:extLst>
        </xdr:cNvPr>
        <xdr:cNvSpPr txBox="1"/>
      </xdr:nvSpPr>
      <xdr:spPr>
        <a:xfrm>
          <a:off x="5876925" y="5081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3</xdr:col>
      <xdr:colOff>95250</xdr:colOff>
      <xdr:row>32</xdr:row>
      <xdr:rowOff>23812</xdr:rowOff>
    </xdr:from>
    <xdr:ext cx="2457450" cy="6715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CBF69AF-D0C4-4E4C-AB57-C3D93D318ADF}"/>
                </a:ext>
              </a:extLst>
            </xdr:cNvPr>
            <xdr:cNvSpPr txBox="1"/>
          </xdr:nvSpPr>
          <xdr:spPr>
            <a:xfrm>
              <a:off x="2819400" y="7377112"/>
              <a:ext cx="2457450" cy="671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𝑇𝑜𝑡𝑎𝑙</m:t>
                    </m:r>
                    <m:r>
                      <a:rPr lang="en-US" sz="10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0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𝑆𝑆</m:t>
                    </m:r>
                    <m:r>
                      <a:rPr lang="en-US" sz="10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IN" sz="105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nary>
                          <m:naryPr>
                            <m:chr m:val="∑"/>
                            <m:grow m:val="on"/>
                            <m:subHide m:val="on"/>
                            <m:supHide m:val="on"/>
                            <m:ctrlPr>
                              <a:rPr lang="en-IN" sz="105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IN" sz="105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05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acc>
                                  <m:accPr>
                                    <m:chr m:val="̇"/>
                                    <m:ctrlPr>
                                      <a:rPr lang="en-IN" sz="105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IN" sz="105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</m:acc>
                                <m:r>
                                  <a:rPr lang="en-IN" sz="105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IN" sz="105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e>
                    </m:nary>
                    <m:r>
                      <a:rPr lang="en-IN" sz="105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sz="105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IN" sz="105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05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..</m:t>
                            </m:r>
                          </m:e>
                          <m:sup>
                            <m:r>
                              <a:rPr lang="en-IN" sz="105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𝑎𝑛</m:t>
                        </m:r>
                      </m:den>
                    </m:f>
                  </m:oMath>
                </m:oMathPara>
              </a14:m>
              <a:endParaRPr lang="en-IN" sz="12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CBF69AF-D0C4-4E4C-AB57-C3D93D318ADF}"/>
                </a:ext>
              </a:extLst>
            </xdr:cNvPr>
            <xdr:cNvSpPr txBox="1"/>
          </xdr:nvSpPr>
          <xdr:spPr>
            <a:xfrm>
              <a:off x="2819400" y="7377112"/>
              <a:ext cx="2457450" cy="671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𝑇𝑜𝑡𝑎𝑙 𝑆𝑆=</a:t>
              </a:r>
              <a:r>
                <a:rPr lang="en-IN" sz="1050" i="0">
                  <a:latin typeface="Cambria Math" panose="02040503050406030204" pitchFamily="18" charset="0"/>
                </a:rPr>
                <a:t>∑128▒∑128▒𝑦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IN" sz="1050" i="0">
                  <a:latin typeface="Cambria Math" panose="02040503050406030204" pitchFamily="18" charset="0"/>
                </a:rPr>
                <a:t>𝐼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̇</a:t>
              </a:r>
              <a:r>
                <a:rPr lang="en-IN" sz="1050" i="0">
                  <a:latin typeface="Cambria Math" panose="02040503050406030204" pitchFamily="18" charset="0"/>
                </a:rPr>
                <a:t>𝑗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en-IN" sz="1050" i="0">
                  <a:latin typeface="Cambria Math" panose="02040503050406030204" pitchFamily="18" charset="0"/>
                </a:rPr>
                <a:t>2 −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〖</a:t>
              </a:r>
              <a:r>
                <a:rPr lang="en-IN" sz="1050" i="0">
                  <a:latin typeface="Cambria Math" panose="02040503050406030204" pitchFamily="18" charset="0"/>
                </a:rPr>
                <a:t>𝑦</a:t>
              </a:r>
              <a:r>
                <a:rPr lang="en-US" sz="1050" b="0" i="0">
                  <a:latin typeface="Cambria Math" panose="02040503050406030204" pitchFamily="18" charset="0"/>
                </a:rPr>
                <a:t>..</a:t>
              </a:r>
              <a:r>
                <a:rPr lang="en-IN" sz="105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〗^</a:t>
              </a:r>
              <a:r>
                <a:rPr lang="en-IN" sz="1050" i="0">
                  <a:latin typeface="Cambria Math" panose="02040503050406030204" pitchFamily="18" charset="0"/>
                </a:rPr>
                <a:t>2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050" i="0">
                  <a:latin typeface="Cambria Math" panose="02040503050406030204" pitchFamily="18" charset="0"/>
                </a:rPr>
                <a:t>𝑎𝑛</a:t>
              </a:r>
              <a:endParaRPr lang="en-IN" sz="1200"/>
            </a:p>
          </xdr:txBody>
        </xdr:sp>
      </mc:Fallback>
    </mc:AlternateContent>
    <xdr:clientData/>
  </xdr:oneCellAnchor>
  <xdr:oneCellAnchor>
    <xdr:from>
      <xdr:col>3</xdr:col>
      <xdr:colOff>187023</xdr:colOff>
      <xdr:row>24</xdr:row>
      <xdr:rowOff>34198</xdr:rowOff>
    </xdr:from>
    <xdr:ext cx="2137077" cy="6516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5110648-1DD9-4DEB-8C76-0623C134A2E1}"/>
                </a:ext>
              </a:extLst>
            </xdr:cNvPr>
            <xdr:cNvSpPr txBox="1"/>
          </xdr:nvSpPr>
          <xdr:spPr>
            <a:xfrm>
              <a:off x="2615898" y="5482498"/>
              <a:ext cx="2137077" cy="651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𝑇𝑟𝑒𝑎𝑡𝑚𝑒𝑛𝑡𝑠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2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IN" sz="12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𝑎</m:t>
                        </m:r>
                      </m:sup>
                      <m:e>
                        <m:f>
                          <m:fPr>
                            <m:ctrlPr>
                              <a:rPr lang="en-IN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IN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2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IN" sz="12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IN" sz="1200" i="0">
                                    <a:latin typeface="Cambria Math" panose="02040503050406030204" pitchFamily="18" charset="0"/>
                                  </a:rPr>
                                  <m:t>⋅</m:t>
                                </m:r>
                              </m:sub>
                              <m:sup>
                                <m:r>
                                  <a:rPr lang="en-IN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IN" sz="12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e>
                    </m:nary>
                    <m:r>
                      <a:rPr lang="en-IN" sz="120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sz="12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IN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IN" sz="12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200" b="0" i="0">
                                <a:latin typeface="Cambria Math" panose="02040503050406030204" pitchFamily="18" charset="0"/>
                              </a:rPr>
                              <m:t>..</m:t>
                            </m:r>
                          </m:sub>
                          <m:sup>
                            <m:r>
                              <a:rPr lang="en-IN" sz="12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𝑎𝑛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05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5110648-1DD9-4DEB-8C76-0623C134A2E1}"/>
                </a:ext>
              </a:extLst>
            </xdr:cNvPr>
            <xdr:cNvSpPr txBox="1"/>
          </xdr:nvSpPr>
          <xdr:spPr>
            <a:xfrm>
              <a:off x="2615898" y="5482498"/>
              <a:ext cx="2137077" cy="651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𝑇𝑟𝑒𝑎𝑡𝑚𝑒𝑛𝑡𝑠=</a:t>
              </a:r>
              <a:r>
                <a:rPr lang="en-IN" sz="1200" i="0">
                  <a:latin typeface="Cambria Math" panose="02040503050406030204" pitchFamily="18" charset="0"/>
                </a:rPr>
                <a:t>∑129_(𝑖=1)^𝑎▒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200" i="0">
                  <a:latin typeface="Cambria Math" panose="02040503050406030204" pitchFamily="18" charset="0"/>
                </a:rPr>
                <a:t>𝑦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IN" sz="1200" i="0">
                  <a:latin typeface="Cambria Math" panose="02040503050406030204" pitchFamily="18" charset="0"/>
                </a:rPr>
                <a:t>𝑖⋅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en-IN" sz="1200" i="0">
                  <a:latin typeface="Cambria Math" panose="02040503050406030204" pitchFamily="18" charset="0"/>
                </a:rPr>
                <a:t>2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200" i="0">
                  <a:latin typeface="Cambria Math" panose="02040503050406030204" pitchFamily="18" charset="0"/>
                </a:rPr>
                <a:t>𝑛−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200" i="0">
                  <a:latin typeface="Cambria Math" panose="02040503050406030204" pitchFamily="18" charset="0"/>
                </a:rPr>
                <a:t>𝑦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US" sz="1200" b="0" i="0">
                  <a:latin typeface="Cambria Math" panose="02040503050406030204" pitchFamily="18" charset="0"/>
                </a:rPr>
                <a:t>..</a:t>
              </a:r>
              <a:r>
                <a:rPr lang="en-IN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IN" sz="1200" i="0">
                  <a:latin typeface="Cambria Math" panose="02040503050406030204" pitchFamily="18" charset="0"/>
                </a:rPr>
                <a:t>2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200" i="0">
                  <a:latin typeface="Cambria Math" panose="02040503050406030204" pitchFamily="18" charset="0"/>
                </a:rPr>
                <a:t>𝑎𝑛</a:t>
              </a:r>
              <a:r>
                <a:rPr lang="en-US" sz="1200" b="0" i="0">
                  <a:latin typeface="Cambria Math" panose="02040503050406030204" pitchFamily="18" charset="0"/>
                </a:rPr>
                <a:t>=</a:t>
              </a:r>
              <a:endParaRPr lang="en-IN" sz="1050"/>
            </a:p>
          </xdr:txBody>
        </xdr:sp>
      </mc:Fallback>
    </mc:AlternateContent>
    <xdr:clientData/>
  </xdr:oneCellAnchor>
  <xdr:oneCellAnchor>
    <xdr:from>
      <xdr:col>8</xdr:col>
      <xdr:colOff>76200</xdr:colOff>
      <xdr:row>24</xdr:row>
      <xdr:rowOff>76200</xdr:rowOff>
    </xdr:from>
    <xdr:ext cx="3067050" cy="5873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632E345-E760-4DB1-917D-9E62E6D74217}"/>
                </a:ext>
              </a:extLst>
            </xdr:cNvPr>
            <xdr:cNvSpPr txBox="1"/>
          </xdr:nvSpPr>
          <xdr:spPr>
            <a:xfrm>
              <a:off x="6553200" y="5524500"/>
              <a:ext cx="3067050" cy="5873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</a:rPr>
                      <m:t>𝑤𝑖𝑡h𝑖𝑛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𝑠𝑢𝑏𝑗𝑒𝑐𝑡𝑠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05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IN" sz="105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𝑎</m:t>
                        </m:r>
                      </m:sup>
                      <m:e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IN" sz="105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  <m:sup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e>
                    </m:nary>
                    <m:r>
                      <a:rPr lang="en-IN" sz="1050" i="0">
                        <a:latin typeface="Cambria Math" panose="02040503050406030204" pitchFamily="18" charset="0"/>
                      </a:rPr>
                      <m:t>−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05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IN" sz="105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en-IN" sz="105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IN" sz="105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05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050" b="0" i="0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IN" sz="105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IN" sz="105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IN" sz="105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nary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05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632E345-E760-4DB1-917D-9E62E6D74217}"/>
                </a:ext>
              </a:extLst>
            </xdr:cNvPr>
            <xdr:cNvSpPr txBox="1"/>
          </xdr:nvSpPr>
          <xdr:spPr>
            <a:xfrm>
              <a:off x="6553200" y="5524500"/>
              <a:ext cx="3067050" cy="5873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050" b="0" i="0">
                  <a:latin typeface="Cambria Math" panose="02040503050406030204" pitchFamily="18" charset="0"/>
                </a:rPr>
                <a:t>𝑤𝑖𝑡ℎ𝑖𝑛 𝑠𝑢𝑏𝑗𝑒𝑐𝑡𝑠=</a:t>
              </a:r>
              <a:r>
                <a:rPr lang="en-IN" sz="1050" i="0">
                  <a:latin typeface="Cambria Math" panose="02040503050406030204" pitchFamily="18" charset="0"/>
                </a:rPr>
                <a:t>∑129_(𝑖=1)^𝑎</a:t>
              </a:r>
              <a:r>
                <a:rPr lang="en-US" sz="1050" b="0" i="0">
                  <a:latin typeface="Cambria Math" panose="02040503050406030204" pitchFamily="18" charset="0"/>
                </a:rPr>
                <a:t>▒</a:t>
              </a:r>
              <a:r>
                <a:rPr lang="en-IN" sz="1050" b="0" i="0">
                  <a:latin typeface="Cambria Math" panose="02040503050406030204" pitchFamily="18" charset="0"/>
                </a:rPr>
                <a:t>∑</a:t>
              </a:r>
              <a:r>
                <a:rPr lang="en-US" sz="1050" b="0" i="0">
                  <a:latin typeface="Cambria Math" panose="02040503050406030204" pitchFamily="18" charset="0"/>
                </a:rPr>
                <a:t>▒𝑦_𝑖𝑗^2 </a:t>
              </a:r>
              <a:r>
                <a:rPr lang="en-IN" sz="1050" i="0">
                  <a:latin typeface="Cambria Math" panose="02040503050406030204" pitchFamily="18" charset="0"/>
                </a:rPr>
                <a:t>−∑129_(𝑗=1)^𝑛▒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050" i="0">
                  <a:latin typeface="Cambria Math" panose="02040503050406030204" pitchFamily="18" charset="0"/>
                </a:rPr>
                <a:t>𝑦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US" sz="1050" b="0" i="0">
                  <a:latin typeface="Cambria Math" panose="02040503050406030204" pitchFamily="18" charset="0"/>
                </a:rPr>
                <a:t>.</a:t>
              </a:r>
              <a:r>
                <a:rPr lang="en-IN" sz="1050" i="0">
                  <a:latin typeface="Cambria Math" panose="02040503050406030204" pitchFamily="18" charset="0"/>
                </a:rPr>
                <a:t>𝑗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en-IN" sz="1050" i="0">
                  <a:latin typeface="Cambria Math" panose="02040503050406030204" pitchFamily="18" charset="0"/>
                </a:rPr>
                <a:t>2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050" i="0">
                  <a:latin typeface="Cambria Math" panose="02040503050406030204" pitchFamily="18" charset="0"/>
                </a:rPr>
                <a:t>𝑎</a:t>
              </a:r>
              <a:r>
                <a:rPr lang="en-US" sz="1050" b="0" i="0">
                  <a:latin typeface="Cambria Math" panose="02040503050406030204" pitchFamily="18" charset="0"/>
                </a:rPr>
                <a:t>=</a:t>
              </a:r>
              <a:endParaRPr lang="en-IN" sz="105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tabSelected="1" topLeftCell="A31" workbookViewId="0">
      <selection activeCell="M34" sqref="M34"/>
    </sheetView>
  </sheetViews>
  <sheetFormatPr defaultColWidth="12.140625" defaultRowHeight="15.75" x14ac:dyDescent="0.25"/>
  <cols>
    <col min="1" max="2" width="12.140625" style="5"/>
    <col min="3" max="3" width="16.5703125" style="5" customWidth="1"/>
    <col min="4" max="5" width="12.140625" style="5"/>
    <col min="6" max="6" width="15" style="5" bestFit="1" customWidth="1"/>
    <col min="7" max="16384" width="12.140625" style="5"/>
  </cols>
  <sheetData>
    <row r="1" spans="1:19" ht="15.75" customHeight="1" x14ac:dyDescent="0.25">
      <c r="A1" s="8">
        <v>44440</v>
      </c>
      <c r="E1" s="11" t="s">
        <v>2</v>
      </c>
      <c r="F1" s="11"/>
      <c r="G1" s="11"/>
      <c r="H1" s="11"/>
      <c r="I1" s="11"/>
      <c r="J1" s="11"/>
      <c r="K1" s="11"/>
      <c r="N1" s="3" t="s">
        <v>0</v>
      </c>
      <c r="O1" s="4"/>
    </row>
    <row r="2" spans="1:19" x14ac:dyDescent="0.25">
      <c r="E2" s="11"/>
      <c r="F2" s="11"/>
      <c r="G2" s="11"/>
      <c r="H2" s="11"/>
      <c r="I2" s="11"/>
      <c r="J2" s="11"/>
      <c r="K2" s="11"/>
      <c r="N2" s="7" t="s">
        <v>1</v>
      </c>
      <c r="O2" s="7"/>
    </row>
    <row r="4" spans="1:19" x14ac:dyDescent="0.25">
      <c r="A4" s="13" t="s">
        <v>3</v>
      </c>
      <c r="B4" s="12" t="s">
        <v>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9" x14ac:dyDescent="0.25">
      <c r="B5" s="12" t="s">
        <v>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9" x14ac:dyDescent="0.25">
      <c r="B6" s="12" t="s">
        <v>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8" spans="1:19" ht="18.75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18.75" x14ac:dyDescent="0.3">
      <c r="A9" s="6"/>
      <c r="B9" s="6"/>
      <c r="C9" s="35"/>
      <c r="D9" s="34" t="s">
        <v>7</v>
      </c>
      <c r="E9" s="34"/>
      <c r="F9" s="34"/>
      <c r="G9" s="34"/>
      <c r="H9" s="34"/>
      <c r="I9" s="34"/>
      <c r="J9" s="34"/>
      <c r="K9" s="34"/>
      <c r="L9" s="35" t="s">
        <v>39</v>
      </c>
      <c r="M9" s="10" t="s">
        <v>38</v>
      </c>
      <c r="N9" s="6"/>
      <c r="O9" s="6"/>
      <c r="P9" s="6"/>
      <c r="Q9" s="6"/>
      <c r="R9" s="6"/>
      <c r="S9" s="6"/>
    </row>
    <row r="10" spans="1:19" ht="18.75" x14ac:dyDescent="0.3">
      <c r="A10" s="6"/>
      <c r="B10" s="6"/>
      <c r="C10" s="36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6"/>
      <c r="M10" s="10"/>
      <c r="N10" s="6"/>
      <c r="O10" s="6"/>
      <c r="P10" s="6"/>
      <c r="Q10" s="6"/>
      <c r="R10" s="6"/>
      <c r="S10" s="6"/>
    </row>
    <row r="11" spans="1:19" ht="18.75" x14ac:dyDescent="0.3">
      <c r="A11" s="6"/>
      <c r="B11" s="6"/>
      <c r="C11" s="30" t="s">
        <v>8</v>
      </c>
      <c r="D11" s="31">
        <v>0.8</v>
      </c>
      <c r="E11" s="31">
        <v>0.81899999999999995</v>
      </c>
      <c r="F11" s="31">
        <v>0.88600000000000001</v>
      </c>
      <c r="G11" s="31">
        <v>0.82399999999999995</v>
      </c>
      <c r="H11" s="31">
        <v>0.82</v>
      </c>
      <c r="I11" s="31">
        <v>0.90600000000000003</v>
      </c>
      <c r="J11" s="31">
        <v>0.8</v>
      </c>
      <c r="K11" s="31">
        <v>0.83699999999999997</v>
      </c>
      <c r="L11" s="33">
        <f t="array" ref="L11">SUM(D11:K11)</f>
        <v>6.6919999999999993</v>
      </c>
      <c r="M11" s="33">
        <f t="array" ref="M11">L11^2</f>
        <v>44.782863999999989</v>
      </c>
      <c r="Q11" s="6"/>
      <c r="R11" s="6"/>
      <c r="S11" s="6"/>
    </row>
    <row r="12" spans="1:19" ht="18.75" x14ac:dyDescent="0.3">
      <c r="A12" s="6"/>
      <c r="B12" s="6"/>
      <c r="C12" s="30" t="s">
        <v>9</v>
      </c>
      <c r="D12" s="31">
        <v>0.80900000000000005</v>
      </c>
      <c r="E12" s="31">
        <v>0.85799999999999998</v>
      </c>
      <c r="F12" s="31">
        <v>0.86499999999999999</v>
      </c>
      <c r="G12" s="31">
        <v>0.876</v>
      </c>
      <c r="H12" s="31">
        <v>0.90300000000000002</v>
      </c>
      <c r="I12" s="31">
        <v>0.82</v>
      </c>
      <c r="J12" s="31">
        <v>0.86699999999999999</v>
      </c>
      <c r="K12" s="31">
        <v>0.85199999999999998</v>
      </c>
      <c r="L12" s="33">
        <f t="shared" ref="L12:L13" si="0">SUM(D12:K12)</f>
        <v>6.8500000000000005</v>
      </c>
      <c r="M12" s="33">
        <f t="shared" ref="M12:M13" si="1">L12^2</f>
        <v>46.922500000000007</v>
      </c>
      <c r="Q12" s="6"/>
      <c r="R12" s="6"/>
      <c r="S12" s="6"/>
    </row>
    <row r="13" spans="1:19" ht="18.75" x14ac:dyDescent="0.3">
      <c r="A13" s="6"/>
      <c r="B13" s="6"/>
      <c r="C13" s="30" t="s">
        <v>10</v>
      </c>
      <c r="D13" s="31">
        <v>0.83199999999999996</v>
      </c>
      <c r="E13" s="31">
        <v>0.83499999999999996</v>
      </c>
      <c r="F13" s="31">
        <v>0.83699999999999997</v>
      </c>
      <c r="G13" s="31">
        <v>0.9</v>
      </c>
      <c r="H13" s="31">
        <v>0.877</v>
      </c>
      <c r="I13" s="31">
        <v>0.86499999999999999</v>
      </c>
      <c r="J13" s="31">
        <v>0.85699999999999998</v>
      </c>
      <c r="K13" s="31">
        <v>0.84699999999999998</v>
      </c>
      <c r="L13" s="33">
        <f t="shared" si="0"/>
        <v>6.85</v>
      </c>
      <c r="M13" s="33">
        <f t="shared" si="1"/>
        <v>46.922499999999992</v>
      </c>
      <c r="N13" s="6"/>
      <c r="O13" s="6"/>
      <c r="P13" s="6"/>
      <c r="Q13" s="6"/>
      <c r="R13" s="6"/>
      <c r="S13" s="6"/>
    </row>
    <row r="14" spans="1:19" ht="18.75" x14ac:dyDescent="0.3">
      <c r="A14" s="6"/>
      <c r="B14" s="6"/>
      <c r="C14" s="33" t="s">
        <v>40</v>
      </c>
      <c r="D14" s="33">
        <f t="array" ref="D14">SUM(D11:D13)</f>
        <v>2.4409999999999998</v>
      </c>
      <c r="E14" s="33">
        <f t="shared" ref="E14:K14" si="2">SUM(E11:E13)</f>
        <v>2.512</v>
      </c>
      <c r="F14" s="33">
        <f t="shared" si="2"/>
        <v>2.5880000000000001</v>
      </c>
      <c r="G14" s="33">
        <f t="shared" si="2"/>
        <v>2.6</v>
      </c>
      <c r="H14" s="33">
        <f t="shared" si="2"/>
        <v>2.5999999999999996</v>
      </c>
      <c r="I14" s="33">
        <f t="shared" si="2"/>
        <v>2.5910000000000002</v>
      </c>
      <c r="J14" s="33">
        <f t="shared" si="2"/>
        <v>2.524</v>
      </c>
      <c r="K14" s="33">
        <f t="shared" si="2"/>
        <v>2.536</v>
      </c>
      <c r="L14" s="33">
        <f>SUM(D11:K13)</f>
        <v>20.391999999999999</v>
      </c>
      <c r="M14" s="33">
        <f>SUM(M11:M13)</f>
        <v>138.62786399999999</v>
      </c>
      <c r="N14" s="6"/>
      <c r="O14" s="6"/>
      <c r="P14" s="6"/>
      <c r="Q14" s="6"/>
      <c r="R14" s="6"/>
      <c r="S14" s="6"/>
    </row>
    <row r="15" spans="1:19" ht="18.75" x14ac:dyDescent="0.3">
      <c r="A15" s="6"/>
      <c r="B15" s="6"/>
      <c r="C15" s="33" t="s">
        <v>41</v>
      </c>
      <c r="D15" s="33">
        <f t="array" ref="D15">D14^2</f>
        <v>5.958480999999999</v>
      </c>
      <c r="E15" s="33">
        <f t="shared" ref="E15:K15" si="3">E14^2</f>
        <v>6.3101440000000002</v>
      </c>
      <c r="F15" s="33">
        <f t="shared" si="3"/>
        <v>6.6977440000000001</v>
      </c>
      <c r="G15" s="33">
        <f t="shared" si="3"/>
        <v>6.7600000000000007</v>
      </c>
      <c r="H15" s="33">
        <f t="shared" si="3"/>
        <v>6.759999999999998</v>
      </c>
      <c r="I15" s="33">
        <f t="shared" si="3"/>
        <v>6.7132810000000012</v>
      </c>
      <c r="J15" s="33">
        <f t="shared" si="3"/>
        <v>6.3705759999999998</v>
      </c>
      <c r="K15" s="33">
        <f t="shared" si="3"/>
        <v>6.4312960000000006</v>
      </c>
      <c r="L15" s="33">
        <f>SUM(D15:K15)</f>
        <v>52.001522000000001</v>
      </c>
      <c r="M15" s="33"/>
      <c r="N15" s="6"/>
      <c r="O15" s="6"/>
      <c r="P15" s="6"/>
      <c r="Q15" s="6"/>
      <c r="R15" s="6"/>
      <c r="S15" s="6"/>
    </row>
    <row r="16" spans="1:19" ht="18.75" x14ac:dyDescent="0.3">
      <c r="A16" s="6"/>
      <c r="B16" s="6"/>
      <c r="C16" s="28"/>
      <c r="D16" s="29"/>
      <c r="H16" s="29"/>
      <c r="I16" s="29"/>
      <c r="J16" s="29"/>
      <c r="K16" s="29"/>
      <c r="L16" s="29"/>
      <c r="M16" s="39"/>
      <c r="N16" s="6"/>
      <c r="O16" s="6"/>
      <c r="P16" s="6"/>
      <c r="Q16" s="6"/>
      <c r="R16" s="6"/>
      <c r="S16" s="6"/>
    </row>
    <row r="17" spans="1:19" ht="18.75" x14ac:dyDescent="0.3">
      <c r="A17" s="6"/>
      <c r="B17" s="6"/>
      <c r="C17" s="28" t="s">
        <v>37</v>
      </c>
      <c r="D17" s="38" t="s">
        <v>35</v>
      </c>
      <c r="E17" s="38"/>
      <c r="F17" s="33" t="s">
        <v>36</v>
      </c>
      <c r="G17" s="32">
        <v>3</v>
      </c>
      <c r="H17" s="29"/>
      <c r="I17" s="13" t="s">
        <v>42</v>
      </c>
      <c r="J17" s="1">
        <f>L14</f>
        <v>20.391999999999999</v>
      </c>
      <c r="K17" s="29"/>
      <c r="L17" s="29"/>
      <c r="M17" s="6"/>
      <c r="N17" s="6"/>
      <c r="O17" s="6"/>
      <c r="P17" s="6"/>
      <c r="Q17" s="6"/>
      <c r="R17" s="6"/>
      <c r="S17" s="6"/>
    </row>
    <row r="18" spans="1:19" ht="18.75" x14ac:dyDescent="0.3">
      <c r="A18" s="6"/>
      <c r="B18" s="6"/>
      <c r="C18" s="28"/>
      <c r="D18" s="38" t="s">
        <v>34</v>
      </c>
      <c r="E18" s="38"/>
      <c r="F18" s="33" t="s">
        <v>33</v>
      </c>
      <c r="G18" s="32">
        <v>8</v>
      </c>
      <c r="H18" s="29"/>
      <c r="I18" s="13" t="s">
        <v>43</v>
      </c>
      <c r="J18" s="1">
        <f>(J17^2)/(8*3)</f>
        <v>17.326402666666667</v>
      </c>
      <c r="K18" s="29"/>
      <c r="L18" s="29"/>
      <c r="M18" s="6"/>
      <c r="N18" s="6"/>
      <c r="O18" s="6"/>
      <c r="P18" s="6"/>
      <c r="Q18" s="6"/>
      <c r="R18" s="6"/>
      <c r="S18" s="6"/>
    </row>
    <row r="19" spans="1:19" ht="18.75" x14ac:dyDescent="0.3">
      <c r="A19" s="6"/>
      <c r="B19" s="6"/>
      <c r="C19" s="6"/>
      <c r="D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8.75" x14ac:dyDescent="0.3">
      <c r="A20" s="6"/>
      <c r="B20" s="17" t="s">
        <v>11</v>
      </c>
      <c r="C20" s="6"/>
      <c r="D20" s="6" t="s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8.75" x14ac:dyDescent="0.3">
      <c r="A21" s="6"/>
      <c r="B21" s="6"/>
      <c r="C21" s="6"/>
      <c r="D21" s="6" t="s">
        <v>13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18.75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18.75" x14ac:dyDescent="0.3">
      <c r="A23" s="6"/>
      <c r="B23" s="6"/>
      <c r="C23" s="6" t="s">
        <v>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18.75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/>
      <c r="N24"/>
      <c r="O24"/>
      <c r="P24"/>
      <c r="Q24"/>
      <c r="R24"/>
      <c r="S24" s="6"/>
    </row>
    <row r="25" spans="1:19" ht="18.75" x14ac:dyDescent="0.3">
      <c r="A25" s="6"/>
      <c r="B25" s="6"/>
      <c r="C25" s="6"/>
      <c r="D25" s="38"/>
      <c r="E25" s="38"/>
      <c r="F25" s="38"/>
      <c r="G25" s="6"/>
      <c r="H25" s="6"/>
      <c r="I25" s="38"/>
      <c r="J25" s="38"/>
      <c r="K25" s="38"/>
      <c r="L25" s="38"/>
      <c r="M25"/>
      <c r="N25"/>
      <c r="O25"/>
      <c r="P25"/>
      <c r="Q25"/>
      <c r="R25"/>
      <c r="S25" s="6"/>
    </row>
    <row r="26" spans="1:19" ht="18.75" x14ac:dyDescent="0.3">
      <c r="A26" s="6"/>
      <c r="B26" s="6"/>
      <c r="C26" s="6"/>
      <c r="D26" s="38"/>
      <c r="E26" s="38"/>
      <c r="F26" s="38"/>
      <c r="G26" s="41">
        <f>(M14/8)-J18</f>
        <v>2.0803333333319074E-3</v>
      </c>
      <c r="H26" s="6"/>
      <c r="I26" s="38"/>
      <c r="J26" s="38"/>
      <c r="K26" s="38"/>
      <c r="L26" s="38"/>
      <c r="M26" s="41">
        <f>SUMSQ(D11:K13)-(L15/G17)</f>
        <v>1.5575333333330832E-2</v>
      </c>
      <c r="N26"/>
      <c r="O26"/>
      <c r="P26"/>
      <c r="R26"/>
      <c r="S26" s="6"/>
    </row>
    <row r="27" spans="1:19" ht="18.75" x14ac:dyDescent="0.3">
      <c r="A27" s="6"/>
      <c r="B27" s="6"/>
      <c r="C27" s="6"/>
      <c r="D27" s="38"/>
      <c r="E27" s="38"/>
      <c r="F27" s="38"/>
      <c r="G27" s="6"/>
      <c r="H27" s="6"/>
      <c r="I27" s="38"/>
      <c r="J27" s="38"/>
      <c r="K27" s="38"/>
      <c r="L27" s="38"/>
      <c r="M27"/>
      <c r="N27"/>
      <c r="O27"/>
      <c r="P27"/>
      <c r="Q27" s="41"/>
      <c r="R27"/>
      <c r="S27" s="6"/>
    </row>
    <row r="28" spans="1:19" ht="18.75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/>
      <c r="N28"/>
      <c r="O28"/>
      <c r="P28"/>
      <c r="Q28" s="41"/>
      <c r="R28"/>
      <c r="S28" s="6"/>
    </row>
    <row r="29" spans="1:19" ht="18.75" x14ac:dyDescent="0.3">
      <c r="A29" s="6"/>
      <c r="B29" s="6"/>
      <c r="C29" s="6"/>
      <c r="D29" s="38"/>
      <c r="E29" s="38"/>
      <c r="F29" s="38"/>
      <c r="G29" s="6"/>
      <c r="H29" s="6"/>
      <c r="I29" s="37"/>
      <c r="J29" s="37"/>
      <c r="K29" s="37"/>
      <c r="L29" s="37"/>
      <c r="M29"/>
      <c r="N29"/>
      <c r="O29"/>
      <c r="P29"/>
      <c r="Q29" s="40"/>
      <c r="R29"/>
      <c r="S29" s="6"/>
    </row>
    <row r="30" spans="1:19" ht="18.75" x14ac:dyDescent="0.3">
      <c r="A30" s="6"/>
      <c r="B30" s="6"/>
      <c r="C30" s="6"/>
      <c r="D30" s="38"/>
      <c r="E30" s="38"/>
      <c r="F30" s="38"/>
      <c r="G30" s="41">
        <f>(L15/G17)-J18</f>
        <v>7.4380000000004998E-3</v>
      </c>
      <c r="H30" s="6"/>
      <c r="I30" s="2" t="s">
        <v>44</v>
      </c>
      <c r="J30" s="2"/>
      <c r="K30" s="2"/>
      <c r="L30" s="2"/>
      <c r="M30" s="42">
        <f>M26-G26</f>
        <v>1.3494999999998925E-2</v>
      </c>
      <c r="N30"/>
      <c r="O30"/>
      <c r="P30"/>
      <c r="Q30" s="40"/>
      <c r="R30"/>
      <c r="S30" s="6"/>
    </row>
    <row r="31" spans="1:19" ht="18.75" x14ac:dyDescent="0.3">
      <c r="A31" s="6"/>
      <c r="B31" s="6"/>
      <c r="C31" s="6"/>
      <c r="D31" s="38"/>
      <c r="E31" s="38"/>
      <c r="F31" s="38"/>
      <c r="G31" s="6"/>
      <c r="H31" s="6"/>
      <c r="I31" s="37"/>
      <c r="J31" s="37"/>
      <c r="K31" s="37"/>
      <c r="L31" s="37"/>
      <c r="R31"/>
      <c r="S31" s="6"/>
    </row>
    <row r="32" spans="1:19" ht="18.75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/>
      <c r="N32"/>
      <c r="O32"/>
      <c r="P32"/>
      <c r="R32"/>
      <c r="S32" s="6"/>
    </row>
    <row r="33" spans="1:19" ht="19.5" thickBot="1" x14ac:dyDescent="0.35">
      <c r="A33" s="6"/>
      <c r="B33" s="6"/>
      <c r="C33" s="6"/>
      <c r="D33" s="38"/>
      <c r="E33" s="38"/>
      <c r="F33" s="38"/>
      <c r="G33" s="6"/>
      <c r="H33" s="6"/>
      <c r="I33" s="15" t="s">
        <v>15</v>
      </c>
      <c r="J33" s="16" t="s">
        <v>16</v>
      </c>
      <c r="K33" s="6"/>
      <c r="L33" s="6"/>
      <c r="M33"/>
      <c r="N33"/>
      <c r="O33"/>
      <c r="P33"/>
      <c r="Q33" s="40"/>
      <c r="R33"/>
      <c r="S33" s="6"/>
    </row>
    <row r="34" spans="1:19" ht="18.75" x14ac:dyDescent="0.3">
      <c r="A34" s="6"/>
      <c r="B34" s="6"/>
      <c r="C34" s="6"/>
      <c r="D34" s="38"/>
      <c r="E34" s="38"/>
      <c r="F34" s="38"/>
      <c r="G34" s="42">
        <f t="array" ref="G34">SUMSQ(D11:K13)-J18</f>
        <v>2.3013333333331332E-2</v>
      </c>
      <c r="I34" s="6"/>
      <c r="J34" s="18" t="s">
        <v>17</v>
      </c>
      <c r="L34" s="6"/>
      <c r="M34"/>
      <c r="N34"/>
      <c r="O34"/>
      <c r="P34"/>
      <c r="Q34" s="40"/>
      <c r="R34"/>
      <c r="S34" s="6"/>
    </row>
    <row r="35" spans="1:19" ht="18.75" x14ac:dyDescent="0.3">
      <c r="A35" s="6"/>
      <c r="B35" s="6"/>
      <c r="C35" s="6"/>
      <c r="D35" s="38"/>
      <c r="E35" s="38"/>
      <c r="F35" s="38"/>
      <c r="I35" s="6"/>
      <c r="L35" s="6"/>
      <c r="M35"/>
      <c r="N35"/>
      <c r="O35"/>
      <c r="P35"/>
      <c r="Q35" s="40"/>
      <c r="R35"/>
      <c r="S35" s="6"/>
    </row>
    <row r="36" spans="1:19" ht="18.75" x14ac:dyDescent="0.3">
      <c r="A36" s="6"/>
      <c r="B36" s="6"/>
      <c r="C36" s="6"/>
      <c r="D36" s="18"/>
      <c r="E36" s="18"/>
      <c r="F36" s="18"/>
      <c r="I36" s="6"/>
      <c r="L36" s="6"/>
      <c r="M36"/>
      <c r="N36"/>
      <c r="O36"/>
      <c r="P36"/>
      <c r="Q36" s="40"/>
      <c r="R36"/>
      <c r="S36" s="6"/>
    </row>
    <row r="37" spans="1:19" ht="18.75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/>
      <c r="N37"/>
      <c r="O37"/>
      <c r="P37"/>
      <c r="R37"/>
      <c r="S37" s="6"/>
    </row>
    <row r="38" spans="1:19" ht="18.75" x14ac:dyDescent="0.3">
      <c r="A38" s="6"/>
      <c r="B38" s="6"/>
      <c r="C38" s="6"/>
      <c r="D38" s="19"/>
      <c r="E38" s="17" t="s">
        <v>18</v>
      </c>
      <c r="F38" s="19"/>
      <c r="G38" s="6"/>
      <c r="H38" s="6"/>
      <c r="I38" s="6"/>
      <c r="J38" s="6"/>
      <c r="K38" s="6"/>
      <c r="L38" s="6"/>
      <c r="M38"/>
      <c r="N38"/>
      <c r="O38"/>
      <c r="P38"/>
      <c r="Q38"/>
      <c r="R38"/>
      <c r="S38" s="6"/>
    </row>
    <row r="39" spans="1:19" ht="19.5" thickBot="1" x14ac:dyDescent="0.35">
      <c r="A39" s="6"/>
      <c r="B39" s="6"/>
      <c r="C39" s="6"/>
      <c r="D39" s="19"/>
      <c r="E39" s="19"/>
      <c r="F39" s="19"/>
      <c r="G39" s="6"/>
      <c r="H39" s="6"/>
      <c r="I39" s="6"/>
      <c r="J39" s="6"/>
      <c r="K39" s="6"/>
      <c r="L39" s="6"/>
      <c r="M39"/>
      <c r="N39"/>
      <c r="O39"/>
      <c r="P39"/>
      <c r="Q39"/>
      <c r="R39"/>
      <c r="S39" s="6"/>
    </row>
    <row r="40" spans="1:19" ht="19.5" thickBot="1" x14ac:dyDescent="0.35">
      <c r="A40" s="6"/>
      <c r="B40" s="6"/>
      <c r="C40" s="44" t="s">
        <v>19</v>
      </c>
      <c r="D40" s="20" t="s">
        <v>20</v>
      </c>
      <c r="E40" s="20" t="s">
        <v>21</v>
      </c>
      <c r="F40" s="20" t="s">
        <v>22</v>
      </c>
      <c r="G40" s="21" t="s">
        <v>23</v>
      </c>
      <c r="H40" s="22" t="s">
        <v>24</v>
      </c>
      <c r="I40" s="6"/>
      <c r="J40" s="6"/>
      <c r="K40" s="6"/>
      <c r="L40" s="6"/>
      <c r="M40"/>
      <c r="N40"/>
      <c r="O40"/>
      <c r="P40"/>
      <c r="Q40"/>
      <c r="R40"/>
      <c r="S40" s="6"/>
    </row>
    <row r="41" spans="1:19" ht="18.75" x14ac:dyDescent="0.3">
      <c r="A41" s="6"/>
      <c r="B41" s="6"/>
      <c r="C41" s="45" t="s">
        <v>25</v>
      </c>
      <c r="D41" s="23">
        <f>G18-1</f>
        <v>7</v>
      </c>
      <c r="E41" s="14">
        <f>(SUMSQ(D14:K14) /G17) - ((L14*L14)/(G17*G18))</f>
        <v>7.4380000000004998E-3</v>
      </c>
      <c r="F41" s="14">
        <f>E41/D41</f>
        <v>1.0625714285714999E-3</v>
      </c>
      <c r="G41" s="23"/>
      <c r="H41" s="24"/>
      <c r="I41" s="6"/>
      <c r="J41" s="6"/>
      <c r="K41" s="6"/>
      <c r="L41" s="6"/>
      <c r="R41"/>
      <c r="S41" s="6"/>
    </row>
    <row r="42" spans="1:19" ht="18.75" x14ac:dyDescent="0.3">
      <c r="A42" s="6"/>
      <c r="B42" s="6"/>
      <c r="C42" s="45" t="s">
        <v>26</v>
      </c>
      <c r="D42" s="14">
        <f>G18*(G17-1)</f>
        <v>16</v>
      </c>
      <c r="E42" s="14">
        <f>SUMSQ(D11:K13)-SUMSQ(D14:K14)/G17</f>
        <v>1.5575333333330832E-2</v>
      </c>
      <c r="F42" s="14">
        <f>E42/D42</f>
        <v>9.7345833333317699E-4</v>
      </c>
      <c r="G42" s="23"/>
      <c r="H42" s="24"/>
      <c r="I42" s="6"/>
      <c r="J42" s="6"/>
      <c r="K42" s="6"/>
      <c r="L42" s="6"/>
      <c r="M42"/>
      <c r="N42"/>
      <c r="O42"/>
      <c r="P42"/>
      <c r="Q42"/>
      <c r="R42"/>
      <c r="S42" s="6"/>
    </row>
    <row r="43" spans="1:19" ht="18.75" x14ac:dyDescent="0.3">
      <c r="A43" s="6"/>
      <c r="B43" s="6"/>
      <c r="C43" s="45" t="s">
        <v>27</v>
      </c>
      <c r="D43" s="14">
        <f>G17-1</f>
        <v>2</v>
      </c>
      <c r="E43" s="14">
        <f>(SUMSQ(L11:L13)/G18)-((L14*L14/(G17*G18)))</f>
        <v>2.0803333333319074E-3</v>
      </c>
      <c r="F43" s="14">
        <f t="shared" ref="F43" si="4">E43/D43</f>
        <v>1.0401666666659537E-3</v>
      </c>
      <c r="G43" s="43">
        <f>F43/F44</f>
        <v>1.0790910213652842</v>
      </c>
      <c r="H43" s="24">
        <f t="array" ref="H43">_xlfn.F.INV(0.05,D43,D44)</f>
        <v>5.1481682970467207E-2</v>
      </c>
      <c r="I43" s="6"/>
      <c r="J43" s="6"/>
      <c r="K43" s="6"/>
      <c r="L43" s="6"/>
      <c r="M43"/>
      <c r="N43"/>
      <c r="O43"/>
      <c r="P43"/>
      <c r="Q43"/>
      <c r="R43"/>
      <c r="S43" s="6"/>
    </row>
    <row r="44" spans="1:19" ht="18.75" x14ac:dyDescent="0.3">
      <c r="A44" s="6"/>
      <c r="B44" s="6"/>
      <c r="C44" s="45" t="s">
        <v>28</v>
      </c>
      <c r="D44" s="14">
        <f>(G17-1)*(G18-1)</f>
        <v>14</v>
      </c>
      <c r="E44" s="14">
        <f>E42-E43</f>
        <v>1.3494999999998925E-2</v>
      </c>
      <c r="F44" s="14">
        <f>E44/D44</f>
        <v>9.6392857142849466E-4</v>
      </c>
      <c r="G44" s="23"/>
      <c r="H44" s="24"/>
      <c r="I44" s="6"/>
      <c r="J44" s="6"/>
      <c r="K44" s="6"/>
      <c r="L44" s="6"/>
      <c r="M44"/>
      <c r="N44"/>
      <c r="O44"/>
      <c r="P44"/>
      <c r="R44"/>
      <c r="S44" s="6"/>
    </row>
    <row r="45" spans="1:19" ht="19.5" thickBot="1" x14ac:dyDescent="0.35">
      <c r="A45" s="6"/>
      <c r="B45" s="6"/>
      <c r="C45" s="46" t="s">
        <v>29</v>
      </c>
      <c r="D45" s="25">
        <f>(G17*G18)-1</f>
        <v>23</v>
      </c>
      <c r="E45" s="25">
        <f>SUMSQ(D11:K13)-((L14*L14/(G17*G18)))</f>
        <v>2.3013333333331332E-2</v>
      </c>
      <c r="F45" s="25">
        <f>E45/D45</f>
        <v>1.0005797101448404E-3</v>
      </c>
      <c r="G45" s="26"/>
      <c r="H45" s="27"/>
      <c r="I45" s="6"/>
      <c r="J45" s="6"/>
      <c r="K45" s="6"/>
      <c r="L45" s="6"/>
      <c r="M45"/>
      <c r="N45"/>
      <c r="O45"/>
      <c r="P45"/>
      <c r="Q45"/>
      <c r="R45"/>
      <c r="S45" s="6"/>
    </row>
    <row r="46" spans="1:19" ht="18.75" x14ac:dyDescent="0.3">
      <c r="A46" s="6"/>
      <c r="B46" s="6"/>
      <c r="C46" s="6"/>
      <c r="D46" s="19"/>
      <c r="E46" s="19"/>
      <c r="F46" s="19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ht="18.75" x14ac:dyDescent="0.3">
      <c r="A47" s="9" t="s">
        <v>31</v>
      </c>
      <c r="B47" s="9"/>
      <c r="C47" s="6" t="s">
        <v>30</v>
      </c>
      <c r="D47" s="19"/>
      <c r="E47" s="19"/>
      <c r="F47" s="19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ht="18.75" x14ac:dyDescent="0.3">
      <c r="C48" s="17" t="s">
        <v>32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ht="18.75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ht="18.75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ht="18.75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ht="18.75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ht="18.75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ht="18.75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ht="18.75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ht="18.75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ht="18.75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ht="18.75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ht="18.75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ht="18.75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ht="18.75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ht="18.75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ht="18.75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ht="18.75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ht="18.75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ht="18.75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ht="18.75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ht="18.75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ht="18.75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ht="18.75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ht="18.75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ht="18.75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ht="18.75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ht="18.75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ht="18.75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ht="18.75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ht="18.75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18.75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ht="18.75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ht="18.75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ht="18.75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ht="18.75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ht="18.75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ht="18.75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ht="18.75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ht="18.75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ht="18.75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8.75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ht="18.75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ht="18.75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ht="18.75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ht="18.75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ht="18.75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ht="18.75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ht="18.75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ht="18.75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ht="18.75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ht="18.75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ht="18.75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ht="18.75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ht="18.75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ht="18.75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ht="18.75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ht="18.75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ht="18.75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ht="18.75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ht="18.75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ht="18.75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ht="18.75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ht="18.75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ht="18.75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ht="18.75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ht="18.75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ht="18.75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ht="18.75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ht="18.75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ht="18.75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ht="18.75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ht="18.75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ht="18.75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ht="18.75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ht="18.75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ht="18.75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ht="18.75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ht="18.75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ht="18.75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ht="18.75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ht="18.75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ht="18.75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ht="18.75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ht="18.75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ht="18.75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ht="18.75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</sheetData>
  <mergeCells count="15">
    <mergeCell ref="D29:F31"/>
    <mergeCell ref="I25:L27"/>
    <mergeCell ref="D33:F35"/>
    <mergeCell ref="I30:L30"/>
    <mergeCell ref="A47:B47"/>
    <mergeCell ref="C9:C10"/>
    <mergeCell ref="L9:L10"/>
    <mergeCell ref="D17:E17"/>
    <mergeCell ref="D18:E18"/>
    <mergeCell ref="M9:M10"/>
    <mergeCell ref="D25:F27"/>
    <mergeCell ref="N2:O2"/>
    <mergeCell ref="N1:O1"/>
    <mergeCell ref="E1:K2"/>
    <mergeCell ref="D9:K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pateldaksh3120@gmail.com</cp:lastModifiedBy>
  <dcterms:created xsi:type="dcterms:W3CDTF">2015-06-05T18:17:20Z</dcterms:created>
  <dcterms:modified xsi:type="dcterms:W3CDTF">2021-09-01T10:00:10Z</dcterms:modified>
</cp:coreProperties>
</file>