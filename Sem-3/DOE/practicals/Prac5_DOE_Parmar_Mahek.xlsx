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Users\patel\Desktop\Msc sem3\DOE\practicals\"/>
    </mc:Choice>
  </mc:AlternateContent>
  <xr:revisionPtr revIDLastSave="0" documentId="13_ncr:1_{26604FED-DDD7-4E75-9132-C369FB046C94}" xr6:coauthVersionLast="47" xr6:coauthVersionMax="47" xr10:uidLastSave="{00000000-0000-0000-0000-000000000000}"/>
  <bookViews>
    <workbookView xWindow="-120" yWindow="-120" windowWidth="20730" windowHeight="11160" activeTab="1" xr2:uid="{3C8B131B-2F3D-4352-A806-FBC4BAC3B61F}"/>
  </bookViews>
  <sheets>
    <sheet name="Q.1" sheetId="1" r:id="rId1"/>
    <sheet name="Q.2" sheetId="2" r:id="rId2"/>
    <sheet name="Q. 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2" i="2" l="1"/>
  <c r="F84" i="3" a="1"/>
  <c r="F84" i="3" s="1"/>
  <c r="F83" i="3" a="1"/>
  <c r="F83" i="3" s="1"/>
  <c r="G107" i="3" l="1"/>
  <c r="C111" i="3"/>
  <c r="C109" i="3"/>
  <c r="C108" i="3"/>
  <c r="C107" i="3"/>
  <c r="E101" i="3"/>
  <c r="E97" i="3"/>
  <c r="E93" i="3"/>
  <c r="N84" i="3"/>
  <c r="G108" i="3"/>
  <c r="I61" i="3" l="1"/>
  <c r="C28" i="1"/>
  <c r="D32" i="1"/>
  <c r="F35" i="1"/>
  <c r="H35" i="1" s="1"/>
  <c r="B15" i="1"/>
  <c r="E35" i="1"/>
  <c r="E34" i="1"/>
  <c r="E33" i="1"/>
  <c r="E32" i="1"/>
  <c r="D35" i="1"/>
  <c r="D34" i="1"/>
  <c r="D33" i="1"/>
  <c r="F33" i="1"/>
  <c r="H33" i="1" s="1"/>
  <c r="C29" i="1"/>
  <c r="C30" i="1"/>
  <c r="C31" i="1"/>
  <c r="C32" i="1"/>
  <c r="C33" i="1"/>
  <c r="C34" i="1"/>
  <c r="C35" i="1"/>
  <c r="B22" i="2"/>
  <c r="C32" i="2" s="1"/>
  <c r="C22" i="2"/>
  <c r="D22" i="2"/>
  <c r="E22" i="2"/>
  <c r="F22" i="2"/>
  <c r="G22" i="2"/>
  <c r="C40" i="2"/>
  <c r="C41" i="2"/>
  <c r="C42" i="2"/>
  <c r="C43" i="2"/>
  <c r="C44" i="2"/>
  <c r="C45" i="2"/>
  <c r="C46" i="2"/>
  <c r="C47" i="2"/>
  <c r="C61" i="3"/>
  <c r="C62" i="3"/>
  <c r="C63" i="3"/>
  <c r="C64" i="3"/>
  <c r="C65" i="3"/>
  <c r="C66" i="3"/>
  <c r="C67" i="3"/>
  <c r="C68" i="3"/>
  <c r="I83" i="3"/>
  <c r="G117" i="3"/>
  <c r="M156" i="3" s="1"/>
  <c r="B30" i="3"/>
  <c r="C30" i="3"/>
  <c r="D30" i="3"/>
  <c r="E30" i="3"/>
  <c r="F30" i="3"/>
  <c r="G30" i="3"/>
  <c r="H30" i="3"/>
  <c r="I30" i="3"/>
  <c r="G114" i="3"/>
  <c r="D156" i="3" s="1"/>
  <c r="G156" i="3" s="1"/>
  <c r="G109" i="3"/>
  <c r="D126" i="3" s="1"/>
  <c r="G113" i="3"/>
  <c r="D145" i="3" s="1"/>
  <c r="G145" i="3" s="1"/>
  <c r="J145" i="3" s="1"/>
  <c r="G110" i="3"/>
  <c r="D135" i="3" s="1"/>
  <c r="G111" i="3"/>
  <c r="G112" i="3"/>
  <c r="G115" i="3"/>
  <c r="G116" i="3"/>
  <c r="I80" i="3"/>
  <c r="I79" i="3"/>
  <c r="I78" i="3"/>
  <c r="I77" i="3"/>
  <c r="I76" i="3"/>
  <c r="I75" i="3"/>
  <c r="I74" i="3"/>
  <c r="I73" i="3"/>
  <c r="I68" i="3"/>
  <c r="I67" i="3"/>
  <c r="I66" i="3"/>
  <c r="I65" i="3"/>
  <c r="C80" i="3"/>
  <c r="C79" i="3"/>
  <c r="C78" i="3"/>
  <c r="C77" i="3"/>
  <c r="C76" i="3"/>
  <c r="C75" i="3"/>
  <c r="C74" i="3"/>
  <c r="C73" i="3"/>
  <c r="O68" i="3"/>
  <c r="O67" i="3"/>
  <c r="O66" i="3"/>
  <c r="O65" i="3"/>
  <c r="O64" i="3"/>
  <c r="O63" i="3"/>
  <c r="O62" i="3"/>
  <c r="O61" i="3"/>
  <c r="I64" i="3"/>
  <c r="I63" i="3"/>
  <c r="I62" i="3"/>
  <c r="D81" i="2"/>
  <c r="D72" i="2"/>
  <c r="D71" i="2"/>
  <c r="D69" i="2"/>
  <c r="D74" i="1"/>
  <c r="D64" i="1"/>
  <c r="D63" i="1"/>
  <c r="C71" i="1"/>
  <c r="E71" i="1" s="1"/>
  <c r="F34" i="1"/>
  <c r="H34" i="1" s="1"/>
  <c r="F32" i="1"/>
  <c r="C68" i="1" s="1"/>
  <c r="E68" i="1" s="1"/>
  <c r="E15" i="1"/>
  <c r="D15" i="1"/>
  <c r="C15" i="1"/>
  <c r="C32" i="3" l="1"/>
  <c r="C35" i="3"/>
  <c r="C34" i="3"/>
  <c r="C33" i="3"/>
  <c r="J65" i="3"/>
  <c r="D68" i="3"/>
  <c r="D66" i="3"/>
  <c r="P61" i="3"/>
  <c r="J62" i="3"/>
  <c r="P66" i="3"/>
  <c r="D74" i="3"/>
  <c r="J74" i="3"/>
  <c r="J73" i="3"/>
  <c r="J61" i="3"/>
  <c r="P67" i="3"/>
  <c r="J67" i="3"/>
  <c r="J68" i="3"/>
  <c r="J78" i="3"/>
  <c r="J76" i="3"/>
  <c r="J64" i="3"/>
  <c r="P63" i="3"/>
  <c r="D73" i="3"/>
  <c r="D75" i="3"/>
  <c r="D63" i="3"/>
  <c r="D61" i="3"/>
  <c r="D76" i="3"/>
  <c r="J77" i="3"/>
  <c r="J79" i="3"/>
  <c r="D64" i="3"/>
  <c r="J66" i="3"/>
  <c r="P65" i="3"/>
  <c r="D77" i="3"/>
  <c r="J63" i="3"/>
  <c r="D79" i="3"/>
  <c r="P68" i="3"/>
  <c r="Q68" i="3" s="1"/>
  <c r="D78" i="3"/>
  <c r="J80" i="3"/>
  <c r="J156" i="3"/>
  <c r="D67" i="3"/>
  <c r="D80" i="3"/>
  <c r="J75" i="3"/>
  <c r="D62" i="3"/>
  <c r="C70" i="1"/>
  <c r="E70" i="1" s="1"/>
  <c r="D40" i="2"/>
  <c r="D46" i="2"/>
  <c r="D44" i="2"/>
  <c r="C33" i="2"/>
  <c r="C37" i="2" s="1"/>
  <c r="D70" i="2"/>
  <c r="P64" i="3"/>
  <c r="D65" i="3"/>
  <c r="P62" i="3"/>
  <c r="C34" i="2"/>
  <c r="D45" i="2"/>
  <c r="D42" i="2"/>
  <c r="D47" i="2"/>
  <c r="D41" i="2"/>
  <c r="D79" i="2"/>
  <c r="D43" i="2"/>
  <c r="D29" i="1"/>
  <c r="F30" i="1"/>
  <c r="C66" i="1" s="1"/>
  <c r="E66" i="1" s="1"/>
  <c r="D30" i="1"/>
  <c r="E30" i="1"/>
  <c r="D72" i="1"/>
  <c r="G64" i="1" s="1"/>
  <c r="D90" i="1" s="1"/>
  <c r="C69" i="1"/>
  <c r="E69" i="1" s="1"/>
  <c r="E31" i="1"/>
  <c r="F31" i="1"/>
  <c r="H31" i="1" s="1"/>
  <c r="D31" i="1"/>
  <c r="D28" i="1"/>
  <c r="H32" i="1"/>
  <c r="K63" i="3" l="1"/>
  <c r="E68" i="3"/>
  <c r="K75" i="3"/>
  <c r="E77" i="3"/>
  <c r="K64" i="3"/>
  <c r="L62" i="3" s="1"/>
  <c r="K73" i="3"/>
  <c r="E78" i="3"/>
  <c r="K61" i="3"/>
  <c r="K77" i="3"/>
  <c r="E62" i="3"/>
  <c r="K66" i="3"/>
  <c r="Q65" i="3"/>
  <c r="E66" i="3"/>
  <c r="E73" i="3"/>
  <c r="K79" i="3"/>
  <c r="K65" i="3"/>
  <c r="Q67" i="3"/>
  <c r="R68" i="3" s="1"/>
  <c r="Q63" i="3"/>
  <c r="K68" i="3"/>
  <c r="K80" i="3"/>
  <c r="K62" i="3"/>
  <c r="E74" i="3"/>
  <c r="K74" i="3"/>
  <c r="K76" i="3"/>
  <c r="E61" i="3"/>
  <c r="Q66" i="3"/>
  <c r="K67" i="3"/>
  <c r="E65" i="3"/>
  <c r="E75" i="3"/>
  <c r="E76" i="3"/>
  <c r="E79" i="3"/>
  <c r="K78" i="3"/>
  <c r="Q64" i="3"/>
  <c r="E64" i="3"/>
  <c r="Q61" i="3"/>
  <c r="E80" i="3"/>
  <c r="E47" i="2"/>
  <c r="E42" i="2"/>
  <c r="E46" i="2"/>
  <c r="E44" i="2"/>
  <c r="Q62" i="3"/>
  <c r="E63" i="3"/>
  <c r="E67" i="3"/>
  <c r="E45" i="2"/>
  <c r="E43" i="2"/>
  <c r="E40" i="2"/>
  <c r="G78" i="2"/>
  <c r="G74" i="2"/>
  <c r="G69" i="2"/>
  <c r="G75" i="2"/>
  <c r="D117" i="2" s="1"/>
  <c r="G117" i="2" s="1"/>
  <c r="J117" i="2" s="1"/>
  <c r="G73" i="2"/>
  <c r="D107" i="2" s="1"/>
  <c r="G107" i="2" s="1"/>
  <c r="J107" i="2" s="1"/>
  <c r="G76" i="2"/>
  <c r="G77" i="2"/>
  <c r="G70" i="2"/>
  <c r="G72" i="2"/>
  <c r="D97" i="2" s="1"/>
  <c r="G71" i="2"/>
  <c r="D88" i="2" s="1"/>
  <c r="E41" i="2"/>
  <c r="E29" i="1"/>
  <c r="C67" i="1"/>
  <c r="E67" i="1" s="1"/>
  <c r="H30" i="1"/>
  <c r="G71" i="1"/>
  <c r="M110" i="1" s="1"/>
  <c r="J110" i="1" s="1"/>
  <c r="G110" i="1" s="1"/>
  <c r="D110" i="1" s="1"/>
  <c r="E28" i="1"/>
  <c r="F28" i="1" s="1"/>
  <c r="F29" i="1"/>
  <c r="G70" i="1"/>
  <c r="G66" i="1"/>
  <c r="G68" i="1"/>
  <c r="G67" i="1"/>
  <c r="G69" i="1"/>
  <c r="G63" i="1"/>
  <c r="D81" i="1" s="1"/>
  <c r="G65" i="1"/>
  <c r="D100" i="1" s="1"/>
  <c r="G100" i="1" s="1"/>
  <c r="J100" i="1" s="1"/>
  <c r="H29" i="1"/>
  <c r="H36" i="1" s="1"/>
  <c r="C65" i="1"/>
  <c r="E65" i="1" s="1"/>
  <c r="L65" i="3" l="1"/>
  <c r="F75" i="3"/>
  <c r="R63" i="3"/>
  <c r="L78" i="3"/>
  <c r="D84" i="3" s="1"/>
  <c r="C115" i="3" s="1"/>
  <c r="E115" i="3" s="1"/>
  <c r="R64" i="3"/>
  <c r="L66" i="3"/>
  <c r="F64" i="3"/>
  <c r="L61" i="3"/>
  <c r="F67" i="3"/>
  <c r="L73" i="3"/>
  <c r="L76" i="3"/>
  <c r="L63" i="3"/>
  <c r="L74" i="3"/>
  <c r="F78" i="3"/>
  <c r="F79" i="3"/>
  <c r="F73" i="3"/>
  <c r="L68" i="3"/>
  <c r="D86" i="3" s="1"/>
  <c r="F86" i="3" s="1"/>
  <c r="F61" i="3"/>
  <c r="D89" i="3" s="1"/>
  <c r="L80" i="3"/>
  <c r="L67" i="3"/>
  <c r="R62" i="3"/>
  <c r="F63" i="3"/>
  <c r="C112" i="3" s="1"/>
  <c r="E112" i="3" s="1"/>
  <c r="L77" i="3"/>
  <c r="F77" i="3"/>
  <c r="R66" i="3"/>
  <c r="R67" i="3"/>
  <c r="D85" i="3" s="1"/>
  <c r="F85" i="3" s="1"/>
  <c r="C116" i="3" s="1"/>
  <c r="E116" i="3" s="1"/>
  <c r="F74" i="3"/>
  <c r="F65" i="3"/>
  <c r="C113" i="3" s="1"/>
  <c r="E113" i="3" s="1"/>
  <c r="L64" i="3"/>
  <c r="F80" i="3"/>
  <c r="R65" i="3"/>
  <c r="F62" i="3"/>
  <c r="L79" i="3"/>
  <c r="L75" i="3"/>
  <c r="F76" i="3"/>
  <c r="D83" i="3" s="1"/>
  <c r="C114" i="3" s="1"/>
  <c r="F47" i="2"/>
  <c r="F43" i="2"/>
  <c r="C75" i="2" s="1"/>
  <c r="E75" i="2" s="1"/>
  <c r="F42" i="2"/>
  <c r="F46" i="2"/>
  <c r="F44" i="2"/>
  <c r="R61" i="3"/>
  <c r="F68" i="3"/>
  <c r="F66" i="3"/>
  <c r="F41" i="2"/>
  <c r="F45" i="2"/>
  <c r="F40" i="2"/>
  <c r="D44" i="1"/>
  <c r="E114" i="3" l="1"/>
  <c r="C110" i="3"/>
  <c r="C118" i="3" s="1"/>
  <c r="E52" i="1"/>
  <c r="C64" i="1" s="1"/>
  <c r="E64" i="1" s="1"/>
  <c r="E48" i="1"/>
  <c r="C63" i="1" s="1"/>
  <c r="E107" i="3"/>
  <c r="C117" i="3"/>
  <c r="E117" i="3" s="1"/>
  <c r="C119" i="3"/>
  <c r="E119" i="3" s="1"/>
  <c r="G43" i="2"/>
  <c r="C78" i="2"/>
  <c r="E78" i="2" s="1"/>
  <c r="G46" i="2"/>
  <c r="C77" i="2"/>
  <c r="E77" i="2" s="1"/>
  <c r="G45" i="2"/>
  <c r="C74" i="2"/>
  <c r="E74" i="2" s="1"/>
  <c r="G42" i="2"/>
  <c r="C73" i="2"/>
  <c r="E73" i="2" s="1"/>
  <c r="G41" i="2"/>
  <c r="C76" i="2"/>
  <c r="E76" i="2" s="1"/>
  <c r="G44" i="2"/>
  <c r="D50" i="2"/>
  <c r="E54" i="2" s="1"/>
  <c r="F58" i="2"/>
  <c r="C69" i="2" s="1"/>
  <c r="E69" i="2" s="1"/>
  <c r="E63" i="1"/>
  <c r="C74" i="1"/>
  <c r="E56" i="1" s="1"/>
  <c r="E109" i="3" l="1"/>
  <c r="G49" i="2"/>
  <c r="E110" i="3"/>
  <c r="E111" i="3"/>
  <c r="E118" i="3"/>
  <c r="E108" i="3"/>
  <c r="E72" i="2"/>
  <c r="C71" i="2"/>
  <c r="F62" i="2"/>
  <c r="C81" i="2" s="1"/>
  <c r="C72" i="1"/>
  <c r="E72" i="1" s="1"/>
  <c r="F108" i="3" l="1"/>
  <c r="F111" i="3"/>
  <c r="D144" i="3" s="1"/>
  <c r="F107" i="3"/>
  <c r="F112" i="3"/>
  <c r="G144" i="3" s="1"/>
  <c r="F109" i="3"/>
  <c r="D125" i="3" s="1"/>
  <c r="F114" i="3"/>
  <c r="D155" i="3" s="1"/>
  <c r="F115" i="3"/>
  <c r="G155" i="3" s="1"/>
  <c r="F110" i="3"/>
  <c r="D134" i="3" s="1"/>
  <c r="F113" i="3"/>
  <c r="J144" i="3" s="1"/>
  <c r="F117" i="3"/>
  <c r="M155" i="3" s="1"/>
  <c r="F116" i="3"/>
  <c r="J155" i="3" s="1"/>
  <c r="F65" i="1"/>
  <c r="D99" i="1" s="1"/>
  <c r="C79" i="2"/>
  <c r="E79" i="2" s="1"/>
  <c r="E71" i="2"/>
  <c r="C70" i="2"/>
  <c r="E70" i="2" s="1"/>
  <c r="F69" i="1"/>
  <c r="G109" i="1" s="1"/>
  <c r="F63" i="1"/>
  <c r="D80" i="1" s="1"/>
  <c r="F67" i="1"/>
  <c r="D109" i="1" s="1"/>
  <c r="F66" i="1"/>
  <c r="G99" i="1" s="1"/>
  <c r="F68" i="1"/>
  <c r="J99" i="1" s="1"/>
  <c r="F64" i="1"/>
  <c r="D89" i="1" s="1"/>
  <c r="F70" i="1"/>
  <c r="J109" i="1" s="1"/>
  <c r="F71" i="1"/>
  <c r="M109" i="1" s="1"/>
  <c r="F70" i="2" l="1"/>
  <c r="F71" i="2"/>
  <c r="D87" i="2" s="1"/>
  <c r="F75" i="2"/>
  <c r="D116" i="2" s="1"/>
  <c r="F77" i="2"/>
  <c r="J116" i="2" s="1"/>
  <c r="F73" i="2"/>
  <c r="D106" i="2" s="1"/>
  <c r="F78" i="2"/>
  <c r="G116" i="2" s="1"/>
  <c r="F76" i="2"/>
  <c r="J106" i="2" s="1"/>
  <c r="F74" i="2"/>
  <c r="G106" i="2" s="1"/>
  <c r="F72" i="2"/>
  <c r="D96" i="2" s="1"/>
  <c r="F69" i="2"/>
</calcChain>
</file>

<file path=xl/sharedStrings.xml><?xml version="1.0" encoding="utf-8"?>
<sst xmlns="http://schemas.openxmlformats.org/spreadsheetml/2006/main" count="589" uniqueCount="316">
  <si>
    <t>Block 1</t>
  </si>
  <si>
    <t>Block 2</t>
  </si>
  <si>
    <t>Block 3</t>
  </si>
  <si>
    <t>Block 4</t>
  </si>
  <si>
    <t>n(62)</t>
  </si>
  <si>
    <t>p(17)</t>
  </si>
  <si>
    <t>np(43)</t>
  </si>
  <si>
    <t>n(37)</t>
  </si>
  <si>
    <t>P(23)</t>
  </si>
  <si>
    <t>pk(78)</t>
  </si>
  <si>
    <t>nk(83)</t>
  </si>
  <si>
    <t>pk(54)</t>
  </si>
  <si>
    <t>pk(33)</t>
  </si>
  <si>
    <t>n(30)</t>
  </si>
  <si>
    <t>p(26)</t>
  </si>
  <si>
    <t>npk(145)</t>
  </si>
  <si>
    <t>nk(86)</t>
  </si>
  <si>
    <t>k(66)</t>
  </si>
  <si>
    <t>n(32)</t>
  </si>
  <si>
    <t>p(30)</t>
  </si>
  <si>
    <t>np(46)</t>
  </si>
  <si>
    <t>nk(112)</t>
  </si>
  <si>
    <t>npk(124)</t>
  </si>
  <si>
    <t>k(48)</t>
  </si>
  <si>
    <t>(1)34</t>
  </si>
  <si>
    <t>npk(113)</t>
  </si>
  <si>
    <t>k(38)</t>
  </si>
  <si>
    <t>nk(130)</t>
  </si>
  <si>
    <t>npk(131)</t>
  </si>
  <si>
    <t>(1)25</t>
  </si>
  <si>
    <t>pk(58)</t>
  </si>
  <si>
    <t>np(62)</t>
  </si>
  <si>
    <t>k(33)</t>
  </si>
  <si>
    <t>np(52)</t>
  </si>
  <si>
    <t>(1)14</t>
  </si>
  <si>
    <t>Treatment</t>
  </si>
  <si>
    <t>n</t>
  </si>
  <si>
    <t>p</t>
  </si>
  <si>
    <t>np</t>
  </si>
  <si>
    <t>k</t>
  </si>
  <si>
    <t>nk</t>
  </si>
  <si>
    <t>pk</t>
  </si>
  <si>
    <t>npk</t>
  </si>
  <si>
    <t>n =</t>
  </si>
  <si>
    <t>k =</t>
  </si>
  <si>
    <t>b =</t>
  </si>
  <si>
    <t>r =</t>
  </si>
  <si>
    <t>ANOVA</t>
  </si>
  <si>
    <t>Source</t>
  </si>
  <si>
    <t>S.S</t>
  </si>
  <si>
    <t>d.f</t>
  </si>
  <si>
    <t>M.S.S</t>
  </si>
  <si>
    <t>Fcal</t>
  </si>
  <si>
    <t>Ftab</t>
  </si>
  <si>
    <t>a</t>
  </si>
  <si>
    <t xml:space="preserve">b </t>
  </si>
  <si>
    <t>ab</t>
  </si>
  <si>
    <t>c</t>
  </si>
  <si>
    <t>ac</t>
  </si>
  <si>
    <t>bc</t>
  </si>
  <si>
    <t>abc</t>
  </si>
  <si>
    <t>Block</t>
  </si>
  <si>
    <t>BLOCK 1</t>
  </si>
  <si>
    <t>BLOCK 2</t>
  </si>
  <si>
    <t>BLOCK 3</t>
  </si>
  <si>
    <t>BLOCK4</t>
  </si>
  <si>
    <t>All blocks are equally effective</t>
  </si>
  <si>
    <t>All blocks are not equally effective</t>
  </si>
  <si>
    <t>Fcal=</t>
  </si>
  <si>
    <t>Ftab=</t>
  </si>
  <si>
    <t xml:space="preserve"> Hence, all blocks are equally effective.</t>
  </si>
  <si>
    <t>All treatments are equally effective</t>
  </si>
  <si>
    <t>All treatments are not equally effective</t>
  </si>
  <si>
    <t xml:space="preserve"> Hence, all treatments are not equally effective.</t>
  </si>
  <si>
    <t>All main effects are equally effective</t>
  </si>
  <si>
    <t>All main effects are not equally effective</t>
  </si>
  <si>
    <t>b</t>
  </si>
  <si>
    <t xml:space="preserve"> Hence, all main effects are not equally effective.</t>
  </si>
  <si>
    <t>All interaction effects are equally effective</t>
  </si>
  <si>
    <t>All interaction effects are not equally effective</t>
  </si>
  <si>
    <t>Hypothesis:</t>
  </si>
  <si>
    <t>Conclusion:</t>
  </si>
  <si>
    <r>
      <t>H</t>
    </r>
    <r>
      <rPr>
        <vertAlign val="subscript"/>
        <sz val="12"/>
        <color theme="1"/>
        <rFont val="Calibri"/>
        <family val="2"/>
        <scheme val="minor"/>
      </rPr>
      <t>01</t>
    </r>
    <r>
      <rPr>
        <sz val="12"/>
        <color theme="1"/>
        <rFont val="Calibri"/>
        <family val="2"/>
        <scheme val="minor"/>
      </rPr>
      <t>:</t>
    </r>
  </si>
  <si>
    <r>
      <t>H</t>
    </r>
    <r>
      <rPr>
        <vertAlign val="subscript"/>
        <sz val="12"/>
        <color theme="1"/>
        <rFont val="Calibri"/>
        <family val="2"/>
        <scheme val="minor"/>
      </rPr>
      <t>11</t>
    </r>
    <r>
      <rPr>
        <sz val="12"/>
        <color theme="1"/>
        <rFont val="Calibri"/>
        <family val="2"/>
        <scheme val="minor"/>
      </rPr>
      <t>:</t>
    </r>
  </si>
  <si>
    <r>
      <t>Here, F</t>
    </r>
    <r>
      <rPr>
        <vertAlign val="subscript"/>
        <sz val="12"/>
        <color theme="1"/>
        <rFont val="Calibri"/>
        <family val="2"/>
        <scheme val="minor"/>
      </rPr>
      <t>cal</t>
    </r>
    <r>
      <rPr>
        <sz val="12"/>
        <color theme="1"/>
        <rFont val="Calibri"/>
        <family val="2"/>
        <scheme val="minor"/>
      </rPr>
      <t xml:space="preserve"> &lt;  F</t>
    </r>
    <r>
      <rPr>
        <vertAlign val="subscript"/>
        <sz val="12"/>
        <color theme="1"/>
        <rFont val="Calibri"/>
        <family val="2"/>
        <scheme val="minor"/>
      </rPr>
      <t>tab</t>
    </r>
    <r>
      <rPr>
        <sz val="12"/>
        <color theme="1"/>
        <rFont val="Calibri"/>
        <family val="2"/>
        <scheme val="minor"/>
      </rPr>
      <t xml:space="preserve"> . So, we do not reject our Ho at 5% level of significance and 3 and 21 degrees of freedom.</t>
    </r>
  </si>
  <si>
    <r>
      <t>H</t>
    </r>
    <r>
      <rPr>
        <vertAlign val="subscript"/>
        <sz val="12"/>
        <color theme="1"/>
        <rFont val="Calibri"/>
        <family val="2"/>
        <scheme val="minor"/>
      </rPr>
      <t>02</t>
    </r>
    <r>
      <rPr>
        <sz val="12"/>
        <color theme="1"/>
        <rFont val="Calibri"/>
        <family val="2"/>
        <scheme val="minor"/>
      </rPr>
      <t>:</t>
    </r>
  </si>
  <si>
    <r>
      <t>H</t>
    </r>
    <r>
      <rPr>
        <vertAlign val="subscript"/>
        <sz val="12"/>
        <color theme="1"/>
        <rFont val="Calibri"/>
        <family val="2"/>
        <scheme val="minor"/>
      </rPr>
      <t>12</t>
    </r>
    <r>
      <rPr>
        <sz val="12"/>
        <color theme="1"/>
        <rFont val="Calibri"/>
        <family val="2"/>
        <scheme val="minor"/>
      </rPr>
      <t>:</t>
    </r>
  </si>
  <si>
    <r>
      <t>Here, F</t>
    </r>
    <r>
      <rPr>
        <vertAlign val="subscript"/>
        <sz val="12"/>
        <color theme="1"/>
        <rFont val="Calibri"/>
        <family val="2"/>
        <scheme val="minor"/>
      </rPr>
      <t>cal</t>
    </r>
    <r>
      <rPr>
        <sz val="12"/>
        <color theme="1"/>
        <rFont val="Calibri"/>
        <family val="2"/>
        <scheme val="minor"/>
      </rPr>
      <t xml:space="preserve"> &gt;  F</t>
    </r>
    <r>
      <rPr>
        <vertAlign val="subscript"/>
        <sz val="12"/>
        <color theme="1"/>
        <rFont val="Calibri"/>
        <family val="2"/>
        <scheme val="minor"/>
      </rPr>
      <t>tab</t>
    </r>
    <r>
      <rPr>
        <sz val="12"/>
        <color theme="1"/>
        <rFont val="Calibri"/>
        <family val="2"/>
        <scheme val="minor"/>
      </rPr>
      <t>. So, we reject our H</t>
    </r>
    <r>
      <rPr>
        <vertAlign val="subscript"/>
        <sz val="12"/>
        <color theme="1"/>
        <rFont val="Calibri"/>
        <family val="2"/>
        <scheme val="minor"/>
      </rPr>
      <t>0</t>
    </r>
    <r>
      <rPr>
        <sz val="12"/>
        <color theme="1"/>
        <rFont val="Calibri"/>
        <family val="2"/>
        <scheme val="minor"/>
      </rPr>
      <t xml:space="preserve"> at 5% level of significance and 7 and 21 degrees of freedom.</t>
    </r>
  </si>
  <si>
    <r>
      <t>H</t>
    </r>
    <r>
      <rPr>
        <vertAlign val="subscript"/>
        <sz val="12"/>
        <color theme="1"/>
        <rFont val="Calibri"/>
        <family val="2"/>
        <scheme val="minor"/>
      </rPr>
      <t>03</t>
    </r>
    <r>
      <rPr>
        <sz val="12"/>
        <color theme="1"/>
        <rFont val="Calibri"/>
        <family val="2"/>
        <scheme val="minor"/>
      </rPr>
      <t>:</t>
    </r>
  </si>
  <si>
    <r>
      <t>H</t>
    </r>
    <r>
      <rPr>
        <vertAlign val="subscript"/>
        <sz val="12"/>
        <color theme="1"/>
        <rFont val="Calibri"/>
        <family val="2"/>
        <scheme val="minor"/>
      </rPr>
      <t>13</t>
    </r>
    <r>
      <rPr>
        <sz val="12"/>
        <color theme="1"/>
        <rFont val="Calibri"/>
        <family val="2"/>
        <scheme val="minor"/>
      </rPr>
      <t>:</t>
    </r>
  </si>
  <si>
    <r>
      <t>Here, F</t>
    </r>
    <r>
      <rPr>
        <vertAlign val="subscript"/>
        <sz val="12"/>
        <color theme="1"/>
        <rFont val="Calibri"/>
        <family val="2"/>
        <scheme val="minor"/>
      </rPr>
      <t>cal</t>
    </r>
    <r>
      <rPr>
        <sz val="12"/>
        <color theme="1"/>
        <rFont val="Calibri"/>
        <family val="2"/>
        <scheme val="minor"/>
      </rPr>
      <t xml:space="preserve"> &gt;  F</t>
    </r>
    <r>
      <rPr>
        <vertAlign val="subscript"/>
        <sz val="12"/>
        <color theme="1"/>
        <rFont val="Calibri"/>
        <family val="2"/>
        <scheme val="minor"/>
      </rPr>
      <t>tab</t>
    </r>
    <r>
      <rPr>
        <sz val="12"/>
        <color theme="1"/>
        <rFont val="Calibri"/>
        <family val="2"/>
        <scheme val="minor"/>
      </rPr>
      <t>. So, we reject our H0 at 5% level of significance and 1 and 21 degrees of freedom.</t>
    </r>
  </si>
  <si>
    <r>
      <t>H</t>
    </r>
    <r>
      <rPr>
        <vertAlign val="subscript"/>
        <sz val="12"/>
        <color theme="1"/>
        <rFont val="Calibri"/>
        <family val="2"/>
        <scheme val="minor"/>
      </rPr>
      <t>04</t>
    </r>
    <r>
      <rPr>
        <sz val="12"/>
        <color theme="1"/>
        <rFont val="Calibri"/>
        <family val="2"/>
        <scheme val="minor"/>
      </rPr>
      <t>:</t>
    </r>
  </si>
  <si>
    <r>
      <t>H</t>
    </r>
    <r>
      <rPr>
        <vertAlign val="subscript"/>
        <sz val="12"/>
        <color theme="1"/>
        <rFont val="Calibri"/>
        <family val="2"/>
        <scheme val="minor"/>
      </rPr>
      <t>14</t>
    </r>
    <r>
      <rPr>
        <sz val="12"/>
        <color theme="1"/>
        <rFont val="Calibri"/>
        <family val="2"/>
        <scheme val="minor"/>
      </rPr>
      <t>:</t>
    </r>
  </si>
  <si>
    <t>BLOCK1</t>
  </si>
  <si>
    <t>BLOCK2</t>
  </si>
  <si>
    <t>BLOCK3</t>
  </si>
  <si>
    <t>BLOCK 4</t>
  </si>
  <si>
    <t>BLOCK5</t>
  </si>
  <si>
    <t>BLOCK 6</t>
  </si>
  <si>
    <t>a+b+c+abc-1-ab-bc-ac</t>
  </si>
  <si>
    <t>(a-1)-b(a-1)-c(a-1)+bc(a-1)</t>
  </si>
  <si>
    <t>(a-1)[1-b-c+bc]</t>
  </si>
  <si>
    <t>(a-1)[c(b-1)-(b-1)]</t>
  </si>
  <si>
    <t>(a-1)(b-1)(c-1) = abc is confounded</t>
  </si>
  <si>
    <t>Block 2 - Block 1</t>
  </si>
  <si>
    <t>Treatments</t>
  </si>
  <si>
    <t>Replication</t>
  </si>
  <si>
    <t>Block within replication</t>
  </si>
  <si>
    <t>Error</t>
  </si>
  <si>
    <t>Total</t>
  </si>
  <si>
    <r>
      <t>Here, F</t>
    </r>
    <r>
      <rPr>
        <vertAlign val="subscript"/>
        <sz val="12"/>
        <color theme="1"/>
        <rFont val="Calibri"/>
        <family val="2"/>
        <scheme val="minor"/>
      </rPr>
      <t>cal</t>
    </r>
    <r>
      <rPr>
        <sz val="12"/>
        <color theme="1"/>
        <rFont val="Calibri"/>
        <family val="2"/>
        <scheme val="minor"/>
      </rPr>
      <t xml:space="preserve"> &lt;  F</t>
    </r>
    <r>
      <rPr>
        <vertAlign val="subscript"/>
        <sz val="12"/>
        <color theme="1"/>
        <rFont val="Calibri"/>
        <family val="2"/>
        <scheme val="minor"/>
      </rPr>
      <t>tab</t>
    </r>
    <r>
      <rPr>
        <sz val="12"/>
        <color theme="1"/>
        <rFont val="Calibri"/>
        <family val="2"/>
        <scheme val="minor"/>
      </rPr>
      <t xml:space="preserve"> . So, we do not reject our Ho at 5% level of significance and 5 and 12 degrees of freedom.</t>
    </r>
  </si>
  <si>
    <r>
      <t>Here, F</t>
    </r>
    <r>
      <rPr>
        <vertAlign val="subscript"/>
        <sz val="12"/>
        <color theme="1"/>
        <rFont val="Calibri"/>
        <family val="2"/>
        <scheme val="minor"/>
      </rPr>
      <t>cal</t>
    </r>
    <r>
      <rPr>
        <sz val="12"/>
        <color theme="1"/>
        <rFont val="Calibri"/>
        <family val="2"/>
        <scheme val="minor"/>
      </rPr>
      <t xml:space="preserve"> &gt;  F</t>
    </r>
    <r>
      <rPr>
        <vertAlign val="subscript"/>
        <sz val="12"/>
        <color theme="1"/>
        <rFont val="Calibri"/>
        <family val="2"/>
        <scheme val="minor"/>
      </rPr>
      <t>tab</t>
    </r>
    <r>
      <rPr>
        <sz val="12"/>
        <color theme="1"/>
        <rFont val="Calibri"/>
        <family val="2"/>
        <scheme val="minor"/>
      </rPr>
      <t>. So, we reject our H</t>
    </r>
    <r>
      <rPr>
        <vertAlign val="subscript"/>
        <sz val="12"/>
        <color theme="1"/>
        <rFont val="Calibri"/>
        <family val="2"/>
        <scheme val="minor"/>
      </rPr>
      <t>0</t>
    </r>
    <r>
      <rPr>
        <sz val="12"/>
        <color theme="1"/>
        <rFont val="Calibri"/>
        <family val="2"/>
        <scheme val="minor"/>
      </rPr>
      <t xml:space="preserve"> at 5% level of significance and 6 and 12 degrees of freedom.</t>
    </r>
  </si>
  <si>
    <r>
      <t>Here, F</t>
    </r>
    <r>
      <rPr>
        <vertAlign val="subscript"/>
        <sz val="12"/>
        <color theme="1"/>
        <rFont val="Calibri"/>
        <family val="2"/>
        <scheme val="minor"/>
      </rPr>
      <t>cal</t>
    </r>
    <r>
      <rPr>
        <sz val="12"/>
        <color theme="1"/>
        <rFont val="Calibri"/>
        <family val="2"/>
        <scheme val="minor"/>
      </rPr>
      <t xml:space="preserve"> &gt;  F</t>
    </r>
    <r>
      <rPr>
        <vertAlign val="subscript"/>
        <sz val="12"/>
        <color theme="1"/>
        <rFont val="Calibri"/>
        <family val="2"/>
        <scheme val="minor"/>
      </rPr>
      <t>tab</t>
    </r>
    <r>
      <rPr>
        <sz val="12"/>
        <color theme="1"/>
        <rFont val="Calibri"/>
        <family val="2"/>
        <scheme val="minor"/>
      </rPr>
      <t>. For interaction effect "ab" and "bc . So, we reject our H</t>
    </r>
    <r>
      <rPr>
        <vertAlign val="subscript"/>
        <sz val="12"/>
        <color theme="1"/>
        <rFont val="Calibri"/>
        <family val="2"/>
        <scheme val="minor"/>
      </rPr>
      <t>0</t>
    </r>
    <r>
      <rPr>
        <sz val="12"/>
        <color theme="1"/>
        <rFont val="Calibri"/>
        <family val="2"/>
        <scheme val="minor"/>
      </rPr>
      <t xml:space="preserve"> at 5% level of significance and 1 and 21 degrees of freedom.</t>
    </r>
  </si>
  <si>
    <r>
      <t>And, F</t>
    </r>
    <r>
      <rPr>
        <vertAlign val="subscript"/>
        <sz val="12"/>
        <color theme="1"/>
        <rFont val="Calibri"/>
        <family val="2"/>
        <scheme val="minor"/>
      </rPr>
      <t xml:space="preserve">cal </t>
    </r>
    <r>
      <rPr>
        <sz val="12"/>
        <color theme="1"/>
        <rFont val="Calibri"/>
        <family val="2"/>
        <scheme val="minor"/>
      </rPr>
      <t>&lt; F</t>
    </r>
    <r>
      <rPr>
        <vertAlign val="subscript"/>
        <sz val="12"/>
        <color theme="1"/>
        <rFont val="Calibri"/>
        <family val="2"/>
        <scheme val="minor"/>
      </rPr>
      <t>tab. F</t>
    </r>
    <r>
      <rPr>
        <sz val="12"/>
        <color theme="1"/>
        <rFont val="Calibri"/>
        <family val="2"/>
        <scheme val="minor"/>
      </rPr>
      <t>or interaction effect "ac". So, we do not reject our H</t>
    </r>
    <r>
      <rPr>
        <vertAlign val="subscript"/>
        <sz val="12"/>
        <color theme="1"/>
        <rFont val="Calibri"/>
        <family val="2"/>
        <scheme val="minor"/>
      </rPr>
      <t>0</t>
    </r>
    <r>
      <rPr>
        <sz val="12"/>
        <color theme="1"/>
        <rFont val="Calibri"/>
        <family val="2"/>
        <scheme val="minor"/>
      </rPr>
      <t xml:space="preserve"> at 5% level of significance and 1 and 21 degrees of freedom.</t>
    </r>
  </si>
  <si>
    <t>Hence, interaction effect "ac" is effective.</t>
  </si>
  <si>
    <t>Hence, interaction effect "ab" and "bc" are not effective.</t>
  </si>
  <si>
    <r>
      <t>R</t>
    </r>
    <r>
      <rPr>
        <vertAlign val="subscript"/>
        <sz val="11"/>
        <color theme="1"/>
        <rFont val="Calibri"/>
        <family val="2"/>
        <scheme val="minor"/>
      </rPr>
      <t>1</t>
    </r>
    <r>
      <rPr>
        <sz val="11"/>
        <color theme="1"/>
        <rFont val="Calibri"/>
        <family val="2"/>
        <scheme val="minor"/>
      </rPr>
      <t xml:space="preserve"> = </t>
    </r>
  </si>
  <si>
    <r>
      <t>R</t>
    </r>
    <r>
      <rPr>
        <vertAlign val="subscript"/>
        <sz val="11"/>
        <color theme="1"/>
        <rFont val="Calibri"/>
        <family val="2"/>
        <scheme val="minor"/>
      </rPr>
      <t>2</t>
    </r>
    <r>
      <rPr>
        <sz val="11"/>
        <color theme="1"/>
        <rFont val="Calibri"/>
        <family val="2"/>
        <scheme val="minor"/>
      </rPr>
      <t xml:space="preserve"> = </t>
    </r>
  </si>
  <si>
    <r>
      <t>R</t>
    </r>
    <r>
      <rPr>
        <vertAlign val="subscript"/>
        <sz val="11"/>
        <color theme="1"/>
        <rFont val="Calibri"/>
        <family val="2"/>
        <scheme val="minor"/>
      </rPr>
      <t xml:space="preserve">3 </t>
    </r>
    <r>
      <rPr>
        <sz val="11"/>
        <color theme="1"/>
        <rFont val="Calibri"/>
        <family val="2"/>
        <scheme val="minor"/>
      </rPr>
      <t xml:space="preserve">= </t>
    </r>
  </si>
  <si>
    <t>Block1</t>
  </si>
  <si>
    <t>Block2</t>
  </si>
  <si>
    <t>Block3</t>
  </si>
  <si>
    <t>Block4</t>
  </si>
  <si>
    <t>Block5</t>
  </si>
  <si>
    <t>Block6</t>
  </si>
  <si>
    <t>Block7</t>
  </si>
  <si>
    <t>Block8</t>
  </si>
  <si>
    <t>34(1)</t>
  </si>
  <si>
    <t>81mn</t>
  </si>
  <si>
    <t>58mp</t>
  </si>
  <si>
    <t>71np</t>
  </si>
  <si>
    <t>53n</t>
  </si>
  <si>
    <t>35p</t>
  </si>
  <si>
    <t>55m</t>
  </si>
  <si>
    <t>83mnp</t>
  </si>
  <si>
    <t>72mn</t>
  </si>
  <si>
    <t>52n</t>
  </si>
  <si>
    <t>42p</t>
  </si>
  <si>
    <t>37mp</t>
  </si>
  <si>
    <t>43(1)</t>
  </si>
  <si>
    <t>11np</t>
  </si>
  <si>
    <t>41m</t>
  </si>
  <si>
    <t>74mnp</t>
  </si>
  <si>
    <t>54m</t>
  </si>
  <si>
    <t>50n</t>
  </si>
  <si>
    <t>53np</t>
  </si>
  <si>
    <t>40p</t>
  </si>
  <si>
    <t>80mnp</t>
  </si>
  <si>
    <t>42(1)</t>
  </si>
  <si>
    <t>27(1)</t>
  </si>
  <si>
    <t>60mp</t>
  </si>
  <si>
    <t>82mnp</t>
  </si>
  <si>
    <t>43n</t>
  </si>
  <si>
    <t>65mn</t>
  </si>
  <si>
    <t>49m</t>
  </si>
  <si>
    <t>52np</t>
  </si>
  <si>
    <t>32p</t>
  </si>
  <si>
    <t>Block II - Block I = (n + p + m + mnp) - (1 + mn + mp + np) = n + p + m - mn - mp - np + mnp</t>
  </si>
  <si>
    <t>mn(p - 1) + (p - 1) - n(p - 1) - m(p - 1) = (p - 1)[mn + 1 - n - m]</t>
  </si>
  <si>
    <t>(p - 1)[m(n - 1) - (n - 1)] = (p-1)(n-1)(m-1)</t>
  </si>
  <si>
    <t>mnp is confunded</t>
  </si>
  <si>
    <t>Block IV - Block III = (1 + np + m + mnp) - (mn + n + p + mp) = m - p - n - mn - mp + np + 1 + mnp</t>
  </si>
  <si>
    <t>mn(p - 1) - m(p - 1) + n(p - 1) - (p - 1) = (p - 1)[mn - 1 + n - m]</t>
  </si>
  <si>
    <t>(p - 1)[m(n - 1) + (n - 1)] = (p-1)(n-1)(m+1)</t>
  </si>
  <si>
    <t>np is confunded</t>
  </si>
  <si>
    <t xml:space="preserve">Block VI - Block V = (1 + np + m + mnp) - (mn + n + p + mp) =p - m - n + mn - mp - np + mnp + 1 </t>
  </si>
  <si>
    <t>mn(p + 1) - m(p + 1) - n(p - 1) + (p - 1) = (p + 1)[mn + 1 - n - m]</t>
  </si>
  <si>
    <t>(p + 1)[m(n-1) - (n-1)] = (p + 1)(n - 1)(m - 1)</t>
  </si>
  <si>
    <t>mn is confunded</t>
  </si>
  <si>
    <t xml:space="preserve">Block VIII - Block VII = (mn + np + m + p) - (1 + n + mp + mnp) = p + m - n + mn - mp + np - mnp - 1 </t>
  </si>
  <si>
    <t xml:space="preserve">(-mn(p - 1)) - m(p-1) + n(p-1) + (p + 1) = (p - 1)[n - m  - mn + 1] </t>
  </si>
  <si>
    <t>(p - 1)[-n(m-1) - (m-1)] = (p - 1)(- n - 1)(m - 1)</t>
  </si>
  <si>
    <t>mp is confunded</t>
  </si>
  <si>
    <t>m</t>
  </si>
  <si>
    <t>mn</t>
  </si>
  <si>
    <t>mp</t>
  </si>
  <si>
    <t>mnp</t>
  </si>
  <si>
    <r>
      <t>R</t>
    </r>
    <r>
      <rPr>
        <vertAlign val="subscript"/>
        <sz val="11"/>
        <color theme="1"/>
        <rFont val="Calibri"/>
        <family val="2"/>
        <scheme val="minor"/>
      </rPr>
      <t>4</t>
    </r>
    <r>
      <rPr>
        <sz val="11"/>
        <color theme="1"/>
        <rFont val="Calibri"/>
        <family val="2"/>
        <scheme val="minor"/>
      </rPr>
      <t xml:space="preserve"> = </t>
    </r>
  </si>
  <si>
    <t>Interaction</t>
  </si>
  <si>
    <t>Replication in which confounded</t>
  </si>
  <si>
    <t>Total from which confounded</t>
  </si>
  <si>
    <t>divisor</t>
  </si>
  <si>
    <t>S.S.</t>
  </si>
  <si>
    <t>III</t>
  </si>
  <si>
    <t>IV</t>
  </si>
  <si>
    <t>I</t>
  </si>
  <si>
    <t>Anova:</t>
  </si>
  <si>
    <t xml:space="preserve">Table 1 </t>
  </si>
  <si>
    <t>Table 2</t>
  </si>
  <si>
    <t xml:space="preserve">Table 3 </t>
  </si>
  <si>
    <t xml:space="preserve">Table 4 </t>
  </si>
  <si>
    <t>d.f.</t>
  </si>
  <si>
    <t>M.S.S.</t>
  </si>
  <si>
    <r>
      <t>Here, F</t>
    </r>
    <r>
      <rPr>
        <vertAlign val="subscript"/>
        <sz val="12"/>
        <color theme="1"/>
        <rFont val="Calibri"/>
        <family val="2"/>
        <scheme val="minor"/>
      </rPr>
      <t>cal</t>
    </r>
    <r>
      <rPr>
        <sz val="12"/>
        <color theme="1"/>
        <rFont val="Calibri"/>
        <family val="2"/>
        <scheme val="minor"/>
      </rPr>
      <t xml:space="preserve"> &lt;  F</t>
    </r>
    <r>
      <rPr>
        <vertAlign val="subscript"/>
        <sz val="12"/>
        <color theme="1"/>
        <rFont val="Calibri"/>
        <family val="2"/>
        <scheme val="minor"/>
      </rPr>
      <t>tab</t>
    </r>
    <r>
      <rPr>
        <sz val="12"/>
        <color theme="1"/>
        <rFont val="Calibri"/>
        <family val="2"/>
        <scheme val="minor"/>
      </rPr>
      <t xml:space="preserve"> . So, we do not reject our Ho at 5% level of significance and 7 and 17 degrees of freedom.</t>
    </r>
  </si>
  <si>
    <r>
      <t>Here, F</t>
    </r>
    <r>
      <rPr>
        <vertAlign val="subscript"/>
        <sz val="12"/>
        <color theme="1"/>
        <rFont val="Calibri"/>
        <family val="2"/>
        <scheme val="minor"/>
      </rPr>
      <t>cal</t>
    </r>
    <r>
      <rPr>
        <sz val="12"/>
        <color theme="1"/>
        <rFont val="Calibri"/>
        <family val="2"/>
        <scheme val="minor"/>
      </rPr>
      <t xml:space="preserve"> &gt;  F</t>
    </r>
    <r>
      <rPr>
        <vertAlign val="subscript"/>
        <sz val="12"/>
        <color theme="1"/>
        <rFont val="Calibri"/>
        <family val="2"/>
        <scheme val="minor"/>
      </rPr>
      <t>tab</t>
    </r>
    <r>
      <rPr>
        <sz val="12"/>
        <color theme="1"/>
        <rFont val="Calibri"/>
        <family val="2"/>
        <scheme val="minor"/>
      </rPr>
      <t>. So, we reject our H</t>
    </r>
    <r>
      <rPr>
        <vertAlign val="subscript"/>
        <sz val="12"/>
        <color theme="1"/>
        <rFont val="Calibri"/>
        <family val="2"/>
        <scheme val="minor"/>
      </rPr>
      <t>0</t>
    </r>
    <r>
      <rPr>
        <sz val="12"/>
        <color theme="1"/>
        <rFont val="Calibri"/>
        <family val="2"/>
        <scheme val="minor"/>
      </rPr>
      <t xml:space="preserve"> at 5% level of significance and 7 and 17 degrees of freedom.</t>
    </r>
  </si>
  <si>
    <r>
      <t>Here, F</t>
    </r>
    <r>
      <rPr>
        <vertAlign val="subscript"/>
        <sz val="12"/>
        <color theme="1"/>
        <rFont val="Calibri"/>
        <family val="2"/>
        <scheme val="minor"/>
      </rPr>
      <t>cal</t>
    </r>
    <r>
      <rPr>
        <sz val="12"/>
        <color theme="1"/>
        <rFont val="Calibri"/>
        <family val="2"/>
        <scheme val="minor"/>
      </rPr>
      <t xml:space="preserve"> &gt;  F</t>
    </r>
    <r>
      <rPr>
        <vertAlign val="subscript"/>
        <sz val="12"/>
        <color theme="1"/>
        <rFont val="Calibri"/>
        <family val="2"/>
        <scheme val="minor"/>
      </rPr>
      <t>tab</t>
    </r>
    <r>
      <rPr>
        <sz val="12"/>
        <color theme="1"/>
        <rFont val="Calibri"/>
        <family val="2"/>
        <scheme val="minor"/>
      </rPr>
      <t xml:space="preserve"> for m and n. So, we reject our H0 at 5% level of significance and 1 and 17 degrees of freedom.</t>
    </r>
  </si>
  <si>
    <t>Here, Fcal &lt;  Ftab for p. So, we do not reject our H0 at 5% level of significance and 1 and 17</t>
  </si>
  <si>
    <t>Hence, m and n effects are not equally effective &amp; p is equally effective.</t>
  </si>
  <si>
    <r>
      <t>Here, F</t>
    </r>
    <r>
      <rPr>
        <vertAlign val="subscript"/>
        <sz val="12"/>
        <color theme="1"/>
        <rFont val="Calibri"/>
        <family val="2"/>
        <scheme val="minor"/>
      </rPr>
      <t>cal</t>
    </r>
    <r>
      <rPr>
        <sz val="12"/>
        <color theme="1"/>
        <rFont val="Calibri"/>
        <family val="2"/>
        <scheme val="minor"/>
      </rPr>
      <t xml:space="preserve"> &lt;  F</t>
    </r>
    <r>
      <rPr>
        <vertAlign val="subscript"/>
        <sz val="12"/>
        <color theme="1"/>
        <rFont val="Calibri"/>
        <family val="2"/>
        <scheme val="minor"/>
      </rPr>
      <t>tab</t>
    </r>
    <r>
      <rPr>
        <sz val="12"/>
        <color theme="1"/>
        <rFont val="Calibri"/>
        <family val="2"/>
        <scheme val="minor"/>
      </rPr>
      <t>.  So, we do not reject our H</t>
    </r>
    <r>
      <rPr>
        <vertAlign val="subscript"/>
        <sz val="12"/>
        <color theme="1"/>
        <rFont val="Calibri"/>
        <family val="2"/>
        <scheme val="minor"/>
      </rPr>
      <t>0</t>
    </r>
    <r>
      <rPr>
        <sz val="12"/>
        <color theme="1"/>
        <rFont val="Calibri"/>
        <family val="2"/>
        <scheme val="minor"/>
      </rPr>
      <t xml:space="preserve"> at 5% level of significance and 1 and 17 degrees of freedom.</t>
    </r>
  </si>
  <si>
    <t>Hence, interaction effects are equally effective.</t>
  </si>
  <si>
    <r>
      <t>Here, F</t>
    </r>
    <r>
      <rPr>
        <vertAlign val="subscript"/>
        <sz val="12"/>
        <color theme="1"/>
        <rFont val="Calibri"/>
        <family val="2"/>
        <scheme val="minor"/>
      </rPr>
      <t>cal</t>
    </r>
    <r>
      <rPr>
        <sz val="12"/>
        <color theme="1"/>
        <rFont val="Calibri"/>
        <family val="2"/>
        <scheme val="minor"/>
      </rPr>
      <t xml:space="preserve"> &gt;  F</t>
    </r>
    <r>
      <rPr>
        <vertAlign val="subscript"/>
        <sz val="12"/>
        <color theme="1"/>
        <rFont val="Calibri"/>
        <family val="2"/>
        <scheme val="minor"/>
      </rPr>
      <t>tab</t>
    </r>
    <r>
      <rPr>
        <sz val="12"/>
        <color theme="1"/>
        <rFont val="Calibri"/>
        <family val="2"/>
        <scheme val="minor"/>
      </rPr>
      <t>. So, we reject our H0 at 5% level of significance and 1 and 12 degrees of freedom.</t>
    </r>
  </si>
  <si>
    <t>32 = no. of observations</t>
  </si>
  <si>
    <t>8 = no. of treatment/no. of blocks</t>
  </si>
  <si>
    <t>2^3(r-1) = 24</t>
  </si>
  <si>
    <t>II</t>
  </si>
  <si>
    <t>G</t>
  </si>
  <si>
    <t>Name : Parmar Mahek c</t>
  </si>
  <si>
    <t>-</t>
  </si>
  <si>
    <t>s.s</t>
  </si>
  <si>
    <t>Question: 1</t>
  </si>
  <si>
    <t>Solution:</t>
  </si>
  <si>
    <t>Question 2:</t>
  </si>
  <si>
    <t>N</t>
  </si>
  <si>
    <t>P</t>
  </si>
  <si>
    <t>NP</t>
  </si>
  <si>
    <t>K</t>
  </si>
  <si>
    <t>NK</t>
  </si>
  <si>
    <t>PK</t>
  </si>
  <si>
    <t>NPK</t>
  </si>
  <si>
    <r>
      <t>0</t>
    </r>
    <r>
      <rPr>
        <b/>
        <vertAlign val="superscript"/>
        <sz val="12"/>
        <color rgb="FF000000"/>
        <rFont val="Calibri"/>
        <family val="2"/>
      </rPr>
      <t xml:space="preserve">th </t>
    </r>
  </si>
  <si>
    <r>
      <t>1</t>
    </r>
    <r>
      <rPr>
        <b/>
        <vertAlign val="superscript"/>
        <sz val="12"/>
        <color theme="1"/>
        <rFont val="Calibri"/>
        <family val="2"/>
        <scheme val="minor"/>
      </rPr>
      <t>th</t>
    </r>
  </si>
  <si>
    <r>
      <t>2</t>
    </r>
    <r>
      <rPr>
        <b/>
        <vertAlign val="superscript"/>
        <sz val="12"/>
        <color theme="1"/>
        <rFont val="Calibri"/>
        <family val="2"/>
        <scheme val="minor"/>
      </rPr>
      <t>nd</t>
    </r>
  </si>
  <si>
    <r>
      <t>3</t>
    </r>
    <r>
      <rPr>
        <b/>
        <vertAlign val="superscript"/>
        <sz val="12"/>
        <color theme="1"/>
        <rFont val="Calibri"/>
        <family val="2"/>
        <scheme val="minor"/>
      </rPr>
      <t>rd</t>
    </r>
  </si>
  <si>
    <t>Practical 5 Factorial Design</t>
  </si>
  <si>
    <t>Replication I</t>
  </si>
  <si>
    <t>Block I</t>
  </si>
  <si>
    <t>(1)30</t>
  </si>
  <si>
    <t>ab 11</t>
  </si>
  <si>
    <t>ac 14</t>
  </si>
  <si>
    <t>bc 16</t>
  </si>
  <si>
    <r>
      <t xml:space="preserve"> </t>
    </r>
    <r>
      <rPr>
        <b/>
        <sz val="11"/>
        <color theme="1"/>
        <rFont val="Calibri"/>
        <family val="2"/>
        <scheme val="minor"/>
      </rPr>
      <t>Block II</t>
    </r>
  </si>
  <si>
    <t>a 18</t>
  </si>
  <si>
    <t>b 14</t>
  </si>
  <si>
    <t>c 28</t>
  </si>
  <si>
    <t>abc 20</t>
  </si>
  <si>
    <t xml:space="preserve"> </t>
  </si>
  <si>
    <t>Replication II</t>
  </si>
  <si>
    <t>Block III</t>
  </si>
  <si>
    <t>(1)26</t>
  </si>
  <si>
    <t>ab 8</t>
  </si>
  <si>
    <r>
      <t xml:space="preserve"> </t>
    </r>
    <r>
      <rPr>
        <b/>
        <sz val="11"/>
        <color theme="1"/>
        <rFont val="Calibri"/>
        <family val="2"/>
        <scheme val="minor"/>
      </rPr>
      <t>Block IV</t>
    </r>
  </si>
  <si>
    <t>a 15</t>
  </si>
  <si>
    <t>b 11</t>
  </si>
  <si>
    <t>Replication III</t>
  </si>
  <si>
    <t>Block V</t>
  </si>
  <si>
    <t>(1)24</t>
  </si>
  <si>
    <t>bc 23</t>
  </si>
  <si>
    <t>Block VI</t>
  </si>
  <si>
    <t>a 17</t>
  </si>
  <si>
    <t>b 13</t>
  </si>
  <si>
    <t>c 25</t>
  </si>
  <si>
    <t>abc 21</t>
  </si>
  <si>
    <t>Main Treatment a,b,c</t>
  </si>
  <si>
    <t>No. of blocks</t>
  </si>
  <si>
    <t>No. of replication</t>
  </si>
  <si>
    <t xml:space="preserve">No. of observation </t>
  </si>
  <si>
    <t>(1) 29</t>
  </si>
  <si>
    <t xml:space="preserve">      -</t>
  </si>
  <si>
    <t>Treat s.s</t>
  </si>
  <si>
    <r>
      <t>0</t>
    </r>
    <r>
      <rPr>
        <b/>
        <vertAlign val="superscript"/>
        <sz val="11"/>
        <color theme="1"/>
        <rFont val="Calibri"/>
        <family val="2"/>
        <scheme val="minor"/>
      </rPr>
      <t>th</t>
    </r>
  </si>
  <si>
    <r>
      <t>1</t>
    </r>
    <r>
      <rPr>
        <b/>
        <vertAlign val="superscript"/>
        <sz val="11"/>
        <color theme="1"/>
        <rFont val="Calibri"/>
        <family val="2"/>
        <scheme val="minor"/>
      </rPr>
      <t>st</t>
    </r>
  </si>
  <si>
    <r>
      <t>2</t>
    </r>
    <r>
      <rPr>
        <b/>
        <vertAlign val="superscript"/>
        <sz val="11"/>
        <color theme="1"/>
        <rFont val="Calibri"/>
        <family val="2"/>
        <scheme val="minor"/>
      </rPr>
      <t>nd</t>
    </r>
  </si>
  <si>
    <r>
      <t>3</t>
    </r>
    <r>
      <rPr>
        <b/>
        <vertAlign val="superscript"/>
        <sz val="11"/>
        <color theme="1"/>
        <rFont val="Calibri"/>
        <family val="2"/>
        <scheme val="minor"/>
      </rPr>
      <t>rd</t>
    </r>
  </si>
  <si>
    <t>Sol:</t>
  </si>
  <si>
    <t>Question 3:</t>
  </si>
  <si>
    <t>Identify the confounded interactions and analyse the design</t>
  </si>
  <si>
    <t>mn 81</t>
  </si>
  <si>
    <t>mp 58</t>
  </si>
  <si>
    <t>np  71</t>
  </si>
  <si>
    <t>n 53</t>
  </si>
  <si>
    <t>p 35</t>
  </si>
  <si>
    <t>m 55</t>
  </si>
  <si>
    <t>mnp 83</t>
  </si>
  <si>
    <t>mn 72</t>
  </si>
  <si>
    <t>n 52</t>
  </si>
  <si>
    <t>p 42</t>
  </si>
  <si>
    <t>mp 37</t>
  </si>
  <si>
    <t>(1) 43</t>
  </si>
  <si>
    <t>np 11</t>
  </si>
  <si>
    <t>m 41</t>
  </si>
  <si>
    <t>mnp 74</t>
  </si>
  <si>
    <t>m 54</t>
  </si>
  <si>
    <t>n 50</t>
  </si>
  <si>
    <t>np 53</t>
  </si>
  <si>
    <t>p 40</t>
  </si>
  <si>
    <t>mnp 80</t>
  </si>
  <si>
    <t>(1) 42</t>
  </si>
  <si>
    <t>Replication IV</t>
  </si>
  <si>
    <t>Block VII</t>
  </si>
  <si>
    <t>(1) 27</t>
  </si>
  <si>
    <t>mp 60</t>
  </si>
  <si>
    <t>mnp 82</t>
  </si>
  <si>
    <t>n 43</t>
  </si>
  <si>
    <t>Block VIII</t>
  </si>
  <si>
    <t>mn 65</t>
  </si>
  <si>
    <t>m 49</t>
  </si>
  <si>
    <t>np 52</t>
  </si>
  <si>
    <t>p 32</t>
  </si>
  <si>
    <t>Replication 1</t>
  </si>
  <si>
    <t>Replication 2</t>
  </si>
  <si>
    <t>Replication 3</t>
  </si>
  <si>
    <t>Replication 4</t>
  </si>
  <si>
    <t>Rep of 1,2,3,4</t>
  </si>
  <si>
    <t>Rep of 2,3,4</t>
  </si>
  <si>
    <t>Rep 1,3,4</t>
  </si>
  <si>
    <t>rep of 1,2,4</t>
  </si>
  <si>
    <t>Rep of 1,2,3</t>
  </si>
  <si>
    <r>
      <t>F</t>
    </r>
    <r>
      <rPr>
        <b/>
        <vertAlign val="subscript"/>
        <sz val="11"/>
        <color theme="1"/>
        <rFont val="Calibri"/>
        <family val="2"/>
        <scheme val="minor"/>
      </rPr>
      <t>cal</t>
    </r>
  </si>
  <si>
    <r>
      <t>F</t>
    </r>
    <r>
      <rPr>
        <b/>
        <vertAlign val="subscript"/>
        <sz val="11"/>
        <color theme="1"/>
        <rFont val="Calibri"/>
        <family val="2"/>
        <scheme val="minor"/>
      </rPr>
      <t>tab</t>
    </r>
  </si>
  <si>
    <r>
      <t>Here, F</t>
    </r>
    <r>
      <rPr>
        <vertAlign val="subscript"/>
        <sz val="12"/>
        <color theme="1"/>
        <rFont val="Calibri"/>
        <family val="2"/>
        <scheme val="minor"/>
      </rPr>
      <t>cal</t>
    </r>
    <r>
      <rPr>
        <sz val="12"/>
        <color theme="1"/>
        <rFont val="Calibri"/>
        <family val="2"/>
        <scheme val="minor"/>
      </rPr>
      <t xml:space="preserve"> &gt;  F</t>
    </r>
    <r>
      <rPr>
        <vertAlign val="subscript"/>
        <sz val="12"/>
        <color theme="1"/>
        <rFont val="Calibri"/>
        <family val="2"/>
        <scheme val="minor"/>
      </rPr>
      <t>tab</t>
    </r>
    <r>
      <rPr>
        <sz val="12"/>
        <color theme="1"/>
        <rFont val="Calibri"/>
        <family val="2"/>
        <scheme val="minor"/>
      </rPr>
      <t>. For interaction effect "nk" . So, we reject our H</t>
    </r>
    <r>
      <rPr>
        <vertAlign val="subscript"/>
        <sz val="12"/>
        <color theme="1"/>
        <rFont val="Calibri"/>
        <family val="2"/>
        <scheme val="minor"/>
      </rPr>
      <t>0</t>
    </r>
    <r>
      <rPr>
        <sz val="12"/>
        <color theme="1"/>
        <rFont val="Calibri"/>
        <family val="2"/>
        <scheme val="minor"/>
      </rPr>
      <t xml:space="preserve"> at 5% level of significance and 1 and 21 degrees of freedom.</t>
    </r>
  </si>
  <si>
    <r>
      <t>And, F</t>
    </r>
    <r>
      <rPr>
        <vertAlign val="subscript"/>
        <sz val="12"/>
        <color theme="1"/>
        <rFont val="Calibri"/>
        <family val="2"/>
        <scheme val="minor"/>
      </rPr>
      <t xml:space="preserve">cal </t>
    </r>
    <r>
      <rPr>
        <sz val="12"/>
        <color theme="1"/>
        <rFont val="Calibri"/>
        <family val="2"/>
        <scheme val="minor"/>
      </rPr>
      <t>&lt; F</t>
    </r>
    <r>
      <rPr>
        <vertAlign val="subscript"/>
        <sz val="12"/>
        <color theme="1"/>
        <rFont val="Calibri"/>
        <family val="2"/>
        <scheme val="minor"/>
      </rPr>
      <t>tab. F</t>
    </r>
    <r>
      <rPr>
        <sz val="12"/>
        <color theme="1"/>
        <rFont val="Calibri"/>
        <family val="2"/>
        <scheme val="minor"/>
      </rPr>
      <t>or interaction effects "np", "pk" ,"npk". So, we do not reject our H</t>
    </r>
    <r>
      <rPr>
        <vertAlign val="subscript"/>
        <sz val="12"/>
        <color theme="1"/>
        <rFont val="Calibri"/>
        <family val="2"/>
        <scheme val="minor"/>
      </rPr>
      <t>0</t>
    </r>
    <r>
      <rPr>
        <sz val="12"/>
        <color theme="1"/>
        <rFont val="Calibri"/>
        <family val="2"/>
        <scheme val="minor"/>
      </rPr>
      <t xml:space="preserve"> at 5% level of significance and 1 and 21 degrees of freedom.</t>
    </r>
  </si>
  <si>
    <t>Hence, interaction effect "np", "pk" ,"npk" are effective.</t>
  </si>
  <si>
    <t>Hence,interaction effect "nk" is not effective.</t>
  </si>
  <si>
    <r>
      <t>A 2</t>
    </r>
    <r>
      <rPr>
        <vertAlign val="superscript"/>
        <sz val="12"/>
        <color theme="1"/>
        <rFont val="Calibri"/>
        <family val="2"/>
        <scheme val="minor"/>
      </rPr>
      <t>3</t>
    </r>
    <r>
      <rPr>
        <sz val="12"/>
        <color theme="1"/>
        <rFont val="Calibri"/>
        <family val="2"/>
        <scheme val="minor"/>
      </rPr>
      <t xml:space="preserve"> factorial experiment was conducted to study the effects of the nutrients nitrogen(N), Phosporous (P) and Potassium (K) on the yield of the potatoes. Two levels of each factor were used. The upper level of a factor indicated the application of fixed quantity of that factor, while lower level its absence. The plan and yields are given in the following table:</t>
    </r>
  </si>
  <si>
    <r>
      <t>Following table shows the data of a confounded 2</t>
    </r>
    <r>
      <rPr>
        <vertAlign val="superscript"/>
        <sz val="11"/>
        <color theme="1"/>
        <rFont val="Calibri"/>
        <family val="2"/>
        <scheme val="minor"/>
      </rPr>
      <t>3</t>
    </r>
    <r>
      <rPr>
        <sz val="11"/>
        <color theme="1"/>
        <rFont val="Calibri"/>
        <family val="2"/>
        <scheme val="minor"/>
      </rPr>
      <t xml:space="preserve"> experiment. Determine the confounded interaction and analyse the data.</t>
    </r>
  </si>
  <si>
    <t>Main Treatment m,n,p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</si>
</sst>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2"/>
      <color theme="1"/>
      <name val="Calibri"/>
      <family val="2"/>
      <scheme val="minor"/>
    </font>
    <font>
      <b/>
      <sz val="11"/>
      <color rgb="FFFF0000"/>
      <name val="Calibri"/>
      <family val="2"/>
      <scheme val="minor"/>
    </font>
    <font>
      <b/>
      <u/>
      <sz val="11"/>
      <color theme="1"/>
      <name val="Calibri"/>
      <family val="2"/>
      <scheme val="minor"/>
    </font>
    <font>
      <b/>
      <sz val="12"/>
      <color rgb="FFFF0000"/>
      <name val="Calibri"/>
      <family val="2"/>
      <scheme val="minor"/>
    </font>
    <font>
      <b/>
      <u/>
      <sz val="12"/>
      <color theme="1"/>
      <name val="Calibri Light"/>
      <family val="2"/>
      <scheme val="major"/>
    </font>
    <font>
      <sz val="12"/>
      <color theme="1"/>
      <name val="Calibri Light"/>
      <family val="2"/>
      <scheme val="major"/>
    </font>
    <font>
      <b/>
      <u/>
      <sz val="12"/>
      <color theme="1"/>
      <name val="Calibri"/>
      <family val="2"/>
      <scheme val="minor"/>
    </font>
    <font>
      <vertAlign val="subscript"/>
      <sz val="12"/>
      <color theme="1"/>
      <name val="Calibri"/>
      <family val="2"/>
      <scheme val="minor"/>
    </font>
    <font>
      <vertAlign val="subscript"/>
      <sz val="11"/>
      <color theme="1"/>
      <name val="Calibri"/>
      <family val="2"/>
      <scheme val="minor"/>
    </font>
    <font>
      <b/>
      <sz val="11"/>
      <color theme="1"/>
      <name val="Calibri"/>
      <family val="2"/>
      <scheme val="minor"/>
    </font>
    <font>
      <sz val="8"/>
      <name val="Calibri"/>
      <family val="2"/>
      <scheme val="minor"/>
    </font>
    <font>
      <sz val="12"/>
      <color theme="4" tint="0.79998168889431442"/>
      <name val="Calibri"/>
      <family val="2"/>
      <scheme val="minor"/>
    </font>
    <font>
      <b/>
      <u/>
      <sz val="16"/>
      <color theme="1"/>
      <name val="Calibri"/>
      <family val="2"/>
      <scheme val="minor"/>
    </font>
    <font>
      <b/>
      <sz val="12"/>
      <color theme="1"/>
      <name val="Calibri"/>
      <family val="2"/>
      <scheme val="minor"/>
    </font>
    <font>
      <b/>
      <sz val="14"/>
      <color theme="1"/>
      <name val="Calibri"/>
      <family val="2"/>
      <scheme val="minor"/>
    </font>
    <font>
      <b/>
      <sz val="12"/>
      <color rgb="FF000000"/>
      <name val="Calibri"/>
      <family val="2"/>
    </font>
    <font>
      <b/>
      <vertAlign val="superscript"/>
      <sz val="12"/>
      <color rgb="FF000000"/>
      <name val="Calibri"/>
      <family val="2"/>
    </font>
    <font>
      <b/>
      <vertAlign val="superscript"/>
      <sz val="12"/>
      <color theme="1"/>
      <name val="Calibri"/>
      <family val="2"/>
      <scheme val="minor"/>
    </font>
    <font>
      <sz val="12"/>
      <color rgb="FFFFFFFF"/>
      <name val="Calibri"/>
      <family val="2"/>
      <scheme val="minor"/>
    </font>
    <font>
      <b/>
      <vertAlign val="superscript"/>
      <sz val="11"/>
      <color theme="1"/>
      <name val="Calibri"/>
      <family val="2"/>
      <scheme val="minor"/>
    </font>
    <font>
      <sz val="12"/>
      <color theme="1"/>
      <name val="Times New Roman"/>
      <family val="1"/>
    </font>
    <font>
      <sz val="12"/>
      <color rgb="FFFF0000"/>
      <name val="Calibri"/>
      <family val="2"/>
      <scheme val="minor"/>
    </font>
    <font>
      <b/>
      <vertAlign val="subscript"/>
      <sz val="11"/>
      <color theme="1"/>
      <name val="Calibri"/>
      <family val="2"/>
      <scheme val="minor"/>
    </font>
    <font>
      <vertAlign val="superscript"/>
      <sz val="12"/>
      <color theme="1"/>
      <name val="Calibri"/>
      <family val="2"/>
      <scheme val="minor"/>
    </font>
    <font>
      <vertAlign val="superscript"/>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5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right/>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medium">
        <color indexed="64"/>
      </top>
      <bottom style="medium">
        <color indexed="64"/>
      </bottom>
      <diagonal/>
    </border>
    <border>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right style="thin">
        <color rgb="FF000000"/>
      </right>
      <top style="medium">
        <color indexed="64"/>
      </top>
      <bottom style="medium">
        <color indexed="64"/>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indexed="64"/>
      </bottom>
      <diagonal/>
    </border>
    <border>
      <left style="medium">
        <color indexed="64"/>
      </left>
      <right style="medium">
        <color indexed="64"/>
      </right>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s>
  <cellStyleXfs count="1">
    <xf numFmtId="0" fontId="0" fillId="0" borderId="0"/>
  </cellStyleXfs>
  <cellXfs count="181">
    <xf numFmtId="0" fontId="0" fillId="0" borderId="0" xfId="0"/>
    <xf numFmtId="0" fontId="3" fillId="0" borderId="0" xfId="0" applyFont="1"/>
    <xf numFmtId="0" fontId="2" fillId="0" borderId="0" xfId="0" applyFont="1"/>
    <xf numFmtId="0" fontId="1" fillId="0" borderId="0" xfId="0" applyFont="1"/>
    <xf numFmtId="0" fontId="1" fillId="0" borderId="5" xfId="0" applyFont="1" applyBorder="1"/>
    <xf numFmtId="0" fontId="1" fillId="0" borderId="0" xfId="0" applyFont="1" applyAlignment="1">
      <alignment horizontal="right"/>
    </xf>
    <xf numFmtId="0" fontId="1" fillId="0" borderId="0" xfId="0" applyFont="1" applyAlignment="1">
      <alignment horizontal="center"/>
    </xf>
    <xf numFmtId="0" fontId="4" fillId="0" borderId="0" xfId="0" applyFont="1"/>
    <xf numFmtId="0" fontId="5" fillId="0" borderId="0" xfId="0" applyFont="1" applyAlignment="1">
      <alignment horizontal="left"/>
    </xf>
    <xf numFmtId="0" fontId="6" fillId="0" borderId="0" xfId="0" applyFont="1" applyAlignment="1">
      <alignment horizontal="left"/>
    </xf>
    <xf numFmtId="0" fontId="7" fillId="0" borderId="0" xfId="0" applyFont="1"/>
    <xf numFmtId="0" fontId="1" fillId="0" borderId="0" xfId="0" applyFont="1" applyAlignment="1">
      <alignment horizontal="left"/>
    </xf>
    <xf numFmtId="0" fontId="7" fillId="0" borderId="0" xfId="0" applyFont="1" applyAlignment="1">
      <alignment horizontal="left"/>
    </xf>
    <xf numFmtId="0" fontId="0" fillId="0" borderId="0" xfId="0" applyFont="1"/>
    <xf numFmtId="0" fontId="0" fillId="0" borderId="1" xfId="0" applyFont="1" applyBorder="1" applyAlignment="1">
      <alignment horizontal="center"/>
    </xf>
    <xf numFmtId="0" fontId="0" fillId="0" borderId="1" xfId="0" applyFont="1" applyBorder="1"/>
    <xf numFmtId="0" fontId="4" fillId="0" borderId="0" xfId="0" applyFont="1" applyAlignment="1">
      <alignment horizontal="left"/>
    </xf>
    <xf numFmtId="0" fontId="2" fillId="0" borderId="1" xfId="0" applyFont="1" applyBorder="1"/>
    <xf numFmtId="0" fontId="0" fillId="0" borderId="1" xfId="0" applyBorder="1"/>
    <xf numFmtId="0" fontId="2" fillId="0" borderId="0" xfId="0" applyFont="1" applyBorder="1"/>
    <xf numFmtId="0" fontId="10" fillId="0" borderId="0" xfId="0" applyFont="1"/>
    <xf numFmtId="0" fontId="7" fillId="0" borderId="0" xfId="0" applyFont="1" applyFill="1" applyBorder="1" applyAlignment="1">
      <alignment horizontal="center"/>
    </xf>
    <xf numFmtId="0" fontId="1" fillId="0"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1" fillId="0" borderId="1" xfId="0" applyFont="1" applyFill="1" applyBorder="1" applyAlignment="1">
      <alignment horizontal="center"/>
    </xf>
    <xf numFmtId="0" fontId="0" fillId="0" borderId="1" xfId="0" applyBorder="1" applyAlignment="1">
      <alignment horizontal="center"/>
    </xf>
    <xf numFmtId="0" fontId="2" fillId="0" borderId="1" xfId="0" applyFont="1" applyBorder="1" applyAlignment="1">
      <alignment horizontal="center"/>
    </xf>
    <xf numFmtId="0" fontId="12" fillId="2" borderId="0" xfId="0" applyFont="1" applyFill="1"/>
    <xf numFmtId="0" fontId="1" fillId="0" borderId="12" xfId="0" applyFont="1" applyBorder="1"/>
    <xf numFmtId="0" fontId="1" fillId="0" borderId="11" xfId="0" applyFont="1" applyBorder="1"/>
    <xf numFmtId="0" fontId="1" fillId="0" borderId="11" xfId="0" applyFont="1" applyBorder="1" applyAlignment="1">
      <alignment horizontal="center"/>
    </xf>
    <xf numFmtId="0" fontId="1" fillId="0" borderId="15" xfId="0" applyFont="1" applyBorder="1" applyAlignment="1">
      <alignment horizontal="center"/>
    </xf>
    <xf numFmtId="0" fontId="1" fillId="0" borderId="15" xfId="0" applyFont="1" applyBorder="1"/>
    <xf numFmtId="0" fontId="1" fillId="0" borderId="16" xfId="0" applyFont="1" applyBorder="1"/>
    <xf numFmtId="0" fontId="1" fillId="0" borderId="17" xfId="0" applyFont="1" applyBorder="1"/>
    <xf numFmtId="0" fontId="1" fillId="0" borderId="18" xfId="0" applyFont="1" applyBorder="1"/>
    <xf numFmtId="0" fontId="1" fillId="0" borderId="19" xfId="0" applyFont="1" applyBorder="1"/>
    <xf numFmtId="0" fontId="14" fillId="0" borderId="0" xfId="0" applyFont="1"/>
    <xf numFmtId="0" fontId="1" fillId="0" borderId="0" xfId="0" applyFont="1" applyAlignment="1">
      <alignment vertical="top" wrapText="1"/>
    </xf>
    <xf numFmtId="0" fontId="4" fillId="0" borderId="0" xfId="0" applyFont="1" applyBorder="1" applyAlignment="1">
      <alignment horizontal="left"/>
    </xf>
    <xf numFmtId="0" fontId="1" fillId="0" borderId="21" xfId="0" applyFont="1" applyBorder="1"/>
    <xf numFmtId="0" fontId="1" fillId="0" borderId="22" xfId="0" applyFont="1" applyBorder="1"/>
    <xf numFmtId="0" fontId="1" fillId="0" borderId="11" xfId="0" applyFont="1" applyBorder="1" applyAlignment="1">
      <alignment horizontal="left"/>
    </xf>
    <xf numFmtId="0" fontId="1" fillId="0" borderId="15" xfId="0" applyFont="1" applyBorder="1" applyAlignment="1">
      <alignment horizontal="left"/>
    </xf>
    <xf numFmtId="0" fontId="14" fillId="0" borderId="20" xfId="0" applyFont="1" applyBorder="1" applyAlignment="1">
      <alignment horizontal="center"/>
    </xf>
    <xf numFmtId="0" fontId="14" fillId="0" borderId="13" xfId="0" applyFont="1" applyBorder="1" applyAlignment="1">
      <alignment horizontal="center"/>
    </xf>
    <xf numFmtId="0" fontId="14" fillId="0" borderId="14" xfId="0" applyFont="1" applyBorder="1" applyAlignment="1">
      <alignment horizontal="center"/>
    </xf>
    <xf numFmtId="0" fontId="14" fillId="0" borderId="0" xfId="0" applyFont="1" applyAlignment="1">
      <alignment horizontal="right"/>
    </xf>
    <xf numFmtId="0" fontId="1" fillId="0" borderId="23" xfId="0" applyFont="1" applyBorder="1" applyAlignment="1">
      <alignment horizontal="left"/>
    </xf>
    <xf numFmtId="0" fontId="1" fillId="0" borderId="27" xfId="0" applyFont="1" applyBorder="1" applyAlignment="1">
      <alignment horizontal="left"/>
    </xf>
    <xf numFmtId="0" fontId="1" fillId="0" borderId="28" xfId="0" applyFont="1" applyBorder="1" applyAlignment="1">
      <alignment horizontal="left"/>
    </xf>
    <xf numFmtId="0" fontId="14" fillId="0" borderId="29" xfId="0" applyFont="1" applyBorder="1" applyAlignment="1">
      <alignment horizontal="left"/>
    </xf>
    <xf numFmtId="0" fontId="14" fillId="0" borderId="30" xfId="0" applyFont="1" applyBorder="1" applyAlignment="1">
      <alignment horizontal="left"/>
    </xf>
    <xf numFmtId="0" fontId="1" fillId="0" borderId="18" xfId="0" applyFont="1" applyBorder="1" applyAlignment="1">
      <alignment horizontal="center"/>
    </xf>
    <xf numFmtId="0" fontId="14" fillId="0" borderId="25" xfId="0" applyFont="1" applyBorder="1" applyAlignment="1">
      <alignment horizontal="center" vertical="top"/>
    </xf>
    <xf numFmtId="0" fontId="14" fillId="0" borderId="32" xfId="0" applyFont="1" applyBorder="1" applyAlignment="1">
      <alignment horizontal="center" vertical="top"/>
    </xf>
    <xf numFmtId="0" fontId="0" fillId="0" borderId="0" xfId="0" applyFont="1" applyAlignment="1">
      <alignment horizontal="left"/>
    </xf>
    <xf numFmtId="0" fontId="14" fillId="0" borderId="36" xfId="0" applyFont="1" applyBorder="1"/>
    <xf numFmtId="0" fontId="14" fillId="0" borderId="29" xfId="0" applyFont="1" applyBorder="1"/>
    <xf numFmtId="0" fontId="14" fillId="0" borderId="30" xfId="0" applyFont="1" applyBorder="1"/>
    <xf numFmtId="0" fontId="4" fillId="0" borderId="36" xfId="0" applyFont="1" applyBorder="1" applyAlignment="1">
      <alignment horizontal="left"/>
    </xf>
    <xf numFmtId="0" fontId="4" fillId="0" borderId="29" xfId="0" applyFont="1" applyBorder="1" applyAlignment="1">
      <alignment horizontal="left"/>
    </xf>
    <xf numFmtId="0" fontId="4" fillId="0" borderId="30" xfId="0" applyFont="1" applyBorder="1" applyAlignment="1">
      <alignment horizontal="left"/>
    </xf>
    <xf numFmtId="0" fontId="1" fillId="0" borderId="33" xfId="0" applyFont="1" applyBorder="1" applyAlignment="1">
      <alignment horizontal="center"/>
    </xf>
    <xf numFmtId="0" fontId="1" fillId="0" borderId="34" xfId="0" applyFont="1" applyBorder="1" applyAlignment="1">
      <alignment horizontal="center"/>
    </xf>
    <xf numFmtId="0" fontId="1" fillId="0" borderId="35" xfId="0" applyFont="1" applyBorder="1" applyAlignment="1">
      <alignment horizontal="center"/>
    </xf>
    <xf numFmtId="0" fontId="1" fillId="0" borderId="21" xfId="0" applyFont="1" applyBorder="1" applyAlignment="1">
      <alignment horizontal="center"/>
    </xf>
    <xf numFmtId="0" fontId="1" fillId="0" borderId="37" xfId="0" applyFont="1" applyBorder="1" applyAlignment="1">
      <alignment horizontal="center"/>
    </xf>
    <xf numFmtId="0" fontId="1" fillId="0" borderId="27" xfId="0" applyFont="1" applyBorder="1" applyAlignment="1">
      <alignment horizontal="center"/>
    </xf>
    <xf numFmtId="0" fontId="1" fillId="0" borderId="28" xfId="0" applyFont="1" applyBorder="1" applyAlignment="1">
      <alignment horizontal="center"/>
    </xf>
    <xf numFmtId="0" fontId="14" fillId="0" borderId="0" xfId="0" applyFont="1" applyAlignment="1">
      <alignment horizontal="left" vertical="center" indent="5"/>
    </xf>
    <xf numFmtId="0" fontId="10" fillId="0" borderId="1" xfId="0" applyFont="1" applyBorder="1" applyAlignment="1">
      <alignment vertical="center" wrapText="1"/>
    </xf>
    <xf numFmtId="0" fontId="10" fillId="0" borderId="38" xfId="0" applyFont="1" applyBorder="1" applyAlignment="1">
      <alignment horizontal="center" vertical="center" wrapText="1"/>
    </xf>
    <xf numFmtId="0" fontId="1" fillId="0" borderId="31" xfId="0" applyFont="1" applyBorder="1" applyAlignment="1">
      <alignment vertical="center" wrapText="1"/>
    </xf>
    <xf numFmtId="0" fontId="10" fillId="0" borderId="2" xfId="0" applyFont="1" applyBorder="1" applyAlignment="1">
      <alignment horizontal="center" vertical="center" wrapText="1"/>
    </xf>
    <xf numFmtId="0" fontId="19" fillId="0" borderId="0" xfId="0" applyFont="1" applyAlignment="1">
      <alignment horizontal="left" vertical="center" indent="5"/>
    </xf>
    <xf numFmtId="0" fontId="1" fillId="0" borderId="0" xfId="0" applyFont="1" applyAlignment="1">
      <alignment horizontal="left" vertical="center" indent="5"/>
    </xf>
    <xf numFmtId="0" fontId="10" fillId="0" borderId="31" xfId="0" applyFont="1" applyBorder="1" applyAlignment="1">
      <alignment vertical="center" wrapText="1"/>
    </xf>
    <xf numFmtId="0" fontId="10" fillId="0" borderId="1" xfId="0" applyFont="1" applyBorder="1"/>
    <xf numFmtId="0" fontId="10" fillId="0" borderId="10" xfId="0" applyFont="1" applyBorder="1" applyAlignment="1">
      <alignment vertical="center" wrapText="1"/>
    </xf>
    <xf numFmtId="0" fontId="0" fillId="0" borderId="0" xfId="0" applyFont="1" applyBorder="1"/>
    <xf numFmtId="0" fontId="10" fillId="0" borderId="4" xfId="0" applyFont="1" applyBorder="1" applyAlignment="1">
      <alignment vertical="center" wrapText="1"/>
    </xf>
    <xf numFmtId="0" fontId="10" fillId="0" borderId="10"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0" xfId="0" applyFont="1" applyBorder="1" applyAlignment="1">
      <alignment horizontal="center" vertical="center" wrapText="1"/>
    </xf>
    <xf numFmtId="0" fontId="0" fillId="0" borderId="4" xfId="0" applyFont="1" applyBorder="1"/>
    <xf numFmtId="0" fontId="10" fillId="0" borderId="39" xfId="0" applyFont="1" applyBorder="1"/>
    <xf numFmtId="0" fontId="2" fillId="0" borderId="38" xfId="0" applyFont="1" applyFill="1" applyBorder="1"/>
    <xf numFmtId="0" fontId="0" fillId="0" borderId="11" xfId="0" applyFont="1" applyBorder="1"/>
    <xf numFmtId="0" fontId="10" fillId="0" borderId="26" xfId="0" applyFont="1" applyBorder="1"/>
    <xf numFmtId="0" fontId="10" fillId="0" borderId="30" xfId="0" applyFont="1" applyBorder="1"/>
    <xf numFmtId="0" fontId="0" fillId="0" borderId="23" xfId="0" applyFont="1" applyBorder="1"/>
    <xf numFmtId="0" fontId="10" fillId="0" borderId="25" xfId="0" applyFont="1" applyBorder="1"/>
    <xf numFmtId="0" fontId="10" fillId="0" borderId="40" xfId="0" applyFont="1" applyBorder="1"/>
    <xf numFmtId="0" fontId="10" fillId="0" borderId="41" xfId="0" applyFont="1" applyBorder="1"/>
    <xf numFmtId="0" fontId="10" fillId="0" borderId="34" xfId="0" applyFont="1" applyBorder="1"/>
    <xf numFmtId="0" fontId="10" fillId="0" borderId="42" xfId="0" applyFont="1" applyBorder="1"/>
    <xf numFmtId="0" fontId="10" fillId="0" borderId="29" xfId="0" applyFont="1" applyBorder="1"/>
    <xf numFmtId="0" fontId="10" fillId="0" borderId="32" xfId="0" applyFont="1" applyBorder="1"/>
    <xf numFmtId="0" fontId="0" fillId="0" borderId="43" xfId="0" applyFont="1" applyBorder="1"/>
    <xf numFmtId="0" fontId="0" fillId="0" borderId="27" xfId="0" applyFont="1" applyBorder="1"/>
    <xf numFmtId="0" fontId="1" fillId="0" borderId="44" xfId="0" applyFont="1" applyBorder="1"/>
    <xf numFmtId="0" fontId="14" fillId="0" borderId="46" xfId="0" applyFont="1" applyBorder="1" applyAlignment="1">
      <alignment horizontal="center"/>
    </xf>
    <xf numFmtId="0" fontId="14" fillId="0" borderId="47" xfId="0" applyFont="1" applyBorder="1" applyAlignment="1">
      <alignment horizontal="center"/>
    </xf>
    <xf numFmtId="0" fontId="14" fillId="0" borderId="29" xfId="0" applyFont="1" applyBorder="1" applyAlignment="1">
      <alignment horizontal="center"/>
    </xf>
    <xf numFmtId="0" fontId="14" fillId="0" borderId="30" xfId="0" applyFont="1" applyBorder="1" applyAlignment="1">
      <alignment horizontal="center"/>
    </xf>
    <xf numFmtId="0" fontId="16" fillId="0" borderId="48" xfId="0" applyFont="1" applyBorder="1" applyAlignment="1">
      <alignment horizontal="center"/>
    </xf>
    <xf numFmtId="0" fontId="1" fillId="0" borderId="49" xfId="0" applyFont="1" applyBorder="1"/>
    <xf numFmtId="0" fontId="1" fillId="0" borderId="50" xfId="0" applyFont="1" applyBorder="1"/>
    <xf numFmtId="0" fontId="1" fillId="0" borderId="51" xfId="0" applyFont="1" applyBorder="1"/>
    <xf numFmtId="0" fontId="14" fillId="0" borderId="1" xfId="0" applyFont="1" applyBorder="1" applyAlignment="1">
      <alignment horizontal="center"/>
    </xf>
    <xf numFmtId="0" fontId="14" fillId="0" borderId="52" xfId="0" applyFont="1" applyBorder="1" applyAlignment="1">
      <alignment horizontal="center"/>
    </xf>
    <xf numFmtId="0" fontId="14" fillId="0" borderId="53" xfId="0" applyFont="1" applyBorder="1" applyAlignment="1">
      <alignment horizontal="center"/>
    </xf>
    <xf numFmtId="0" fontId="14" fillId="0" borderId="54" xfId="0" applyFont="1" applyBorder="1" applyAlignment="1">
      <alignment horizontal="center"/>
    </xf>
    <xf numFmtId="0" fontId="1" fillId="0" borderId="40" xfId="0" applyFont="1" applyBorder="1" applyAlignment="1">
      <alignment horizontal="left"/>
    </xf>
    <xf numFmtId="0" fontId="1" fillId="0" borderId="41" xfId="0" applyFont="1" applyBorder="1" applyAlignment="1">
      <alignment horizontal="left"/>
    </xf>
    <xf numFmtId="0" fontId="1" fillId="0" borderId="34" xfId="0" applyFont="1" applyBorder="1" applyAlignment="1">
      <alignment horizontal="left"/>
    </xf>
    <xf numFmtId="0" fontId="1" fillId="0" borderId="35" xfId="0" applyFont="1" applyBorder="1" applyAlignment="1">
      <alignment horizontal="left"/>
    </xf>
    <xf numFmtId="0" fontId="14" fillId="0" borderId="1" xfId="0" applyFont="1" applyBorder="1" applyAlignment="1">
      <alignment horizontal="left"/>
    </xf>
    <xf numFmtId="0" fontId="14" fillId="0" borderId="42" xfId="0" applyFont="1" applyBorder="1" applyAlignment="1">
      <alignment horizontal="left"/>
    </xf>
    <xf numFmtId="0" fontId="1" fillId="0" borderId="0" xfId="0" applyFont="1" applyBorder="1"/>
    <xf numFmtId="0" fontId="1" fillId="0" borderId="55" xfId="0" applyFont="1" applyBorder="1" applyAlignment="1">
      <alignment horizontal="left"/>
    </xf>
    <xf numFmtId="0" fontId="1" fillId="0" borderId="56" xfId="0" applyFont="1" applyBorder="1" applyAlignment="1">
      <alignment horizontal="left"/>
    </xf>
    <xf numFmtId="0" fontId="10" fillId="0" borderId="35" xfId="0" applyFont="1" applyBorder="1"/>
    <xf numFmtId="0" fontId="0" fillId="0" borderId="15" xfId="0" applyFont="1" applyBorder="1"/>
    <xf numFmtId="0" fontId="0" fillId="0" borderId="28" xfId="0" applyFont="1" applyBorder="1"/>
    <xf numFmtId="0" fontId="10" fillId="0" borderId="40" xfId="0" applyFont="1" applyBorder="1" applyAlignment="1">
      <alignment horizontal="left"/>
    </xf>
    <xf numFmtId="0" fontId="0" fillId="0" borderId="41" xfId="0" applyFont="1" applyBorder="1"/>
    <xf numFmtId="0" fontId="0" fillId="0" borderId="34" xfId="0" applyFont="1" applyBorder="1"/>
    <xf numFmtId="0" fontId="10" fillId="0" borderId="30" xfId="0" applyFont="1" applyFill="1" applyBorder="1"/>
    <xf numFmtId="0" fontId="0" fillId="0" borderId="35" xfId="0" applyFont="1" applyBorder="1"/>
    <xf numFmtId="0" fontId="0" fillId="0" borderId="24" xfId="0" applyFont="1" applyBorder="1"/>
    <xf numFmtId="0" fontId="0" fillId="0" borderId="18" xfId="0" applyFont="1" applyBorder="1"/>
    <xf numFmtId="0" fontId="0" fillId="0" borderId="19" xfId="0" applyFont="1" applyBorder="1"/>
    <xf numFmtId="0" fontId="21" fillId="0" borderId="0" xfId="0" applyFont="1"/>
    <xf numFmtId="0" fontId="14" fillId="0" borderId="5" xfId="0" applyFont="1" applyBorder="1"/>
    <xf numFmtId="0" fontId="14" fillId="0" borderId="5" xfId="0" applyFont="1" applyBorder="1" applyAlignment="1">
      <alignment horizontal="center"/>
    </xf>
    <xf numFmtId="0" fontId="16" fillId="0" borderId="5" xfId="0" applyFont="1" applyBorder="1"/>
    <xf numFmtId="0" fontId="10" fillId="0" borderId="0" xfId="0" applyFont="1" applyBorder="1" applyAlignment="1">
      <alignment vertical="center" wrapText="1"/>
    </xf>
    <xf numFmtId="0" fontId="0" fillId="0" borderId="38" xfId="0" applyFont="1" applyBorder="1" applyAlignment="1">
      <alignment horizontal="center" vertical="center" wrapText="1"/>
    </xf>
    <xf numFmtId="0" fontId="0" fillId="0" borderId="2" xfId="0" applyFont="1" applyBorder="1" applyAlignment="1">
      <alignment horizontal="center" vertical="center" wrapText="1"/>
    </xf>
    <xf numFmtId="0" fontId="0" fillId="0" borderId="0" xfId="0" applyFont="1" applyBorder="1" applyAlignment="1">
      <alignment horizontal="center" vertical="center" wrapText="1"/>
    </xf>
    <xf numFmtId="0" fontId="0" fillId="0" borderId="0" xfId="0" applyFont="1" applyBorder="1" applyAlignment="1">
      <alignment horizontal="center"/>
    </xf>
    <xf numFmtId="0" fontId="2" fillId="0" borderId="0" xfId="0" applyFont="1" applyBorder="1" applyAlignment="1">
      <alignment horizontal="center"/>
    </xf>
    <xf numFmtId="0" fontId="14" fillId="0" borderId="0" xfId="0" applyFont="1" applyBorder="1" applyAlignment="1">
      <alignment horizontal="center"/>
    </xf>
    <xf numFmtId="0" fontId="22" fillId="0" borderId="5" xfId="0" applyFont="1" applyBorder="1"/>
    <xf numFmtId="0" fontId="4" fillId="0" borderId="5" xfId="0" applyFont="1" applyBorder="1" applyAlignment="1">
      <alignment horizontal="center"/>
    </xf>
    <xf numFmtId="0" fontId="14" fillId="0" borderId="1" xfId="0" applyFont="1" applyFill="1" applyBorder="1" applyAlignment="1">
      <alignment horizontal="left"/>
    </xf>
    <xf numFmtId="0" fontId="14" fillId="0" borderId="1" xfId="0" applyFont="1" applyFill="1" applyBorder="1" applyAlignment="1">
      <alignment horizontal="center"/>
    </xf>
    <xf numFmtId="0" fontId="0" fillId="0" borderId="11" xfId="0" applyBorder="1"/>
    <xf numFmtId="0" fontId="0" fillId="0" borderId="34" xfId="0" applyBorder="1"/>
    <xf numFmtId="0" fontId="0" fillId="0" borderId="41" xfId="0" applyBorder="1"/>
    <xf numFmtId="0" fontId="0" fillId="0" borderId="23" xfId="0" applyBorder="1"/>
    <xf numFmtId="0" fontId="10" fillId="0" borderId="25" xfId="0" applyFont="1" applyBorder="1" applyAlignment="1">
      <alignment horizontal="left" wrapText="1"/>
    </xf>
    <xf numFmtId="0" fontId="10" fillId="0" borderId="25" xfId="0" applyFont="1" applyBorder="1" applyAlignment="1">
      <alignment horizontal="left"/>
    </xf>
    <xf numFmtId="0" fontId="14" fillId="0" borderId="25" xfId="0" applyFont="1" applyFill="1" applyBorder="1" applyAlignment="1">
      <alignment horizontal="left"/>
    </xf>
    <xf numFmtId="0" fontId="0" fillId="0" borderId="43" xfId="0" applyBorder="1"/>
    <xf numFmtId="0" fontId="0" fillId="0" borderId="27" xfId="0" applyBorder="1"/>
    <xf numFmtId="0" fontId="10" fillId="0" borderId="32" xfId="0" applyFont="1" applyBorder="1" applyAlignment="1">
      <alignment horizontal="left"/>
    </xf>
    <xf numFmtId="0" fontId="0" fillId="0" borderId="30" xfId="0" applyBorder="1"/>
    <xf numFmtId="0" fontId="22" fillId="0" borderId="0" xfId="0" applyFont="1"/>
    <xf numFmtId="0" fontId="1" fillId="0" borderId="43" xfId="0" applyFont="1" applyBorder="1" applyAlignment="1">
      <alignment horizontal="left"/>
    </xf>
    <xf numFmtId="0" fontId="14" fillId="0" borderId="45" xfId="0" applyFont="1" applyBorder="1"/>
    <xf numFmtId="0" fontId="15" fillId="2" borderId="0" xfId="0" applyFont="1" applyFill="1" applyAlignment="1">
      <alignment horizontal="center"/>
    </xf>
    <xf numFmtId="0" fontId="1" fillId="0" borderId="0" xfId="0" applyFont="1" applyAlignment="1">
      <alignment horizontal="center" vertical="top" wrapText="1"/>
    </xf>
    <xf numFmtId="0" fontId="1" fillId="0" borderId="1" xfId="0" applyFont="1" applyBorder="1" applyAlignment="1">
      <alignment horizontal="center"/>
    </xf>
    <xf numFmtId="0" fontId="13" fillId="2" borderId="0" xfId="0" applyFont="1" applyFill="1" applyAlignment="1">
      <alignment horizontal="center"/>
    </xf>
    <xf numFmtId="0" fontId="0" fillId="0" borderId="0" xfId="0" applyFont="1" applyAlignment="1">
      <alignment horizontal="left"/>
    </xf>
    <xf numFmtId="0" fontId="1" fillId="0" borderId="6" xfId="0" applyFont="1" applyBorder="1" applyAlignment="1">
      <alignment horizontal="center"/>
    </xf>
    <xf numFmtId="0" fontId="1" fillId="0" borderId="10"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0" xfId="0" applyFont="1" applyBorder="1" applyAlignment="1">
      <alignment horizontal="center"/>
    </xf>
    <xf numFmtId="0" fontId="1" fillId="0" borderId="3" xfId="0" applyFont="1" applyBorder="1" applyAlignment="1">
      <alignment horizontal="center"/>
    </xf>
    <xf numFmtId="0" fontId="1" fillId="0" borderId="9" xfId="0" applyFont="1" applyBorder="1" applyAlignment="1">
      <alignment horizontal="center"/>
    </xf>
    <xf numFmtId="0" fontId="1" fillId="0" borderId="4" xfId="0" applyFont="1" applyBorder="1" applyAlignment="1">
      <alignment horizontal="center"/>
    </xf>
    <xf numFmtId="0" fontId="1" fillId="0" borderId="2" xfId="0" applyFont="1" applyBorder="1" applyAlignment="1">
      <alignment horizontal="center"/>
    </xf>
    <xf numFmtId="0" fontId="0" fillId="0" borderId="1" xfId="0" applyFont="1" applyBorder="1" applyAlignment="1">
      <alignment horizontal="center"/>
    </xf>
    <xf numFmtId="0" fontId="14" fillId="0" borderId="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xdr:col>
      <xdr:colOff>503583</xdr:colOff>
      <xdr:row>39</xdr:row>
      <xdr:rowOff>19878</xdr:rowOff>
    </xdr:from>
    <xdr:ext cx="331305" cy="172227"/>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FA07B83-B858-4A2C-AB8D-5FB47B070A18}"/>
                </a:ext>
              </a:extLst>
            </xdr:cNvPr>
            <xdr:cNvSpPr txBox="1"/>
          </xdr:nvSpPr>
          <xdr:spPr>
            <a:xfrm>
              <a:off x="1094790" y="5498395"/>
              <a:ext cx="33130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lang="en-IN" sz="1100" b="0" i="1">
                      <a:latin typeface="Cambria Math" panose="02040503050406030204" pitchFamily="18" charset="0"/>
                    </a:rPr>
                    <m:t>2</m:t>
                  </m:r>
                  <m:r>
                    <a:rPr lang="en-IN" sz="1100" b="0" i="1" baseline="30000">
                      <a:latin typeface="Cambria Math" panose="02040503050406030204" pitchFamily="18" charset="0"/>
                    </a:rPr>
                    <m:t>𝑘</m:t>
                  </m:r>
                </m:oMath>
              </a14:m>
              <a:r>
                <a:rPr lang="en-IN" sz="1100"/>
                <a:t>= </a:t>
              </a:r>
            </a:p>
          </xdr:txBody>
        </xdr:sp>
      </mc:Choice>
      <mc:Fallback xmlns="">
        <xdr:sp macro="" textlink="">
          <xdr:nvSpPr>
            <xdr:cNvPr id="2" name="TextBox 1">
              <a:extLst>
                <a:ext uri="{FF2B5EF4-FFF2-40B4-BE49-F238E27FC236}">
                  <a16:creationId xmlns:a16="http://schemas.microsoft.com/office/drawing/2014/main" id="{5FA07B83-B858-4A2C-AB8D-5FB47B070A18}"/>
                </a:ext>
              </a:extLst>
            </xdr:cNvPr>
            <xdr:cNvSpPr txBox="1"/>
          </xdr:nvSpPr>
          <xdr:spPr>
            <a:xfrm>
              <a:off x="1094790" y="5498395"/>
              <a:ext cx="33130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IN" sz="1100" b="0" i="0">
                  <a:latin typeface="Cambria Math" panose="02040503050406030204" pitchFamily="18" charset="0"/>
                </a:rPr>
                <a:t>2</a:t>
              </a:r>
              <a:r>
                <a:rPr lang="en-IN" sz="1100" b="0" i="0" baseline="30000">
                  <a:latin typeface="Cambria Math" panose="02040503050406030204" pitchFamily="18" charset="0"/>
                </a:rPr>
                <a:t>𝑘</a:t>
              </a:r>
              <a:r>
                <a:rPr lang="en-IN" sz="1100"/>
                <a:t>= </a:t>
              </a:r>
            </a:p>
          </xdr:txBody>
        </xdr:sp>
      </mc:Fallback>
    </mc:AlternateContent>
    <xdr:clientData/>
  </xdr:oneCellAnchor>
  <xdr:oneCellAnchor>
    <xdr:from>
      <xdr:col>1</xdr:col>
      <xdr:colOff>198782</xdr:colOff>
      <xdr:row>46</xdr:row>
      <xdr:rowOff>82825</xdr:rowOff>
    </xdr:from>
    <xdr:ext cx="2133600" cy="36920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B60938F-0CFF-45F6-96D8-52D6113FEC95}"/>
                </a:ext>
              </a:extLst>
            </xdr:cNvPr>
            <xdr:cNvSpPr txBox="1"/>
          </xdr:nvSpPr>
          <xdr:spPr>
            <a:xfrm>
              <a:off x="198782" y="6205329"/>
              <a:ext cx="2133600" cy="3692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lang="en-IN" sz="1400" b="0" i="1">
                      <a:latin typeface="Cambria Math" panose="02040503050406030204" pitchFamily="18" charset="0"/>
                    </a:rPr>
                    <m:t>𝐵𝑙𝑜𝑐𝑘</m:t>
                  </m:r>
                  <m:r>
                    <a:rPr lang="en-IN" sz="1400" b="0" i="1">
                      <a:latin typeface="Cambria Math" panose="02040503050406030204" pitchFamily="18" charset="0"/>
                    </a:rPr>
                    <m:t> </m:t>
                  </m:r>
                  <m:r>
                    <a:rPr lang="en-IN" sz="1400" b="0" i="1">
                      <a:latin typeface="Cambria Math" panose="02040503050406030204" pitchFamily="18" charset="0"/>
                    </a:rPr>
                    <m:t>𝑆</m:t>
                  </m:r>
                  <m:r>
                    <a:rPr lang="en-IN" sz="1400" b="0" i="1">
                      <a:latin typeface="Cambria Math" panose="02040503050406030204" pitchFamily="18" charset="0"/>
                    </a:rPr>
                    <m:t>.</m:t>
                  </m:r>
                  <m:r>
                    <a:rPr lang="en-IN" sz="1400" b="0" i="1">
                      <a:latin typeface="Cambria Math" panose="02040503050406030204" pitchFamily="18" charset="0"/>
                    </a:rPr>
                    <m:t>𝑆</m:t>
                  </m:r>
                  <m:r>
                    <a:rPr lang="en-IN" sz="1400" b="0" i="1">
                      <a:latin typeface="Cambria Math" panose="02040503050406030204" pitchFamily="18" charset="0"/>
                    </a:rPr>
                    <m:t>. = </m:t>
                  </m:r>
                  <m:f>
                    <m:fPr>
                      <m:ctrlPr>
                        <a:rPr lang="en-IN" sz="1400" b="0" i="1">
                          <a:latin typeface="Cambria Math" panose="02040503050406030204" pitchFamily="18" charset="0"/>
                        </a:rPr>
                      </m:ctrlPr>
                    </m:fPr>
                    <m:num>
                      <m:nary>
                        <m:naryPr>
                          <m:chr m:val="∑"/>
                          <m:subHide m:val="on"/>
                          <m:supHide m:val="on"/>
                          <m:ctrlPr>
                            <a:rPr lang="en-IN" sz="1400" b="0" i="1">
                              <a:latin typeface="Cambria Math" panose="02040503050406030204" pitchFamily="18" charset="0"/>
                            </a:rPr>
                          </m:ctrlPr>
                        </m:naryPr>
                        <m:sub/>
                        <m:sup/>
                        <m:e>
                          <m:sSubSup>
                            <m:sSubSupPr>
                              <m:ctrlPr>
                                <a:rPr lang="en-IN" sz="1400" b="0" i="1">
                                  <a:latin typeface="Cambria Math" panose="02040503050406030204" pitchFamily="18" charset="0"/>
                                </a:rPr>
                              </m:ctrlPr>
                            </m:sSubSupPr>
                            <m:e>
                              <m:r>
                                <a:rPr lang="en-IN" sz="1400" b="0" i="1">
                                  <a:latin typeface="Cambria Math" panose="02040503050406030204" pitchFamily="18" charset="0"/>
                                </a:rPr>
                                <m:t>𝐵</m:t>
                              </m:r>
                            </m:e>
                            <m:sub>
                              <m:r>
                                <a:rPr lang="en-IN" sz="1400" b="0" i="1">
                                  <a:latin typeface="Cambria Math" panose="02040503050406030204" pitchFamily="18" charset="0"/>
                                </a:rPr>
                                <m:t>𝑗</m:t>
                              </m:r>
                            </m:sub>
                            <m:sup>
                              <m:r>
                                <a:rPr lang="en-IN" sz="1400" b="0" i="1">
                                  <a:latin typeface="Cambria Math" panose="02040503050406030204" pitchFamily="18" charset="0"/>
                                </a:rPr>
                                <m:t>2</m:t>
                              </m:r>
                            </m:sup>
                          </m:sSubSup>
                        </m:e>
                      </m:nary>
                    </m:num>
                    <m:den>
                      <m:sSup>
                        <m:sSupPr>
                          <m:ctrlPr>
                            <a:rPr lang="en-IN" sz="1400" b="0" i="1">
                              <a:latin typeface="Cambria Math" panose="02040503050406030204" pitchFamily="18" charset="0"/>
                            </a:rPr>
                          </m:ctrlPr>
                        </m:sSupPr>
                        <m:e>
                          <m:r>
                            <a:rPr lang="en-IN" sz="1400" b="0" i="1">
                              <a:latin typeface="Cambria Math" panose="02040503050406030204" pitchFamily="18" charset="0"/>
                            </a:rPr>
                            <m:t>2</m:t>
                          </m:r>
                        </m:e>
                        <m:sup>
                          <m:r>
                            <a:rPr lang="en-IN" sz="1400" b="0" i="1">
                              <a:latin typeface="Cambria Math" panose="02040503050406030204" pitchFamily="18" charset="0"/>
                            </a:rPr>
                            <m:t>𝑘</m:t>
                          </m:r>
                        </m:sup>
                      </m:sSup>
                      <m:r>
                        <a:rPr lang="en-IN" sz="1400" b="0" i="1">
                          <a:latin typeface="Cambria Math" panose="02040503050406030204" pitchFamily="18" charset="0"/>
                        </a:rPr>
                        <m:t> </m:t>
                      </m:r>
                    </m:den>
                  </m:f>
                  <m:r>
                    <a:rPr lang="en-IN" sz="1400" b="0" i="1">
                      <a:latin typeface="Cambria Math" panose="02040503050406030204" pitchFamily="18" charset="0"/>
                    </a:rPr>
                    <m:t> −</m:t>
                  </m:r>
                </m:oMath>
              </a14:m>
              <a:r>
                <a:rPr lang="en-IN" sz="1400"/>
                <a:t>  c.f.</a:t>
              </a:r>
            </a:p>
          </xdr:txBody>
        </xdr:sp>
      </mc:Choice>
      <mc:Fallback xmlns="">
        <xdr:sp macro="" textlink="">
          <xdr:nvSpPr>
            <xdr:cNvPr id="3" name="TextBox 2">
              <a:extLst>
                <a:ext uri="{FF2B5EF4-FFF2-40B4-BE49-F238E27FC236}">
                  <a16:creationId xmlns:a16="http://schemas.microsoft.com/office/drawing/2014/main" id="{0B60938F-0CFF-45F6-96D8-52D6113FEC95}"/>
                </a:ext>
              </a:extLst>
            </xdr:cNvPr>
            <xdr:cNvSpPr txBox="1"/>
          </xdr:nvSpPr>
          <xdr:spPr>
            <a:xfrm>
              <a:off x="198782" y="6205329"/>
              <a:ext cx="2133600" cy="3692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IN" sz="1400" b="0" i="0">
                  <a:latin typeface="Cambria Math" panose="02040503050406030204" pitchFamily="18" charset="0"/>
                </a:rPr>
                <a:t>𝐵𝑙𝑜𝑐𝑘 𝑆.𝑆. =  (∑▒𝐵_𝑗^2 )/(2^𝑘  )  −</a:t>
              </a:r>
              <a:r>
                <a:rPr lang="en-IN" sz="1400"/>
                <a:t>  c.f.</a:t>
              </a:r>
            </a:p>
          </xdr:txBody>
        </xdr:sp>
      </mc:Fallback>
    </mc:AlternateContent>
    <xdr:clientData/>
  </xdr:oneCellAnchor>
  <xdr:oneCellAnchor>
    <xdr:from>
      <xdr:col>1</xdr:col>
      <xdr:colOff>119269</xdr:colOff>
      <xdr:row>50</xdr:row>
      <xdr:rowOff>9938</xdr:rowOff>
    </xdr:from>
    <xdr:ext cx="2036776" cy="438005"/>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956F54-0EFA-4DC0-AA43-DB96603D4A04}"/>
                </a:ext>
              </a:extLst>
            </xdr:cNvPr>
            <xdr:cNvSpPr txBox="1"/>
          </xdr:nvSpPr>
          <xdr:spPr>
            <a:xfrm>
              <a:off x="119269" y="6874564"/>
              <a:ext cx="2036776" cy="4380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IN" sz="1400" b="0" i="1">
                        <a:latin typeface="Cambria Math" panose="02040503050406030204" pitchFamily="18" charset="0"/>
                      </a:rPr>
                      <m:t>𝑇𝑟𝑒𝑎𝑡</m:t>
                    </m:r>
                    <m:r>
                      <a:rPr lang="en-IN" sz="1400" b="0" i="1">
                        <a:latin typeface="Cambria Math" panose="02040503050406030204" pitchFamily="18" charset="0"/>
                      </a:rPr>
                      <m:t> </m:t>
                    </m:r>
                    <m:r>
                      <a:rPr lang="en-IN" sz="1400" b="0" i="1">
                        <a:latin typeface="Cambria Math" panose="02040503050406030204" pitchFamily="18" charset="0"/>
                      </a:rPr>
                      <m:t>𝑆</m:t>
                    </m:r>
                    <m:r>
                      <a:rPr lang="en-IN" sz="1400" b="0" i="1">
                        <a:latin typeface="Cambria Math" panose="02040503050406030204" pitchFamily="18" charset="0"/>
                      </a:rPr>
                      <m:t>.</m:t>
                    </m:r>
                    <m:r>
                      <a:rPr lang="en-IN" sz="1400" b="0" i="1">
                        <a:latin typeface="Cambria Math" panose="02040503050406030204" pitchFamily="18" charset="0"/>
                      </a:rPr>
                      <m:t>𝑆</m:t>
                    </m:r>
                    <m:r>
                      <a:rPr lang="en-IN" sz="1400" b="0" i="1">
                        <a:latin typeface="Cambria Math" panose="02040503050406030204" pitchFamily="18" charset="0"/>
                      </a:rPr>
                      <m:t>. = </m:t>
                    </m:r>
                    <m:f>
                      <m:fPr>
                        <m:ctrlPr>
                          <a:rPr lang="en-IN" sz="1400" b="0" i="1">
                            <a:latin typeface="Cambria Math" panose="02040503050406030204" pitchFamily="18" charset="0"/>
                          </a:rPr>
                        </m:ctrlPr>
                      </m:fPr>
                      <m:num>
                        <m:nary>
                          <m:naryPr>
                            <m:chr m:val="∑"/>
                            <m:subHide m:val="on"/>
                            <m:supHide m:val="on"/>
                            <m:ctrlPr>
                              <a:rPr lang="en-IN" sz="1400" b="0" i="1">
                                <a:latin typeface="Cambria Math" panose="02040503050406030204" pitchFamily="18" charset="0"/>
                              </a:rPr>
                            </m:ctrlPr>
                          </m:naryPr>
                          <m:sub/>
                          <m:sup/>
                          <m:e>
                            <m:sSubSup>
                              <m:sSubSupPr>
                                <m:ctrlPr>
                                  <a:rPr lang="en-IN" sz="1400" b="0" i="1">
                                    <a:latin typeface="Cambria Math" panose="02040503050406030204" pitchFamily="18" charset="0"/>
                                  </a:rPr>
                                </m:ctrlPr>
                              </m:sSubSupPr>
                              <m:e>
                                <m:r>
                                  <a:rPr lang="en-IN" sz="1400" b="0" i="1">
                                    <a:latin typeface="Cambria Math" panose="02040503050406030204" pitchFamily="18" charset="0"/>
                                  </a:rPr>
                                  <m:t>𝑇</m:t>
                                </m:r>
                              </m:e>
                              <m:sub>
                                <m:r>
                                  <a:rPr lang="en-IN" sz="1400" b="0" i="1">
                                    <a:latin typeface="Cambria Math" panose="02040503050406030204" pitchFamily="18" charset="0"/>
                                  </a:rPr>
                                  <m:t>𝑖</m:t>
                                </m:r>
                              </m:sub>
                              <m:sup>
                                <m:r>
                                  <a:rPr lang="en-IN" sz="1400" b="0" i="1">
                                    <a:latin typeface="Cambria Math" panose="02040503050406030204" pitchFamily="18" charset="0"/>
                                  </a:rPr>
                                  <m:t>2</m:t>
                                </m:r>
                              </m:sup>
                            </m:sSubSup>
                          </m:e>
                        </m:nary>
                      </m:num>
                      <m:den>
                        <m:r>
                          <a:rPr lang="en-IN" sz="1400" b="0" i="1">
                            <a:latin typeface="Cambria Math" panose="02040503050406030204" pitchFamily="18" charset="0"/>
                          </a:rPr>
                          <m:t>𝑟</m:t>
                        </m:r>
                      </m:den>
                    </m:f>
                    <m:r>
                      <a:rPr lang="en-IN" sz="1400" b="0" i="1">
                        <a:latin typeface="Cambria Math" panose="02040503050406030204" pitchFamily="18" charset="0"/>
                      </a:rPr>
                      <m:t> −</m:t>
                    </m:r>
                    <m:r>
                      <a:rPr lang="en-IN" sz="1400" b="0" i="1">
                        <a:latin typeface="Cambria Math" panose="02040503050406030204" pitchFamily="18" charset="0"/>
                      </a:rPr>
                      <m:t>𝑐</m:t>
                    </m:r>
                    <m:r>
                      <a:rPr lang="en-IN" sz="1400" b="0" i="1">
                        <a:latin typeface="Cambria Math" panose="02040503050406030204" pitchFamily="18" charset="0"/>
                      </a:rPr>
                      <m:t>.</m:t>
                    </m:r>
                    <m:r>
                      <a:rPr lang="en-IN" sz="1400" b="0" i="1">
                        <a:latin typeface="Cambria Math" panose="02040503050406030204" pitchFamily="18" charset="0"/>
                      </a:rPr>
                      <m:t>𝑓</m:t>
                    </m:r>
                    <m:r>
                      <a:rPr lang="en-IN" sz="1400" b="0" i="1">
                        <a:latin typeface="Cambria Math" panose="02040503050406030204" pitchFamily="18" charset="0"/>
                      </a:rPr>
                      <m:t>. </m:t>
                    </m:r>
                  </m:oMath>
                </m:oMathPara>
              </a14:m>
              <a:endParaRPr lang="en-IN" sz="1400"/>
            </a:p>
          </xdr:txBody>
        </xdr:sp>
      </mc:Choice>
      <mc:Fallback xmlns="">
        <xdr:sp macro="" textlink="">
          <xdr:nvSpPr>
            <xdr:cNvPr id="4" name="TextBox 3">
              <a:extLst>
                <a:ext uri="{FF2B5EF4-FFF2-40B4-BE49-F238E27FC236}">
                  <a16:creationId xmlns:a16="http://schemas.microsoft.com/office/drawing/2014/main" id="{71956F54-0EFA-4DC0-AA43-DB96603D4A04}"/>
                </a:ext>
              </a:extLst>
            </xdr:cNvPr>
            <xdr:cNvSpPr txBox="1"/>
          </xdr:nvSpPr>
          <xdr:spPr>
            <a:xfrm>
              <a:off x="119269" y="6874564"/>
              <a:ext cx="2036776" cy="4380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IN" sz="1400" b="0" i="0">
                  <a:latin typeface="Cambria Math" panose="02040503050406030204" pitchFamily="18" charset="0"/>
                </a:rPr>
                <a:t>𝑇𝑟𝑒𝑎𝑡 𝑆.𝑆. =  (∑▒𝑇_𝑖^2 )/𝑟  −𝑐.𝑓. </a:t>
              </a:r>
              <a:endParaRPr lang="en-IN" sz="1400"/>
            </a:p>
          </xdr:txBody>
        </xdr:sp>
      </mc:Fallback>
    </mc:AlternateContent>
    <xdr:clientData/>
  </xdr:oneCellAnchor>
  <xdr:oneCellAnchor>
    <xdr:from>
      <xdr:col>1</xdr:col>
      <xdr:colOff>1</xdr:colOff>
      <xdr:row>54</xdr:row>
      <xdr:rowOff>26276</xdr:rowOff>
    </xdr:from>
    <xdr:ext cx="2338552" cy="52174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1441AD0-5A0D-4BD8-BD04-E1FC46FBAE77}"/>
                </a:ext>
              </a:extLst>
            </xdr:cNvPr>
            <xdr:cNvSpPr txBox="1"/>
          </xdr:nvSpPr>
          <xdr:spPr>
            <a:xfrm>
              <a:off x="1" y="7814442"/>
              <a:ext cx="2338552" cy="5217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IN" sz="1400" b="0" i="1">
                        <a:latin typeface="Cambria Math" panose="02040503050406030204" pitchFamily="18" charset="0"/>
                      </a:rPr>
                      <m:t>𝑇𝑜𝑡𝑎𝑙</m:t>
                    </m:r>
                    <m:r>
                      <a:rPr lang="en-IN" sz="1400" b="0" i="1">
                        <a:latin typeface="Cambria Math" panose="02040503050406030204" pitchFamily="18" charset="0"/>
                      </a:rPr>
                      <m:t> </m:t>
                    </m:r>
                    <m:r>
                      <a:rPr lang="en-IN" sz="1400" b="0" i="1">
                        <a:latin typeface="Cambria Math" panose="02040503050406030204" pitchFamily="18" charset="0"/>
                      </a:rPr>
                      <m:t>𝑆</m:t>
                    </m:r>
                    <m:r>
                      <a:rPr lang="en-IN" sz="1400" b="0" i="1">
                        <a:latin typeface="Cambria Math" panose="02040503050406030204" pitchFamily="18" charset="0"/>
                      </a:rPr>
                      <m:t>.</m:t>
                    </m:r>
                    <m:r>
                      <a:rPr lang="en-IN" sz="1400" b="0" i="1">
                        <a:latin typeface="Cambria Math" panose="02040503050406030204" pitchFamily="18" charset="0"/>
                      </a:rPr>
                      <m:t>𝑆</m:t>
                    </m:r>
                    <m:r>
                      <a:rPr lang="en-IN" sz="1400" b="0" i="1">
                        <a:latin typeface="Cambria Math" panose="02040503050406030204" pitchFamily="18" charset="0"/>
                      </a:rPr>
                      <m:t>. = </m:t>
                    </m:r>
                    <m:nary>
                      <m:naryPr>
                        <m:chr m:val="∑"/>
                        <m:subHide m:val="on"/>
                        <m:supHide m:val="on"/>
                        <m:ctrlPr>
                          <a:rPr lang="en-IN" sz="1400" b="0" i="1">
                            <a:latin typeface="Cambria Math" panose="02040503050406030204" pitchFamily="18" charset="0"/>
                          </a:rPr>
                        </m:ctrlPr>
                      </m:naryPr>
                      <m:sub/>
                      <m:sup/>
                      <m:e>
                        <m:nary>
                          <m:naryPr>
                            <m:chr m:val="∑"/>
                            <m:subHide m:val="on"/>
                            <m:supHide m:val="on"/>
                            <m:ctrlPr>
                              <a:rPr lang="en-IN" sz="1400" b="0" i="1">
                                <a:latin typeface="Cambria Math" panose="02040503050406030204" pitchFamily="18" charset="0"/>
                              </a:rPr>
                            </m:ctrlPr>
                          </m:naryPr>
                          <m:sub/>
                          <m:sup/>
                          <m:e>
                            <m:sSubSup>
                              <m:sSubSupPr>
                                <m:ctrlPr>
                                  <a:rPr lang="en-IN" sz="1400" b="0" i="1">
                                    <a:latin typeface="Cambria Math" panose="02040503050406030204" pitchFamily="18" charset="0"/>
                                  </a:rPr>
                                </m:ctrlPr>
                              </m:sSubSupPr>
                              <m:e>
                                <m:r>
                                  <a:rPr lang="en-IN" sz="1400" b="0" i="1">
                                    <a:latin typeface="Cambria Math" panose="02040503050406030204" pitchFamily="18" charset="0"/>
                                  </a:rPr>
                                  <m:t>𝑌</m:t>
                                </m:r>
                              </m:e>
                              <m:sub>
                                <m:r>
                                  <a:rPr lang="en-IN" sz="1400" b="0" i="1">
                                    <a:latin typeface="Cambria Math" panose="02040503050406030204" pitchFamily="18" charset="0"/>
                                  </a:rPr>
                                  <m:t>𝑖𝑗</m:t>
                                </m:r>
                              </m:sub>
                              <m:sup>
                                <m:r>
                                  <a:rPr lang="en-IN" sz="1400" b="0" i="1">
                                    <a:latin typeface="Cambria Math" panose="02040503050406030204" pitchFamily="18" charset="0"/>
                                  </a:rPr>
                                  <m:t>2</m:t>
                                </m:r>
                              </m:sup>
                            </m:sSubSup>
                          </m:e>
                        </m:nary>
                        <m:r>
                          <a:rPr lang="en-IN" sz="1400" b="0" i="1">
                            <a:latin typeface="Cambria Math" panose="02040503050406030204" pitchFamily="18" charset="0"/>
                          </a:rPr>
                          <m:t> −</m:t>
                        </m:r>
                        <m:r>
                          <a:rPr lang="en-IN" sz="1400" b="0" i="1">
                            <a:latin typeface="Cambria Math" panose="02040503050406030204" pitchFamily="18" charset="0"/>
                          </a:rPr>
                          <m:t>𝑐</m:t>
                        </m:r>
                        <m:r>
                          <a:rPr lang="en-IN" sz="1400" b="0" i="1">
                            <a:latin typeface="Cambria Math" panose="02040503050406030204" pitchFamily="18" charset="0"/>
                          </a:rPr>
                          <m:t>.</m:t>
                        </m:r>
                        <m:r>
                          <a:rPr lang="en-IN" sz="1400" b="0" i="1">
                            <a:latin typeface="Cambria Math" panose="02040503050406030204" pitchFamily="18" charset="0"/>
                          </a:rPr>
                          <m:t>𝑓</m:t>
                        </m:r>
                        <m:r>
                          <a:rPr lang="en-IN" sz="1400" b="0" i="1">
                            <a:latin typeface="Cambria Math" panose="02040503050406030204" pitchFamily="18" charset="0"/>
                          </a:rPr>
                          <m:t>.</m:t>
                        </m:r>
                      </m:e>
                    </m:nary>
                  </m:oMath>
                </m:oMathPara>
              </a14:m>
              <a:endParaRPr lang="en-IN" sz="1100"/>
            </a:p>
          </xdr:txBody>
        </xdr:sp>
      </mc:Choice>
      <mc:Fallback xmlns="">
        <xdr:sp macro="" textlink="">
          <xdr:nvSpPr>
            <xdr:cNvPr id="5" name="TextBox 4">
              <a:extLst>
                <a:ext uri="{FF2B5EF4-FFF2-40B4-BE49-F238E27FC236}">
                  <a16:creationId xmlns:a16="http://schemas.microsoft.com/office/drawing/2014/main" id="{31441AD0-5A0D-4BD8-BD04-E1FC46FBAE77}"/>
                </a:ext>
              </a:extLst>
            </xdr:cNvPr>
            <xdr:cNvSpPr txBox="1"/>
          </xdr:nvSpPr>
          <xdr:spPr>
            <a:xfrm>
              <a:off x="1" y="7814442"/>
              <a:ext cx="2338552" cy="5217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IN" sz="1400" b="0" i="0">
                  <a:latin typeface="Cambria Math" panose="02040503050406030204" pitchFamily="18" charset="0"/>
                </a:rPr>
                <a:t>𝑇𝑜𝑡𝑎𝑙 𝑆.𝑆. = ∑▒〖∑▒𝑌_𝑖𝑗^2   −𝑐.𝑓.〗</a:t>
              </a:r>
              <a:endParaRPr lang="en-IN" sz="1100"/>
            </a:p>
          </xdr:txBody>
        </xdr:sp>
      </mc:Fallback>
    </mc:AlternateContent>
    <xdr:clientData/>
  </xdr:oneCellAnchor>
  <xdr:oneCellAnchor>
    <xdr:from>
      <xdr:col>1</xdr:col>
      <xdr:colOff>284921</xdr:colOff>
      <xdr:row>42</xdr:row>
      <xdr:rowOff>69574</xdr:rowOff>
    </xdr:from>
    <xdr:ext cx="797270" cy="43223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8F6B91A5-F200-4B25-9823-C69DE23BEEF9}"/>
                </a:ext>
              </a:extLst>
            </xdr:cNvPr>
            <xdr:cNvSpPr txBox="1"/>
          </xdr:nvSpPr>
          <xdr:spPr>
            <a:xfrm>
              <a:off x="284921" y="6192078"/>
              <a:ext cx="797270" cy="432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IN" sz="1400" b="0" i="1">
                        <a:latin typeface="Cambria Math" panose="02040503050406030204" pitchFamily="18" charset="0"/>
                      </a:rPr>
                      <m:t>𝑐</m:t>
                    </m:r>
                    <m:r>
                      <a:rPr lang="en-IN" sz="1400" b="0" i="1">
                        <a:latin typeface="Cambria Math" panose="02040503050406030204" pitchFamily="18" charset="0"/>
                      </a:rPr>
                      <m:t>.</m:t>
                    </m:r>
                    <m:r>
                      <a:rPr lang="en-IN" sz="1400" b="0" i="1">
                        <a:latin typeface="Cambria Math" panose="02040503050406030204" pitchFamily="18" charset="0"/>
                      </a:rPr>
                      <m:t>𝑓</m:t>
                    </m:r>
                    <m:r>
                      <a:rPr lang="en-IN" sz="1400" b="0" i="1">
                        <a:latin typeface="Cambria Math" panose="02040503050406030204" pitchFamily="18" charset="0"/>
                      </a:rPr>
                      <m:t>. = </m:t>
                    </m:r>
                    <m:f>
                      <m:fPr>
                        <m:ctrlPr>
                          <a:rPr lang="en-IN" sz="1400" b="0" i="1">
                            <a:latin typeface="Cambria Math" panose="02040503050406030204" pitchFamily="18" charset="0"/>
                          </a:rPr>
                        </m:ctrlPr>
                      </m:fPr>
                      <m:num>
                        <m:sSup>
                          <m:sSupPr>
                            <m:ctrlPr>
                              <a:rPr lang="en-IN" sz="1400" b="0" i="1">
                                <a:latin typeface="Cambria Math" panose="02040503050406030204" pitchFamily="18" charset="0"/>
                              </a:rPr>
                            </m:ctrlPr>
                          </m:sSupPr>
                          <m:e>
                            <m:r>
                              <a:rPr lang="en-IN" sz="1400" b="0" i="1">
                                <a:latin typeface="Cambria Math" panose="02040503050406030204" pitchFamily="18" charset="0"/>
                              </a:rPr>
                              <m:t>𝐺</m:t>
                            </m:r>
                          </m:e>
                          <m:sup>
                            <m:r>
                              <a:rPr lang="en-IN" sz="1400" b="0" i="1">
                                <a:latin typeface="Cambria Math" panose="02040503050406030204" pitchFamily="18" charset="0"/>
                              </a:rPr>
                              <m:t>2</m:t>
                            </m:r>
                          </m:sup>
                        </m:sSup>
                      </m:num>
                      <m:den>
                        <m:r>
                          <a:rPr lang="en-IN" sz="1400" b="0" i="1">
                            <a:latin typeface="Cambria Math" panose="02040503050406030204" pitchFamily="18" charset="0"/>
                          </a:rPr>
                          <m:t>𝑛</m:t>
                        </m:r>
                      </m:den>
                    </m:f>
                  </m:oMath>
                </m:oMathPara>
              </a14:m>
              <a:endParaRPr lang="en-IN" sz="1400"/>
            </a:p>
          </xdr:txBody>
        </xdr:sp>
      </mc:Choice>
      <mc:Fallback xmlns="">
        <xdr:sp macro="" textlink="">
          <xdr:nvSpPr>
            <xdr:cNvPr id="6" name="TextBox 5">
              <a:extLst>
                <a:ext uri="{FF2B5EF4-FFF2-40B4-BE49-F238E27FC236}">
                  <a16:creationId xmlns:a16="http://schemas.microsoft.com/office/drawing/2014/main" id="{8F6B91A5-F200-4B25-9823-C69DE23BEEF9}"/>
                </a:ext>
              </a:extLst>
            </xdr:cNvPr>
            <xdr:cNvSpPr txBox="1"/>
          </xdr:nvSpPr>
          <xdr:spPr>
            <a:xfrm>
              <a:off x="284921" y="6192078"/>
              <a:ext cx="797270" cy="432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IN" sz="1400" b="0" i="0">
                  <a:latin typeface="Cambria Math" panose="02040503050406030204" pitchFamily="18" charset="0"/>
                </a:rPr>
                <a:t>𝑐.𝑓. =  𝐺^2/𝑛</a:t>
              </a:r>
              <a:endParaRPr lang="en-IN" sz="14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1</xdr:col>
      <xdr:colOff>98611</xdr:colOff>
      <xdr:row>35</xdr:row>
      <xdr:rowOff>19339</xdr:rowOff>
    </xdr:from>
    <xdr:ext cx="566057" cy="40992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07AB53D-472A-42D9-B191-CBB141586CB1}"/>
                </a:ext>
              </a:extLst>
            </xdr:cNvPr>
            <xdr:cNvSpPr txBox="1"/>
          </xdr:nvSpPr>
          <xdr:spPr>
            <a:xfrm>
              <a:off x="98611" y="3775551"/>
              <a:ext cx="566057" cy="4099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nary>
                      <m:naryPr>
                        <m:chr m:val="∑"/>
                        <m:subHide m:val="on"/>
                        <m:supHide m:val="on"/>
                        <m:ctrlPr>
                          <a:rPr lang="en-IN" sz="1100" i="1">
                            <a:latin typeface="Cambria Math" panose="02040503050406030204" pitchFamily="18" charset="0"/>
                          </a:rPr>
                        </m:ctrlPr>
                      </m:naryPr>
                      <m:sub/>
                      <m:sup/>
                      <m:e>
                        <m:sSubSup>
                          <m:sSubSupPr>
                            <m:ctrlPr>
                              <a:rPr lang="en-IN" sz="1100" i="1">
                                <a:latin typeface="Cambria Math" panose="02040503050406030204" pitchFamily="18" charset="0"/>
                              </a:rPr>
                            </m:ctrlPr>
                          </m:sSubSupPr>
                          <m:e>
                            <m:r>
                              <a:rPr lang="en-IN" sz="1100" b="0" i="1">
                                <a:latin typeface="Cambria Math" panose="02040503050406030204" pitchFamily="18" charset="0"/>
                              </a:rPr>
                              <m:t>𝑅</m:t>
                            </m:r>
                          </m:e>
                          <m:sub>
                            <m:r>
                              <a:rPr lang="en-IN" sz="1100" b="0" i="1">
                                <a:latin typeface="Cambria Math" panose="02040503050406030204" pitchFamily="18" charset="0"/>
                              </a:rPr>
                              <m:t>𝑗</m:t>
                            </m:r>
                          </m:sub>
                          <m:sup>
                            <m:r>
                              <a:rPr lang="en-IN" sz="1100" b="0" i="1">
                                <a:latin typeface="Cambria Math" panose="02040503050406030204" pitchFamily="18" charset="0"/>
                              </a:rPr>
                              <m:t>2</m:t>
                            </m:r>
                          </m:sup>
                        </m:sSubSup>
                        <m:r>
                          <a:rPr lang="en-IN" sz="1100" b="0" i="1">
                            <a:latin typeface="Cambria Math" panose="02040503050406030204" pitchFamily="18" charset="0"/>
                          </a:rPr>
                          <m:t>= </m:t>
                        </m:r>
                      </m:e>
                    </m:nary>
                  </m:oMath>
                </m:oMathPara>
              </a14:m>
              <a:endParaRPr lang="en-IN" sz="1100"/>
            </a:p>
          </xdr:txBody>
        </xdr:sp>
      </mc:Choice>
      <mc:Fallback xmlns="">
        <xdr:sp macro="" textlink="">
          <xdr:nvSpPr>
            <xdr:cNvPr id="2" name="TextBox 1">
              <a:extLst>
                <a:ext uri="{FF2B5EF4-FFF2-40B4-BE49-F238E27FC236}">
                  <a16:creationId xmlns:a16="http://schemas.microsoft.com/office/drawing/2014/main" id="{607AB53D-472A-42D9-B191-CBB141586CB1}"/>
                </a:ext>
              </a:extLst>
            </xdr:cNvPr>
            <xdr:cNvSpPr txBox="1"/>
          </xdr:nvSpPr>
          <xdr:spPr>
            <a:xfrm>
              <a:off x="98611" y="3775551"/>
              <a:ext cx="566057" cy="4099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IN" sz="1100" i="0">
                  <a:latin typeface="Cambria Math" panose="02040503050406030204" pitchFamily="18" charset="0"/>
                </a:rPr>
                <a:t>∑▒〖</a:t>
              </a:r>
              <a:r>
                <a:rPr lang="en-IN" sz="1100" b="0" i="0">
                  <a:latin typeface="Cambria Math" panose="02040503050406030204" pitchFamily="18" charset="0"/>
                </a:rPr>
                <a:t>𝑅_𝑗^2= 〗</a:t>
              </a:r>
              <a:endParaRPr lang="en-IN" sz="1100"/>
            </a:p>
          </xdr:txBody>
        </xdr:sp>
      </mc:Fallback>
    </mc:AlternateContent>
    <xdr:clientData/>
  </xdr:oneCellAnchor>
  <xdr:oneCellAnchor>
    <xdr:from>
      <xdr:col>1</xdr:col>
      <xdr:colOff>0</xdr:colOff>
      <xdr:row>52</xdr:row>
      <xdr:rowOff>95888</xdr:rowOff>
    </xdr:from>
    <xdr:ext cx="2133600" cy="36920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144DDE9-97F1-4111-A28A-3C77E5D0C815}"/>
                </a:ext>
              </a:extLst>
            </xdr:cNvPr>
            <xdr:cNvSpPr txBox="1"/>
          </xdr:nvSpPr>
          <xdr:spPr>
            <a:xfrm>
              <a:off x="0" y="7062745"/>
              <a:ext cx="2133600" cy="3692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lang="en-IN" sz="1400" b="0" i="1">
                      <a:latin typeface="Cambria Math" panose="02040503050406030204" pitchFamily="18" charset="0"/>
                    </a:rPr>
                    <m:t>𝐵𝑙𝑜𝑐𝑘</m:t>
                  </m:r>
                  <m:r>
                    <a:rPr lang="en-IN" sz="1400" b="0" i="1">
                      <a:latin typeface="Cambria Math" panose="02040503050406030204" pitchFamily="18" charset="0"/>
                    </a:rPr>
                    <m:t> </m:t>
                  </m:r>
                  <m:r>
                    <a:rPr lang="en-IN" sz="1400" b="0" i="1">
                      <a:latin typeface="Cambria Math" panose="02040503050406030204" pitchFamily="18" charset="0"/>
                    </a:rPr>
                    <m:t>𝑆</m:t>
                  </m:r>
                  <m:r>
                    <a:rPr lang="en-IN" sz="1400" b="0" i="1">
                      <a:latin typeface="Cambria Math" panose="02040503050406030204" pitchFamily="18" charset="0"/>
                    </a:rPr>
                    <m:t>.</m:t>
                  </m:r>
                  <m:r>
                    <a:rPr lang="en-IN" sz="1400" b="0" i="1">
                      <a:latin typeface="Cambria Math" panose="02040503050406030204" pitchFamily="18" charset="0"/>
                    </a:rPr>
                    <m:t>𝑆</m:t>
                  </m:r>
                  <m:r>
                    <a:rPr lang="en-IN" sz="1400" b="0" i="1">
                      <a:latin typeface="Cambria Math" panose="02040503050406030204" pitchFamily="18" charset="0"/>
                    </a:rPr>
                    <m:t>. = </m:t>
                  </m:r>
                  <m:f>
                    <m:fPr>
                      <m:ctrlPr>
                        <a:rPr lang="en-IN" sz="1400" b="0" i="1">
                          <a:latin typeface="Cambria Math" panose="02040503050406030204" pitchFamily="18" charset="0"/>
                        </a:rPr>
                      </m:ctrlPr>
                    </m:fPr>
                    <m:num>
                      <m:nary>
                        <m:naryPr>
                          <m:chr m:val="∑"/>
                          <m:subHide m:val="on"/>
                          <m:supHide m:val="on"/>
                          <m:ctrlPr>
                            <a:rPr lang="en-IN" sz="1400" b="0" i="1">
                              <a:latin typeface="Cambria Math" panose="02040503050406030204" pitchFamily="18" charset="0"/>
                            </a:rPr>
                          </m:ctrlPr>
                        </m:naryPr>
                        <m:sub/>
                        <m:sup/>
                        <m:e>
                          <m:sSubSup>
                            <m:sSubSupPr>
                              <m:ctrlPr>
                                <a:rPr lang="en-IN" sz="1400" b="0" i="1">
                                  <a:latin typeface="Cambria Math" panose="02040503050406030204" pitchFamily="18" charset="0"/>
                                </a:rPr>
                              </m:ctrlPr>
                            </m:sSubSupPr>
                            <m:e>
                              <m:r>
                                <a:rPr lang="en-IN" sz="1400" b="0" i="1">
                                  <a:latin typeface="Cambria Math" panose="02040503050406030204" pitchFamily="18" charset="0"/>
                                </a:rPr>
                                <m:t>𝐵</m:t>
                              </m:r>
                            </m:e>
                            <m:sub>
                              <m:r>
                                <a:rPr lang="en-IN" sz="1400" b="0" i="1">
                                  <a:latin typeface="Cambria Math" panose="02040503050406030204" pitchFamily="18" charset="0"/>
                                </a:rPr>
                                <m:t>𝑗</m:t>
                              </m:r>
                            </m:sub>
                            <m:sup>
                              <m:r>
                                <a:rPr lang="en-IN" sz="1400" b="0" i="1">
                                  <a:latin typeface="Cambria Math" panose="02040503050406030204" pitchFamily="18" charset="0"/>
                                </a:rPr>
                                <m:t>2</m:t>
                              </m:r>
                            </m:sup>
                          </m:sSubSup>
                        </m:e>
                      </m:nary>
                    </m:num>
                    <m:den>
                      <m:sSup>
                        <m:sSupPr>
                          <m:ctrlPr>
                            <a:rPr lang="en-IN" sz="1400" b="0" i="1">
                              <a:latin typeface="Cambria Math" panose="02040503050406030204" pitchFamily="18" charset="0"/>
                            </a:rPr>
                          </m:ctrlPr>
                        </m:sSupPr>
                        <m:e>
                          <m:r>
                            <a:rPr lang="en-IN" sz="1400" b="0" i="1">
                              <a:latin typeface="Cambria Math" panose="02040503050406030204" pitchFamily="18" charset="0"/>
                            </a:rPr>
                            <m:t>2</m:t>
                          </m:r>
                        </m:e>
                        <m:sup>
                          <m:r>
                            <a:rPr lang="en-IN" sz="1400" b="0" i="1">
                              <a:latin typeface="Cambria Math" panose="02040503050406030204" pitchFamily="18" charset="0"/>
                            </a:rPr>
                            <m:t>𝑘</m:t>
                          </m:r>
                          <m:r>
                            <a:rPr lang="en-IN" sz="1400" b="0" i="1">
                              <a:latin typeface="Cambria Math" panose="02040503050406030204" pitchFamily="18" charset="0"/>
                            </a:rPr>
                            <m:t>−1</m:t>
                          </m:r>
                        </m:sup>
                      </m:sSup>
                      <m:r>
                        <a:rPr lang="en-IN" sz="1400" b="0" i="1">
                          <a:latin typeface="Cambria Math" panose="02040503050406030204" pitchFamily="18" charset="0"/>
                        </a:rPr>
                        <m:t> </m:t>
                      </m:r>
                    </m:den>
                  </m:f>
                  <m:r>
                    <a:rPr lang="en-IN" sz="1400" b="0" i="1">
                      <a:latin typeface="Cambria Math" panose="02040503050406030204" pitchFamily="18" charset="0"/>
                    </a:rPr>
                    <m:t> −</m:t>
                  </m:r>
                </m:oMath>
              </a14:m>
              <a:r>
                <a:rPr lang="en-IN" sz="1400"/>
                <a:t>  c.f.</a:t>
              </a:r>
            </a:p>
          </xdr:txBody>
        </xdr:sp>
      </mc:Choice>
      <mc:Fallback xmlns="">
        <xdr:sp macro="" textlink="">
          <xdr:nvSpPr>
            <xdr:cNvPr id="3" name="TextBox 2">
              <a:extLst>
                <a:ext uri="{FF2B5EF4-FFF2-40B4-BE49-F238E27FC236}">
                  <a16:creationId xmlns:a16="http://schemas.microsoft.com/office/drawing/2014/main" id="{6144DDE9-97F1-4111-A28A-3C77E5D0C815}"/>
                </a:ext>
              </a:extLst>
            </xdr:cNvPr>
            <xdr:cNvSpPr txBox="1"/>
          </xdr:nvSpPr>
          <xdr:spPr>
            <a:xfrm>
              <a:off x="0" y="7062745"/>
              <a:ext cx="2133600" cy="3692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IN" sz="1400" b="0" i="0">
                  <a:latin typeface="Cambria Math" panose="02040503050406030204" pitchFamily="18" charset="0"/>
                </a:rPr>
                <a:t>𝐵𝑙𝑜𝑐𝑘 𝑆.𝑆. =  (∑▒𝐵_𝑗^2 )/(2^(𝑘−1)  )  −</a:t>
              </a:r>
              <a:r>
                <a:rPr lang="en-IN" sz="1400"/>
                <a:t>  c.f.</a:t>
              </a:r>
            </a:p>
          </xdr:txBody>
        </xdr:sp>
      </mc:Fallback>
    </mc:AlternateContent>
    <xdr:clientData/>
  </xdr:oneCellAnchor>
  <xdr:oneCellAnchor>
    <xdr:from>
      <xdr:col>1</xdr:col>
      <xdr:colOff>0</xdr:colOff>
      <xdr:row>56</xdr:row>
      <xdr:rowOff>136214</xdr:rowOff>
    </xdr:from>
    <xdr:ext cx="2643051" cy="347467"/>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E924FB6-E4A3-4313-A9AA-31328F7CB65A}"/>
                </a:ext>
              </a:extLst>
            </xdr:cNvPr>
            <xdr:cNvSpPr txBox="1"/>
          </xdr:nvSpPr>
          <xdr:spPr>
            <a:xfrm>
              <a:off x="0" y="7882488"/>
              <a:ext cx="2643051" cy="347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IN" sz="1400" b="0"/>
                <a:t>Replicated</a:t>
              </a:r>
              <a14:m>
                <m:oMath xmlns:m="http://schemas.openxmlformats.org/officeDocument/2006/math">
                  <m:r>
                    <a:rPr lang="en-IN" sz="1400" b="0" i="1">
                      <a:latin typeface="Cambria Math" panose="02040503050406030204" pitchFamily="18" charset="0"/>
                    </a:rPr>
                    <m:t> </m:t>
                  </m:r>
                  <m:r>
                    <a:rPr lang="en-IN" sz="1400" b="0" i="1">
                      <a:latin typeface="Cambria Math" panose="02040503050406030204" pitchFamily="18" charset="0"/>
                    </a:rPr>
                    <m:t>𝑆</m:t>
                  </m:r>
                  <m:r>
                    <a:rPr lang="en-IN" sz="1400" b="0" i="1">
                      <a:latin typeface="Cambria Math" panose="02040503050406030204" pitchFamily="18" charset="0"/>
                    </a:rPr>
                    <m:t>.</m:t>
                  </m:r>
                  <m:r>
                    <a:rPr lang="en-IN" sz="1400" b="0" i="1">
                      <a:latin typeface="Cambria Math" panose="02040503050406030204" pitchFamily="18" charset="0"/>
                    </a:rPr>
                    <m:t>𝑆</m:t>
                  </m:r>
                  <m:r>
                    <a:rPr lang="en-IN" sz="1400" b="0" i="1">
                      <a:latin typeface="Cambria Math" panose="02040503050406030204" pitchFamily="18" charset="0"/>
                    </a:rPr>
                    <m:t>. = </m:t>
                  </m:r>
                  <m:f>
                    <m:fPr>
                      <m:ctrlPr>
                        <a:rPr lang="en-IN" sz="1400" b="0" i="1">
                          <a:latin typeface="Cambria Math" panose="02040503050406030204" pitchFamily="18" charset="0"/>
                        </a:rPr>
                      </m:ctrlPr>
                    </m:fPr>
                    <m:num>
                      <m:nary>
                        <m:naryPr>
                          <m:chr m:val="∑"/>
                          <m:subHide m:val="on"/>
                          <m:supHide m:val="on"/>
                          <m:ctrlPr>
                            <a:rPr lang="en-IN" sz="1400" b="0" i="1">
                              <a:latin typeface="Cambria Math" panose="02040503050406030204" pitchFamily="18" charset="0"/>
                            </a:rPr>
                          </m:ctrlPr>
                        </m:naryPr>
                        <m:sub/>
                        <m:sup/>
                        <m:e>
                          <m:sSubSup>
                            <m:sSubSupPr>
                              <m:ctrlPr>
                                <a:rPr lang="en-IN" sz="1400" b="0" i="1">
                                  <a:latin typeface="Cambria Math" panose="02040503050406030204" pitchFamily="18" charset="0"/>
                                </a:rPr>
                              </m:ctrlPr>
                            </m:sSubSupPr>
                            <m:e>
                              <m:r>
                                <a:rPr lang="en-IN" sz="1400" b="0" i="1">
                                  <a:latin typeface="Cambria Math" panose="02040503050406030204" pitchFamily="18" charset="0"/>
                                </a:rPr>
                                <m:t>𝑅</m:t>
                              </m:r>
                            </m:e>
                            <m:sub>
                              <m:r>
                                <a:rPr lang="en-IN" sz="1400" b="0" i="1">
                                  <a:latin typeface="Cambria Math" panose="02040503050406030204" pitchFamily="18" charset="0"/>
                                </a:rPr>
                                <m:t>𝑖</m:t>
                              </m:r>
                            </m:sub>
                            <m:sup>
                              <m:r>
                                <a:rPr lang="en-IN" sz="1400" b="0" i="1">
                                  <a:latin typeface="Cambria Math" panose="02040503050406030204" pitchFamily="18" charset="0"/>
                                </a:rPr>
                                <m:t>2</m:t>
                              </m:r>
                            </m:sup>
                          </m:sSubSup>
                        </m:e>
                      </m:nary>
                    </m:num>
                    <m:den>
                      <m:sSup>
                        <m:sSupPr>
                          <m:ctrlPr>
                            <a:rPr lang="en-IN" sz="1400" b="0" i="1">
                              <a:latin typeface="Cambria Math" panose="02040503050406030204" pitchFamily="18" charset="0"/>
                            </a:rPr>
                          </m:ctrlPr>
                        </m:sSupPr>
                        <m:e>
                          <m:r>
                            <a:rPr lang="en-IN" sz="1400" b="0" i="1">
                              <a:latin typeface="Cambria Math" panose="02040503050406030204" pitchFamily="18" charset="0"/>
                            </a:rPr>
                            <m:t>2</m:t>
                          </m:r>
                        </m:e>
                        <m:sup>
                          <m:r>
                            <a:rPr lang="en-IN" sz="1400" b="0" i="1">
                              <a:latin typeface="Cambria Math" panose="02040503050406030204" pitchFamily="18" charset="0"/>
                            </a:rPr>
                            <m:t>𝑘</m:t>
                          </m:r>
                        </m:sup>
                      </m:sSup>
                    </m:den>
                  </m:f>
                  <m:r>
                    <a:rPr lang="en-IN" sz="1400" b="0" i="1">
                      <a:latin typeface="Cambria Math" panose="02040503050406030204" pitchFamily="18" charset="0"/>
                    </a:rPr>
                    <m:t> − </m:t>
                  </m:r>
                  <m:f>
                    <m:fPr>
                      <m:ctrlPr>
                        <a:rPr lang="en-IN" sz="1400" b="0" i="1">
                          <a:latin typeface="Cambria Math" panose="02040503050406030204" pitchFamily="18" charset="0"/>
                        </a:rPr>
                      </m:ctrlPr>
                    </m:fPr>
                    <m:num>
                      <m:sSup>
                        <m:sSupPr>
                          <m:ctrlPr>
                            <a:rPr lang="en-IN" sz="1400" b="0" i="1">
                              <a:latin typeface="Cambria Math" panose="02040503050406030204" pitchFamily="18" charset="0"/>
                            </a:rPr>
                          </m:ctrlPr>
                        </m:sSupPr>
                        <m:e>
                          <m:r>
                            <a:rPr lang="en-IN" sz="1400" b="0" i="1">
                              <a:latin typeface="Cambria Math" panose="02040503050406030204" pitchFamily="18" charset="0"/>
                            </a:rPr>
                            <m:t>𝐺</m:t>
                          </m:r>
                        </m:e>
                        <m:sup>
                          <m:r>
                            <a:rPr lang="en-IN" sz="1400" b="0" i="1">
                              <a:latin typeface="Cambria Math" panose="02040503050406030204" pitchFamily="18" charset="0"/>
                            </a:rPr>
                            <m:t>2</m:t>
                          </m:r>
                        </m:sup>
                      </m:sSup>
                    </m:num>
                    <m:den>
                      <m:r>
                        <a:rPr lang="en-IN" sz="1400" b="0" i="1">
                          <a:latin typeface="Cambria Math" panose="02040503050406030204" pitchFamily="18" charset="0"/>
                        </a:rPr>
                        <m:t>𝑟</m:t>
                      </m:r>
                      <m:r>
                        <a:rPr lang="en-IN" sz="1400" b="0" i="1">
                          <a:latin typeface="Cambria Math" panose="02040503050406030204" pitchFamily="18" charset="0"/>
                        </a:rPr>
                        <m:t>∗</m:t>
                      </m:r>
                      <m:sSup>
                        <m:sSupPr>
                          <m:ctrlPr>
                            <a:rPr lang="en-IN" sz="1400" b="0" i="1">
                              <a:latin typeface="Cambria Math" panose="02040503050406030204" pitchFamily="18" charset="0"/>
                            </a:rPr>
                          </m:ctrlPr>
                        </m:sSupPr>
                        <m:e>
                          <m:r>
                            <a:rPr lang="en-IN" sz="1400" b="0" i="1">
                              <a:latin typeface="Cambria Math" panose="02040503050406030204" pitchFamily="18" charset="0"/>
                            </a:rPr>
                            <m:t>2</m:t>
                          </m:r>
                        </m:e>
                        <m:sup>
                          <m:r>
                            <a:rPr lang="en-IN" sz="1400" b="0" i="1">
                              <a:latin typeface="Cambria Math" panose="02040503050406030204" pitchFamily="18" charset="0"/>
                            </a:rPr>
                            <m:t>𝑘</m:t>
                          </m:r>
                        </m:sup>
                      </m:sSup>
                    </m:den>
                  </m:f>
                </m:oMath>
              </a14:m>
              <a:endParaRPr lang="en-IN" sz="1400"/>
            </a:p>
          </xdr:txBody>
        </xdr:sp>
      </mc:Choice>
      <mc:Fallback xmlns="">
        <xdr:sp macro="" textlink="">
          <xdr:nvSpPr>
            <xdr:cNvPr id="4" name="TextBox 3">
              <a:extLst>
                <a:ext uri="{FF2B5EF4-FFF2-40B4-BE49-F238E27FC236}">
                  <a16:creationId xmlns:a16="http://schemas.microsoft.com/office/drawing/2014/main" id="{4E924FB6-E4A3-4313-A9AA-31328F7CB65A}"/>
                </a:ext>
              </a:extLst>
            </xdr:cNvPr>
            <xdr:cNvSpPr txBox="1"/>
          </xdr:nvSpPr>
          <xdr:spPr>
            <a:xfrm>
              <a:off x="0" y="7882488"/>
              <a:ext cx="2643051" cy="347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IN" sz="1400" b="0"/>
                <a:t>Replicated</a:t>
              </a:r>
              <a:r>
                <a:rPr lang="en-IN" sz="1400" b="0" i="0">
                  <a:latin typeface="Cambria Math" panose="02040503050406030204" pitchFamily="18" charset="0"/>
                </a:rPr>
                <a:t> 𝑆.𝑆. =  (∑▒𝑅_𝑖^2 )/2^𝑘   −  𝐺^2/(𝑟∗2^𝑘 )</a:t>
              </a:r>
              <a:endParaRPr lang="en-IN" sz="1400"/>
            </a:p>
          </xdr:txBody>
        </xdr:sp>
      </mc:Fallback>
    </mc:AlternateContent>
    <xdr:clientData/>
  </xdr:oneCellAnchor>
  <xdr:oneCellAnchor>
    <xdr:from>
      <xdr:col>1</xdr:col>
      <xdr:colOff>1</xdr:colOff>
      <xdr:row>60</xdr:row>
      <xdr:rowOff>26276</xdr:rowOff>
    </xdr:from>
    <xdr:ext cx="2338552" cy="52174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A4C16FA-DFA4-4AF5-9DBA-B1E6BD3FC40B}"/>
                </a:ext>
              </a:extLst>
            </xdr:cNvPr>
            <xdr:cNvSpPr txBox="1"/>
          </xdr:nvSpPr>
          <xdr:spPr>
            <a:xfrm>
              <a:off x="1" y="8324456"/>
              <a:ext cx="2338552" cy="5217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IN" sz="1400" b="0" i="1">
                        <a:latin typeface="Cambria Math" panose="02040503050406030204" pitchFamily="18" charset="0"/>
                      </a:rPr>
                      <m:t>𝑇𝑜𝑡𝑎𝑙</m:t>
                    </m:r>
                    <m:r>
                      <a:rPr lang="en-IN" sz="1400" b="0" i="1">
                        <a:latin typeface="Cambria Math" panose="02040503050406030204" pitchFamily="18" charset="0"/>
                      </a:rPr>
                      <m:t> </m:t>
                    </m:r>
                    <m:r>
                      <a:rPr lang="en-IN" sz="1400" b="0" i="1">
                        <a:latin typeface="Cambria Math" panose="02040503050406030204" pitchFamily="18" charset="0"/>
                      </a:rPr>
                      <m:t>𝑆</m:t>
                    </m:r>
                    <m:r>
                      <a:rPr lang="en-IN" sz="1400" b="0" i="1">
                        <a:latin typeface="Cambria Math" panose="02040503050406030204" pitchFamily="18" charset="0"/>
                      </a:rPr>
                      <m:t>.</m:t>
                    </m:r>
                    <m:r>
                      <a:rPr lang="en-IN" sz="1400" b="0" i="1">
                        <a:latin typeface="Cambria Math" panose="02040503050406030204" pitchFamily="18" charset="0"/>
                      </a:rPr>
                      <m:t>𝑆</m:t>
                    </m:r>
                    <m:r>
                      <a:rPr lang="en-IN" sz="1400" b="0" i="1">
                        <a:latin typeface="Cambria Math" panose="02040503050406030204" pitchFamily="18" charset="0"/>
                      </a:rPr>
                      <m:t>. = </m:t>
                    </m:r>
                    <m:nary>
                      <m:naryPr>
                        <m:chr m:val="∑"/>
                        <m:subHide m:val="on"/>
                        <m:supHide m:val="on"/>
                        <m:ctrlPr>
                          <a:rPr lang="en-IN" sz="1400" b="0" i="1">
                            <a:latin typeface="Cambria Math" panose="02040503050406030204" pitchFamily="18" charset="0"/>
                          </a:rPr>
                        </m:ctrlPr>
                      </m:naryPr>
                      <m:sub/>
                      <m:sup/>
                      <m:e>
                        <m:nary>
                          <m:naryPr>
                            <m:chr m:val="∑"/>
                            <m:subHide m:val="on"/>
                            <m:supHide m:val="on"/>
                            <m:ctrlPr>
                              <a:rPr lang="en-IN" sz="1400" b="0" i="1">
                                <a:latin typeface="Cambria Math" panose="02040503050406030204" pitchFamily="18" charset="0"/>
                              </a:rPr>
                            </m:ctrlPr>
                          </m:naryPr>
                          <m:sub/>
                          <m:sup/>
                          <m:e>
                            <m:sSubSup>
                              <m:sSubSupPr>
                                <m:ctrlPr>
                                  <a:rPr lang="en-IN" sz="1400" b="0" i="1">
                                    <a:latin typeface="Cambria Math" panose="02040503050406030204" pitchFamily="18" charset="0"/>
                                  </a:rPr>
                                </m:ctrlPr>
                              </m:sSubSupPr>
                              <m:e>
                                <m:r>
                                  <a:rPr lang="en-IN" sz="1400" b="0" i="1">
                                    <a:latin typeface="Cambria Math" panose="02040503050406030204" pitchFamily="18" charset="0"/>
                                  </a:rPr>
                                  <m:t>𝑌</m:t>
                                </m:r>
                              </m:e>
                              <m:sub>
                                <m:r>
                                  <a:rPr lang="en-IN" sz="1400" b="0" i="1">
                                    <a:latin typeface="Cambria Math" panose="02040503050406030204" pitchFamily="18" charset="0"/>
                                  </a:rPr>
                                  <m:t>𝑖𝑗</m:t>
                                </m:r>
                              </m:sub>
                              <m:sup>
                                <m:r>
                                  <a:rPr lang="en-IN" sz="1400" b="0" i="1">
                                    <a:latin typeface="Cambria Math" panose="02040503050406030204" pitchFamily="18" charset="0"/>
                                  </a:rPr>
                                  <m:t>2</m:t>
                                </m:r>
                              </m:sup>
                            </m:sSubSup>
                          </m:e>
                        </m:nary>
                        <m:r>
                          <a:rPr lang="en-IN" sz="1400" b="0" i="1">
                            <a:latin typeface="Cambria Math" panose="02040503050406030204" pitchFamily="18" charset="0"/>
                          </a:rPr>
                          <m:t> −</m:t>
                        </m:r>
                        <m:r>
                          <a:rPr lang="en-IN" sz="1400" b="0" i="1">
                            <a:latin typeface="Cambria Math" panose="02040503050406030204" pitchFamily="18" charset="0"/>
                          </a:rPr>
                          <m:t>𝑐</m:t>
                        </m:r>
                        <m:r>
                          <a:rPr lang="en-IN" sz="1400" b="0" i="1">
                            <a:latin typeface="Cambria Math" panose="02040503050406030204" pitchFamily="18" charset="0"/>
                          </a:rPr>
                          <m:t>.</m:t>
                        </m:r>
                        <m:r>
                          <a:rPr lang="en-IN" sz="1400" b="0" i="1">
                            <a:latin typeface="Cambria Math" panose="02040503050406030204" pitchFamily="18" charset="0"/>
                          </a:rPr>
                          <m:t>𝑓</m:t>
                        </m:r>
                        <m:r>
                          <a:rPr lang="en-IN" sz="1400" b="0" i="1">
                            <a:latin typeface="Cambria Math" panose="02040503050406030204" pitchFamily="18" charset="0"/>
                          </a:rPr>
                          <m:t>.</m:t>
                        </m:r>
                      </m:e>
                    </m:nary>
                  </m:oMath>
                </m:oMathPara>
              </a14:m>
              <a:endParaRPr lang="en-IN" sz="1100"/>
            </a:p>
          </xdr:txBody>
        </xdr:sp>
      </mc:Choice>
      <mc:Fallback xmlns="">
        <xdr:sp macro="" textlink="">
          <xdr:nvSpPr>
            <xdr:cNvPr id="5" name="TextBox 4">
              <a:extLst>
                <a:ext uri="{FF2B5EF4-FFF2-40B4-BE49-F238E27FC236}">
                  <a16:creationId xmlns:a16="http://schemas.microsoft.com/office/drawing/2014/main" id="{5A4C16FA-DFA4-4AF5-9DBA-B1E6BD3FC40B}"/>
                </a:ext>
              </a:extLst>
            </xdr:cNvPr>
            <xdr:cNvSpPr txBox="1"/>
          </xdr:nvSpPr>
          <xdr:spPr>
            <a:xfrm>
              <a:off x="1" y="8324456"/>
              <a:ext cx="2338552" cy="5217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IN" sz="1400" b="0" i="0">
                  <a:latin typeface="Cambria Math" panose="02040503050406030204" pitchFamily="18" charset="0"/>
                </a:rPr>
                <a:t>𝑇𝑜𝑡𝑎𝑙 𝑆.𝑆. = ∑▒〖∑▒𝑌_𝑖𝑗^2   −𝑐.𝑓.〗</a:t>
              </a:r>
              <a:endParaRPr lang="en-IN" sz="1100"/>
            </a:p>
          </xdr:txBody>
        </xdr:sp>
      </mc:Fallback>
    </mc:AlternateContent>
    <xdr:clientData/>
  </xdr:oneCellAnchor>
  <xdr:oneCellAnchor>
    <xdr:from>
      <xdr:col>1</xdr:col>
      <xdr:colOff>158647</xdr:colOff>
      <xdr:row>48</xdr:row>
      <xdr:rowOff>47803</xdr:rowOff>
    </xdr:from>
    <xdr:ext cx="797270" cy="43223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BAD99B5-DD62-4C8D-9674-4DD0EB11F44D}"/>
                </a:ext>
              </a:extLst>
            </xdr:cNvPr>
            <xdr:cNvSpPr txBox="1"/>
          </xdr:nvSpPr>
          <xdr:spPr>
            <a:xfrm>
              <a:off x="158647" y="6204763"/>
              <a:ext cx="797270" cy="432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IN" sz="1400" b="0" i="1">
                        <a:latin typeface="Cambria Math" panose="02040503050406030204" pitchFamily="18" charset="0"/>
                      </a:rPr>
                      <m:t>𝑐</m:t>
                    </m:r>
                    <m:r>
                      <a:rPr lang="en-IN" sz="1400" b="0" i="1">
                        <a:latin typeface="Cambria Math" panose="02040503050406030204" pitchFamily="18" charset="0"/>
                      </a:rPr>
                      <m:t>.</m:t>
                    </m:r>
                    <m:r>
                      <a:rPr lang="en-IN" sz="1400" b="0" i="1">
                        <a:latin typeface="Cambria Math" panose="02040503050406030204" pitchFamily="18" charset="0"/>
                      </a:rPr>
                      <m:t>𝑓</m:t>
                    </m:r>
                    <m:r>
                      <a:rPr lang="en-IN" sz="1400" b="0" i="1">
                        <a:latin typeface="Cambria Math" panose="02040503050406030204" pitchFamily="18" charset="0"/>
                      </a:rPr>
                      <m:t>. = </m:t>
                    </m:r>
                    <m:f>
                      <m:fPr>
                        <m:ctrlPr>
                          <a:rPr lang="en-IN" sz="1400" b="0" i="1">
                            <a:latin typeface="Cambria Math" panose="02040503050406030204" pitchFamily="18" charset="0"/>
                          </a:rPr>
                        </m:ctrlPr>
                      </m:fPr>
                      <m:num>
                        <m:sSup>
                          <m:sSupPr>
                            <m:ctrlPr>
                              <a:rPr lang="en-IN" sz="1400" b="0" i="1">
                                <a:latin typeface="Cambria Math" panose="02040503050406030204" pitchFamily="18" charset="0"/>
                              </a:rPr>
                            </m:ctrlPr>
                          </m:sSupPr>
                          <m:e>
                            <m:r>
                              <a:rPr lang="en-IN" sz="1400" b="0" i="1">
                                <a:latin typeface="Cambria Math" panose="02040503050406030204" pitchFamily="18" charset="0"/>
                              </a:rPr>
                              <m:t>𝐺</m:t>
                            </m:r>
                          </m:e>
                          <m:sup>
                            <m:r>
                              <a:rPr lang="en-IN" sz="1400" b="0" i="1">
                                <a:latin typeface="Cambria Math" panose="02040503050406030204" pitchFamily="18" charset="0"/>
                              </a:rPr>
                              <m:t>2</m:t>
                            </m:r>
                          </m:sup>
                        </m:sSup>
                      </m:num>
                      <m:den>
                        <m:r>
                          <a:rPr lang="en-IN" sz="1400" b="0" i="1">
                            <a:latin typeface="Cambria Math" panose="02040503050406030204" pitchFamily="18" charset="0"/>
                          </a:rPr>
                          <m:t>𝑛</m:t>
                        </m:r>
                      </m:den>
                    </m:f>
                  </m:oMath>
                </m:oMathPara>
              </a14:m>
              <a:endParaRPr lang="en-IN" sz="1400"/>
            </a:p>
          </xdr:txBody>
        </xdr:sp>
      </mc:Choice>
      <mc:Fallback xmlns="">
        <xdr:sp macro="" textlink="">
          <xdr:nvSpPr>
            <xdr:cNvPr id="6" name="TextBox 5">
              <a:extLst>
                <a:ext uri="{FF2B5EF4-FFF2-40B4-BE49-F238E27FC236}">
                  <a16:creationId xmlns:a16="http://schemas.microsoft.com/office/drawing/2014/main" id="{ABAD99B5-DD62-4C8D-9674-4DD0EB11F44D}"/>
                </a:ext>
              </a:extLst>
            </xdr:cNvPr>
            <xdr:cNvSpPr txBox="1"/>
          </xdr:nvSpPr>
          <xdr:spPr>
            <a:xfrm>
              <a:off x="158647" y="6204763"/>
              <a:ext cx="797270" cy="432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IN" sz="1400" b="0" i="0">
                  <a:latin typeface="Cambria Math" panose="02040503050406030204" pitchFamily="18" charset="0"/>
                </a:rPr>
                <a:t>𝑐.𝑓. =  𝐺^2/𝑛</a:t>
              </a:r>
              <a:endParaRPr lang="en-IN" sz="1400"/>
            </a:p>
          </xdr:txBody>
        </xdr:sp>
      </mc:Fallback>
    </mc:AlternateContent>
    <xdr:clientData/>
  </xdr:oneCellAnchor>
  <xdr:oneCellAnchor>
    <xdr:from>
      <xdr:col>4</xdr:col>
      <xdr:colOff>329711</xdr:colOff>
      <xdr:row>34</xdr:row>
      <xdr:rowOff>21981</xdr:rowOff>
    </xdr:from>
    <xdr:ext cx="256443" cy="172227"/>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C70B6BD6-4485-4150-ACB0-70A8E79895A8}"/>
                </a:ext>
              </a:extLst>
            </xdr:cNvPr>
            <xdr:cNvSpPr txBox="1"/>
          </xdr:nvSpPr>
          <xdr:spPr>
            <a:xfrm>
              <a:off x="3077307" y="6814039"/>
              <a:ext cx="25644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lang="en-IN" sz="1100" b="0" i="1">
                      <a:latin typeface="Cambria Math" panose="02040503050406030204" pitchFamily="18" charset="0"/>
                    </a:rPr>
                    <m:t>2</m:t>
                  </m:r>
                  <m:r>
                    <a:rPr lang="en-IN" sz="1100" b="0" i="1" baseline="30000">
                      <a:latin typeface="Cambria Math" panose="02040503050406030204" pitchFamily="18" charset="0"/>
                    </a:rPr>
                    <m:t>𝑘</m:t>
                  </m:r>
                </m:oMath>
              </a14:m>
              <a:r>
                <a:rPr lang="en-IN" sz="1100"/>
                <a:t>= </a:t>
              </a:r>
            </a:p>
          </xdr:txBody>
        </xdr:sp>
      </mc:Choice>
      <mc:Fallback xmlns="">
        <xdr:sp macro="" textlink="">
          <xdr:nvSpPr>
            <xdr:cNvPr id="8" name="TextBox 7">
              <a:extLst>
                <a:ext uri="{FF2B5EF4-FFF2-40B4-BE49-F238E27FC236}">
                  <a16:creationId xmlns:a16="http://schemas.microsoft.com/office/drawing/2014/main" id="{C70B6BD6-4485-4150-ACB0-70A8E79895A8}"/>
                </a:ext>
              </a:extLst>
            </xdr:cNvPr>
            <xdr:cNvSpPr txBox="1"/>
          </xdr:nvSpPr>
          <xdr:spPr>
            <a:xfrm>
              <a:off x="3077307" y="6814039"/>
              <a:ext cx="25644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IN" sz="1100" b="0" i="0">
                  <a:latin typeface="Cambria Math" panose="02040503050406030204" pitchFamily="18" charset="0"/>
                </a:rPr>
                <a:t>2</a:t>
              </a:r>
              <a:r>
                <a:rPr lang="en-IN" sz="1100" b="0" i="0" baseline="30000">
                  <a:latin typeface="Cambria Math" panose="02040503050406030204" pitchFamily="18" charset="0"/>
                </a:rPr>
                <a:t>𝑘</a:t>
              </a:r>
              <a:r>
                <a:rPr lang="en-IN" sz="1100"/>
                <a:t>= </a:t>
              </a:r>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1</xdr:col>
      <xdr:colOff>198782</xdr:colOff>
      <xdr:row>91</xdr:row>
      <xdr:rowOff>82825</xdr:rowOff>
    </xdr:from>
    <xdr:ext cx="2133600" cy="36920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8AC464A-CD16-406D-8985-DF4B89FE474D}"/>
                </a:ext>
              </a:extLst>
            </xdr:cNvPr>
            <xdr:cNvSpPr txBox="1"/>
          </xdr:nvSpPr>
          <xdr:spPr>
            <a:xfrm>
              <a:off x="198782" y="6735085"/>
              <a:ext cx="2133600" cy="3692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lang="en-IN" sz="1400" b="0" i="1">
                      <a:latin typeface="Cambria Math" panose="02040503050406030204" pitchFamily="18" charset="0"/>
                    </a:rPr>
                    <m:t>𝐵𝑙𝑜𝑐𝑘</m:t>
                  </m:r>
                  <m:r>
                    <a:rPr lang="en-IN" sz="1400" b="0" i="1">
                      <a:latin typeface="Cambria Math" panose="02040503050406030204" pitchFamily="18" charset="0"/>
                    </a:rPr>
                    <m:t> </m:t>
                  </m:r>
                  <m:r>
                    <a:rPr lang="en-IN" sz="1400" b="0" i="1">
                      <a:latin typeface="Cambria Math" panose="02040503050406030204" pitchFamily="18" charset="0"/>
                    </a:rPr>
                    <m:t>𝑆</m:t>
                  </m:r>
                  <m:r>
                    <a:rPr lang="en-IN" sz="1400" b="0" i="1">
                      <a:latin typeface="Cambria Math" panose="02040503050406030204" pitchFamily="18" charset="0"/>
                    </a:rPr>
                    <m:t>.</m:t>
                  </m:r>
                  <m:r>
                    <a:rPr lang="en-IN" sz="1400" b="0" i="1">
                      <a:latin typeface="Cambria Math" panose="02040503050406030204" pitchFamily="18" charset="0"/>
                    </a:rPr>
                    <m:t>𝑆</m:t>
                  </m:r>
                  <m:r>
                    <a:rPr lang="en-IN" sz="1400" b="0" i="1">
                      <a:latin typeface="Cambria Math" panose="02040503050406030204" pitchFamily="18" charset="0"/>
                    </a:rPr>
                    <m:t>. = </m:t>
                  </m:r>
                  <m:f>
                    <m:fPr>
                      <m:ctrlPr>
                        <a:rPr lang="en-IN" sz="1400" b="0" i="1">
                          <a:latin typeface="Cambria Math" panose="02040503050406030204" pitchFamily="18" charset="0"/>
                        </a:rPr>
                      </m:ctrlPr>
                    </m:fPr>
                    <m:num>
                      <m:nary>
                        <m:naryPr>
                          <m:chr m:val="∑"/>
                          <m:subHide m:val="on"/>
                          <m:supHide m:val="on"/>
                          <m:ctrlPr>
                            <a:rPr lang="en-IN" sz="1400" b="0" i="1">
                              <a:latin typeface="Cambria Math" panose="02040503050406030204" pitchFamily="18" charset="0"/>
                            </a:rPr>
                          </m:ctrlPr>
                        </m:naryPr>
                        <m:sub/>
                        <m:sup/>
                        <m:e>
                          <m:sSubSup>
                            <m:sSubSupPr>
                              <m:ctrlPr>
                                <a:rPr lang="en-IN" sz="1400" b="0" i="1">
                                  <a:latin typeface="Cambria Math" panose="02040503050406030204" pitchFamily="18" charset="0"/>
                                </a:rPr>
                              </m:ctrlPr>
                            </m:sSubSupPr>
                            <m:e>
                              <m:r>
                                <a:rPr lang="en-IN" sz="1400" b="0" i="1">
                                  <a:latin typeface="Cambria Math" panose="02040503050406030204" pitchFamily="18" charset="0"/>
                                </a:rPr>
                                <m:t>𝐵</m:t>
                              </m:r>
                            </m:e>
                            <m:sub>
                              <m:r>
                                <a:rPr lang="en-IN" sz="1400" b="0" i="1">
                                  <a:latin typeface="Cambria Math" panose="02040503050406030204" pitchFamily="18" charset="0"/>
                                </a:rPr>
                                <m:t>𝑗</m:t>
                              </m:r>
                            </m:sub>
                            <m:sup>
                              <m:r>
                                <a:rPr lang="en-IN" sz="1400" b="0" i="1">
                                  <a:latin typeface="Cambria Math" panose="02040503050406030204" pitchFamily="18" charset="0"/>
                                </a:rPr>
                                <m:t>2</m:t>
                              </m:r>
                            </m:sup>
                          </m:sSubSup>
                        </m:e>
                      </m:nary>
                    </m:num>
                    <m:den>
                      <m:r>
                        <a:rPr lang="en-IN" sz="1400" b="0" i="1">
                          <a:latin typeface="Cambria Math" panose="02040503050406030204" pitchFamily="18" charset="0"/>
                        </a:rPr>
                        <m:t>𝑟</m:t>
                      </m:r>
                    </m:den>
                  </m:f>
                  <m:r>
                    <a:rPr lang="en-IN" sz="1400" b="0" i="1">
                      <a:latin typeface="Cambria Math" panose="02040503050406030204" pitchFamily="18" charset="0"/>
                    </a:rPr>
                    <m:t> −</m:t>
                  </m:r>
                </m:oMath>
              </a14:m>
              <a:r>
                <a:rPr lang="en-IN" sz="1400"/>
                <a:t>  c.f.</a:t>
              </a:r>
            </a:p>
          </xdr:txBody>
        </xdr:sp>
      </mc:Choice>
      <mc:Fallback xmlns="">
        <xdr:sp macro="" textlink="">
          <xdr:nvSpPr>
            <xdr:cNvPr id="2" name="TextBox 1">
              <a:extLst>
                <a:ext uri="{FF2B5EF4-FFF2-40B4-BE49-F238E27FC236}">
                  <a16:creationId xmlns:a16="http://schemas.microsoft.com/office/drawing/2014/main" id="{F8AC464A-CD16-406D-8985-DF4B89FE474D}"/>
                </a:ext>
              </a:extLst>
            </xdr:cNvPr>
            <xdr:cNvSpPr txBox="1"/>
          </xdr:nvSpPr>
          <xdr:spPr>
            <a:xfrm>
              <a:off x="198782" y="6735085"/>
              <a:ext cx="2133600" cy="3692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IN" sz="1400" b="0" i="0">
                  <a:latin typeface="Cambria Math" panose="02040503050406030204" pitchFamily="18" charset="0"/>
                </a:rPr>
                <a:t>𝐵𝑙𝑜𝑐𝑘 𝑆.𝑆. =  (∑▒𝐵_𝑗^2 )/𝑟  −</a:t>
              </a:r>
              <a:r>
                <a:rPr lang="en-IN" sz="1400"/>
                <a:t>  c.f.</a:t>
              </a:r>
            </a:p>
          </xdr:txBody>
        </xdr:sp>
      </mc:Fallback>
    </mc:AlternateContent>
    <xdr:clientData/>
  </xdr:oneCellAnchor>
  <xdr:oneCellAnchor>
    <xdr:from>
      <xdr:col>1</xdr:col>
      <xdr:colOff>0</xdr:colOff>
      <xdr:row>95</xdr:row>
      <xdr:rowOff>43275</xdr:rowOff>
    </xdr:from>
    <xdr:ext cx="2383409" cy="438005"/>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3604688-ED0B-46BD-A7AC-401F368F795D}"/>
                </a:ext>
              </a:extLst>
            </xdr:cNvPr>
            <xdr:cNvSpPr txBox="1"/>
          </xdr:nvSpPr>
          <xdr:spPr>
            <a:xfrm>
              <a:off x="0" y="14878463"/>
              <a:ext cx="2383409" cy="4380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IN" sz="1400" b="0" i="1">
                        <a:latin typeface="Cambria Math" panose="02040503050406030204" pitchFamily="18" charset="0"/>
                      </a:rPr>
                      <m:t>𝑅𝑒𝑝𝑙𝑖𝑐𝑎𝑡𝑒</m:t>
                    </m:r>
                    <m:r>
                      <a:rPr lang="en-IN" sz="1400" b="0" i="1">
                        <a:latin typeface="Cambria Math" panose="02040503050406030204" pitchFamily="18" charset="0"/>
                      </a:rPr>
                      <m:t> </m:t>
                    </m:r>
                    <m:r>
                      <a:rPr lang="en-IN" sz="1400" b="0" i="1">
                        <a:latin typeface="Cambria Math" panose="02040503050406030204" pitchFamily="18" charset="0"/>
                      </a:rPr>
                      <m:t>𝑆</m:t>
                    </m:r>
                    <m:r>
                      <a:rPr lang="en-IN" sz="1400" b="0" i="1">
                        <a:latin typeface="Cambria Math" panose="02040503050406030204" pitchFamily="18" charset="0"/>
                      </a:rPr>
                      <m:t>.</m:t>
                    </m:r>
                    <m:r>
                      <a:rPr lang="en-IN" sz="1400" b="0" i="1">
                        <a:latin typeface="Cambria Math" panose="02040503050406030204" pitchFamily="18" charset="0"/>
                      </a:rPr>
                      <m:t>𝑆</m:t>
                    </m:r>
                    <m:r>
                      <a:rPr lang="en-IN" sz="1400" b="0" i="1">
                        <a:latin typeface="Cambria Math" panose="02040503050406030204" pitchFamily="18" charset="0"/>
                      </a:rPr>
                      <m:t>. = </m:t>
                    </m:r>
                    <m:f>
                      <m:fPr>
                        <m:ctrlPr>
                          <a:rPr lang="en-IN" sz="1400" b="0" i="1">
                            <a:latin typeface="Cambria Math" panose="02040503050406030204" pitchFamily="18" charset="0"/>
                          </a:rPr>
                        </m:ctrlPr>
                      </m:fPr>
                      <m:num>
                        <m:nary>
                          <m:naryPr>
                            <m:chr m:val="∑"/>
                            <m:subHide m:val="on"/>
                            <m:supHide m:val="on"/>
                            <m:ctrlPr>
                              <a:rPr lang="en-IN" sz="1400" b="0" i="1">
                                <a:latin typeface="Cambria Math" panose="02040503050406030204" pitchFamily="18" charset="0"/>
                              </a:rPr>
                            </m:ctrlPr>
                          </m:naryPr>
                          <m:sub/>
                          <m:sup/>
                          <m:e>
                            <m:sSubSup>
                              <m:sSubSupPr>
                                <m:ctrlPr>
                                  <a:rPr lang="en-IN" sz="1400" b="0" i="1">
                                    <a:latin typeface="Cambria Math" panose="02040503050406030204" pitchFamily="18" charset="0"/>
                                  </a:rPr>
                                </m:ctrlPr>
                              </m:sSubSupPr>
                              <m:e>
                                <m:r>
                                  <a:rPr lang="en-IN" sz="1400" b="0" i="1">
                                    <a:latin typeface="Cambria Math" panose="02040503050406030204" pitchFamily="18" charset="0"/>
                                  </a:rPr>
                                  <m:t>𝑅</m:t>
                                </m:r>
                              </m:e>
                              <m:sub>
                                <m:r>
                                  <a:rPr lang="en-IN" sz="1400" b="0" i="1">
                                    <a:latin typeface="Cambria Math" panose="02040503050406030204" pitchFamily="18" charset="0"/>
                                  </a:rPr>
                                  <m:t>𝑖</m:t>
                                </m:r>
                              </m:sub>
                              <m:sup>
                                <m:r>
                                  <a:rPr lang="en-IN" sz="1400" b="0" i="1">
                                    <a:latin typeface="Cambria Math" panose="02040503050406030204" pitchFamily="18" charset="0"/>
                                  </a:rPr>
                                  <m:t>2</m:t>
                                </m:r>
                              </m:sup>
                            </m:sSubSup>
                          </m:e>
                        </m:nary>
                      </m:num>
                      <m:den>
                        <m:r>
                          <a:rPr lang="en-IN" sz="1400" b="0" i="1">
                            <a:latin typeface="Cambria Math" panose="02040503050406030204" pitchFamily="18" charset="0"/>
                          </a:rPr>
                          <m:t>𝑘</m:t>
                        </m:r>
                      </m:den>
                    </m:f>
                    <m:r>
                      <a:rPr lang="en-IN" sz="1400" b="0" i="1">
                        <a:latin typeface="Cambria Math" panose="02040503050406030204" pitchFamily="18" charset="0"/>
                      </a:rPr>
                      <m:t> −</m:t>
                    </m:r>
                    <m:r>
                      <a:rPr lang="en-IN" sz="1400" b="0" i="1">
                        <a:latin typeface="Cambria Math" panose="02040503050406030204" pitchFamily="18" charset="0"/>
                      </a:rPr>
                      <m:t>𝑐</m:t>
                    </m:r>
                    <m:r>
                      <a:rPr lang="en-IN" sz="1400" b="0" i="1">
                        <a:latin typeface="Cambria Math" panose="02040503050406030204" pitchFamily="18" charset="0"/>
                      </a:rPr>
                      <m:t>.</m:t>
                    </m:r>
                    <m:r>
                      <a:rPr lang="en-IN" sz="1400" b="0" i="1">
                        <a:latin typeface="Cambria Math" panose="02040503050406030204" pitchFamily="18" charset="0"/>
                      </a:rPr>
                      <m:t>𝑓</m:t>
                    </m:r>
                    <m:r>
                      <a:rPr lang="en-IN" sz="1400" b="0" i="1">
                        <a:latin typeface="Cambria Math" panose="02040503050406030204" pitchFamily="18" charset="0"/>
                      </a:rPr>
                      <m:t>. </m:t>
                    </m:r>
                  </m:oMath>
                </m:oMathPara>
              </a14:m>
              <a:endParaRPr lang="en-IN" sz="1400"/>
            </a:p>
          </xdr:txBody>
        </xdr:sp>
      </mc:Choice>
      <mc:Fallback xmlns="">
        <xdr:sp macro="" textlink="">
          <xdr:nvSpPr>
            <xdr:cNvPr id="3" name="TextBox 2">
              <a:extLst>
                <a:ext uri="{FF2B5EF4-FFF2-40B4-BE49-F238E27FC236}">
                  <a16:creationId xmlns:a16="http://schemas.microsoft.com/office/drawing/2014/main" id="{83604688-ED0B-46BD-A7AC-401F368F795D}"/>
                </a:ext>
              </a:extLst>
            </xdr:cNvPr>
            <xdr:cNvSpPr txBox="1"/>
          </xdr:nvSpPr>
          <xdr:spPr>
            <a:xfrm>
              <a:off x="0" y="14878463"/>
              <a:ext cx="2383409" cy="4380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IN" sz="1400" b="0" i="0">
                  <a:latin typeface="Cambria Math" panose="02040503050406030204" pitchFamily="18" charset="0"/>
                </a:rPr>
                <a:t>𝑅𝑒𝑝𝑙𝑖𝑐𝑎𝑡𝑒 𝑆.𝑆. =  (∑▒𝑅_𝑖^2 )/𝑘  −𝑐.𝑓. </a:t>
              </a:r>
              <a:endParaRPr lang="en-IN" sz="1400"/>
            </a:p>
          </xdr:txBody>
        </xdr:sp>
      </mc:Fallback>
    </mc:AlternateContent>
    <xdr:clientData/>
  </xdr:oneCellAnchor>
  <xdr:oneCellAnchor>
    <xdr:from>
      <xdr:col>1</xdr:col>
      <xdr:colOff>1</xdr:colOff>
      <xdr:row>99</xdr:row>
      <xdr:rowOff>26276</xdr:rowOff>
    </xdr:from>
    <xdr:ext cx="2338552" cy="52174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02F2868-28D2-43F7-85AD-42C1671D2C12}"/>
                </a:ext>
              </a:extLst>
            </xdr:cNvPr>
            <xdr:cNvSpPr txBox="1"/>
          </xdr:nvSpPr>
          <xdr:spPr>
            <a:xfrm>
              <a:off x="1" y="8324456"/>
              <a:ext cx="2338552" cy="5217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IN" sz="1400" b="0" i="1">
                        <a:latin typeface="Cambria Math" panose="02040503050406030204" pitchFamily="18" charset="0"/>
                      </a:rPr>
                      <m:t>𝑇𝑜𝑡𝑎𝑙</m:t>
                    </m:r>
                    <m:r>
                      <a:rPr lang="en-IN" sz="1400" b="0" i="1">
                        <a:latin typeface="Cambria Math" panose="02040503050406030204" pitchFamily="18" charset="0"/>
                      </a:rPr>
                      <m:t> </m:t>
                    </m:r>
                    <m:r>
                      <a:rPr lang="en-IN" sz="1400" b="0" i="1">
                        <a:latin typeface="Cambria Math" panose="02040503050406030204" pitchFamily="18" charset="0"/>
                      </a:rPr>
                      <m:t>𝑆</m:t>
                    </m:r>
                    <m:r>
                      <a:rPr lang="en-IN" sz="1400" b="0" i="1">
                        <a:latin typeface="Cambria Math" panose="02040503050406030204" pitchFamily="18" charset="0"/>
                      </a:rPr>
                      <m:t>.</m:t>
                    </m:r>
                    <m:r>
                      <a:rPr lang="en-IN" sz="1400" b="0" i="1">
                        <a:latin typeface="Cambria Math" panose="02040503050406030204" pitchFamily="18" charset="0"/>
                      </a:rPr>
                      <m:t>𝑆</m:t>
                    </m:r>
                    <m:r>
                      <a:rPr lang="en-IN" sz="1400" b="0" i="1">
                        <a:latin typeface="Cambria Math" panose="02040503050406030204" pitchFamily="18" charset="0"/>
                      </a:rPr>
                      <m:t>. = </m:t>
                    </m:r>
                    <m:nary>
                      <m:naryPr>
                        <m:chr m:val="∑"/>
                        <m:subHide m:val="on"/>
                        <m:supHide m:val="on"/>
                        <m:ctrlPr>
                          <a:rPr lang="en-IN" sz="1400" b="0" i="1">
                            <a:latin typeface="Cambria Math" panose="02040503050406030204" pitchFamily="18" charset="0"/>
                          </a:rPr>
                        </m:ctrlPr>
                      </m:naryPr>
                      <m:sub/>
                      <m:sup/>
                      <m:e>
                        <m:nary>
                          <m:naryPr>
                            <m:chr m:val="∑"/>
                            <m:subHide m:val="on"/>
                            <m:supHide m:val="on"/>
                            <m:ctrlPr>
                              <a:rPr lang="en-IN" sz="1400" b="0" i="1">
                                <a:latin typeface="Cambria Math" panose="02040503050406030204" pitchFamily="18" charset="0"/>
                              </a:rPr>
                            </m:ctrlPr>
                          </m:naryPr>
                          <m:sub/>
                          <m:sup/>
                          <m:e>
                            <m:sSubSup>
                              <m:sSubSupPr>
                                <m:ctrlPr>
                                  <a:rPr lang="en-IN" sz="1400" b="0" i="1">
                                    <a:latin typeface="Cambria Math" panose="02040503050406030204" pitchFamily="18" charset="0"/>
                                  </a:rPr>
                                </m:ctrlPr>
                              </m:sSubSupPr>
                              <m:e>
                                <m:r>
                                  <a:rPr lang="en-IN" sz="1400" b="0" i="1">
                                    <a:latin typeface="Cambria Math" panose="02040503050406030204" pitchFamily="18" charset="0"/>
                                  </a:rPr>
                                  <m:t>𝑌</m:t>
                                </m:r>
                              </m:e>
                              <m:sub>
                                <m:r>
                                  <a:rPr lang="en-IN" sz="1400" b="0" i="1">
                                    <a:latin typeface="Cambria Math" panose="02040503050406030204" pitchFamily="18" charset="0"/>
                                  </a:rPr>
                                  <m:t>𝑖𝑗</m:t>
                                </m:r>
                              </m:sub>
                              <m:sup>
                                <m:r>
                                  <a:rPr lang="en-IN" sz="1400" b="0" i="1">
                                    <a:latin typeface="Cambria Math" panose="02040503050406030204" pitchFamily="18" charset="0"/>
                                  </a:rPr>
                                  <m:t>2</m:t>
                                </m:r>
                              </m:sup>
                            </m:sSubSup>
                          </m:e>
                        </m:nary>
                        <m:r>
                          <a:rPr lang="en-IN" sz="1400" b="0" i="1">
                            <a:latin typeface="Cambria Math" panose="02040503050406030204" pitchFamily="18" charset="0"/>
                          </a:rPr>
                          <m:t> −</m:t>
                        </m:r>
                        <m:r>
                          <a:rPr lang="en-IN" sz="1400" b="0" i="1">
                            <a:latin typeface="Cambria Math" panose="02040503050406030204" pitchFamily="18" charset="0"/>
                          </a:rPr>
                          <m:t>𝑐</m:t>
                        </m:r>
                        <m:r>
                          <a:rPr lang="en-IN" sz="1400" b="0" i="1">
                            <a:latin typeface="Cambria Math" panose="02040503050406030204" pitchFamily="18" charset="0"/>
                          </a:rPr>
                          <m:t>.</m:t>
                        </m:r>
                        <m:r>
                          <a:rPr lang="en-IN" sz="1400" b="0" i="1">
                            <a:latin typeface="Cambria Math" panose="02040503050406030204" pitchFamily="18" charset="0"/>
                          </a:rPr>
                          <m:t>𝑓</m:t>
                        </m:r>
                        <m:r>
                          <a:rPr lang="en-IN" sz="1400" b="0" i="1">
                            <a:latin typeface="Cambria Math" panose="02040503050406030204" pitchFamily="18" charset="0"/>
                          </a:rPr>
                          <m:t>.</m:t>
                        </m:r>
                      </m:e>
                    </m:nary>
                  </m:oMath>
                </m:oMathPara>
              </a14:m>
              <a:endParaRPr lang="en-IN" sz="1100"/>
            </a:p>
          </xdr:txBody>
        </xdr:sp>
      </mc:Choice>
      <mc:Fallback xmlns="">
        <xdr:sp macro="" textlink="">
          <xdr:nvSpPr>
            <xdr:cNvPr id="4" name="TextBox 3">
              <a:extLst>
                <a:ext uri="{FF2B5EF4-FFF2-40B4-BE49-F238E27FC236}">
                  <a16:creationId xmlns:a16="http://schemas.microsoft.com/office/drawing/2014/main" id="{402F2868-28D2-43F7-85AD-42C1671D2C12}"/>
                </a:ext>
              </a:extLst>
            </xdr:cNvPr>
            <xdr:cNvSpPr txBox="1"/>
          </xdr:nvSpPr>
          <xdr:spPr>
            <a:xfrm>
              <a:off x="1" y="8324456"/>
              <a:ext cx="2338552" cy="5217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IN" sz="1400" b="0" i="0">
                  <a:latin typeface="Cambria Math" panose="02040503050406030204" pitchFamily="18" charset="0"/>
                </a:rPr>
                <a:t>𝑇𝑜𝑡𝑎𝑙 𝑆.𝑆. = ∑▒〖∑▒𝑌_𝑖𝑗^2   −𝑐.𝑓.〗</a:t>
              </a:r>
              <a:endParaRPr lang="en-IN" sz="1100"/>
            </a:p>
          </xdr:txBody>
        </xdr:sp>
      </mc:Fallback>
    </mc:AlternateContent>
    <xdr:clientData/>
  </xdr:oneCellAnchor>
  <xdr:oneCellAnchor>
    <xdr:from>
      <xdr:col>1</xdr:col>
      <xdr:colOff>284921</xdr:colOff>
      <xdr:row>87</xdr:row>
      <xdr:rowOff>69574</xdr:rowOff>
    </xdr:from>
    <xdr:ext cx="797270" cy="43223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3C5208F-E495-4951-860D-8AEA0111EF87}"/>
                </a:ext>
              </a:extLst>
            </xdr:cNvPr>
            <xdr:cNvSpPr txBox="1"/>
          </xdr:nvSpPr>
          <xdr:spPr>
            <a:xfrm>
              <a:off x="284921" y="5898874"/>
              <a:ext cx="797270" cy="432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IN" sz="1400" b="0" i="1">
                        <a:latin typeface="Cambria Math" panose="02040503050406030204" pitchFamily="18" charset="0"/>
                      </a:rPr>
                      <m:t>𝑐</m:t>
                    </m:r>
                    <m:r>
                      <a:rPr lang="en-IN" sz="1400" b="0" i="1">
                        <a:latin typeface="Cambria Math" panose="02040503050406030204" pitchFamily="18" charset="0"/>
                      </a:rPr>
                      <m:t>.</m:t>
                    </m:r>
                    <m:r>
                      <a:rPr lang="en-IN" sz="1400" b="0" i="1">
                        <a:latin typeface="Cambria Math" panose="02040503050406030204" pitchFamily="18" charset="0"/>
                      </a:rPr>
                      <m:t>𝑓</m:t>
                    </m:r>
                    <m:r>
                      <a:rPr lang="en-IN" sz="1400" b="0" i="1">
                        <a:latin typeface="Cambria Math" panose="02040503050406030204" pitchFamily="18" charset="0"/>
                      </a:rPr>
                      <m:t>. = </m:t>
                    </m:r>
                    <m:f>
                      <m:fPr>
                        <m:ctrlPr>
                          <a:rPr lang="en-IN" sz="1400" b="0" i="1">
                            <a:latin typeface="Cambria Math" panose="02040503050406030204" pitchFamily="18" charset="0"/>
                          </a:rPr>
                        </m:ctrlPr>
                      </m:fPr>
                      <m:num>
                        <m:sSup>
                          <m:sSupPr>
                            <m:ctrlPr>
                              <a:rPr lang="en-IN" sz="1400" b="0" i="1">
                                <a:latin typeface="Cambria Math" panose="02040503050406030204" pitchFamily="18" charset="0"/>
                              </a:rPr>
                            </m:ctrlPr>
                          </m:sSupPr>
                          <m:e>
                            <m:r>
                              <a:rPr lang="en-IN" sz="1400" b="0" i="1">
                                <a:latin typeface="Cambria Math" panose="02040503050406030204" pitchFamily="18" charset="0"/>
                              </a:rPr>
                              <m:t>𝐺</m:t>
                            </m:r>
                          </m:e>
                          <m:sup>
                            <m:r>
                              <a:rPr lang="en-IN" sz="1400" b="0" i="1">
                                <a:latin typeface="Cambria Math" panose="02040503050406030204" pitchFamily="18" charset="0"/>
                              </a:rPr>
                              <m:t>2</m:t>
                            </m:r>
                          </m:sup>
                        </m:sSup>
                      </m:num>
                      <m:den>
                        <m:r>
                          <a:rPr lang="en-IN" sz="1400" b="0" i="1">
                            <a:latin typeface="Cambria Math" panose="02040503050406030204" pitchFamily="18" charset="0"/>
                          </a:rPr>
                          <m:t>𝑛</m:t>
                        </m:r>
                      </m:den>
                    </m:f>
                  </m:oMath>
                </m:oMathPara>
              </a14:m>
              <a:endParaRPr lang="en-IN" sz="1400"/>
            </a:p>
          </xdr:txBody>
        </xdr:sp>
      </mc:Choice>
      <mc:Fallback xmlns="">
        <xdr:sp macro="" textlink="">
          <xdr:nvSpPr>
            <xdr:cNvPr id="5" name="TextBox 4">
              <a:extLst>
                <a:ext uri="{FF2B5EF4-FFF2-40B4-BE49-F238E27FC236}">
                  <a16:creationId xmlns:a16="http://schemas.microsoft.com/office/drawing/2014/main" id="{D3C5208F-E495-4951-860D-8AEA0111EF87}"/>
                </a:ext>
              </a:extLst>
            </xdr:cNvPr>
            <xdr:cNvSpPr txBox="1"/>
          </xdr:nvSpPr>
          <xdr:spPr>
            <a:xfrm>
              <a:off x="284921" y="5898874"/>
              <a:ext cx="797270" cy="432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IN" sz="1400" b="0" i="0">
                  <a:latin typeface="Cambria Math" panose="02040503050406030204" pitchFamily="18" charset="0"/>
                </a:rPr>
                <a:t>𝑐.𝑓. =  𝐺^2/𝑛</a:t>
              </a:r>
              <a:endParaRPr lang="en-IN" sz="1400"/>
            </a:p>
          </xdr:txBody>
        </xdr:sp>
      </mc:Fallback>
    </mc:AlternateContent>
    <xdr:clientData/>
  </xdr:oneCellAnchor>
  <xdr:twoCellAnchor>
    <xdr:from>
      <xdr:col>0</xdr:col>
      <xdr:colOff>231913</xdr:colOff>
      <xdr:row>36</xdr:row>
      <xdr:rowOff>99391</xdr:rowOff>
    </xdr:from>
    <xdr:to>
      <xdr:col>0</xdr:col>
      <xdr:colOff>720587</xdr:colOff>
      <xdr:row>36</xdr:row>
      <xdr:rowOff>107674</xdr:rowOff>
    </xdr:to>
    <xdr:cxnSp macro="">
      <xdr:nvCxnSpPr>
        <xdr:cNvPr id="7" name="Straight Arrow Connector 6">
          <a:extLst>
            <a:ext uri="{FF2B5EF4-FFF2-40B4-BE49-F238E27FC236}">
              <a16:creationId xmlns:a16="http://schemas.microsoft.com/office/drawing/2014/main" id="{B566A0F6-26BC-424A-ADD2-C1E94F2778DA}"/>
            </a:ext>
          </a:extLst>
        </xdr:cNvPr>
        <xdr:cNvCxnSpPr/>
      </xdr:nvCxnSpPr>
      <xdr:spPr>
        <a:xfrm>
          <a:off x="231913" y="7446065"/>
          <a:ext cx="488674" cy="8283"/>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173935</xdr:colOff>
      <xdr:row>41</xdr:row>
      <xdr:rowOff>107674</xdr:rowOff>
    </xdr:from>
    <xdr:to>
      <xdr:col>0</xdr:col>
      <xdr:colOff>662609</xdr:colOff>
      <xdr:row>41</xdr:row>
      <xdr:rowOff>115957</xdr:rowOff>
    </xdr:to>
    <xdr:cxnSp macro="">
      <xdr:nvCxnSpPr>
        <xdr:cNvPr id="8" name="Straight Arrow Connector 7">
          <a:extLst>
            <a:ext uri="{FF2B5EF4-FFF2-40B4-BE49-F238E27FC236}">
              <a16:creationId xmlns:a16="http://schemas.microsoft.com/office/drawing/2014/main" id="{ED964B19-AF2B-4E9C-BDE7-0A9803AC085F}"/>
            </a:ext>
          </a:extLst>
        </xdr:cNvPr>
        <xdr:cNvCxnSpPr/>
      </xdr:nvCxnSpPr>
      <xdr:spPr>
        <a:xfrm>
          <a:off x="173935" y="8406848"/>
          <a:ext cx="488674" cy="8283"/>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190500</xdr:colOff>
      <xdr:row>46</xdr:row>
      <xdr:rowOff>99391</xdr:rowOff>
    </xdr:from>
    <xdr:to>
      <xdr:col>0</xdr:col>
      <xdr:colOff>679174</xdr:colOff>
      <xdr:row>46</xdr:row>
      <xdr:rowOff>107674</xdr:rowOff>
    </xdr:to>
    <xdr:cxnSp macro="">
      <xdr:nvCxnSpPr>
        <xdr:cNvPr id="9" name="Straight Arrow Connector 8">
          <a:extLst>
            <a:ext uri="{FF2B5EF4-FFF2-40B4-BE49-F238E27FC236}">
              <a16:creationId xmlns:a16="http://schemas.microsoft.com/office/drawing/2014/main" id="{02161A34-E6EA-4AA7-BCC4-E14670F39E4C}"/>
            </a:ext>
          </a:extLst>
        </xdr:cNvPr>
        <xdr:cNvCxnSpPr/>
      </xdr:nvCxnSpPr>
      <xdr:spPr>
        <a:xfrm>
          <a:off x="190500" y="9351065"/>
          <a:ext cx="488674" cy="8283"/>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165652</xdr:colOff>
      <xdr:row>51</xdr:row>
      <xdr:rowOff>91109</xdr:rowOff>
    </xdr:from>
    <xdr:to>
      <xdr:col>0</xdr:col>
      <xdr:colOff>654326</xdr:colOff>
      <xdr:row>51</xdr:row>
      <xdr:rowOff>99392</xdr:rowOff>
    </xdr:to>
    <xdr:cxnSp macro="">
      <xdr:nvCxnSpPr>
        <xdr:cNvPr id="10" name="Straight Arrow Connector 9">
          <a:extLst>
            <a:ext uri="{FF2B5EF4-FFF2-40B4-BE49-F238E27FC236}">
              <a16:creationId xmlns:a16="http://schemas.microsoft.com/office/drawing/2014/main" id="{25F78A2F-4E5D-4FF9-8BF8-5FCB497D4883}"/>
            </a:ext>
          </a:extLst>
        </xdr:cNvPr>
        <xdr:cNvCxnSpPr/>
      </xdr:nvCxnSpPr>
      <xdr:spPr>
        <a:xfrm>
          <a:off x="165652" y="10295283"/>
          <a:ext cx="488674" cy="8283"/>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oneCellAnchor>
    <xdr:from>
      <xdr:col>4</xdr:col>
      <xdr:colOff>329711</xdr:colOff>
      <xdr:row>34</xdr:row>
      <xdr:rowOff>21981</xdr:rowOff>
    </xdr:from>
    <xdr:ext cx="256443" cy="172227"/>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13EA06E4-9DE4-4BA4-8BC4-22266781379A}"/>
                </a:ext>
              </a:extLst>
            </xdr:cNvPr>
            <xdr:cNvSpPr txBox="1"/>
          </xdr:nvSpPr>
          <xdr:spPr>
            <a:xfrm>
              <a:off x="3149111" y="6860931"/>
              <a:ext cx="25644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lang="en-IN" sz="1100" b="0" i="1">
                      <a:latin typeface="Cambria Math" panose="02040503050406030204" pitchFamily="18" charset="0"/>
                    </a:rPr>
                    <m:t>2</m:t>
                  </m:r>
                  <m:r>
                    <a:rPr lang="en-IN" sz="1100" b="0" i="1" baseline="30000">
                      <a:latin typeface="Cambria Math" panose="02040503050406030204" pitchFamily="18" charset="0"/>
                    </a:rPr>
                    <m:t>𝑘</m:t>
                  </m:r>
                </m:oMath>
              </a14:m>
              <a:r>
                <a:rPr lang="en-IN" sz="1100"/>
                <a:t>= </a:t>
              </a:r>
            </a:p>
          </xdr:txBody>
        </xdr:sp>
      </mc:Choice>
      <mc:Fallback xmlns="">
        <xdr:sp macro="" textlink="">
          <xdr:nvSpPr>
            <xdr:cNvPr id="11" name="TextBox 10">
              <a:extLst>
                <a:ext uri="{FF2B5EF4-FFF2-40B4-BE49-F238E27FC236}">
                  <a16:creationId xmlns:a16="http://schemas.microsoft.com/office/drawing/2014/main" id="{13EA06E4-9DE4-4BA4-8BC4-22266781379A}"/>
                </a:ext>
              </a:extLst>
            </xdr:cNvPr>
            <xdr:cNvSpPr txBox="1"/>
          </xdr:nvSpPr>
          <xdr:spPr>
            <a:xfrm>
              <a:off x="3149111" y="6860931"/>
              <a:ext cx="25644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IN" sz="1100" b="0" i="0">
                  <a:latin typeface="Cambria Math" panose="02040503050406030204" pitchFamily="18" charset="0"/>
                </a:rPr>
                <a:t>2</a:t>
              </a:r>
              <a:r>
                <a:rPr lang="en-IN" sz="1100" b="0" i="0" baseline="30000">
                  <a:latin typeface="Cambria Math" panose="02040503050406030204" pitchFamily="18" charset="0"/>
                </a:rPr>
                <a:t>𝑘</a:t>
              </a:r>
              <a:r>
                <a:rPr lang="en-IN" sz="1100"/>
                <a:t>= </a:t>
              </a:r>
            </a:p>
          </xdr:txBody>
        </xdr:sp>
      </mc:Fallback>
    </mc:AlternateContent>
    <xdr:clientData/>
  </xdr:oneCellAnchor>
  <xdr:oneCellAnchor>
    <xdr:from>
      <xdr:col>4</xdr:col>
      <xdr:colOff>329711</xdr:colOff>
      <xdr:row>34</xdr:row>
      <xdr:rowOff>21981</xdr:rowOff>
    </xdr:from>
    <xdr:ext cx="256443" cy="172227"/>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D5597F0B-D948-467E-968C-CA05AF4FCC61}"/>
                </a:ext>
              </a:extLst>
            </xdr:cNvPr>
            <xdr:cNvSpPr txBox="1"/>
          </xdr:nvSpPr>
          <xdr:spPr>
            <a:xfrm>
              <a:off x="3149111" y="6860931"/>
              <a:ext cx="25644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lang="en-IN" sz="1100" b="0" i="1">
                      <a:latin typeface="Cambria Math" panose="02040503050406030204" pitchFamily="18" charset="0"/>
                    </a:rPr>
                    <m:t>2</m:t>
                  </m:r>
                  <m:r>
                    <a:rPr lang="en-IN" sz="1100" b="0" i="1" baseline="30000">
                      <a:latin typeface="Cambria Math" panose="02040503050406030204" pitchFamily="18" charset="0"/>
                    </a:rPr>
                    <m:t>𝑘</m:t>
                  </m:r>
                </m:oMath>
              </a14:m>
              <a:r>
                <a:rPr lang="en-IN" sz="1100"/>
                <a:t>= </a:t>
              </a:r>
            </a:p>
          </xdr:txBody>
        </xdr:sp>
      </mc:Choice>
      <mc:Fallback xmlns="">
        <xdr:sp macro="" textlink="">
          <xdr:nvSpPr>
            <xdr:cNvPr id="12" name="TextBox 11">
              <a:extLst>
                <a:ext uri="{FF2B5EF4-FFF2-40B4-BE49-F238E27FC236}">
                  <a16:creationId xmlns:a16="http://schemas.microsoft.com/office/drawing/2014/main" id="{D5597F0B-D948-467E-968C-CA05AF4FCC61}"/>
                </a:ext>
              </a:extLst>
            </xdr:cNvPr>
            <xdr:cNvSpPr txBox="1"/>
          </xdr:nvSpPr>
          <xdr:spPr>
            <a:xfrm>
              <a:off x="3149111" y="6860931"/>
              <a:ext cx="25644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IN" sz="1100" b="0" i="0">
                  <a:latin typeface="Cambria Math" panose="02040503050406030204" pitchFamily="18" charset="0"/>
                </a:rPr>
                <a:t>2</a:t>
              </a:r>
              <a:r>
                <a:rPr lang="en-IN" sz="1100" b="0" i="0" baseline="30000">
                  <a:latin typeface="Cambria Math" panose="02040503050406030204" pitchFamily="18" charset="0"/>
                </a:rPr>
                <a:t>𝑘</a:t>
              </a:r>
              <a:r>
                <a:rPr lang="en-IN" sz="1100"/>
                <a:t>= </a:t>
              </a:r>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9717D-1E7B-407E-A2B0-2127A3E4573B}">
  <dimension ref="A1:R117"/>
  <sheetViews>
    <sheetView zoomScale="115" zoomScaleNormal="115" workbookViewId="0">
      <selection activeCell="F1" sqref="F1:I1"/>
    </sheetView>
  </sheetViews>
  <sheetFormatPr defaultColWidth="8.85546875" defaultRowHeight="15.75" x14ac:dyDescent="0.25"/>
  <cols>
    <col min="1" max="1" width="12.140625" style="3" bestFit="1" customWidth="1"/>
    <col min="2" max="2" width="11.42578125" style="3" customWidth="1"/>
    <col min="3" max="3" width="11.85546875" style="3" customWidth="1"/>
    <col min="4" max="4" width="11.28515625" style="3" customWidth="1"/>
    <col min="5" max="5" width="11.140625" style="3" customWidth="1"/>
    <col min="6" max="6" width="11.28515625" style="3" customWidth="1"/>
    <col min="7" max="7" width="8.85546875" style="3"/>
    <col min="8" max="8" width="10.140625" style="3" customWidth="1"/>
    <col min="9" max="16384" width="8.85546875" style="3"/>
  </cols>
  <sheetData>
    <row r="1" spans="1:18" s="29" customFormat="1" ht="21" x14ac:dyDescent="0.35">
      <c r="F1" s="168" t="s">
        <v>223</v>
      </c>
      <c r="G1" s="168"/>
      <c r="H1" s="168"/>
      <c r="I1" s="168"/>
      <c r="N1" s="165" t="s">
        <v>206</v>
      </c>
      <c r="O1" s="165"/>
      <c r="P1" s="165"/>
      <c r="Q1" s="165"/>
    </row>
    <row r="3" spans="1:18" ht="15.75" customHeight="1" x14ac:dyDescent="0.25">
      <c r="A3" s="7" t="s">
        <v>209</v>
      </c>
      <c r="B3" s="166" t="s">
        <v>313</v>
      </c>
      <c r="C3" s="166"/>
      <c r="D3" s="166"/>
      <c r="E3" s="166"/>
      <c r="F3" s="166"/>
      <c r="G3" s="166"/>
      <c r="H3" s="166"/>
      <c r="I3" s="166"/>
      <c r="J3" s="166"/>
      <c r="K3" s="166"/>
      <c r="L3" s="166"/>
      <c r="M3" s="166"/>
      <c r="N3" s="166"/>
      <c r="O3" s="166"/>
      <c r="P3" s="166"/>
      <c r="Q3" s="166"/>
      <c r="R3" s="166"/>
    </row>
    <row r="4" spans="1:18" x14ac:dyDescent="0.25">
      <c r="B4" s="166"/>
      <c r="C4" s="166"/>
      <c r="D4" s="166"/>
      <c r="E4" s="166"/>
      <c r="F4" s="166"/>
      <c r="G4" s="166"/>
      <c r="H4" s="166"/>
      <c r="I4" s="166"/>
      <c r="J4" s="166"/>
      <c r="K4" s="166"/>
      <c r="L4" s="166"/>
      <c r="M4" s="166"/>
      <c r="N4" s="166"/>
      <c r="O4" s="166"/>
      <c r="P4" s="166"/>
      <c r="Q4" s="166"/>
      <c r="R4" s="166"/>
    </row>
    <row r="5" spans="1:18" ht="16.5" thickBot="1" x14ac:dyDescent="0.3">
      <c r="B5" s="40"/>
      <c r="C5" s="40"/>
      <c r="D5" s="40"/>
      <c r="E5" s="40"/>
      <c r="F5" s="40"/>
      <c r="G5" s="40"/>
      <c r="H5" s="40"/>
      <c r="I5" s="40"/>
      <c r="J5" s="40"/>
      <c r="K5" s="40"/>
      <c r="L5" s="40"/>
      <c r="M5" s="40"/>
      <c r="N5" s="40"/>
      <c r="O5" s="40"/>
      <c r="P5" s="40"/>
      <c r="Q5" s="40"/>
      <c r="R5" s="40"/>
    </row>
    <row r="6" spans="1:18" ht="18" customHeight="1" thickBot="1" x14ac:dyDescent="0.3">
      <c r="B6" s="59" t="s">
        <v>0</v>
      </c>
      <c r="C6" s="60" t="s">
        <v>1</v>
      </c>
      <c r="D6" s="60" t="s">
        <v>2</v>
      </c>
      <c r="E6" s="61" t="s">
        <v>3</v>
      </c>
    </row>
    <row r="7" spans="1:18" ht="15.6" customHeight="1" x14ac:dyDescent="0.25">
      <c r="B7" s="65" t="s">
        <v>256</v>
      </c>
      <c r="C7" s="66" t="s">
        <v>4</v>
      </c>
      <c r="D7" s="66" t="s">
        <v>5</v>
      </c>
      <c r="E7" s="67" t="s">
        <v>6</v>
      </c>
    </row>
    <row r="8" spans="1:18" ht="16.149999999999999" customHeight="1" x14ac:dyDescent="0.25">
      <c r="B8" s="68" t="s">
        <v>7</v>
      </c>
      <c r="C8" s="32" t="s">
        <v>8</v>
      </c>
      <c r="D8" s="32" t="s">
        <v>9</v>
      </c>
      <c r="E8" s="33" t="s">
        <v>10</v>
      </c>
    </row>
    <row r="9" spans="1:18" ht="16.149999999999999" customHeight="1" x14ac:dyDescent="0.25">
      <c r="B9" s="68" t="s">
        <v>11</v>
      </c>
      <c r="C9" s="32" t="s">
        <v>12</v>
      </c>
      <c r="D9" s="32" t="s">
        <v>13</v>
      </c>
      <c r="E9" s="33" t="s">
        <v>14</v>
      </c>
    </row>
    <row r="10" spans="1:18" ht="15" customHeight="1" x14ac:dyDescent="0.25">
      <c r="B10" s="68" t="s">
        <v>15</v>
      </c>
      <c r="C10" s="32" t="s">
        <v>16</v>
      </c>
      <c r="D10" s="32" t="s">
        <v>17</v>
      </c>
      <c r="E10" s="33" t="s">
        <v>18</v>
      </c>
    </row>
    <row r="11" spans="1:18" ht="16.149999999999999" customHeight="1" x14ac:dyDescent="0.25">
      <c r="B11" s="68" t="s">
        <v>19</v>
      </c>
      <c r="C11" s="32" t="s">
        <v>20</v>
      </c>
      <c r="D11" s="32" t="s">
        <v>21</v>
      </c>
      <c r="E11" s="33" t="s">
        <v>22</v>
      </c>
    </row>
    <row r="12" spans="1:18" ht="15" customHeight="1" x14ac:dyDescent="0.25">
      <c r="B12" s="68" t="s">
        <v>23</v>
      </c>
      <c r="C12" s="32" t="s">
        <v>24</v>
      </c>
      <c r="D12" s="32" t="s">
        <v>25</v>
      </c>
      <c r="E12" s="33" t="s">
        <v>26</v>
      </c>
    </row>
    <row r="13" spans="1:18" ht="15.6" customHeight="1" x14ac:dyDescent="0.25">
      <c r="B13" s="68" t="s">
        <v>27</v>
      </c>
      <c r="C13" s="32" t="s">
        <v>28</v>
      </c>
      <c r="D13" s="32" t="s">
        <v>29</v>
      </c>
      <c r="E13" s="33" t="s">
        <v>30</v>
      </c>
    </row>
    <row r="14" spans="1:18" ht="15.6" customHeight="1" thickBot="1" x14ac:dyDescent="0.3">
      <c r="B14" s="69" t="s">
        <v>31</v>
      </c>
      <c r="C14" s="70" t="s">
        <v>32</v>
      </c>
      <c r="D14" s="70" t="s">
        <v>33</v>
      </c>
      <c r="E14" s="71" t="s">
        <v>34</v>
      </c>
    </row>
    <row r="15" spans="1:18" ht="16.5" thickBot="1" x14ac:dyDescent="0.3">
      <c r="B15" s="62">
        <f>SUM(29+37+54+145+30+48+130+62)</f>
        <v>535</v>
      </c>
      <c r="C15" s="63">
        <f>SUM(62+23+33+86+46+34+131+33)</f>
        <v>448</v>
      </c>
      <c r="D15" s="63">
        <f>SUM(17+78+30+66+112+113+25+52)</f>
        <v>493</v>
      </c>
      <c r="E15" s="64">
        <f>SUM(43+83+26+32+124+38+58+14)</f>
        <v>418</v>
      </c>
    </row>
    <row r="16" spans="1:18" ht="16.5" thickBot="1" x14ac:dyDescent="0.3">
      <c r="B16" s="41"/>
      <c r="C16" s="41"/>
      <c r="D16" s="41"/>
      <c r="E16" s="41"/>
    </row>
    <row r="17" spans="1:8" x14ac:dyDescent="0.25">
      <c r="A17" s="7" t="s">
        <v>210</v>
      </c>
      <c r="B17" s="46" t="s">
        <v>62</v>
      </c>
      <c r="C17" s="47" t="s">
        <v>63</v>
      </c>
      <c r="D17" s="47" t="s">
        <v>64</v>
      </c>
      <c r="E17" s="48" t="s">
        <v>65</v>
      </c>
    </row>
    <row r="18" spans="1:8" x14ac:dyDescent="0.25">
      <c r="B18" s="42">
        <v>29</v>
      </c>
      <c r="C18" s="31">
        <v>62</v>
      </c>
      <c r="D18" s="31">
        <v>17</v>
      </c>
      <c r="E18" s="34">
        <v>43</v>
      </c>
    </row>
    <row r="19" spans="1:8" x14ac:dyDescent="0.25">
      <c r="B19" s="42">
        <v>37</v>
      </c>
      <c r="C19" s="31">
        <v>23</v>
      </c>
      <c r="D19" s="31">
        <v>78</v>
      </c>
      <c r="E19" s="34">
        <v>83</v>
      </c>
    </row>
    <row r="20" spans="1:8" x14ac:dyDescent="0.25">
      <c r="B20" s="42">
        <v>54</v>
      </c>
      <c r="C20" s="31">
        <v>33</v>
      </c>
      <c r="D20" s="31">
        <v>30</v>
      </c>
      <c r="E20" s="34">
        <v>26</v>
      </c>
    </row>
    <row r="21" spans="1:8" x14ac:dyDescent="0.25">
      <c r="B21" s="42">
        <v>145</v>
      </c>
      <c r="C21" s="31">
        <v>86</v>
      </c>
      <c r="D21" s="31">
        <v>66</v>
      </c>
      <c r="E21" s="34">
        <v>32</v>
      </c>
    </row>
    <row r="22" spans="1:8" x14ac:dyDescent="0.25">
      <c r="B22" s="42">
        <v>30</v>
      </c>
      <c r="C22" s="31">
        <v>46</v>
      </c>
      <c r="D22" s="31">
        <v>112</v>
      </c>
      <c r="E22" s="34">
        <v>124</v>
      </c>
    </row>
    <row r="23" spans="1:8" x14ac:dyDescent="0.25">
      <c r="B23" s="42">
        <v>48</v>
      </c>
      <c r="C23" s="31">
        <v>34</v>
      </c>
      <c r="D23" s="31">
        <v>113</v>
      </c>
      <c r="E23" s="34">
        <v>38</v>
      </c>
    </row>
    <row r="24" spans="1:8" x14ac:dyDescent="0.25">
      <c r="B24" s="42">
        <v>130</v>
      </c>
      <c r="C24" s="31">
        <v>131</v>
      </c>
      <c r="D24" s="31">
        <v>25</v>
      </c>
      <c r="E24" s="34">
        <v>58</v>
      </c>
    </row>
    <row r="25" spans="1:8" ht="16.5" thickBot="1" x14ac:dyDescent="0.3">
      <c r="B25" s="43">
        <v>62</v>
      </c>
      <c r="C25" s="37">
        <v>33</v>
      </c>
      <c r="D25" s="37">
        <v>52</v>
      </c>
      <c r="E25" s="38">
        <v>14</v>
      </c>
    </row>
    <row r="26" spans="1:8" ht="16.5" thickBot="1" x14ac:dyDescent="0.3"/>
    <row r="27" spans="1:8" ht="18.75" thickBot="1" x14ac:dyDescent="0.3">
      <c r="B27" s="112" t="s">
        <v>35</v>
      </c>
      <c r="C27" s="108" t="s">
        <v>219</v>
      </c>
      <c r="D27" s="104" t="s">
        <v>220</v>
      </c>
      <c r="E27" s="104" t="s">
        <v>221</v>
      </c>
      <c r="F27" s="105" t="s">
        <v>222</v>
      </c>
      <c r="G27" s="106"/>
      <c r="H27" s="107" t="s">
        <v>208</v>
      </c>
    </row>
    <row r="28" spans="1:8" x14ac:dyDescent="0.25">
      <c r="B28" s="113">
        <v>1</v>
      </c>
      <c r="C28" s="109">
        <f>29+34+25+14</f>
        <v>102</v>
      </c>
      <c r="D28" s="103">
        <f>SUM(C28:C29)</f>
        <v>263</v>
      </c>
      <c r="E28" s="103">
        <f>SUM(D28:D29)</f>
        <v>562</v>
      </c>
      <c r="F28" s="164">
        <f>SUM(E28:E29)</f>
        <v>1894</v>
      </c>
      <c r="G28" s="66" t="s">
        <v>205</v>
      </c>
      <c r="H28" s="67" t="s">
        <v>207</v>
      </c>
    </row>
    <row r="29" spans="1:8" x14ac:dyDescent="0.25">
      <c r="B29" s="114" t="s">
        <v>36</v>
      </c>
      <c r="C29" s="110">
        <f>37+62+30+32</f>
        <v>161</v>
      </c>
      <c r="D29" s="4">
        <f>SUM(C30:C31)</f>
        <v>299</v>
      </c>
      <c r="E29" s="4">
        <f>SUM(D30:D31)</f>
        <v>1332</v>
      </c>
      <c r="F29" s="30">
        <f>SUM(E30:E31)</f>
        <v>682</v>
      </c>
      <c r="G29" s="32" t="s">
        <v>212</v>
      </c>
      <c r="H29" s="34">
        <f>F29^2/(2^3*$C$39)</f>
        <v>14535.125</v>
      </c>
    </row>
    <row r="30" spans="1:8" x14ac:dyDescent="0.25">
      <c r="B30" s="114" t="s">
        <v>37</v>
      </c>
      <c r="C30" s="110">
        <f>30+23+17+26</f>
        <v>96</v>
      </c>
      <c r="D30" s="4">
        <f>SUM(C32:C33)</f>
        <v>596</v>
      </c>
      <c r="E30" s="4">
        <f>SUM(D32:D33)</f>
        <v>166</v>
      </c>
      <c r="F30" s="30">
        <f>SUM(E32:E33)</f>
        <v>176</v>
      </c>
      <c r="G30" s="32" t="s">
        <v>213</v>
      </c>
      <c r="H30" s="34">
        <f t="shared" ref="H30:H35" si="0">F30^2/(2^3*$C$39)</f>
        <v>968</v>
      </c>
    </row>
    <row r="31" spans="1:8" x14ac:dyDescent="0.25">
      <c r="B31" s="114" t="s">
        <v>38</v>
      </c>
      <c r="C31" s="110">
        <f>62+46+52+43</f>
        <v>203</v>
      </c>
      <c r="D31" s="4">
        <f>SUM(C34:C35)</f>
        <v>736</v>
      </c>
      <c r="E31" s="4">
        <f>SUM(D34:D35)</f>
        <v>516</v>
      </c>
      <c r="F31" s="30">
        <f>SUM(E34:E35)</f>
        <v>112</v>
      </c>
      <c r="G31" s="32" t="s">
        <v>214</v>
      </c>
      <c r="H31" s="34">
        <f t="shared" si="0"/>
        <v>392</v>
      </c>
    </row>
    <row r="32" spans="1:8" x14ac:dyDescent="0.25">
      <c r="B32" s="114" t="s">
        <v>39</v>
      </c>
      <c r="C32" s="110">
        <f>48+33+66+38</f>
        <v>185</v>
      </c>
      <c r="D32" s="4">
        <f>161-102</f>
        <v>59</v>
      </c>
      <c r="E32" s="4">
        <f>299-263</f>
        <v>36</v>
      </c>
      <c r="F32" s="30">
        <f>1332-562</f>
        <v>770</v>
      </c>
      <c r="G32" s="32" t="s">
        <v>215</v>
      </c>
      <c r="H32" s="34">
        <f t="shared" si="0"/>
        <v>18528.125</v>
      </c>
    </row>
    <row r="33" spans="2:8" x14ac:dyDescent="0.25">
      <c r="B33" s="114" t="s">
        <v>40</v>
      </c>
      <c r="C33" s="110">
        <f>130+86+112+83</f>
        <v>411</v>
      </c>
      <c r="D33" s="4">
        <f>203-96</f>
        <v>107</v>
      </c>
      <c r="E33" s="4">
        <f>736-596</f>
        <v>140</v>
      </c>
      <c r="F33" s="30">
        <f>516-166</f>
        <v>350</v>
      </c>
      <c r="G33" s="32" t="s">
        <v>216</v>
      </c>
      <c r="H33" s="34">
        <f t="shared" si="0"/>
        <v>3828.125</v>
      </c>
    </row>
    <row r="34" spans="2:8" x14ac:dyDescent="0.25">
      <c r="B34" s="114" t="s">
        <v>41</v>
      </c>
      <c r="C34" s="110">
        <f>54+33+78+58</f>
        <v>223</v>
      </c>
      <c r="D34" s="4">
        <f>411-185</f>
        <v>226</v>
      </c>
      <c r="E34" s="4">
        <f>107-59</f>
        <v>48</v>
      </c>
      <c r="F34" s="30">
        <f>140-36</f>
        <v>104</v>
      </c>
      <c r="G34" s="32" t="s">
        <v>217</v>
      </c>
      <c r="H34" s="34">
        <f t="shared" si="0"/>
        <v>338</v>
      </c>
    </row>
    <row r="35" spans="2:8" ht="16.5" thickBot="1" x14ac:dyDescent="0.3">
      <c r="B35" s="115" t="s">
        <v>42</v>
      </c>
      <c r="C35" s="111">
        <f>145+131+113+124</f>
        <v>513</v>
      </c>
      <c r="D35" s="35">
        <f>513-223</f>
        <v>290</v>
      </c>
      <c r="E35" s="35">
        <f>290-226</f>
        <v>64</v>
      </c>
      <c r="F35" s="36">
        <f>64-48</f>
        <v>16</v>
      </c>
      <c r="G35" s="55" t="s">
        <v>218</v>
      </c>
      <c r="H35" s="38">
        <f t="shared" si="0"/>
        <v>8</v>
      </c>
    </row>
    <row r="36" spans="2:8" x14ac:dyDescent="0.25">
      <c r="H36" s="162">
        <f>SUM(H29:H35)</f>
        <v>38597.375</v>
      </c>
    </row>
    <row r="37" spans="2:8" x14ac:dyDescent="0.25">
      <c r="B37" s="49" t="s">
        <v>44</v>
      </c>
      <c r="C37" s="6">
        <v>3</v>
      </c>
      <c r="D37" s="13" t="s">
        <v>315</v>
      </c>
      <c r="E37" s="6"/>
    </row>
    <row r="38" spans="2:8" x14ac:dyDescent="0.25">
      <c r="B38" s="49" t="s">
        <v>45</v>
      </c>
      <c r="C38" s="6">
        <v>4</v>
      </c>
      <c r="D38" s="13" t="s">
        <v>253</v>
      </c>
      <c r="E38" s="6"/>
    </row>
    <row r="39" spans="2:8" x14ac:dyDescent="0.25">
      <c r="B39" s="49" t="s">
        <v>46</v>
      </c>
      <c r="C39" s="6">
        <v>4</v>
      </c>
      <c r="D39" s="13" t="s">
        <v>254</v>
      </c>
      <c r="E39" s="6"/>
    </row>
    <row r="40" spans="2:8" x14ac:dyDescent="0.25">
      <c r="B40" s="39"/>
      <c r="C40" s="6">
        <v>8</v>
      </c>
      <c r="D40" s="13"/>
      <c r="E40" s="6"/>
    </row>
    <row r="41" spans="2:8" x14ac:dyDescent="0.25">
      <c r="B41" s="49" t="s">
        <v>43</v>
      </c>
      <c r="C41" s="6">
        <v>32</v>
      </c>
      <c r="D41" s="13" t="s">
        <v>255</v>
      </c>
      <c r="E41" s="6"/>
    </row>
    <row r="42" spans="2:8" ht="16.5" thickBot="1" x14ac:dyDescent="0.3">
      <c r="B42" s="5"/>
      <c r="C42" s="6"/>
      <c r="E42" s="6"/>
    </row>
    <row r="43" spans="2:8" ht="16.5" thickBot="1" x14ac:dyDescent="0.3">
      <c r="B43" s="167"/>
      <c r="C43" s="167"/>
      <c r="E43" s="6"/>
    </row>
    <row r="44" spans="2:8" ht="16.5" thickBot="1" x14ac:dyDescent="0.3">
      <c r="B44" s="167"/>
      <c r="C44" s="167"/>
      <c r="D44" s="7">
        <f>(F28*F28)/32</f>
        <v>112101.125</v>
      </c>
      <c r="E44" s="6"/>
    </row>
    <row r="45" spans="2:8" ht="16.5" thickBot="1" x14ac:dyDescent="0.3">
      <c r="B45" s="167"/>
      <c r="C45" s="167"/>
    </row>
    <row r="46" spans="2:8" ht="16.5" thickBot="1" x14ac:dyDescent="0.3"/>
    <row r="47" spans="2:8" ht="16.5" thickBot="1" x14ac:dyDescent="0.3">
      <c r="B47" s="167"/>
      <c r="C47" s="167"/>
      <c r="D47" s="167"/>
    </row>
    <row r="48" spans="2:8" ht="16.5" thickBot="1" x14ac:dyDescent="0.3">
      <c r="B48" s="167"/>
      <c r="C48" s="167"/>
      <c r="D48" s="167"/>
      <c r="E48" s="7">
        <f>SUMSQ(B15:E15)/C40-D44</f>
        <v>986.625</v>
      </c>
    </row>
    <row r="49" spans="2:7" ht="16.5" thickBot="1" x14ac:dyDescent="0.3">
      <c r="B49" s="167"/>
      <c r="C49" s="167"/>
      <c r="D49" s="167"/>
    </row>
    <row r="50" spans="2:7" ht="16.5" thickBot="1" x14ac:dyDescent="0.3"/>
    <row r="51" spans="2:7" ht="16.5" thickBot="1" x14ac:dyDescent="0.3">
      <c r="B51" s="167"/>
      <c r="C51" s="167"/>
      <c r="D51" s="167"/>
    </row>
    <row r="52" spans="2:7" ht="16.5" thickBot="1" x14ac:dyDescent="0.3">
      <c r="B52" s="167"/>
      <c r="C52" s="167"/>
      <c r="D52" s="167"/>
      <c r="E52" s="7">
        <f>SUMSQ(C28:C35)/C39-D44</f>
        <v>38597.375</v>
      </c>
    </row>
    <row r="53" spans="2:7" ht="16.5" thickBot="1" x14ac:dyDescent="0.3">
      <c r="B53" s="167"/>
      <c r="C53" s="167"/>
      <c r="D53" s="167"/>
    </row>
    <row r="54" spans="2:7" ht="16.5" thickBot="1" x14ac:dyDescent="0.3"/>
    <row r="55" spans="2:7" ht="16.5" thickBot="1" x14ac:dyDescent="0.3">
      <c r="B55" s="167"/>
      <c r="C55" s="167"/>
      <c r="D55" s="167"/>
    </row>
    <row r="56" spans="2:7" ht="16.5" thickBot="1" x14ac:dyDescent="0.3">
      <c r="B56" s="167"/>
      <c r="C56" s="167"/>
      <c r="D56" s="167"/>
      <c r="E56" s="7">
        <f>C74</f>
        <v>43466.875</v>
      </c>
    </row>
    <row r="57" spans="2:7" ht="16.5" thickBot="1" x14ac:dyDescent="0.3">
      <c r="B57" s="167"/>
      <c r="C57" s="167"/>
      <c r="D57" s="167"/>
    </row>
    <row r="59" spans="2:7" x14ac:dyDescent="0.25">
      <c r="B59" s="8" t="s">
        <v>47</v>
      </c>
      <c r="C59" s="9"/>
      <c r="D59" s="9"/>
      <c r="E59" s="9"/>
      <c r="F59" s="9"/>
      <c r="G59" s="9"/>
    </row>
    <row r="60" spans="2:7" ht="16.5" thickBot="1" x14ac:dyDescent="0.3">
      <c r="B60" s="11"/>
      <c r="C60" s="11"/>
      <c r="D60" s="11"/>
      <c r="E60" s="11"/>
      <c r="F60" s="11"/>
      <c r="G60" s="11"/>
    </row>
    <row r="61" spans="2:7" ht="16.5" thickBot="1" x14ac:dyDescent="0.3">
      <c r="B61" s="120" t="s">
        <v>48</v>
      </c>
      <c r="C61" s="121" t="s">
        <v>49</v>
      </c>
      <c r="D61" s="53" t="s">
        <v>50</v>
      </c>
      <c r="E61" s="53" t="s">
        <v>51</v>
      </c>
      <c r="F61" s="53" t="s">
        <v>52</v>
      </c>
      <c r="G61" s="54" t="s">
        <v>53</v>
      </c>
    </row>
    <row r="62" spans="2:7" x14ac:dyDescent="0.25">
      <c r="B62" s="116"/>
      <c r="C62" s="117"/>
      <c r="D62" s="118"/>
      <c r="E62" s="118"/>
      <c r="F62" s="118"/>
      <c r="G62" s="119"/>
    </row>
    <row r="63" spans="2:7" x14ac:dyDescent="0.25">
      <c r="B63" s="56" t="s">
        <v>61</v>
      </c>
      <c r="C63" s="50">
        <f>E48</f>
        <v>986.625</v>
      </c>
      <c r="D63" s="44">
        <f>4-1</f>
        <v>3</v>
      </c>
      <c r="E63" s="44">
        <f>C63/D63</f>
        <v>328.875</v>
      </c>
      <c r="F63" s="44">
        <f t="shared" ref="F63:F71" si="1">E63/$E$72</f>
        <v>1.778675594759038</v>
      </c>
      <c r="G63" s="45">
        <f t="shared" ref="G63:G71" si="2">_xlfn.F.INV.RT(0.05,D63,$D$72)</f>
        <v>3.0724669863968779</v>
      </c>
    </row>
    <row r="64" spans="2:7" x14ac:dyDescent="0.25">
      <c r="B64" s="56" t="s">
        <v>35</v>
      </c>
      <c r="C64" s="50">
        <f>E52</f>
        <v>38597.375</v>
      </c>
      <c r="D64" s="44">
        <f>8-1</f>
        <v>7</v>
      </c>
      <c r="E64" s="44">
        <f>C64/D64</f>
        <v>5513.9107142857147</v>
      </c>
      <c r="F64" s="44">
        <f t="shared" si="1"/>
        <v>29.821234265846829</v>
      </c>
      <c r="G64" s="45">
        <f t="shared" si="2"/>
        <v>2.487577703722041</v>
      </c>
    </row>
    <row r="65" spans="1:11" x14ac:dyDescent="0.25">
      <c r="A65" s="122"/>
      <c r="B65" s="56" t="s">
        <v>212</v>
      </c>
      <c r="C65" s="50">
        <f>SUMSQ(F29)/(8*4)</f>
        <v>14535.125</v>
      </c>
      <c r="D65" s="44">
        <v>1</v>
      </c>
      <c r="E65" s="44">
        <f>C65/D65</f>
        <v>14535.125</v>
      </c>
      <c r="F65" s="44">
        <f t="shared" si="1"/>
        <v>78.6112416701542</v>
      </c>
      <c r="G65" s="45">
        <f t="shared" si="2"/>
        <v>4.3247937431830454</v>
      </c>
    </row>
    <row r="66" spans="1:11" x14ac:dyDescent="0.25">
      <c r="A66" s="122"/>
      <c r="B66" s="56" t="s">
        <v>213</v>
      </c>
      <c r="C66" s="50">
        <f t="shared" ref="C66:C71" si="3">SUMSQ(F30)/(8*4)</f>
        <v>968</v>
      </c>
      <c r="D66" s="44">
        <v>1</v>
      </c>
      <c r="E66" s="44">
        <f t="shared" ref="E66:E72" si="4">C66/D66</f>
        <v>968</v>
      </c>
      <c r="F66" s="44">
        <f t="shared" si="1"/>
        <v>5.2352960113318101</v>
      </c>
      <c r="G66" s="45">
        <f t="shared" si="2"/>
        <v>4.3247937431830454</v>
      </c>
    </row>
    <row r="67" spans="1:11" x14ac:dyDescent="0.25">
      <c r="A67" s="122"/>
      <c r="B67" s="56" t="s">
        <v>214</v>
      </c>
      <c r="C67" s="50">
        <f t="shared" si="3"/>
        <v>392</v>
      </c>
      <c r="D67" s="44">
        <v>1</v>
      </c>
      <c r="E67" s="44">
        <f t="shared" si="4"/>
        <v>392</v>
      </c>
      <c r="F67" s="44">
        <f t="shared" si="1"/>
        <v>2.12007855004346</v>
      </c>
      <c r="G67" s="45">
        <f t="shared" si="2"/>
        <v>4.3247937431830454</v>
      </c>
    </row>
    <row r="68" spans="1:11" x14ac:dyDescent="0.25">
      <c r="A68" s="122"/>
      <c r="B68" s="56" t="s">
        <v>215</v>
      </c>
      <c r="C68" s="50">
        <f t="shared" si="3"/>
        <v>18528.125</v>
      </c>
      <c r="D68" s="44">
        <v>1</v>
      </c>
      <c r="E68" s="44">
        <f t="shared" si="4"/>
        <v>18528.125</v>
      </c>
      <c r="F68" s="44">
        <f t="shared" si="1"/>
        <v>100.20683771689792</v>
      </c>
      <c r="G68" s="45">
        <f t="shared" si="2"/>
        <v>4.3247937431830454</v>
      </c>
    </row>
    <row r="69" spans="1:11" x14ac:dyDescent="0.25">
      <c r="A69" s="122"/>
      <c r="B69" s="56" t="s">
        <v>216</v>
      </c>
      <c r="C69" s="50">
        <f t="shared" si="3"/>
        <v>3828.125</v>
      </c>
      <c r="D69" s="44">
        <v>1</v>
      </c>
      <c r="E69" s="44">
        <f t="shared" si="4"/>
        <v>3828.125</v>
      </c>
      <c r="F69" s="44">
        <f t="shared" si="1"/>
        <v>20.703892090268166</v>
      </c>
      <c r="G69" s="45">
        <f t="shared" si="2"/>
        <v>4.3247937431830454</v>
      </c>
    </row>
    <row r="70" spans="1:11" x14ac:dyDescent="0.25">
      <c r="A70" s="122"/>
      <c r="B70" s="56" t="s">
        <v>217</v>
      </c>
      <c r="C70" s="50">
        <f t="shared" si="3"/>
        <v>338</v>
      </c>
      <c r="D70" s="44">
        <v>1</v>
      </c>
      <c r="E70" s="44">
        <f t="shared" si="4"/>
        <v>338</v>
      </c>
      <c r="F70" s="44">
        <f t="shared" si="1"/>
        <v>1.8280269130476774</v>
      </c>
      <c r="G70" s="45">
        <f t="shared" si="2"/>
        <v>4.3247937431830454</v>
      </c>
    </row>
    <row r="71" spans="1:11" x14ac:dyDescent="0.25">
      <c r="A71" s="122"/>
      <c r="B71" s="57" t="s">
        <v>218</v>
      </c>
      <c r="C71" s="50">
        <f t="shared" si="3"/>
        <v>8</v>
      </c>
      <c r="D71" s="44">
        <v>1</v>
      </c>
      <c r="E71" s="44">
        <f t="shared" si="4"/>
        <v>8</v>
      </c>
      <c r="F71" s="44">
        <f t="shared" si="1"/>
        <v>4.3266909184560408E-2</v>
      </c>
      <c r="G71" s="45">
        <f t="shared" si="2"/>
        <v>4.3247937431830454</v>
      </c>
    </row>
    <row r="72" spans="1:11" x14ac:dyDescent="0.25">
      <c r="A72" s="122"/>
      <c r="B72" s="57" t="s">
        <v>108</v>
      </c>
      <c r="C72" s="163">
        <f>C74-C63-C64</f>
        <v>3882.875</v>
      </c>
      <c r="D72" s="51">
        <f>D74-D64-D63</f>
        <v>21</v>
      </c>
      <c r="E72" s="51">
        <f t="shared" si="4"/>
        <v>184.89880952380952</v>
      </c>
      <c r="F72" s="51"/>
      <c r="G72" s="52"/>
    </row>
    <row r="73" spans="1:11" ht="16.5" thickBot="1" x14ac:dyDescent="0.3">
      <c r="A73" s="122"/>
      <c r="B73" s="57"/>
      <c r="C73" s="163"/>
      <c r="D73" s="51"/>
      <c r="E73" s="123"/>
      <c r="F73" s="123"/>
      <c r="G73" s="124"/>
    </row>
    <row r="74" spans="1:11" ht="16.5" thickBot="1" x14ac:dyDescent="0.3">
      <c r="B74" s="120" t="s">
        <v>109</v>
      </c>
      <c r="C74" s="121">
        <f>SUMSQ(B18:E25)-D44</f>
        <v>43466.875</v>
      </c>
      <c r="D74" s="53">
        <f>(4*8)-1</f>
        <v>31</v>
      </c>
      <c r="E74" s="53"/>
      <c r="F74" s="53"/>
      <c r="G74" s="54"/>
    </row>
    <row r="76" spans="1:11" x14ac:dyDescent="0.25">
      <c r="B76" s="10" t="s">
        <v>80</v>
      </c>
    </row>
    <row r="77" spans="1:11" ht="18.75" x14ac:dyDescent="0.35">
      <c r="B77" s="11"/>
      <c r="C77" s="11" t="s">
        <v>82</v>
      </c>
      <c r="D77" s="11" t="s">
        <v>66</v>
      </c>
      <c r="E77" s="11"/>
      <c r="F77" s="11"/>
      <c r="G77" s="11"/>
      <c r="H77" s="11"/>
      <c r="I77" s="11"/>
      <c r="J77" s="11"/>
      <c r="K77" s="11"/>
    </row>
    <row r="78" spans="1:11" ht="18.75" x14ac:dyDescent="0.35">
      <c r="B78" s="11"/>
      <c r="C78" s="11" t="s">
        <v>83</v>
      </c>
      <c r="D78" s="11" t="s">
        <v>67</v>
      </c>
      <c r="E78" s="11"/>
      <c r="F78" s="11"/>
      <c r="G78" s="11"/>
      <c r="H78" s="11"/>
      <c r="I78" s="11"/>
      <c r="J78" s="11"/>
      <c r="K78" s="11"/>
    </row>
    <row r="79" spans="1:11" x14ac:dyDescent="0.25">
      <c r="B79" s="11"/>
      <c r="C79" s="11"/>
      <c r="D79" s="11"/>
      <c r="E79" s="11"/>
      <c r="F79" s="11"/>
      <c r="G79" s="11"/>
      <c r="H79" s="11"/>
      <c r="I79" s="11"/>
      <c r="J79" s="11"/>
      <c r="K79" s="11"/>
    </row>
    <row r="80" spans="1:11" x14ac:dyDescent="0.25">
      <c r="B80" s="11"/>
      <c r="C80" s="11" t="s">
        <v>68</v>
      </c>
      <c r="D80" s="16">
        <f>F63:F63</f>
        <v>1.778675594759038</v>
      </c>
      <c r="F80" s="11"/>
      <c r="G80" s="11"/>
      <c r="H80" s="11"/>
      <c r="I80" s="11"/>
      <c r="J80" s="11"/>
      <c r="K80" s="11"/>
    </row>
    <row r="81" spans="2:11" x14ac:dyDescent="0.25">
      <c r="B81" s="11"/>
      <c r="C81" s="11" t="s">
        <v>69</v>
      </c>
      <c r="D81" s="16">
        <f>G63</f>
        <v>3.0724669863968779</v>
      </c>
      <c r="E81" s="11"/>
      <c r="F81" s="11"/>
      <c r="G81" s="11"/>
      <c r="H81" s="11"/>
      <c r="I81" s="11"/>
      <c r="J81" s="11"/>
      <c r="K81" s="11"/>
    </row>
    <row r="82" spans="2:11" x14ac:dyDescent="0.25">
      <c r="B82" s="11"/>
      <c r="C82" s="11"/>
      <c r="D82" s="11"/>
      <c r="E82" s="11"/>
      <c r="F82" s="11"/>
      <c r="G82" s="11"/>
      <c r="H82" s="11"/>
      <c r="I82" s="11"/>
      <c r="J82" s="11"/>
      <c r="K82" s="11"/>
    </row>
    <row r="83" spans="2:11" ht="18.75" x14ac:dyDescent="0.35">
      <c r="B83" s="12" t="s">
        <v>81</v>
      </c>
      <c r="C83" s="11" t="s">
        <v>84</v>
      </c>
      <c r="D83" s="11"/>
      <c r="E83" s="11"/>
      <c r="F83" s="11"/>
      <c r="G83" s="11"/>
      <c r="H83" s="11"/>
      <c r="I83" s="11"/>
      <c r="J83" s="11"/>
      <c r="K83" s="11"/>
    </row>
    <row r="84" spans="2:11" x14ac:dyDescent="0.25">
      <c r="B84" s="11"/>
      <c r="C84" s="11" t="s">
        <v>70</v>
      </c>
      <c r="D84" s="11"/>
      <c r="E84" s="11"/>
      <c r="F84" s="11"/>
      <c r="G84" s="11"/>
      <c r="H84" s="11"/>
      <c r="I84" s="11"/>
      <c r="J84" s="11"/>
      <c r="K84" s="11"/>
    </row>
    <row r="85" spans="2:11" x14ac:dyDescent="0.25">
      <c r="B85" s="11"/>
      <c r="C85" s="11"/>
      <c r="D85" s="11"/>
      <c r="E85" s="11"/>
      <c r="F85" s="11"/>
      <c r="G85" s="11"/>
      <c r="H85" s="11"/>
      <c r="I85" s="11"/>
      <c r="J85" s="11"/>
      <c r="K85" s="11"/>
    </row>
    <row r="86" spans="2:11" ht="18.75" x14ac:dyDescent="0.35">
      <c r="B86" s="11"/>
      <c r="C86" s="11" t="s">
        <v>85</v>
      </c>
      <c r="D86" s="11" t="s">
        <v>71</v>
      </c>
      <c r="E86" s="11"/>
      <c r="F86" s="11"/>
      <c r="G86" s="11"/>
      <c r="H86" s="11"/>
      <c r="I86" s="11"/>
      <c r="J86" s="11"/>
      <c r="K86" s="11"/>
    </row>
    <row r="87" spans="2:11" ht="18.75" x14ac:dyDescent="0.35">
      <c r="B87" s="11"/>
      <c r="C87" s="11" t="s">
        <v>86</v>
      </c>
      <c r="D87" s="11" t="s">
        <v>72</v>
      </c>
      <c r="E87" s="11"/>
      <c r="F87" s="11"/>
      <c r="G87" s="11"/>
      <c r="H87" s="11"/>
      <c r="I87" s="11"/>
      <c r="J87" s="11"/>
      <c r="K87" s="11"/>
    </row>
    <row r="88" spans="2:11" x14ac:dyDescent="0.25">
      <c r="B88" s="11"/>
      <c r="C88" s="11"/>
      <c r="D88" s="11"/>
      <c r="E88" s="11"/>
      <c r="F88" s="11"/>
      <c r="G88" s="11"/>
      <c r="H88" s="11"/>
      <c r="I88" s="11"/>
      <c r="J88" s="11"/>
      <c r="K88" s="11"/>
    </row>
    <row r="89" spans="2:11" x14ac:dyDescent="0.25">
      <c r="B89" s="11"/>
      <c r="C89" s="11" t="s">
        <v>68</v>
      </c>
      <c r="D89" s="16">
        <f>F64</f>
        <v>29.821234265846829</v>
      </c>
      <c r="E89" s="11"/>
      <c r="F89" s="11"/>
      <c r="G89" s="11"/>
      <c r="H89" s="11"/>
      <c r="I89" s="11"/>
      <c r="J89" s="11"/>
      <c r="K89" s="11"/>
    </row>
    <row r="90" spans="2:11" x14ac:dyDescent="0.25">
      <c r="B90" s="11"/>
      <c r="C90" s="11" t="s">
        <v>69</v>
      </c>
      <c r="D90" s="16">
        <f>G64</f>
        <v>2.487577703722041</v>
      </c>
      <c r="E90" s="11"/>
      <c r="F90" s="11"/>
      <c r="G90" s="11"/>
      <c r="H90" s="11"/>
      <c r="I90" s="11"/>
      <c r="J90" s="11"/>
      <c r="K90" s="11"/>
    </row>
    <row r="91" spans="2:11" x14ac:dyDescent="0.25">
      <c r="B91" s="11"/>
      <c r="C91" s="11"/>
      <c r="D91" s="11"/>
      <c r="E91" s="11"/>
      <c r="F91" s="11"/>
      <c r="G91" s="11"/>
      <c r="H91" s="11"/>
      <c r="I91" s="11"/>
      <c r="J91" s="11"/>
      <c r="K91" s="11"/>
    </row>
    <row r="92" spans="2:11" ht="18.75" x14ac:dyDescent="0.35">
      <c r="B92" s="12" t="s">
        <v>81</v>
      </c>
      <c r="C92" s="11" t="s">
        <v>87</v>
      </c>
      <c r="D92" s="11"/>
      <c r="E92" s="11"/>
      <c r="F92" s="11"/>
      <c r="G92" s="11"/>
      <c r="H92" s="11"/>
      <c r="I92" s="11"/>
      <c r="J92" s="11"/>
      <c r="K92" s="11"/>
    </row>
    <row r="93" spans="2:11" x14ac:dyDescent="0.25">
      <c r="B93" s="11"/>
      <c r="C93" s="11" t="s">
        <v>73</v>
      </c>
      <c r="D93" s="11"/>
      <c r="E93" s="11"/>
      <c r="F93" s="11"/>
      <c r="G93" s="11"/>
      <c r="H93" s="11"/>
      <c r="I93" s="11"/>
      <c r="J93" s="11"/>
      <c r="K93" s="11"/>
    </row>
    <row r="94" spans="2:11" x14ac:dyDescent="0.25">
      <c r="B94" s="11"/>
      <c r="C94" s="11"/>
      <c r="D94" s="11"/>
      <c r="E94" s="11"/>
      <c r="F94" s="11"/>
      <c r="G94" s="11"/>
      <c r="H94" s="11"/>
      <c r="I94" s="11"/>
      <c r="J94" s="11"/>
      <c r="K94" s="11"/>
    </row>
    <row r="95" spans="2:11" ht="18.75" x14ac:dyDescent="0.35">
      <c r="B95" s="11"/>
      <c r="C95" s="11" t="s">
        <v>88</v>
      </c>
      <c r="D95" s="11" t="s">
        <v>74</v>
      </c>
      <c r="E95" s="11"/>
      <c r="F95" s="11"/>
      <c r="G95" s="11"/>
      <c r="H95" s="11"/>
      <c r="I95" s="11"/>
      <c r="J95" s="11"/>
      <c r="K95" s="11"/>
    </row>
    <row r="96" spans="2:11" ht="18.75" x14ac:dyDescent="0.35">
      <c r="B96" s="11"/>
      <c r="C96" s="11" t="s">
        <v>89</v>
      </c>
      <c r="D96" s="11" t="s">
        <v>75</v>
      </c>
      <c r="E96" s="11"/>
      <c r="F96" s="11"/>
      <c r="G96" s="11"/>
      <c r="H96" s="11"/>
      <c r="I96" s="11"/>
      <c r="J96" s="11"/>
      <c r="K96" s="11"/>
    </row>
    <row r="97" spans="2:13" x14ac:dyDescent="0.25">
      <c r="B97" s="11"/>
      <c r="K97" s="11"/>
    </row>
    <row r="98" spans="2:13" x14ac:dyDescent="0.25">
      <c r="B98" s="11"/>
      <c r="C98" s="16" t="s">
        <v>36</v>
      </c>
      <c r="D98" s="16"/>
      <c r="E98" s="16"/>
      <c r="F98" s="16" t="s">
        <v>37</v>
      </c>
      <c r="G98" s="16"/>
      <c r="H98" s="16"/>
      <c r="I98" s="16" t="s">
        <v>39</v>
      </c>
      <c r="J98" s="16"/>
      <c r="K98" s="11"/>
    </row>
    <row r="99" spans="2:13" x14ac:dyDescent="0.25">
      <c r="B99" s="11"/>
      <c r="C99" s="11" t="s">
        <v>68</v>
      </c>
      <c r="D99" s="16">
        <f>F65</f>
        <v>78.6112416701542</v>
      </c>
      <c r="E99" s="11"/>
      <c r="F99" s="11" t="s">
        <v>68</v>
      </c>
      <c r="G99" s="16">
        <f>F66</f>
        <v>5.2352960113318101</v>
      </c>
      <c r="H99" s="11"/>
      <c r="I99" s="11" t="s">
        <v>68</v>
      </c>
      <c r="J99" s="16">
        <f>F68</f>
        <v>100.20683771689792</v>
      </c>
      <c r="K99" s="11"/>
    </row>
    <row r="100" spans="2:13" x14ac:dyDescent="0.25">
      <c r="B100" s="11"/>
      <c r="C100" s="11" t="s">
        <v>69</v>
      </c>
      <c r="D100" s="16">
        <f>G65</f>
        <v>4.3247937431830454</v>
      </c>
      <c r="E100" s="11"/>
      <c r="F100" s="11" t="s">
        <v>69</v>
      </c>
      <c r="G100" s="16">
        <f>D100</f>
        <v>4.3247937431830454</v>
      </c>
      <c r="H100" s="11"/>
      <c r="I100" s="11" t="s">
        <v>69</v>
      </c>
      <c r="J100" s="16">
        <f>G100</f>
        <v>4.3247937431830454</v>
      </c>
      <c r="K100" s="11"/>
    </row>
    <row r="101" spans="2:13" x14ac:dyDescent="0.25">
      <c r="B101" s="11"/>
      <c r="C101" s="11"/>
      <c r="D101" s="11"/>
      <c r="E101" s="11"/>
      <c r="F101" s="11"/>
      <c r="G101" s="11"/>
      <c r="H101" s="11"/>
      <c r="I101" s="11"/>
      <c r="J101" s="11"/>
      <c r="K101" s="11"/>
    </row>
    <row r="102" spans="2:13" ht="18.75" x14ac:dyDescent="0.35">
      <c r="B102" s="12" t="s">
        <v>81</v>
      </c>
      <c r="C102" s="11" t="s">
        <v>90</v>
      </c>
      <c r="D102" s="11"/>
      <c r="E102" s="11"/>
      <c r="F102" s="11"/>
      <c r="G102" s="11"/>
      <c r="H102" s="11"/>
      <c r="I102" s="11"/>
      <c r="J102" s="11"/>
      <c r="K102" s="11"/>
    </row>
    <row r="103" spans="2:13" x14ac:dyDescent="0.25">
      <c r="B103" s="11"/>
      <c r="C103" s="11" t="s">
        <v>77</v>
      </c>
      <c r="D103" s="11"/>
      <c r="E103" s="11"/>
      <c r="F103" s="11"/>
      <c r="G103" s="11"/>
      <c r="H103" s="11"/>
      <c r="I103" s="11"/>
      <c r="J103" s="11"/>
      <c r="K103" s="11"/>
    </row>
    <row r="104" spans="2:13" x14ac:dyDescent="0.25">
      <c r="B104" s="11"/>
      <c r="C104" s="11"/>
      <c r="D104" s="11"/>
      <c r="E104" s="11"/>
      <c r="F104" s="11"/>
      <c r="G104" s="11"/>
      <c r="H104" s="11"/>
      <c r="I104" s="11"/>
      <c r="J104" s="11"/>
      <c r="K104" s="11"/>
    </row>
    <row r="105" spans="2:13" ht="18.75" x14ac:dyDescent="0.35">
      <c r="B105" s="11"/>
      <c r="C105" s="11" t="s">
        <v>91</v>
      </c>
      <c r="D105" s="11" t="s">
        <v>78</v>
      </c>
      <c r="E105" s="11"/>
      <c r="F105" s="11"/>
      <c r="G105" s="11"/>
      <c r="H105" s="11"/>
      <c r="I105" s="11"/>
      <c r="J105" s="11"/>
      <c r="K105" s="11"/>
    </row>
    <row r="106" spans="2:13" ht="18.75" x14ac:dyDescent="0.35">
      <c r="B106" s="11"/>
      <c r="C106" s="11" t="s">
        <v>92</v>
      </c>
      <c r="D106" s="11" t="s">
        <v>79</v>
      </c>
      <c r="E106" s="11"/>
      <c r="F106" s="11"/>
      <c r="G106" s="11"/>
      <c r="H106" s="11"/>
      <c r="I106" s="11"/>
      <c r="J106" s="11"/>
      <c r="K106" s="11"/>
    </row>
    <row r="107" spans="2:13" x14ac:dyDescent="0.25">
      <c r="B107" s="11"/>
      <c r="C107" s="11"/>
      <c r="D107" s="11"/>
      <c r="E107" s="11"/>
      <c r="F107" s="11"/>
      <c r="G107" s="11"/>
      <c r="H107" s="11"/>
      <c r="I107" s="11"/>
      <c r="J107" s="11"/>
      <c r="K107" s="11"/>
    </row>
    <row r="108" spans="2:13" x14ac:dyDescent="0.25">
      <c r="C108" s="16" t="s">
        <v>38</v>
      </c>
      <c r="D108" s="16"/>
      <c r="E108" s="16"/>
      <c r="F108" s="16" t="s">
        <v>40</v>
      </c>
      <c r="G108" s="16"/>
      <c r="H108" s="16"/>
      <c r="I108" s="16" t="s">
        <v>41</v>
      </c>
      <c r="J108" s="16"/>
      <c r="K108" s="7"/>
      <c r="L108" s="16" t="s">
        <v>42</v>
      </c>
      <c r="M108" s="11"/>
    </row>
    <row r="109" spans="2:13" x14ac:dyDescent="0.25">
      <c r="C109" s="11" t="s">
        <v>68</v>
      </c>
      <c r="D109" s="16">
        <f>F67</f>
        <v>2.12007855004346</v>
      </c>
      <c r="E109" s="11"/>
      <c r="F109" s="11" t="s">
        <v>68</v>
      </c>
      <c r="G109" s="16">
        <f>F69</f>
        <v>20.703892090268166</v>
      </c>
      <c r="H109" s="11"/>
      <c r="I109" s="11" t="s">
        <v>68</v>
      </c>
      <c r="J109" s="16">
        <f>F70</f>
        <v>1.8280269130476774</v>
      </c>
      <c r="L109" s="11" t="s">
        <v>68</v>
      </c>
      <c r="M109" s="16">
        <f>F71</f>
        <v>4.3266909184560408E-2</v>
      </c>
    </row>
    <row r="110" spans="2:13" x14ac:dyDescent="0.25">
      <c r="C110" s="11" t="s">
        <v>69</v>
      </c>
      <c r="D110" s="16">
        <f>G110</f>
        <v>4.3247937431830454</v>
      </c>
      <c r="E110" s="11"/>
      <c r="F110" s="11" t="s">
        <v>69</v>
      </c>
      <c r="G110" s="16">
        <f>J110</f>
        <v>4.3247937431830454</v>
      </c>
      <c r="H110" s="11"/>
      <c r="I110" s="11" t="s">
        <v>69</v>
      </c>
      <c r="J110" s="16">
        <f>M110</f>
        <v>4.3247937431830454</v>
      </c>
      <c r="L110" s="11" t="s">
        <v>69</v>
      </c>
      <c r="M110" s="16">
        <f>G71</f>
        <v>4.3247937431830454</v>
      </c>
    </row>
    <row r="111" spans="2:13" x14ac:dyDescent="0.25">
      <c r="J111" s="11"/>
    </row>
    <row r="112" spans="2:13" x14ac:dyDescent="0.25">
      <c r="B112" s="11"/>
      <c r="C112" s="11"/>
      <c r="D112" s="11"/>
      <c r="E112" s="11"/>
      <c r="F112" s="11"/>
      <c r="G112" s="11"/>
      <c r="H112" s="11"/>
      <c r="I112" s="11"/>
      <c r="J112" s="11"/>
      <c r="K112" s="11"/>
      <c r="L112" s="11"/>
      <c r="M112" s="11"/>
    </row>
    <row r="113" spans="2:13" ht="18.75" x14ac:dyDescent="0.35">
      <c r="B113" s="12" t="s">
        <v>81</v>
      </c>
      <c r="C113" s="11" t="s">
        <v>309</v>
      </c>
      <c r="D113" s="11"/>
      <c r="E113" s="11"/>
      <c r="F113" s="11"/>
      <c r="G113" s="11"/>
      <c r="H113" s="11"/>
      <c r="I113" s="11"/>
      <c r="J113" s="11"/>
      <c r="K113" s="11"/>
      <c r="L113" s="11"/>
      <c r="M113" s="11"/>
    </row>
    <row r="114" spans="2:13" x14ac:dyDescent="0.25">
      <c r="B114" s="11"/>
      <c r="C114" s="11" t="s">
        <v>312</v>
      </c>
      <c r="D114" s="11"/>
      <c r="E114" s="11"/>
      <c r="F114" s="11"/>
      <c r="G114" s="11"/>
      <c r="H114" s="11"/>
      <c r="I114" s="11"/>
      <c r="J114" s="11"/>
      <c r="K114" s="11"/>
      <c r="L114" s="11"/>
      <c r="M114" s="11"/>
    </row>
    <row r="115" spans="2:13" ht="18.75" x14ac:dyDescent="0.35">
      <c r="B115" s="11"/>
      <c r="C115" s="11" t="s">
        <v>310</v>
      </c>
      <c r="D115" s="11"/>
      <c r="E115" s="11"/>
      <c r="F115" s="11"/>
      <c r="G115" s="11"/>
      <c r="H115" s="11"/>
      <c r="I115" s="11"/>
      <c r="J115" s="11"/>
      <c r="K115" s="11"/>
      <c r="L115" s="11"/>
      <c r="M115" s="11"/>
    </row>
    <row r="116" spans="2:13" x14ac:dyDescent="0.25">
      <c r="B116" s="11"/>
      <c r="C116" s="11" t="s">
        <v>311</v>
      </c>
      <c r="D116" s="11"/>
      <c r="E116" s="11"/>
      <c r="F116" s="11"/>
      <c r="G116" s="11"/>
      <c r="H116" s="11"/>
      <c r="I116" s="11"/>
      <c r="J116" s="11"/>
      <c r="K116" s="11"/>
      <c r="L116" s="11"/>
      <c r="M116" s="11"/>
    </row>
    <row r="117" spans="2:13" x14ac:dyDescent="0.25">
      <c r="B117" s="11"/>
      <c r="C117" s="11"/>
      <c r="D117" s="11"/>
      <c r="E117" s="11"/>
      <c r="F117" s="11"/>
      <c r="G117" s="11"/>
      <c r="H117" s="11"/>
      <c r="I117" s="11"/>
      <c r="J117" s="11"/>
      <c r="K117" s="11"/>
      <c r="L117" s="11"/>
      <c r="M117" s="11"/>
    </row>
  </sheetData>
  <mergeCells count="7">
    <mergeCell ref="N1:Q1"/>
    <mergeCell ref="B3:R4"/>
    <mergeCell ref="B47:D49"/>
    <mergeCell ref="B51:D53"/>
    <mergeCell ref="B55:D57"/>
    <mergeCell ref="B43:C45"/>
    <mergeCell ref="F1:I1"/>
  </mergeCells>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0ADD3-DD98-4DD2-BD5C-B4BBA43DFEE4}">
  <dimension ref="A2:AD147"/>
  <sheetViews>
    <sheetView tabSelected="1" topLeftCell="A67" zoomScale="130" zoomScaleNormal="130" workbookViewId="0">
      <selection activeCell="C73" sqref="C73"/>
    </sheetView>
  </sheetViews>
  <sheetFormatPr defaultColWidth="8.85546875" defaultRowHeight="15" x14ac:dyDescent="0.25"/>
  <cols>
    <col min="1" max="1" width="10.5703125" style="13" customWidth="1"/>
    <col min="2" max="2" width="12.85546875" style="13" customWidth="1"/>
    <col min="3" max="3" width="8.85546875" style="13"/>
    <col min="4" max="4" width="10" style="13" customWidth="1"/>
    <col min="5" max="16384" width="8.85546875" style="13"/>
  </cols>
  <sheetData>
    <row r="2" spans="1:14" ht="17.25" x14ac:dyDescent="0.25">
      <c r="A2" s="2" t="s">
        <v>211</v>
      </c>
      <c r="B2" s="169" t="s">
        <v>314</v>
      </c>
      <c r="C2" s="169"/>
      <c r="D2" s="169"/>
      <c r="E2" s="169"/>
      <c r="F2" s="169"/>
      <c r="G2" s="169"/>
      <c r="H2" s="169"/>
      <c r="I2" s="169"/>
      <c r="J2" s="169"/>
      <c r="K2" s="169"/>
      <c r="L2" s="169"/>
      <c r="M2" s="169"/>
      <c r="N2" s="169"/>
    </row>
    <row r="3" spans="1:14" x14ac:dyDescent="0.25">
      <c r="A3" s="2"/>
      <c r="B3" s="58"/>
      <c r="C3" s="58"/>
      <c r="D3" s="58"/>
      <c r="E3" s="58"/>
      <c r="F3" s="58"/>
      <c r="G3" s="58"/>
      <c r="H3" s="58"/>
      <c r="I3" s="58"/>
      <c r="J3" s="58"/>
      <c r="K3" s="58"/>
      <c r="L3" s="58"/>
      <c r="M3" s="58"/>
      <c r="N3" s="58"/>
    </row>
    <row r="4" spans="1:14" ht="16.5" thickBot="1" x14ac:dyDescent="0.3">
      <c r="A4" s="2"/>
      <c r="B4" s="180" t="s">
        <v>224</v>
      </c>
      <c r="C4" s="180"/>
      <c r="D4" s="58"/>
      <c r="E4" s="58"/>
      <c r="F4" s="58"/>
      <c r="G4" s="58"/>
      <c r="H4" s="58"/>
      <c r="I4" s="58"/>
      <c r="J4" s="58"/>
      <c r="K4" s="58"/>
      <c r="L4" s="58"/>
      <c r="M4" s="58"/>
      <c r="N4" s="58"/>
    </row>
    <row r="5" spans="1:14" ht="15.75" thickBot="1" x14ac:dyDescent="0.3">
      <c r="A5" s="2"/>
      <c r="B5" s="73" t="s">
        <v>225</v>
      </c>
      <c r="C5" s="74" t="s">
        <v>226</v>
      </c>
      <c r="D5" s="74" t="s">
        <v>227</v>
      </c>
      <c r="E5" s="74" t="s">
        <v>228</v>
      </c>
      <c r="F5" s="74" t="s">
        <v>229</v>
      </c>
      <c r="G5" s="58"/>
      <c r="H5" s="58"/>
      <c r="I5" s="58"/>
      <c r="J5" s="58"/>
      <c r="K5" s="58"/>
      <c r="L5" s="58"/>
      <c r="M5" s="58"/>
      <c r="N5" s="58"/>
    </row>
    <row r="6" spans="1:14" ht="16.5" thickBot="1" x14ac:dyDescent="0.3">
      <c r="A6" s="2"/>
      <c r="B6" s="75" t="s">
        <v>230</v>
      </c>
      <c r="C6" s="76" t="s">
        <v>231</v>
      </c>
      <c r="D6" s="76" t="s">
        <v>232</v>
      </c>
      <c r="E6" s="76" t="s">
        <v>233</v>
      </c>
      <c r="F6" s="76" t="s">
        <v>234</v>
      </c>
      <c r="G6" s="58"/>
      <c r="H6" s="58"/>
      <c r="I6" s="58"/>
      <c r="J6" s="58"/>
      <c r="K6" s="58"/>
      <c r="L6" s="58"/>
      <c r="M6" s="58"/>
      <c r="N6" s="58"/>
    </row>
    <row r="7" spans="1:14" ht="15.75" x14ac:dyDescent="0.25">
      <c r="A7" s="2"/>
      <c r="B7" s="77" t="s">
        <v>235</v>
      </c>
      <c r="C7"/>
      <c r="D7"/>
      <c r="E7"/>
      <c r="F7"/>
      <c r="G7" s="58"/>
      <c r="H7" s="58"/>
      <c r="I7" s="58"/>
      <c r="J7" s="58"/>
      <c r="K7" s="58"/>
      <c r="L7" s="58"/>
      <c r="M7" s="58"/>
      <c r="N7" s="58"/>
    </row>
    <row r="8" spans="1:14" ht="16.5" thickBot="1" x14ac:dyDescent="0.3">
      <c r="A8" s="2"/>
      <c r="B8" s="180" t="s">
        <v>236</v>
      </c>
      <c r="C8" s="180"/>
      <c r="D8"/>
      <c r="E8"/>
      <c r="F8"/>
      <c r="G8" s="58"/>
      <c r="H8" s="58"/>
      <c r="I8" s="58"/>
      <c r="J8" s="58"/>
      <c r="K8" s="58"/>
      <c r="L8" s="58"/>
      <c r="M8" s="58"/>
      <c r="N8" s="58"/>
    </row>
    <row r="9" spans="1:14" ht="15.75" thickBot="1" x14ac:dyDescent="0.3">
      <c r="A9" s="2"/>
      <c r="B9" s="73" t="s">
        <v>237</v>
      </c>
      <c r="C9" s="74" t="s">
        <v>238</v>
      </c>
      <c r="D9" s="74" t="s">
        <v>239</v>
      </c>
      <c r="E9" s="74" t="s">
        <v>228</v>
      </c>
      <c r="F9" s="74" t="s">
        <v>229</v>
      </c>
      <c r="G9" s="58"/>
      <c r="H9" s="58"/>
      <c r="I9" s="58"/>
      <c r="J9" s="58"/>
      <c r="K9" s="58"/>
      <c r="L9" s="58"/>
      <c r="M9" s="58"/>
      <c r="N9" s="58"/>
    </row>
    <row r="10" spans="1:14" ht="16.5" thickBot="1" x14ac:dyDescent="0.3">
      <c r="A10" s="2"/>
      <c r="B10" s="75" t="s">
        <v>240</v>
      </c>
      <c r="C10" s="76" t="s">
        <v>241</v>
      </c>
      <c r="D10" s="76" t="s">
        <v>242</v>
      </c>
      <c r="E10" s="76" t="s">
        <v>233</v>
      </c>
      <c r="F10" s="76" t="s">
        <v>234</v>
      </c>
      <c r="G10" s="58"/>
      <c r="H10" s="58"/>
      <c r="I10" s="58"/>
      <c r="J10" s="58"/>
      <c r="K10" s="58"/>
      <c r="L10" s="58"/>
      <c r="M10" s="58"/>
      <c r="N10" s="58"/>
    </row>
    <row r="11" spans="1:14" ht="15.75" x14ac:dyDescent="0.25">
      <c r="A11" s="2"/>
      <c r="B11" s="78"/>
      <c r="C11"/>
      <c r="D11"/>
      <c r="E11"/>
      <c r="F11"/>
      <c r="G11" s="58"/>
      <c r="H11" s="58"/>
      <c r="I11" s="58"/>
      <c r="J11" s="58"/>
      <c r="K11" s="58"/>
      <c r="L11" s="58"/>
      <c r="M11" s="58"/>
      <c r="N11" s="58"/>
    </row>
    <row r="12" spans="1:14" ht="16.5" thickBot="1" x14ac:dyDescent="0.3">
      <c r="A12" s="2"/>
      <c r="B12" s="180" t="s">
        <v>243</v>
      </c>
      <c r="C12" s="180"/>
      <c r="D12"/>
      <c r="E12"/>
      <c r="F12"/>
      <c r="G12" s="58"/>
      <c r="H12" s="58"/>
      <c r="I12" s="58"/>
      <c r="J12" s="58"/>
      <c r="K12" s="58"/>
      <c r="L12" s="58"/>
      <c r="M12" s="58"/>
      <c r="N12" s="58"/>
    </row>
    <row r="13" spans="1:14" ht="15.75" thickBot="1" x14ac:dyDescent="0.3">
      <c r="A13" s="2"/>
      <c r="B13" s="73" t="s">
        <v>244</v>
      </c>
      <c r="C13" s="74" t="s">
        <v>245</v>
      </c>
      <c r="D13" s="74" t="s">
        <v>227</v>
      </c>
      <c r="E13" s="74" t="s">
        <v>228</v>
      </c>
      <c r="F13" s="74" t="s">
        <v>246</v>
      </c>
      <c r="G13" s="58"/>
      <c r="H13" s="58"/>
      <c r="I13" s="58"/>
      <c r="J13" s="58"/>
      <c r="K13" s="58"/>
      <c r="L13" s="58"/>
      <c r="M13" s="58"/>
      <c r="N13" s="58"/>
    </row>
    <row r="14" spans="1:14" ht="15.75" thickBot="1" x14ac:dyDescent="0.3">
      <c r="B14" s="79" t="s">
        <v>247</v>
      </c>
      <c r="C14" s="76" t="s">
        <v>248</v>
      </c>
      <c r="D14" s="76" t="s">
        <v>249</v>
      </c>
      <c r="E14" s="76" t="s">
        <v>250</v>
      </c>
      <c r="F14" s="76" t="s">
        <v>251</v>
      </c>
    </row>
    <row r="15" spans="1:14" x14ac:dyDescent="0.25">
      <c r="B15" s="81"/>
      <c r="C15" s="84"/>
      <c r="D15" s="84"/>
      <c r="E15" s="84"/>
      <c r="F15" s="86"/>
      <c r="G15" s="82"/>
    </row>
    <row r="16" spans="1:14" ht="15.75" thickBot="1" x14ac:dyDescent="0.3">
      <c r="A16" s="82"/>
      <c r="B16" s="83"/>
      <c r="C16" s="85"/>
      <c r="D16" s="85"/>
      <c r="E16" s="85"/>
      <c r="F16" s="85"/>
      <c r="G16" s="87"/>
    </row>
    <row r="17" spans="1:7" s="20" customFormat="1" ht="15.75" thickBot="1" x14ac:dyDescent="0.3">
      <c r="A17" s="2" t="s">
        <v>263</v>
      </c>
      <c r="B17" s="80" t="s">
        <v>93</v>
      </c>
      <c r="C17" s="80" t="s">
        <v>94</v>
      </c>
      <c r="D17" s="80" t="s">
        <v>95</v>
      </c>
      <c r="E17" s="80" t="s">
        <v>96</v>
      </c>
      <c r="F17" s="80" t="s">
        <v>97</v>
      </c>
      <c r="G17" s="80" t="s">
        <v>98</v>
      </c>
    </row>
    <row r="18" spans="1:7" ht="15.75" thickBot="1" x14ac:dyDescent="0.3">
      <c r="B18" s="15">
        <v>30</v>
      </c>
      <c r="C18" s="15">
        <v>18</v>
      </c>
      <c r="D18" s="15">
        <v>26</v>
      </c>
      <c r="E18" s="15">
        <v>15</v>
      </c>
      <c r="F18" s="15">
        <v>24</v>
      </c>
      <c r="G18" s="15">
        <v>17</v>
      </c>
    </row>
    <row r="19" spans="1:7" ht="15.75" thickBot="1" x14ac:dyDescent="0.3">
      <c r="B19" s="15">
        <v>11</v>
      </c>
      <c r="C19" s="15">
        <v>14</v>
      </c>
      <c r="D19" s="15">
        <v>8</v>
      </c>
      <c r="E19" s="15">
        <v>11</v>
      </c>
      <c r="F19" s="15">
        <v>11</v>
      </c>
      <c r="G19" s="15">
        <v>13</v>
      </c>
    </row>
    <row r="20" spans="1:7" ht="15.75" thickBot="1" x14ac:dyDescent="0.3">
      <c r="B20" s="15">
        <v>14</v>
      </c>
      <c r="C20" s="15">
        <v>28</v>
      </c>
      <c r="D20" s="15">
        <v>14</v>
      </c>
      <c r="E20" s="15">
        <v>28</v>
      </c>
      <c r="F20" s="15">
        <v>14</v>
      </c>
      <c r="G20" s="15">
        <v>25</v>
      </c>
    </row>
    <row r="21" spans="1:7" ht="15.75" thickBot="1" x14ac:dyDescent="0.3">
      <c r="B21" s="15">
        <v>16</v>
      </c>
      <c r="C21" s="15">
        <v>20</v>
      </c>
      <c r="D21" s="15">
        <v>16</v>
      </c>
      <c r="E21" s="15">
        <v>20</v>
      </c>
      <c r="F21" s="15">
        <v>23</v>
      </c>
      <c r="G21" s="15">
        <v>21</v>
      </c>
    </row>
    <row r="22" spans="1:7" s="20" customFormat="1" ht="15.75" thickBot="1" x14ac:dyDescent="0.3">
      <c r="B22" s="17">
        <f>SUM(B18:B21)</f>
        <v>71</v>
      </c>
      <c r="C22" s="17">
        <f t="shared" ref="C22:G22" si="0">SUM(C18:C21)</f>
        <v>80</v>
      </c>
      <c r="D22" s="17">
        <f t="shared" si="0"/>
        <v>64</v>
      </c>
      <c r="E22" s="17">
        <f t="shared" si="0"/>
        <v>74</v>
      </c>
      <c r="F22" s="17">
        <f t="shared" si="0"/>
        <v>72</v>
      </c>
      <c r="G22" s="17">
        <f t="shared" si="0"/>
        <v>76</v>
      </c>
    </row>
    <row r="24" spans="1:7" x14ac:dyDescent="0.25">
      <c r="B24" s="13" t="s">
        <v>104</v>
      </c>
    </row>
    <row r="26" spans="1:7" x14ac:dyDescent="0.25">
      <c r="B26" s="13" t="s">
        <v>99</v>
      </c>
    </row>
    <row r="27" spans="1:7" x14ac:dyDescent="0.25">
      <c r="B27" s="13" t="s">
        <v>100</v>
      </c>
    </row>
    <row r="28" spans="1:7" x14ac:dyDescent="0.25">
      <c r="B28" s="13" t="s">
        <v>101</v>
      </c>
    </row>
    <row r="29" spans="1:7" x14ac:dyDescent="0.25">
      <c r="B29" s="13" t="s">
        <v>102</v>
      </c>
    </row>
    <row r="30" spans="1:7" x14ac:dyDescent="0.25">
      <c r="B30" s="13" t="s">
        <v>103</v>
      </c>
    </row>
    <row r="32" spans="1:7" ht="18" x14ac:dyDescent="0.35">
      <c r="B32" s="13" t="s">
        <v>116</v>
      </c>
      <c r="C32" s="13">
        <f>SUM(B22:C22)</f>
        <v>151</v>
      </c>
      <c r="E32" s="5" t="s">
        <v>44</v>
      </c>
      <c r="F32" s="6">
        <v>3</v>
      </c>
      <c r="G32" s="13" t="s">
        <v>252</v>
      </c>
    </row>
    <row r="33" spans="2:7" ht="18" x14ac:dyDescent="0.35">
      <c r="B33" s="13" t="s">
        <v>117</v>
      </c>
      <c r="C33" s="13">
        <f>SUM(D22:E22)</f>
        <v>138</v>
      </c>
      <c r="E33" s="5" t="s">
        <v>45</v>
      </c>
      <c r="F33" s="6">
        <v>6</v>
      </c>
      <c r="G33" s="13" t="s">
        <v>253</v>
      </c>
    </row>
    <row r="34" spans="2:7" ht="18" x14ac:dyDescent="0.35">
      <c r="B34" s="13" t="s">
        <v>118</v>
      </c>
      <c r="C34" s="13">
        <f>SUM(F22:G22)</f>
        <v>148</v>
      </c>
      <c r="E34" s="5" t="s">
        <v>46</v>
      </c>
      <c r="F34" s="6">
        <v>3</v>
      </c>
      <c r="G34" s="13" t="s">
        <v>254</v>
      </c>
    </row>
    <row r="35" spans="2:7" ht="16.5" thickBot="1" x14ac:dyDescent="0.3">
      <c r="E35" s="3"/>
      <c r="F35" s="6">
        <v>8</v>
      </c>
    </row>
    <row r="36" spans="2:7" ht="16.5" thickBot="1" x14ac:dyDescent="0.3">
      <c r="B36" s="179"/>
      <c r="E36" s="5" t="s">
        <v>43</v>
      </c>
      <c r="F36" s="6">
        <v>24</v>
      </c>
      <c r="G36" s="13" t="s">
        <v>255</v>
      </c>
    </row>
    <row r="37" spans="2:7" ht="15.75" thickBot="1" x14ac:dyDescent="0.3">
      <c r="B37" s="179"/>
      <c r="C37" s="2">
        <f>SUMSQ(C32:C34)</f>
        <v>63749</v>
      </c>
    </row>
    <row r="38" spans="2:7" ht="15.75" thickBot="1" x14ac:dyDescent="0.3"/>
    <row r="39" spans="2:7" ht="18" thickBot="1" x14ac:dyDescent="0.3">
      <c r="B39" s="80" t="s">
        <v>105</v>
      </c>
      <c r="C39" s="98" t="s">
        <v>259</v>
      </c>
      <c r="D39" s="99" t="s">
        <v>260</v>
      </c>
      <c r="E39" s="99" t="s">
        <v>261</v>
      </c>
      <c r="F39" s="99" t="s">
        <v>262</v>
      </c>
      <c r="G39" s="131" t="s">
        <v>208</v>
      </c>
    </row>
    <row r="40" spans="2:7" x14ac:dyDescent="0.25">
      <c r="B40" s="128">
        <v>1</v>
      </c>
      <c r="C40" s="129">
        <f>30+26+24</f>
        <v>80</v>
      </c>
      <c r="D40" s="130">
        <f>C40+C41</f>
        <v>130</v>
      </c>
      <c r="E40" s="130">
        <f>D40+D41</f>
        <v>198</v>
      </c>
      <c r="F40" s="130">
        <f>E40+E41</f>
        <v>437</v>
      </c>
      <c r="G40" s="132" t="s">
        <v>257</v>
      </c>
    </row>
    <row r="41" spans="2:7" x14ac:dyDescent="0.25">
      <c r="B41" s="94" t="s">
        <v>54</v>
      </c>
      <c r="C41" s="93">
        <f>18+15+17</f>
        <v>50</v>
      </c>
      <c r="D41" s="90">
        <f>C42+C43</f>
        <v>68</v>
      </c>
      <c r="E41" s="90">
        <f>D42+D43</f>
        <v>239</v>
      </c>
      <c r="F41" s="90">
        <f>E42+E43</f>
        <v>-71</v>
      </c>
      <c r="G41" s="126">
        <f>(F41^2)/(8*3)</f>
        <v>210.04166666666666</v>
      </c>
    </row>
    <row r="42" spans="2:7" x14ac:dyDescent="0.25">
      <c r="B42" s="94" t="s">
        <v>76</v>
      </c>
      <c r="C42" s="93">
        <f>14+11+13</f>
        <v>38</v>
      </c>
      <c r="D42" s="90">
        <f>C44+C45</f>
        <v>123</v>
      </c>
      <c r="E42" s="90">
        <f>D44+D45</f>
        <v>-38</v>
      </c>
      <c r="F42" s="90">
        <f>E44+E45</f>
        <v>-69</v>
      </c>
      <c r="G42" s="126">
        <f t="shared" ref="G42:G46" si="1">(F42^2)/(8*3)</f>
        <v>198.375</v>
      </c>
    </row>
    <row r="43" spans="2:7" x14ac:dyDescent="0.25">
      <c r="B43" s="94" t="s">
        <v>56</v>
      </c>
      <c r="C43" s="93">
        <f>11+8+11</f>
        <v>30</v>
      </c>
      <c r="D43" s="90">
        <f>C46+C47</f>
        <v>116</v>
      </c>
      <c r="E43" s="90">
        <f>D46+D47</f>
        <v>-33</v>
      </c>
      <c r="F43" s="90">
        <f>E46+E47</f>
        <v>67</v>
      </c>
      <c r="G43" s="126">
        <f t="shared" si="1"/>
        <v>187.04166666666666</v>
      </c>
    </row>
    <row r="44" spans="2:7" x14ac:dyDescent="0.25">
      <c r="B44" s="94" t="s">
        <v>57</v>
      </c>
      <c r="C44" s="93">
        <f>28+28+25</f>
        <v>81</v>
      </c>
      <c r="D44" s="90">
        <f>C41-C40</f>
        <v>-30</v>
      </c>
      <c r="E44" s="90">
        <f>D41-D40</f>
        <v>-62</v>
      </c>
      <c r="F44" s="90">
        <f>E41-E40</f>
        <v>41</v>
      </c>
      <c r="G44" s="126">
        <f t="shared" si="1"/>
        <v>70.041666666666671</v>
      </c>
    </row>
    <row r="45" spans="2:7" x14ac:dyDescent="0.25">
      <c r="B45" s="94" t="s">
        <v>58</v>
      </c>
      <c r="C45" s="93">
        <f>14+14+14</f>
        <v>42</v>
      </c>
      <c r="D45" s="90">
        <f>C43-C42</f>
        <v>-8</v>
      </c>
      <c r="E45" s="90">
        <f>D43-D42</f>
        <v>-7</v>
      </c>
      <c r="F45" s="90">
        <f>E43-E42</f>
        <v>5</v>
      </c>
      <c r="G45" s="126">
        <f t="shared" si="1"/>
        <v>1.0416666666666667</v>
      </c>
    </row>
    <row r="46" spans="2:7" x14ac:dyDescent="0.25">
      <c r="B46" s="94" t="s">
        <v>59</v>
      </c>
      <c r="C46" s="93">
        <f>16+16+23</f>
        <v>55</v>
      </c>
      <c r="D46" s="90">
        <f>C45-C44</f>
        <v>-39</v>
      </c>
      <c r="E46" s="90">
        <f>D45-D44</f>
        <v>22</v>
      </c>
      <c r="F46" s="90">
        <f>E45-E44</f>
        <v>55</v>
      </c>
      <c r="G46" s="126">
        <f t="shared" si="1"/>
        <v>126.04166666666667</v>
      </c>
    </row>
    <row r="47" spans="2:7" ht="15.75" thickBot="1" x14ac:dyDescent="0.3">
      <c r="B47" s="91" t="s">
        <v>60</v>
      </c>
      <c r="C47" s="133">
        <f>20+20+21</f>
        <v>61</v>
      </c>
      <c r="D47" s="134">
        <f>C47-C46</f>
        <v>6</v>
      </c>
      <c r="E47" s="134">
        <f>D47-D46</f>
        <v>45</v>
      </c>
      <c r="F47" s="134">
        <f>E47-E46</f>
        <v>23</v>
      </c>
      <c r="G47" s="135"/>
    </row>
    <row r="48" spans="2:7" ht="16.5" thickBot="1" x14ac:dyDescent="0.3">
      <c r="B48" s="5"/>
      <c r="C48" s="6"/>
      <c r="D48" s="3"/>
    </row>
    <row r="49" spans="2:7" ht="16.5" thickBot="1" x14ac:dyDescent="0.3">
      <c r="B49" s="170"/>
      <c r="C49" s="172"/>
      <c r="D49" s="3"/>
      <c r="F49" s="88" t="s">
        <v>258</v>
      </c>
      <c r="G49" s="89">
        <f>SUM(G41:G46)</f>
        <v>792.58333333333314</v>
      </c>
    </row>
    <row r="50" spans="2:7" ht="15.75" x14ac:dyDescent="0.25">
      <c r="B50" s="173"/>
      <c r="C50" s="175"/>
      <c r="D50" s="7">
        <f>F40^2/F36</f>
        <v>7957.041666666667</v>
      </c>
    </row>
    <row r="51" spans="2:7" ht="16.5" thickBot="1" x14ac:dyDescent="0.3">
      <c r="B51" s="176"/>
      <c r="C51" s="178"/>
      <c r="D51" s="3"/>
    </row>
    <row r="52" spans="2:7" ht="16.5" thickBot="1" x14ac:dyDescent="0.3">
      <c r="B52" s="3"/>
      <c r="C52" s="3"/>
      <c r="D52" s="3"/>
    </row>
    <row r="53" spans="2:7" ht="16.149999999999999" customHeight="1" x14ac:dyDescent="0.25">
      <c r="B53" s="170"/>
      <c r="C53" s="171"/>
      <c r="D53" s="172"/>
    </row>
    <row r="54" spans="2:7" ht="15" customHeight="1" x14ac:dyDescent="0.25">
      <c r="B54" s="173"/>
      <c r="C54" s="174"/>
      <c r="D54" s="175"/>
      <c r="E54" s="2">
        <f>SUMSQ(B22:G22)/4-D50</f>
        <v>36.20833333333303</v>
      </c>
    </row>
    <row r="55" spans="2:7" ht="15" customHeight="1" thickBot="1" x14ac:dyDescent="0.3">
      <c r="B55" s="176"/>
      <c r="C55" s="177"/>
      <c r="D55" s="178"/>
    </row>
    <row r="56" spans="2:7" ht="15" customHeight="1" thickBot="1" x14ac:dyDescent="0.3">
      <c r="B56" s="3"/>
      <c r="C56" s="3"/>
      <c r="D56" s="3"/>
    </row>
    <row r="57" spans="2:7" ht="16.149999999999999" customHeight="1" thickBot="1" x14ac:dyDescent="0.3">
      <c r="B57" s="167"/>
      <c r="C57" s="167"/>
      <c r="D57" s="167"/>
      <c r="E57" s="167"/>
    </row>
    <row r="58" spans="2:7" ht="15" customHeight="1" thickBot="1" x14ac:dyDescent="0.3">
      <c r="B58" s="167"/>
      <c r="C58" s="167"/>
      <c r="D58" s="167"/>
      <c r="E58" s="167"/>
      <c r="F58" s="2">
        <f>SUMSQ(C32:C34)/8- ((F40^2)/(3*8))</f>
        <v>11.58333333333303</v>
      </c>
    </row>
    <row r="59" spans="2:7" ht="15" customHeight="1" thickBot="1" x14ac:dyDescent="0.3">
      <c r="B59" s="167"/>
      <c r="C59" s="167"/>
      <c r="D59" s="167"/>
      <c r="E59" s="167"/>
    </row>
    <row r="60" spans="2:7" ht="15" customHeight="1" thickBot="1" x14ac:dyDescent="0.3">
      <c r="B60" s="3"/>
      <c r="C60" s="3"/>
      <c r="D60" s="3"/>
    </row>
    <row r="61" spans="2:7" ht="16.149999999999999" customHeight="1" thickBot="1" x14ac:dyDescent="0.3">
      <c r="B61" s="167"/>
      <c r="C61" s="167"/>
      <c r="D61" s="167"/>
      <c r="E61" s="167"/>
    </row>
    <row r="62" spans="2:7" ht="15" customHeight="1" thickBot="1" x14ac:dyDescent="0.3">
      <c r="B62" s="167"/>
      <c r="C62" s="167"/>
      <c r="D62" s="167"/>
      <c r="E62" s="167"/>
      <c r="F62" s="2">
        <f>SUMSQ(B18:G21)-D50</f>
        <v>887.95833333333303</v>
      </c>
    </row>
    <row r="63" spans="2:7" ht="15" customHeight="1" thickBot="1" x14ac:dyDescent="0.3">
      <c r="B63" s="167"/>
      <c r="C63" s="167"/>
      <c r="D63" s="167"/>
      <c r="E63" s="167"/>
    </row>
    <row r="64" spans="2:7" ht="15" customHeight="1" x14ac:dyDescent="0.25">
      <c r="B64" s="3"/>
      <c r="C64" s="3"/>
      <c r="D64" s="3"/>
    </row>
    <row r="65" spans="2:7" x14ac:dyDescent="0.25">
      <c r="B65" s="1" t="s">
        <v>47</v>
      </c>
    </row>
    <row r="66" spans="2:7" ht="15.75" thickBot="1" x14ac:dyDescent="0.3"/>
    <row r="67" spans="2:7" ht="15.75" thickBot="1" x14ac:dyDescent="0.3">
      <c r="B67" s="80" t="s">
        <v>48</v>
      </c>
      <c r="C67" s="98" t="s">
        <v>49</v>
      </c>
      <c r="D67" s="99" t="s">
        <v>50</v>
      </c>
      <c r="E67" s="99" t="s">
        <v>51</v>
      </c>
      <c r="F67" s="99" t="s">
        <v>52</v>
      </c>
      <c r="G67" s="92" t="s">
        <v>53</v>
      </c>
    </row>
    <row r="68" spans="2:7" x14ac:dyDescent="0.25">
      <c r="B68" s="95"/>
      <c r="C68" s="96"/>
      <c r="D68" s="97"/>
      <c r="E68" s="97"/>
      <c r="F68" s="97"/>
      <c r="G68" s="125"/>
    </row>
    <row r="69" spans="2:7" x14ac:dyDescent="0.25">
      <c r="B69" s="94" t="s">
        <v>106</v>
      </c>
      <c r="C69" s="93">
        <f>F58</f>
        <v>11.58333333333303</v>
      </c>
      <c r="D69" s="90">
        <f>3-1</f>
        <v>2</v>
      </c>
      <c r="E69" s="90">
        <f>C69/D69</f>
        <v>5.7916666666665151</v>
      </c>
      <c r="F69" s="90">
        <f>E69/$E$79</f>
        <v>1.1746478873239092</v>
      </c>
      <c r="G69" s="126">
        <f>_xlfn.F.INV.RT(0.05,D69,$D$79)</f>
        <v>3.8852938346523942</v>
      </c>
    </row>
    <row r="70" spans="2:7" x14ac:dyDescent="0.25">
      <c r="B70" s="94" t="s">
        <v>107</v>
      </c>
      <c r="C70" s="93">
        <f>C71-C69</f>
        <v>24.625</v>
      </c>
      <c r="D70" s="90">
        <f>D71-D69</f>
        <v>3</v>
      </c>
      <c r="E70" s="90">
        <f t="shared" ref="E70:E79" si="2">C70/D70</f>
        <v>8.2083333333333339</v>
      </c>
      <c r="F70" s="90">
        <f t="shared" ref="F70:F78" si="3">E70/$E$79</f>
        <v>1.6647887323943611</v>
      </c>
      <c r="G70" s="126">
        <f t="shared" ref="G70:G78" si="4">_xlfn.F.INV.RT(0.05,D70,$D$79)</f>
        <v>3.4902948194976045</v>
      </c>
    </row>
    <row r="71" spans="2:7" x14ac:dyDescent="0.25">
      <c r="B71" s="94" t="s">
        <v>61</v>
      </c>
      <c r="C71" s="93">
        <f>E54</f>
        <v>36.20833333333303</v>
      </c>
      <c r="D71" s="90">
        <f>6-1</f>
        <v>5</v>
      </c>
      <c r="E71" s="90">
        <f t="shared" si="2"/>
        <v>7.2416666666666059</v>
      </c>
      <c r="F71" s="90">
        <f t="shared" si="3"/>
        <v>1.4687323943661801</v>
      </c>
      <c r="G71" s="126">
        <f t="shared" si="4"/>
        <v>3.1058752390841229</v>
      </c>
    </row>
    <row r="72" spans="2:7" x14ac:dyDescent="0.25">
      <c r="B72" s="94" t="s">
        <v>35</v>
      </c>
      <c r="C72" s="93">
        <f>SUM(C73:C78)</f>
        <v>792.58333333333314</v>
      </c>
      <c r="D72" s="90">
        <f>SUM(D73:D78)</f>
        <v>6</v>
      </c>
      <c r="E72" s="90">
        <f t="shared" si="2"/>
        <v>132.0972222222222</v>
      </c>
      <c r="F72" s="90">
        <f t="shared" si="3"/>
        <v>26.791549295774558</v>
      </c>
      <c r="G72" s="126">
        <f t="shared" si="4"/>
        <v>2.996120377517109</v>
      </c>
    </row>
    <row r="73" spans="2:7" x14ac:dyDescent="0.25">
      <c r="B73" s="94" t="s">
        <v>54</v>
      </c>
      <c r="C73" s="93">
        <f>(F41^2)/(8*3)</f>
        <v>210.04166666666666</v>
      </c>
      <c r="D73" s="90">
        <v>1</v>
      </c>
      <c r="E73" s="90">
        <f t="shared" si="2"/>
        <v>210.04166666666666</v>
      </c>
      <c r="F73" s="90">
        <f t="shared" si="3"/>
        <v>42.599999999999859</v>
      </c>
      <c r="G73" s="126">
        <f t="shared" si="4"/>
        <v>4.7472253467225149</v>
      </c>
    </row>
    <row r="74" spans="2:7" x14ac:dyDescent="0.25">
      <c r="B74" s="94" t="s">
        <v>55</v>
      </c>
      <c r="C74" s="93">
        <f t="shared" ref="C74:C78" si="5">(F42^2)/(8*3)</f>
        <v>198.375</v>
      </c>
      <c r="D74" s="90">
        <v>1</v>
      </c>
      <c r="E74" s="90">
        <f t="shared" si="2"/>
        <v>198.375</v>
      </c>
      <c r="F74" s="90">
        <f t="shared" si="3"/>
        <v>40.233802816901282</v>
      </c>
      <c r="G74" s="126">
        <f t="shared" si="4"/>
        <v>4.7472253467225149</v>
      </c>
    </row>
    <row r="75" spans="2:7" x14ac:dyDescent="0.25">
      <c r="B75" s="94" t="s">
        <v>56</v>
      </c>
      <c r="C75" s="93">
        <f t="shared" si="5"/>
        <v>187.04166666666666</v>
      </c>
      <c r="D75" s="90">
        <v>1</v>
      </c>
      <c r="E75" s="90">
        <f t="shared" si="2"/>
        <v>187.04166666666666</v>
      </c>
      <c r="F75" s="90">
        <f t="shared" si="3"/>
        <v>37.93521126760551</v>
      </c>
      <c r="G75" s="126">
        <f t="shared" si="4"/>
        <v>4.7472253467225149</v>
      </c>
    </row>
    <row r="76" spans="2:7" x14ac:dyDescent="0.25">
      <c r="B76" s="94" t="s">
        <v>57</v>
      </c>
      <c r="C76" s="93">
        <f t="shared" si="5"/>
        <v>70.041666666666671</v>
      </c>
      <c r="D76" s="90">
        <v>1</v>
      </c>
      <c r="E76" s="90">
        <f t="shared" si="2"/>
        <v>70.041666666666671</v>
      </c>
      <c r="F76" s="90">
        <f t="shared" si="3"/>
        <v>14.205633802816857</v>
      </c>
      <c r="G76" s="126">
        <f t="shared" si="4"/>
        <v>4.7472253467225149</v>
      </c>
    </row>
    <row r="77" spans="2:7" x14ac:dyDescent="0.25">
      <c r="B77" s="94" t="s">
        <v>58</v>
      </c>
      <c r="C77" s="93">
        <f t="shared" si="5"/>
        <v>1.0416666666666667</v>
      </c>
      <c r="D77" s="90">
        <v>1</v>
      </c>
      <c r="E77" s="90">
        <f t="shared" si="2"/>
        <v>1.0416666666666667</v>
      </c>
      <c r="F77" s="90">
        <f t="shared" si="3"/>
        <v>0.21126760563380215</v>
      </c>
      <c r="G77" s="126">
        <f t="shared" si="4"/>
        <v>4.7472253467225149</v>
      </c>
    </row>
    <row r="78" spans="2:7" x14ac:dyDescent="0.25">
      <c r="B78" s="94" t="s">
        <v>59</v>
      </c>
      <c r="C78" s="93">
        <f t="shared" si="5"/>
        <v>126.04166666666667</v>
      </c>
      <c r="D78" s="90">
        <v>1</v>
      </c>
      <c r="E78" s="90">
        <f t="shared" si="2"/>
        <v>126.04166666666667</v>
      </c>
      <c r="F78" s="90">
        <f t="shared" si="3"/>
        <v>25.563380281690058</v>
      </c>
      <c r="G78" s="126">
        <f t="shared" si="4"/>
        <v>4.7472253467225149</v>
      </c>
    </row>
    <row r="79" spans="2:7" x14ac:dyDescent="0.25">
      <c r="B79" s="94" t="s">
        <v>108</v>
      </c>
      <c r="C79" s="93">
        <f>C81-C72-C71</f>
        <v>59.166666666666856</v>
      </c>
      <c r="D79" s="90">
        <f>D81-D72-D71</f>
        <v>12</v>
      </c>
      <c r="E79" s="90">
        <f t="shared" si="2"/>
        <v>4.9305555555555713</v>
      </c>
      <c r="F79" s="90"/>
      <c r="G79" s="126"/>
    </row>
    <row r="80" spans="2:7" ht="15.75" thickBot="1" x14ac:dyDescent="0.3">
      <c r="B80" s="100"/>
      <c r="C80" s="101"/>
      <c r="D80" s="102"/>
      <c r="E80" s="102"/>
      <c r="F80" s="102"/>
      <c r="G80" s="127"/>
    </row>
    <row r="81" spans="2:30" ht="15.75" thickBot="1" x14ac:dyDescent="0.3">
      <c r="B81" s="80" t="s">
        <v>109</v>
      </c>
      <c r="C81" s="98">
        <f>F62</f>
        <v>887.95833333333303</v>
      </c>
      <c r="D81" s="99">
        <f>24-1</f>
        <v>23</v>
      </c>
      <c r="E81" s="99"/>
      <c r="F81" s="99"/>
      <c r="G81" s="92"/>
    </row>
    <row r="83" spans="2:30" ht="15.75" x14ac:dyDescent="0.25">
      <c r="B83" s="10" t="s">
        <v>80</v>
      </c>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row>
    <row r="84" spans="2:30" ht="18.75" x14ac:dyDescent="0.35">
      <c r="B84" s="11"/>
      <c r="C84" s="11" t="s">
        <v>82</v>
      </c>
      <c r="D84" s="11" t="s">
        <v>66</v>
      </c>
      <c r="E84" s="11"/>
      <c r="F84" s="11"/>
      <c r="G84" s="11"/>
      <c r="H84" s="11"/>
      <c r="I84" s="11"/>
      <c r="J84" s="11"/>
      <c r="K84" s="11"/>
      <c r="L84" s="3"/>
      <c r="M84" s="3"/>
      <c r="N84" s="3"/>
      <c r="O84" s="3"/>
      <c r="P84" s="3"/>
      <c r="Q84" s="3"/>
      <c r="R84" s="3"/>
      <c r="S84" s="3"/>
      <c r="T84" s="3"/>
      <c r="U84" s="3"/>
      <c r="V84" s="3"/>
      <c r="W84" s="3"/>
      <c r="X84" s="3"/>
      <c r="Y84" s="3"/>
      <c r="Z84" s="3"/>
      <c r="AA84" s="3"/>
      <c r="AB84" s="3"/>
      <c r="AC84" s="3"/>
      <c r="AD84" s="3"/>
    </row>
    <row r="85" spans="2:30" ht="18.75" x14ac:dyDescent="0.35">
      <c r="B85" s="11"/>
      <c r="C85" s="11" t="s">
        <v>83</v>
      </c>
      <c r="D85" s="11" t="s">
        <v>67</v>
      </c>
      <c r="E85" s="11"/>
      <c r="F85" s="11"/>
      <c r="G85" s="11"/>
      <c r="H85" s="11"/>
      <c r="I85" s="11"/>
      <c r="J85" s="11"/>
      <c r="K85" s="11"/>
      <c r="L85" s="3"/>
      <c r="M85" s="3"/>
      <c r="N85" s="3"/>
      <c r="O85" s="3"/>
      <c r="P85" s="3"/>
      <c r="Q85" s="3"/>
      <c r="R85" s="3"/>
      <c r="S85" s="3"/>
      <c r="T85" s="3"/>
      <c r="U85" s="3"/>
      <c r="V85" s="3"/>
      <c r="W85" s="3"/>
      <c r="X85" s="3"/>
      <c r="Y85" s="3"/>
      <c r="Z85" s="3"/>
      <c r="AA85" s="3"/>
      <c r="AB85" s="3"/>
      <c r="AC85" s="3"/>
      <c r="AD85" s="3"/>
    </row>
    <row r="86" spans="2:30" ht="15.75" x14ac:dyDescent="0.25">
      <c r="B86" s="11"/>
      <c r="C86" s="11"/>
      <c r="D86" s="11"/>
      <c r="E86" s="11"/>
      <c r="F86" s="11"/>
      <c r="G86" s="11"/>
      <c r="H86" s="11"/>
      <c r="I86" s="11"/>
      <c r="J86" s="11"/>
      <c r="K86" s="11"/>
      <c r="L86" s="3"/>
      <c r="M86" s="3"/>
      <c r="N86" s="3"/>
      <c r="O86" s="3"/>
      <c r="P86" s="3"/>
      <c r="Q86" s="3"/>
      <c r="R86" s="3"/>
      <c r="S86" s="3"/>
      <c r="T86" s="3"/>
      <c r="U86" s="3"/>
      <c r="V86" s="3"/>
      <c r="W86" s="3"/>
      <c r="X86" s="3"/>
      <c r="Y86" s="3"/>
      <c r="Z86" s="3"/>
      <c r="AA86" s="3"/>
      <c r="AB86" s="3"/>
      <c r="AC86" s="3"/>
      <c r="AD86" s="3"/>
    </row>
    <row r="87" spans="2:30" ht="15.75" x14ac:dyDescent="0.25">
      <c r="B87" s="11"/>
      <c r="C87" s="11" t="s">
        <v>68</v>
      </c>
      <c r="D87" s="16">
        <f>F71</f>
        <v>1.4687323943661801</v>
      </c>
      <c r="E87" s="3"/>
      <c r="F87" s="11"/>
      <c r="G87" s="11"/>
      <c r="H87" s="11"/>
      <c r="I87" s="11"/>
      <c r="J87" s="11"/>
      <c r="K87" s="11"/>
      <c r="L87" s="3"/>
      <c r="M87" s="3"/>
      <c r="N87" s="3"/>
      <c r="O87" s="3"/>
      <c r="P87" s="3"/>
      <c r="Q87" s="3"/>
      <c r="R87" s="3"/>
      <c r="S87" s="3"/>
      <c r="T87" s="3"/>
      <c r="U87" s="3"/>
      <c r="V87" s="3"/>
      <c r="W87" s="3"/>
      <c r="X87" s="3"/>
      <c r="Y87" s="3"/>
      <c r="Z87" s="3"/>
      <c r="AA87" s="3"/>
      <c r="AB87" s="3"/>
      <c r="AC87" s="3"/>
      <c r="AD87" s="3"/>
    </row>
    <row r="88" spans="2:30" ht="15.75" x14ac:dyDescent="0.25">
      <c r="B88" s="11"/>
      <c r="C88" s="11" t="s">
        <v>69</v>
      </c>
      <c r="D88" s="16">
        <f>G71</f>
        <v>3.1058752390841229</v>
      </c>
      <c r="E88" s="11"/>
      <c r="F88" s="11"/>
      <c r="G88" s="11"/>
      <c r="H88" s="11"/>
      <c r="I88" s="11"/>
      <c r="J88" s="11"/>
      <c r="K88" s="11"/>
      <c r="L88" s="3"/>
      <c r="M88" s="3"/>
      <c r="N88" s="3"/>
      <c r="O88" s="3"/>
      <c r="P88" s="3"/>
      <c r="Q88" s="3"/>
      <c r="R88" s="3"/>
      <c r="S88" s="3"/>
      <c r="T88" s="3"/>
      <c r="U88" s="3"/>
      <c r="V88" s="3"/>
      <c r="W88" s="3"/>
      <c r="X88" s="3"/>
      <c r="Y88" s="3"/>
      <c r="Z88" s="3"/>
      <c r="AA88" s="3"/>
      <c r="AB88" s="3"/>
      <c r="AC88" s="3"/>
      <c r="AD88" s="3"/>
    </row>
    <row r="89" spans="2:30" ht="15.75" x14ac:dyDescent="0.25">
      <c r="B89" s="11"/>
      <c r="C89" s="11"/>
      <c r="D89" s="11"/>
      <c r="E89" s="11"/>
      <c r="F89" s="11"/>
      <c r="G89" s="11"/>
      <c r="H89" s="11"/>
      <c r="I89" s="11"/>
      <c r="J89" s="11"/>
      <c r="K89" s="11"/>
      <c r="L89" s="3"/>
      <c r="M89" s="3"/>
      <c r="N89" s="3"/>
      <c r="O89" s="3"/>
      <c r="P89" s="3"/>
      <c r="Q89" s="3"/>
      <c r="R89" s="3"/>
      <c r="S89" s="3"/>
      <c r="T89" s="3"/>
      <c r="U89" s="3"/>
      <c r="V89" s="3"/>
      <c r="W89" s="3"/>
      <c r="X89" s="3"/>
      <c r="Y89" s="3"/>
      <c r="Z89" s="3"/>
      <c r="AA89" s="3"/>
      <c r="AB89" s="3"/>
      <c r="AC89" s="3"/>
      <c r="AD89" s="3"/>
    </row>
    <row r="90" spans="2:30" ht="18.75" x14ac:dyDescent="0.35">
      <c r="B90" s="12" t="s">
        <v>81</v>
      </c>
      <c r="C90" s="11" t="s">
        <v>110</v>
      </c>
      <c r="D90" s="11"/>
      <c r="E90" s="11"/>
      <c r="F90" s="11"/>
      <c r="G90" s="11"/>
      <c r="H90" s="11"/>
      <c r="I90" s="11"/>
      <c r="J90" s="11"/>
      <c r="K90" s="11"/>
      <c r="L90" s="3"/>
      <c r="M90" s="3"/>
      <c r="N90" s="3"/>
      <c r="O90" s="3"/>
      <c r="P90" s="3"/>
      <c r="Q90" s="3"/>
      <c r="R90" s="3"/>
      <c r="S90" s="3"/>
      <c r="T90" s="3"/>
      <c r="U90" s="3"/>
      <c r="V90" s="3"/>
      <c r="W90" s="3"/>
      <c r="X90" s="3"/>
      <c r="Y90" s="3"/>
      <c r="Z90" s="3"/>
      <c r="AA90" s="3"/>
      <c r="AB90" s="3"/>
      <c r="AC90" s="3"/>
      <c r="AD90" s="3"/>
    </row>
    <row r="91" spans="2:30" ht="15.75" x14ac:dyDescent="0.25">
      <c r="B91" s="11"/>
      <c r="C91" s="11" t="s">
        <v>70</v>
      </c>
      <c r="D91" s="11"/>
      <c r="E91" s="11"/>
      <c r="F91" s="11"/>
      <c r="G91" s="11"/>
      <c r="H91" s="11"/>
      <c r="I91" s="11"/>
      <c r="J91" s="11"/>
      <c r="K91" s="11"/>
      <c r="L91" s="3"/>
      <c r="M91" s="3"/>
      <c r="N91" s="3"/>
      <c r="O91" s="3"/>
      <c r="P91" s="3"/>
      <c r="Q91" s="3"/>
      <c r="R91" s="3"/>
      <c r="S91" s="3"/>
      <c r="T91" s="3"/>
      <c r="U91" s="3"/>
      <c r="V91" s="3"/>
      <c r="W91" s="3"/>
      <c r="X91" s="3"/>
      <c r="Y91" s="3"/>
      <c r="Z91" s="3"/>
      <c r="AA91" s="3"/>
      <c r="AB91" s="3"/>
      <c r="AC91" s="3"/>
      <c r="AD91" s="3"/>
    </row>
    <row r="92" spans="2:30" ht="15.75" x14ac:dyDescent="0.25">
      <c r="B92" s="11"/>
      <c r="C92" s="11"/>
      <c r="D92" s="11"/>
      <c r="E92" s="11"/>
      <c r="F92" s="11"/>
      <c r="G92" s="11"/>
      <c r="H92" s="11"/>
      <c r="I92" s="11"/>
      <c r="J92" s="11"/>
      <c r="K92" s="11"/>
      <c r="L92" s="3"/>
      <c r="M92" s="3"/>
      <c r="N92" s="3"/>
      <c r="O92" s="3"/>
      <c r="P92" s="3"/>
      <c r="Q92" s="3"/>
      <c r="R92" s="3"/>
      <c r="S92" s="3"/>
      <c r="T92" s="3"/>
      <c r="U92" s="3"/>
      <c r="V92" s="3"/>
      <c r="W92" s="3"/>
      <c r="X92" s="3"/>
      <c r="Y92" s="3"/>
      <c r="Z92" s="3"/>
      <c r="AA92" s="3"/>
      <c r="AB92" s="3"/>
      <c r="AC92" s="3"/>
      <c r="AD92" s="3"/>
    </row>
    <row r="93" spans="2:30" ht="18.75" x14ac:dyDescent="0.35">
      <c r="B93" s="11"/>
      <c r="C93" s="11" t="s">
        <v>85</v>
      </c>
      <c r="D93" s="11" t="s">
        <v>71</v>
      </c>
      <c r="E93" s="11"/>
      <c r="F93" s="11"/>
      <c r="G93" s="11"/>
      <c r="H93" s="11"/>
      <c r="I93" s="11"/>
      <c r="J93" s="11"/>
      <c r="K93" s="11"/>
      <c r="L93" s="3"/>
      <c r="M93" s="3"/>
      <c r="N93" s="3"/>
      <c r="O93" s="3"/>
      <c r="P93" s="3"/>
      <c r="Q93" s="3"/>
      <c r="R93" s="3"/>
      <c r="S93" s="3"/>
      <c r="T93" s="3"/>
      <c r="U93" s="3"/>
      <c r="V93" s="3"/>
      <c r="W93" s="3"/>
      <c r="X93" s="3"/>
      <c r="Y93" s="3"/>
      <c r="Z93" s="3"/>
      <c r="AA93" s="3"/>
      <c r="AB93" s="3"/>
      <c r="AC93" s="3"/>
      <c r="AD93" s="3"/>
    </row>
    <row r="94" spans="2:30" ht="18.75" x14ac:dyDescent="0.35">
      <c r="B94" s="11"/>
      <c r="C94" s="11" t="s">
        <v>86</v>
      </c>
      <c r="D94" s="11" t="s">
        <v>72</v>
      </c>
      <c r="E94" s="11"/>
      <c r="F94" s="11"/>
      <c r="G94" s="11"/>
      <c r="H94" s="11"/>
      <c r="I94" s="11"/>
      <c r="J94" s="11"/>
      <c r="K94" s="11"/>
      <c r="L94" s="3"/>
      <c r="M94" s="3"/>
      <c r="N94" s="3"/>
      <c r="O94" s="3"/>
      <c r="P94" s="3"/>
      <c r="Q94" s="3"/>
      <c r="R94" s="3"/>
      <c r="S94" s="3"/>
      <c r="T94" s="3"/>
      <c r="U94" s="3"/>
      <c r="V94" s="3"/>
      <c r="W94" s="3"/>
      <c r="X94" s="3"/>
      <c r="Y94" s="3"/>
      <c r="Z94" s="3"/>
      <c r="AA94" s="3"/>
      <c r="AB94" s="3"/>
      <c r="AC94" s="3"/>
      <c r="AD94" s="3"/>
    </row>
    <row r="95" spans="2:30" ht="15.75" x14ac:dyDescent="0.25">
      <c r="B95" s="11"/>
      <c r="C95" s="11"/>
      <c r="D95" s="11"/>
      <c r="E95" s="11"/>
      <c r="F95" s="11"/>
      <c r="G95" s="11"/>
      <c r="H95" s="11"/>
      <c r="I95" s="11"/>
      <c r="J95" s="11"/>
      <c r="K95" s="11"/>
      <c r="L95" s="3"/>
      <c r="M95" s="3"/>
      <c r="N95" s="3"/>
      <c r="O95" s="3"/>
      <c r="P95" s="3"/>
      <c r="Q95" s="3"/>
      <c r="R95" s="3"/>
      <c r="S95" s="3"/>
      <c r="T95" s="3"/>
      <c r="U95" s="3"/>
      <c r="V95" s="3"/>
      <c r="W95" s="3"/>
      <c r="X95" s="3"/>
      <c r="Y95" s="3"/>
      <c r="Z95" s="3"/>
      <c r="AA95" s="3"/>
      <c r="AB95" s="3"/>
      <c r="AC95" s="3"/>
      <c r="AD95" s="3"/>
    </row>
    <row r="96" spans="2:30" ht="15.75" x14ac:dyDescent="0.25">
      <c r="B96" s="11"/>
      <c r="C96" s="11" t="s">
        <v>68</v>
      </c>
      <c r="D96" s="16">
        <f>F72</f>
        <v>26.791549295774558</v>
      </c>
      <c r="E96" s="11"/>
      <c r="F96" s="11"/>
      <c r="G96" s="11"/>
      <c r="H96" s="11"/>
      <c r="I96" s="11"/>
      <c r="J96" s="11"/>
      <c r="K96" s="11"/>
      <c r="L96" s="3"/>
      <c r="M96" s="3"/>
      <c r="N96" s="3"/>
      <c r="O96" s="3"/>
      <c r="P96" s="3"/>
      <c r="Q96" s="3"/>
      <c r="R96" s="3"/>
      <c r="S96" s="3"/>
      <c r="T96" s="3"/>
      <c r="U96" s="3"/>
      <c r="V96" s="3"/>
      <c r="W96" s="3"/>
      <c r="X96" s="3"/>
      <c r="Y96" s="3"/>
      <c r="Z96" s="3"/>
      <c r="AA96" s="3"/>
      <c r="AB96" s="3"/>
      <c r="AC96" s="3"/>
      <c r="AD96" s="3"/>
    </row>
    <row r="97" spans="2:30" ht="15.75" x14ac:dyDescent="0.25">
      <c r="B97" s="11"/>
      <c r="C97" s="11" t="s">
        <v>69</v>
      </c>
      <c r="D97" s="16">
        <f>G72</f>
        <v>2.996120377517109</v>
      </c>
      <c r="E97" s="11"/>
      <c r="F97" s="11"/>
      <c r="G97" s="11"/>
      <c r="H97" s="11"/>
      <c r="I97" s="11"/>
      <c r="J97" s="11"/>
      <c r="K97" s="11"/>
      <c r="L97" s="3"/>
      <c r="M97" s="3"/>
      <c r="N97" s="3"/>
      <c r="O97" s="3"/>
      <c r="P97" s="3"/>
      <c r="Q97" s="3"/>
      <c r="R97" s="3"/>
      <c r="S97" s="3"/>
      <c r="T97" s="3"/>
      <c r="U97" s="3"/>
      <c r="V97" s="3"/>
      <c r="W97" s="3"/>
      <c r="X97" s="3"/>
      <c r="Y97" s="3"/>
      <c r="Z97" s="3"/>
      <c r="AA97" s="3"/>
      <c r="AB97" s="3"/>
      <c r="AC97" s="3"/>
      <c r="AD97" s="3"/>
    </row>
    <row r="98" spans="2:30" ht="15.75" x14ac:dyDescent="0.25">
      <c r="B98" s="11"/>
      <c r="C98" s="11"/>
      <c r="D98" s="11"/>
      <c r="E98" s="11"/>
      <c r="F98" s="11"/>
      <c r="G98" s="11"/>
      <c r="H98" s="11"/>
      <c r="I98" s="11"/>
      <c r="J98" s="11"/>
      <c r="K98" s="11"/>
      <c r="L98" s="3"/>
      <c r="M98" s="3"/>
      <c r="N98" s="3"/>
      <c r="O98" s="3"/>
      <c r="P98" s="3"/>
      <c r="Q98" s="3"/>
      <c r="R98" s="3"/>
      <c r="S98" s="3"/>
      <c r="T98" s="3"/>
      <c r="U98" s="3"/>
      <c r="V98" s="3"/>
      <c r="W98" s="3"/>
      <c r="X98" s="3"/>
      <c r="Y98" s="3"/>
      <c r="Z98" s="3"/>
      <c r="AA98" s="3"/>
      <c r="AB98" s="3"/>
      <c r="AC98" s="3"/>
      <c r="AD98" s="3"/>
    </row>
    <row r="99" spans="2:30" ht="18.75" x14ac:dyDescent="0.35">
      <c r="B99" s="12" t="s">
        <v>81</v>
      </c>
      <c r="C99" s="11" t="s">
        <v>111</v>
      </c>
      <c r="D99" s="11"/>
      <c r="E99" s="11"/>
      <c r="F99" s="11"/>
      <c r="G99" s="11"/>
      <c r="H99" s="11"/>
      <c r="I99" s="11"/>
      <c r="J99" s="11"/>
      <c r="K99" s="11"/>
      <c r="L99" s="3"/>
      <c r="M99" s="3"/>
      <c r="N99" s="3"/>
      <c r="O99" s="3"/>
      <c r="P99" s="3"/>
      <c r="Q99" s="3"/>
      <c r="R99" s="3"/>
      <c r="S99" s="3"/>
      <c r="T99" s="3"/>
      <c r="U99" s="3"/>
      <c r="V99" s="3"/>
      <c r="W99" s="3"/>
      <c r="X99" s="3"/>
      <c r="Y99" s="3"/>
      <c r="Z99" s="3"/>
      <c r="AA99" s="3"/>
      <c r="AB99" s="3"/>
      <c r="AC99" s="3"/>
      <c r="AD99" s="3"/>
    </row>
    <row r="100" spans="2:30" ht="15.75" x14ac:dyDescent="0.25">
      <c r="B100" s="11"/>
      <c r="C100" s="11" t="s">
        <v>73</v>
      </c>
      <c r="D100" s="11"/>
      <c r="E100" s="11"/>
      <c r="F100" s="11"/>
      <c r="G100" s="11"/>
      <c r="H100" s="11"/>
      <c r="I100" s="11"/>
      <c r="J100" s="11"/>
      <c r="K100" s="11"/>
      <c r="L100" s="3"/>
      <c r="M100" s="3"/>
      <c r="N100" s="3"/>
      <c r="O100" s="3"/>
      <c r="P100" s="3"/>
      <c r="Q100" s="3"/>
      <c r="R100" s="3"/>
      <c r="S100" s="3"/>
      <c r="T100" s="3"/>
      <c r="U100" s="3"/>
      <c r="V100" s="3"/>
      <c r="W100" s="3"/>
      <c r="X100" s="3"/>
      <c r="Y100" s="3"/>
      <c r="Z100" s="3"/>
      <c r="AA100" s="3"/>
      <c r="AB100" s="3"/>
      <c r="AC100" s="3"/>
      <c r="AD100" s="3"/>
    </row>
    <row r="101" spans="2:30" ht="15.75" x14ac:dyDescent="0.25">
      <c r="B101" s="11"/>
      <c r="C101" s="11"/>
      <c r="D101" s="11"/>
      <c r="E101" s="11"/>
      <c r="F101" s="11"/>
      <c r="G101" s="11"/>
      <c r="H101" s="11"/>
      <c r="I101" s="11"/>
      <c r="J101" s="11"/>
      <c r="K101" s="11"/>
      <c r="L101" s="3"/>
      <c r="M101" s="3"/>
      <c r="N101" s="3"/>
      <c r="O101" s="3"/>
      <c r="P101" s="3"/>
      <c r="Q101" s="3"/>
      <c r="R101" s="3"/>
      <c r="S101" s="3"/>
      <c r="T101" s="3"/>
      <c r="U101" s="3"/>
      <c r="V101" s="3"/>
      <c r="W101" s="3"/>
      <c r="X101" s="3"/>
      <c r="Y101" s="3"/>
      <c r="Z101" s="3"/>
      <c r="AA101" s="3"/>
      <c r="AB101" s="3"/>
      <c r="AC101" s="3"/>
      <c r="AD101" s="3"/>
    </row>
    <row r="102" spans="2:30" ht="18.75" x14ac:dyDescent="0.35">
      <c r="B102" s="11"/>
      <c r="C102" s="11" t="s">
        <v>88</v>
      </c>
      <c r="D102" s="11" t="s">
        <v>74</v>
      </c>
      <c r="E102" s="11"/>
      <c r="F102" s="11"/>
      <c r="G102" s="11"/>
      <c r="H102" s="11"/>
      <c r="I102" s="11"/>
      <c r="J102" s="11"/>
      <c r="K102" s="11"/>
      <c r="L102" s="3"/>
      <c r="M102" s="3"/>
      <c r="N102" s="3"/>
      <c r="O102" s="3"/>
      <c r="P102" s="3"/>
      <c r="Q102" s="3"/>
      <c r="R102" s="3"/>
      <c r="S102" s="3"/>
      <c r="T102" s="3"/>
      <c r="U102" s="3"/>
      <c r="V102" s="3"/>
      <c r="W102" s="3"/>
      <c r="X102" s="3"/>
      <c r="Y102" s="3"/>
      <c r="Z102" s="3"/>
      <c r="AA102" s="3"/>
      <c r="AB102" s="3"/>
      <c r="AC102" s="3"/>
      <c r="AD102" s="3"/>
    </row>
    <row r="103" spans="2:30" ht="18.75" x14ac:dyDescent="0.35">
      <c r="B103" s="11"/>
      <c r="C103" s="11" t="s">
        <v>89</v>
      </c>
      <c r="D103" s="11" t="s">
        <v>75</v>
      </c>
      <c r="E103" s="11"/>
      <c r="F103" s="11"/>
      <c r="G103" s="11"/>
      <c r="H103" s="11"/>
      <c r="I103" s="11"/>
      <c r="J103" s="11"/>
      <c r="K103" s="11"/>
      <c r="L103" s="3"/>
      <c r="M103" s="3"/>
      <c r="N103" s="3"/>
      <c r="O103" s="3"/>
      <c r="P103" s="3"/>
      <c r="Q103" s="3"/>
      <c r="R103" s="3"/>
      <c r="S103" s="3"/>
      <c r="T103" s="3"/>
      <c r="U103" s="3"/>
      <c r="V103" s="3"/>
      <c r="W103" s="3"/>
      <c r="X103" s="3"/>
      <c r="Y103" s="3"/>
      <c r="Z103" s="3"/>
      <c r="AA103" s="3"/>
      <c r="AB103" s="3"/>
      <c r="AC103" s="3"/>
      <c r="AD103" s="3"/>
    </row>
    <row r="104" spans="2:30" ht="15.75" x14ac:dyDescent="0.25">
      <c r="B104" s="11"/>
      <c r="C104" s="3"/>
      <c r="D104" s="3"/>
      <c r="E104" s="3"/>
      <c r="F104" s="3"/>
      <c r="G104" s="3"/>
      <c r="H104" s="3"/>
      <c r="I104" s="3"/>
      <c r="J104" s="3"/>
      <c r="K104" s="11"/>
      <c r="L104" s="3"/>
      <c r="M104" s="3"/>
      <c r="N104" s="3"/>
      <c r="O104" s="3"/>
      <c r="P104" s="3"/>
      <c r="Q104" s="3"/>
      <c r="R104" s="3"/>
      <c r="S104" s="3"/>
      <c r="T104" s="3"/>
      <c r="U104" s="3"/>
      <c r="V104" s="3"/>
      <c r="W104" s="3"/>
      <c r="X104" s="3"/>
      <c r="Y104" s="3"/>
      <c r="Z104" s="3"/>
      <c r="AA104" s="3"/>
      <c r="AB104" s="3"/>
      <c r="AC104" s="3"/>
      <c r="AD104" s="3"/>
    </row>
    <row r="105" spans="2:30" ht="15.75" x14ac:dyDescent="0.25">
      <c r="B105" s="11"/>
      <c r="C105" s="16" t="s">
        <v>54</v>
      </c>
      <c r="D105" s="16"/>
      <c r="E105" s="16"/>
      <c r="F105" s="16" t="s">
        <v>76</v>
      </c>
      <c r="G105" s="16"/>
      <c r="H105" s="16"/>
      <c r="I105" s="16" t="s">
        <v>57</v>
      </c>
      <c r="J105" s="11"/>
      <c r="K105" s="11"/>
      <c r="L105" s="3"/>
      <c r="M105" s="3"/>
      <c r="N105" s="3"/>
      <c r="O105" s="3"/>
      <c r="P105" s="3"/>
      <c r="Q105" s="3"/>
      <c r="R105" s="3"/>
      <c r="S105" s="3"/>
      <c r="T105" s="3"/>
      <c r="U105" s="3"/>
      <c r="V105" s="3"/>
      <c r="W105" s="3"/>
      <c r="X105" s="3"/>
      <c r="Y105" s="3"/>
      <c r="Z105" s="3"/>
      <c r="AA105" s="3"/>
      <c r="AB105" s="3"/>
      <c r="AC105" s="3"/>
      <c r="AD105" s="3"/>
    </row>
    <row r="106" spans="2:30" ht="15.75" x14ac:dyDescent="0.25">
      <c r="B106" s="11"/>
      <c r="C106" s="11" t="s">
        <v>68</v>
      </c>
      <c r="D106" s="16">
        <f>F73</f>
        <v>42.599999999999859</v>
      </c>
      <c r="E106" s="11"/>
      <c r="F106" s="11" t="s">
        <v>68</v>
      </c>
      <c r="G106" s="16">
        <f>F74</f>
        <v>40.233802816901282</v>
      </c>
      <c r="H106" s="11"/>
      <c r="I106" s="11" t="s">
        <v>68</v>
      </c>
      <c r="J106" s="16">
        <f>F76</f>
        <v>14.205633802816857</v>
      </c>
      <c r="K106" s="11"/>
      <c r="L106" s="3"/>
      <c r="M106" s="3"/>
      <c r="N106" s="3"/>
      <c r="O106" s="3"/>
      <c r="P106" s="3"/>
      <c r="Q106" s="3"/>
      <c r="R106" s="3"/>
      <c r="S106" s="3"/>
      <c r="T106" s="3"/>
      <c r="U106" s="3"/>
      <c r="V106" s="3"/>
      <c r="W106" s="3"/>
      <c r="X106" s="3"/>
      <c r="Y106" s="3"/>
      <c r="Z106" s="3"/>
      <c r="AA106" s="3"/>
      <c r="AB106" s="3"/>
      <c r="AC106" s="3"/>
      <c r="AD106" s="3"/>
    </row>
    <row r="107" spans="2:30" ht="15.75" x14ac:dyDescent="0.25">
      <c r="B107" s="11"/>
      <c r="C107" s="11" t="s">
        <v>69</v>
      </c>
      <c r="D107" s="16">
        <f>G73</f>
        <v>4.7472253467225149</v>
      </c>
      <c r="E107" s="11"/>
      <c r="F107" s="11" t="s">
        <v>69</v>
      </c>
      <c r="G107" s="16">
        <f>D107</f>
        <v>4.7472253467225149</v>
      </c>
      <c r="H107" s="11"/>
      <c r="I107" s="11" t="s">
        <v>69</v>
      </c>
      <c r="J107" s="16">
        <f>G107</f>
        <v>4.7472253467225149</v>
      </c>
      <c r="K107" s="11"/>
      <c r="L107" s="3"/>
      <c r="M107" s="3"/>
      <c r="N107" s="3"/>
      <c r="O107" s="3"/>
      <c r="P107" s="3"/>
      <c r="Q107" s="3"/>
      <c r="R107" s="3"/>
      <c r="S107" s="3"/>
      <c r="T107" s="3"/>
      <c r="U107" s="3"/>
      <c r="V107" s="3"/>
      <c r="W107" s="3"/>
      <c r="X107" s="3"/>
      <c r="Y107" s="3"/>
      <c r="Z107" s="3"/>
      <c r="AA107" s="3"/>
      <c r="AB107" s="3"/>
      <c r="AC107" s="3"/>
      <c r="AD107" s="3"/>
    </row>
    <row r="108" spans="2:30" ht="15.75" x14ac:dyDescent="0.25">
      <c r="B108" s="11"/>
      <c r="C108" s="11"/>
      <c r="D108" s="11"/>
      <c r="E108" s="11"/>
      <c r="F108" s="11"/>
      <c r="G108" s="11"/>
      <c r="H108" s="11"/>
      <c r="I108" s="11"/>
      <c r="J108" s="11"/>
      <c r="K108" s="11"/>
      <c r="L108" s="3"/>
      <c r="M108" s="3"/>
      <c r="N108" s="3"/>
      <c r="O108" s="3"/>
      <c r="P108" s="3"/>
      <c r="Q108" s="3"/>
      <c r="R108" s="3"/>
      <c r="S108" s="3"/>
      <c r="T108" s="3"/>
      <c r="U108" s="3"/>
      <c r="V108" s="3"/>
      <c r="W108" s="3"/>
      <c r="X108" s="3"/>
      <c r="Y108" s="3"/>
      <c r="Z108" s="3"/>
      <c r="AA108" s="3"/>
      <c r="AB108" s="3"/>
      <c r="AC108" s="3"/>
      <c r="AD108" s="3"/>
    </row>
    <row r="109" spans="2:30" ht="18.75" x14ac:dyDescent="0.35">
      <c r="B109" s="12" t="s">
        <v>81</v>
      </c>
      <c r="C109" s="11" t="s">
        <v>200</v>
      </c>
      <c r="D109" s="11"/>
      <c r="E109" s="11"/>
      <c r="F109" s="11"/>
      <c r="G109" s="11"/>
      <c r="H109" s="11"/>
      <c r="I109" s="11"/>
      <c r="J109" s="11"/>
      <c r="K109" s="11"/>
      <c r="L109" s="3"/>
      <c r="M109" s="3"/>
      <c r="N109" s="3"/>
      <c r="O109" s="3"/>
      <c r="P109" s="3"/>
      <c r="Q109" s="3"/>
      <c r="R109" s="3"/>
      <c r="S109" s="3"/>
      <c r="T109" s="3"/>
      <c r="U109" s="3"/>
      <c r="V109" s="3"/>
      <c r="W109" s="3"/>
      <c r="X109" s="3"/>
      <c r="Y109" s="3"/>
      <c r="Z109" s="3"/>
      <c r="AA109" s="3"/>
      <c r="AB109" s="3"/>
      <c r="AC109" s="3"/>
      <c r="AD109" s="3"/>
    </row>
    <row r="110" spans="2:30" ht="15.75" x14ac:dyDescent="0.25">
      <c r="B110" s="11"/>
      <c r="C110" s="11" t="s">
        <v>77</v>
      </c>
      <c r="D110" s="11"/>
      <c r="E110" s="11"/>
      <c r="F110" s="11"/>
      <c r="G110" s="11"/>
      <c r="H110" s="11"/>
      <c r="I110" s="11"/>
      <c r="J110" s="11"/>
      <c r="K110" s="11"/>
      <c r="L110" s="3"/>
      <c r="M110" s="3"/>
      <c r="N110" s="3"/>
      <c r="O110" s="3"/>
      <c r="P110" s="3"/>
      <c r="Q110" s="3"/>
      <c r="R110" s="3"/>
      <c r="S110" s="3"/>
      <c r="T110" s="3"/>
      <c r="U110" s="3"/>
      <c r="V110" s="3"/>
      <c r="W110" s="3"/>
      <c r="X110" s="3"/>
      <c r="Y110" s="3"/>
      <c r="Z110" s="3"/>
      <c r="AA110" s="3"/>
      <c r="AB110" s="3"/>
      <c r="AC110" s="3"/>
      <c r="AD110" s="3"/>
    </row>
    <row r="111" spans="2:30" ht="15.75" x14ac:dyDescent="0.25">
      <c r="B111" s="11"/>
      <c r="C111" s="11"/>
      <c r="D111" s="11"/>
      <c r="E111" s="11"/>
      <c r="F111" s="11"/>
      <c r="G111" s="11"/>
      <c r="H111" s="11"/>
      <c r="I111" s="11"/>
      <c r="J111" s="11"/>
      <c r="K111" s="11"/>
      <c r="L111" s="3"/>
      <c r="M111" s="3"/>
      <c r="N111" s="3"/>
      <c r="O111" s="3"/>
      <c r="P111" s="3"/>
      <c r="Q111" s="3"/>
      <c r="R111" s="3"/>
      <c r="S111" s="3"/>
      <c r="T111" s="3"/>
      <c r="U111" s="3"/>
      <c r="V111" s="3"/>
      <c r="W111" s="3"/>
      <c r="X111" s="3"/>
      <c r="Y111" s="3"/>
      <c r="Z111" s="3"/>
      <c r="AA111" s="3"/>
      <c r="AB111" s="3"/>
      <c r="AC111" s="3"/>
      <c r="AD111" s="3"/>
    </row>
    <row r="112" spans="2:30" ht="18.75" x14ac:dyDescent="0.35">
      <c r="B112" s="11"/>
      <c r="C112" s="11" t="s">
        <v>91</v>
      </c>
      <c r="D112" s="11" t="s">
        <v>78</v>
      </c>
      <c r="E112" s="11"/>
      <c r="F112" s="11"/>
      <c r="G112" s="11"/>
      <c r="H112" s="11"/>
      <c r="I112" s="11"/>
      <c r="J112" s="11"/>
      <c r="K112" s="11"/>
      <c r="L112" s="3"/>
      <c r="M112" s="3"/>
      <c r="N112" s="3"/>
      <c r="O112" s="3"/>
      <c r="P112" s="3"/>
      <c r="Q112" s="3"/>
      <c r="R112" s="3"/>
      <c r="S112" s="3"/>
      <c r="T112" s="3"/>
      <c r="U112" s="3"/>
      <c r="V112" s="3"/>
      <c r="W112" s="3"/>
      <c r="X112" s="3"/>
      <c r="Y112" s="3"/>
      <c r="Z112" s="3"/>
      <c r="AA112" s="3"/>
      <c r="AB112" s="3"/>
      <c r="AC112" s="3"/>
      <c r="AD112" s="3"/>
    </row>
    <row r="113" spans="2:30" ht="18.75" x14ac:dyDescent="0.35">
      <c r="B113" s="11"/>
      <c r="C113" s="11" t="s">
        <v>92</v>
      </c>
      <c r="D113" s="11" t="s">
        <v>79</v>
      </c>
      <c r="E113" s="11"/>
      <c r="F113" s="11"/>
      <c r="G113" s="11"/>
      <c r="H113" s="11"/>
      <c r="I113" s="11"/>
      <c r="J113" s="11"/>
      <c r="K113" s="11"/>
      <c r="L113" s="3"/>
      <c r="M113" s="3"/>
      <c r="N113" s="3"/>
      <c r="O113" s="3"/>
      <c r="P113" s="3"/>
      <c r="Q113" s="3"/>
      <c r="R113" s="3"/>
      <c r="S113" s="3"/>
      <c r="T113" s="3"/>
      <c r="U113" s="3"/>
      <c r="V113" s="3"/>
      <c r="W113" s="3"/>
      <c r="X113" s="3"/>
      <c r="Y113" s="3"/>
      <c r="Z113" s="3"/>
      <c r="AA113" s="3"/>
      <c r="AB113" s="3"/>
      <c r="AC113" s="3"/>
      <c r="AD113" s="3"/>
    </row>
    <row r="114" spans="2:30" ht="15.75" x14ac:dyDescent="0.25">
      <c r="B114" s="11"/>
      <c r="C114" s="11"/>
      <c r="D114" s="11"/>
      <c r="E114" s="11"/>
      <c r="F114" s="11"/>
      <c r="G114" s="11"/>
      <c r="H114" s="11"/>
      <c r="I114" s="11"/>
      <c r="J114" s="11"/>
      <c r="K114" s="11"/>
      <c r="L114" s="3"/>
      <c r="M114" s="3"/>
      <c r="N114" s="3"/>
      <c r="O114" s="3"/>
      <c r="P114" s="3"/>
      <c r="Q114" s="3"/>
      <c r="R114" s="3"/>
      <c r="S114" s="3"/>
      <c r="T114" s="3"/>
      <c r="U114" s="3"/>
      <c r="V114" s="3"/>
      <c r="W114" s="3"/>
      <c r="X114" s="3"/>
      <c r="Y114" s="3"/>
      <c r="Z114" s="3"/>
      <c r="AA114" s="3"/>
      <c r="AB114" s="3"/>
      <c r="AC114" s="3"/>
      <c r="AD114" s="3"/>
    </row>
    <row r="115" spans="2:30" ht="15.75" x14ac:dyDescent="0.25">
      <c r="B115" s="3"/>
      <c r="C115" s="16" t="s">
        <v>56</v>
      </c>
      <c r="D115" s="16"/>
      <c r="E115" s="16"/>
      <c r="F115" s="16" t="s">
        <v>59</v>
      </c>
      <c r="G115" s="16"/>
      <c r="H115" s="16"/>
      <c r="I115" s="16" t="s">
        <v>58</v>
      </c>
      <c r="J115" s="11"/>
      <c r="K115" s="3"/>
      <c r="L115" s="11"/>
      <c r="M115" s="11"/>
      <c r="N115" s="3"/>
      <c r="O115" s="3"/>
      <c r="P115" s="3"/>
      <c r="Q115" s="3"/>
      <c r="R115" s="3"/>
      <c r="S115" s="3"/>
      <c r="T115" s="3"/>
      <c r="U115" s="3"/>
      <c r="V115" s="3"/>
      <c r="W115" s="3"/>
      <c r="X115" s="3"/>
      <c r="Y115" s="3"/>
      <c r="Z115" s="3"/>
      <c r="AA115" s="3"/>
      <c r="AB115" s="3"/>
      <c r="AC115" s="3"/>
      <c r="AD115" s="3"/>
    </row>
    <row r="116" spans="2:30" ht="15.75" x14ac:dyDescent="0.25">
      <c r="B116" s="3"/>
      <c r="C116" s="11" t="s">
        <v>68</v>
      </c>
      <c r="D116" s="16">
        <f>F75</f>
        <v>37.93521126760551</v>
      </c>
      <c r="E116" s="11"/>
      <c r="F116" s="11" t="s">
        <v>68</v>
      </c>
      <c r="G116" s="16">
        <f>F78</f>
        <v>25.563380281690058</v>
      </c>
      <c r="H116" s="11"/>
      <c r="I116" s="11" t="s">
        <v>68</v>
      </c>
      <c r="J116" s="16">
        <f>F77</f>
        <v>0.21126760563380215</v>
      </c>
      <c r="K116" s="3"/>
      <c r="L116" s="11"/>
      <c r="M116" s="11"/>
      <c r="N116" s="3"/>
      <c r="O116" s="3"/>
      <c r="P116" s="3"/>
      <c r="Q116" s="3"/>
      <c r="R116" s="3"/>
      <c r="S116" s="3"/>
      <c r="T116" s="3"/>
      <c r="U116" s="3"/>
      <c r="V116" s="3"/>
      <c r="W116" s="3"/>
      <c r="X116" s="3"/>
      <c r="Y116" s="3"/>
      <c r="Z116" s="3"/>
      <c r="AA116" s="3"/>
      <c r="AB116" s="3"/>
      <c r="AC116" s="3"/>
      <c r="AD116" s="3"/>
    </row>
    <row r="117" spans="2:30" ht="15.75" x14ac:dyDescent="0.25">
      <c r="B117" s="3"/>
      <c r="C117" s="11" t="s">
        <v>69</v>
      </c>
      <c r="D117" s="16">
        <f>G75</f>
        <v>4.7472253467225149</v>
      </c>
      <c r="E117" s="11"/>
      <c r="F117" s="11" t="s">
        <v>69</v>
      </c>
      <c r="G117" s="16">
        <f>D117</f>
        <v>4.7472253467225149</v>
      </c>
      <c r="H117" s="11"/>
      <c r="I117" s="11" t="s">
        <v>69</v>
      </c>
      <c r="J117" s="16">
        <f>G117</f>
        <v>4.7472253467225149</v>
      </c>
      <c r="K117" s="3"/>
      <c r="L117" s="11"/>
      <c r="M117" s="11"/>
      <c r="N117" s="3"/>
      <c r="O117" s="3"/>
      <c r="P117" s="3"/>
      <c r="Q117" s="3"/>
      <c r="R117" s="3"/>
      <c r="S117" s="3"/>
      <c r="T117" s="3"/>
      <c r="U117" s="3"/>
      <c r="V117" s="3"/>
      <c r="W117" s="3"/>
      <c r="X117" s="3"/>
      <c r="Y117" s="3"/>
      <c r="Z117" s="3"/>
      <c r="AA117" s="3"/>
      <c r="AB117" s="3"/>
      <c r="AC117" s="3"/>
      <c r="AD117" s="3"/>
    </row>
    <row r="118" spans="2:30" ht="15.75" x14ac:dyDescent="0.25">
      <c r="B118" s="3"/>
      <c r="C118" s="3"/>
      <c r="D118" s="3"/>
      <c r="E118" s="3"/>
      <c r="F118" s="3"/>
      <c r="G118" s="3"/>
      <c r="H118" s="3"/>
      <c r="I118" s="3"/>
      <c r="J118" s="16"/>
      <c r="K118" s="3"/>
      <c r="L118" s="3"/>
      <c r="M118" s="3"/>
      <c r="N118" s="3"/>
      <c r="O118" s="3"/>
      <c r="P118" s="3"/>
      <c r="Q118" s="3"/>
      <c r="R118" s="3"/>
      <c r="S118" s="3"/>
      <c r="T118" s="3"/>
      <c r="U118" s="3"/>
      <c r="V118" s="3"/>
      <c r="W118" s="3"/>
      <c r="X118" s="3"/>
      <c r="Y118" s="3"/>
      <c r="Z118" s="3"/>
      <c r="AA118" s="3"/>
      <c r="AB118" s="3"/>
      <c r="AC118" s="3"/>
      <c r="AD118" s="3"/>
    </row>
    <row r="119" spans="2:30" ht="15.75" x14ac:dyDescent="0.25">
      <c r="B119" s="11"/>
      <c r="C119" s="11"/>
      <c r="D119" s="11"/>
      <c r="E119" s="11"/>
      <c r="F119" s="11"/>
      <c r="G119" s="11"/>
      <c r="H119" s="11"/>
      <c r="I119" s="11"/>
      <c r="J119" s="11"/>
      <c r="K119" s="11"/>
      <c r="L119" s="11"/>
      <c r="M119" s="11"/>
      <c r="N119" s="3"/>
      <c r="O119" s="3"/>
      <c r="P119" s="3"/>
      <c r="Q119" s="3"/>
      <c r="R119" s="3"/>
      <c r="S119" s="3"/>
      <c r="T119" s="3"/>
      <c r="U119" s="3"/>
      <c r="V119" s="3"/>
      <c r="W119" s="3"/>
      <c r="X119" s="3"/>
      <c r="Y119" s="3"/>
      <c r="Z119" s="3"/>
      <c r="AA119" s="3"/>
      <c r="AB119" s="3"/>
      <c r="AC119" s="3"/>
      <c r="AD119" s="3"/>
    </row>
    <row r="120" spans="2:30" ht="18.75" x14ac:dyDescent="0.35">
      <c r="B120" s="12" t="s">
        <v>81</v>
      </c>
      <c r="C120" s="11" t="s">
        <v>112</v>
      </c>
      <c r="D120" s="11"/>
      <c r="E120" s="11"/>
      <c r="F120" s="11"/>
      <c r="G120" s="11"/>
      <c r="H120" s="11"/>
      <c r="I120" s="11"/>
      <c r="J120" s="11"/>
      <c r="K120" s="11"/>
      <c r="L120" s="11"/>
      <c r="M120" s="11"/>
      <c r="N120" s="3"/>
      <c r="O120" s="3"/>
      <c r="P120" s="3"/>
      <c r="Q120" s="3"/>
      <c r="R120" s="3"/>
      <c r="S120" s="3"/>
      <c r="T120" s="3"/>
      <c r="U120" s="3"/>
      <c r="V120" s="3"/>
      <c r="W120" s="3"/>
      <c r="X120" s="3"/>
      <c r="Y120" s="3"/>
      <c r="Z120" s="3"/>
      <c r="AA120" s="3"/>
      <c r="AB120" s="3"/>
      <c r="AC120" s="3"/>
      <c r="AD120" s="3"/>
    </row>
    <row r="121" spans="2:30" ht="15.75" x14ac:dyDescent="0.25">
      <c r="B121" s="11"/>
      <c r="C121" s="11" t="s">
        <v>115</v>
      </c>
      <c r="D121" s="11"/>
      <c r="E121" s="11"/>
      <c r="F121" s="11"/>
      <c r="G121" s="11"/>
      <c r="H121" s="11"/>
      <c r="I121" s="11"/>
      <c r="J121" s="11"/>
      <c r="K121" s="11"/>
      <c r="L121" s="11"/>
      <c r="M121" s="11"/>
      <c r="N121" s="3"/>
      <c r="O121" s="3"/>
      <c r="P121" s="3"/>
      <c r="Q121" s="3"/>
      <c r="R121" s="3"/>
      <c r="S121" s="3"/>
      <c r="T121" s="3"/>
      <c r="U121" s="3"/>
      <c r="V121" s="3"/>
      <c r="W121" s="3"/>
      <c r="X121" s="3"/>
      <c r="Y121" s="3"/>
      <c r="Z121" s="3"/>
      <c r="AA121" s="3"/>
      <c r="AB121" s="3"/>
      <c r="AC121" s="3"/>
      <c r="AD121" s="3"/>
    </row>
    <row r="122" spans="2:30" ht="18.75" x14ac:dyDescent="0.35">
      <c r="B122" s="11"/>
      <c r="C122" s="11" t="s">
        <v>113</v>
      </c>
      <c r="D122" s="11"/>
      <c r="E122" s="11"/>
      <c r="F122" s="11"/>
      <c r="G122" s="11"/>
      <c r="H122" s="11"/>
      <c r="I122" s="11"/>
      <c r="J122" s="11"/>
      <c r="K122" s="11"/>
      <c r="L122" s="11"/>
      <c r="M122" s="11"/>
      <c r="N122" s="3"/>
      <c r="O122" s="3"/>
      <c r="P122" s="3"/>
      <c r="Q122" s="3"/>
      <c r="R122" s="3"/>
      <c r="S122" s="3"/>
      <c r="T122" s="3"/>
      <c r="U122" s="3"/>
      <c r="V122" s="3"/>
      <c r="W122" s="3"/>
      <c r="X122" s="3"/>
      <c r="Y122" s="3"/>
      <c r="Z122" s="3"/>
      <c r="AA122" s="3"/>
      <c r="AB122" s="3"/>
      <c r="AC122" s="3"/>
      <c r="AD122" s="3"/>
    </row>
    <row r="123" spans="2:30" ht="15.75" x14ac:dyDescent="0.25">
      <c r="B123" s="11"/>
      <c r="C123" s="11" t="s">
        <v>114</v>
      </c>
      <c r="D123" s="11"/>
      <c r="E123" s="11"/>
      <c r="F123" s="11"/>
      <c r="G123" s="11"/>
      <c r="H123" s="11"/>
      <c r="I123" s="11"/>
      <c r="J123" s="11"/>
      <c r="K123" s="11"/>
      <c r="L123" s="11"/>
      <c r="M123" s="11"/>
      <c r="N123" s="3"/>
      <c r="O123" s="3"/>
      <c r="P123" s="3"/>
      <c r="Q123" s="3"/>
      <c r="R123" s="3"/>
      <c r="S123" s="3"/>
      <c r="T123" s="3"/>
      <c r="U123" s="3"/>
      <c r="V123" s="3"/>
      <c r="W123" s="3"/>
      <c r="X123" s="3"/>
      <c r="Y123" s="3"/>
      <c r="Z123" s="3"/>
      <c r="AA123" s="3"/>
      <c r="AB123" s="3"/>
      <c r="AC123" s="3"/>
      <c r="AD123" s="3"/>
    </row>
    <row r="124" spans="2:30" ht="15.75" x14ac:dyDescent="0.25">
      <c r="B124" s="11"/>
      <c r="C124" s="11"/>
      <c r="D124" s="11"/>
      <c r="E124" s="11"/>
      <c r="F124" s="11"/>
      <c r="G124" s="11"/>
      <c r="H124" s="11"/>
      <c r="I124" s="11"/>
      <c r="J124" s="11"/>
      <c r="K124" s="11"/>
      <c r="L124" s="11"/>
      <c r="M124" s="11"/>
      <c r="N124" s="3"/>
      <c r="O124" s="3"/>
      <c r="P124" s="3"/>
      <c r="Q124" s="3"/>
      <c r="R124" s="3"/>
      <c r="S124" s="3"/>
      <c r="T124" s="3"/>
      <c r="U124" s="3"/>
      <c r="V124" s="3"/>
      <c r="W124" s="3"/>
      <c r="X124" s="3"/>
      <c r="Y124" s="3"/>
      <c r="Z124" s="3"/>
      <c r="AA124" s="3"/>
      <c r="AB124" s="3"/>
      <c r="AC124" s="3"/>
      <c r="AD124" s="3"/>
    </row>
    <row r="125" spans="2:30" ht="15.75" x14ac:dyDescent="0.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row>
    <row r="126" spans="2:30" ht="15.75" x14ac:dyDescent="0.25">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row>
    <row r="127" spans="2:30" ht="15.75" x14ac:dyDescent="0.25">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row>
    <row r="128" spans="2:30" ht="15.75" x14ac:dyDescent="0.25">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row>
    <row r="129" spans="2:30" ht="15.75" x14ac:dyDescent="0.25">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row>
    <row r="130" spans="2:30" ht="15.75" x14ac:dyDescent="0.25">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row>
    <row r="131" spans="2:30" ht="15.75" x14ac:dyDescent="0.25">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row>
    <row r="132" spans="2:30" ht="15.75" x14ac:dyDescent="0.25">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row>
    <row r="133" spans="2:30" ht="15.75" x14ac:dyDescent="0.25">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row>
    <row r="134" spans="2:30" ht="15.75" x14ac:dyDescent="0.25">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row>
    <row r="135" spans="2:30" ht="15.75" x14ac:dyDescent="0.2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row>
    <row r="136" spans="2:30" ht="15.75" x14ac:dyDescent="0.25">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row>
    <row r="137" spans="2:30" ht="15.75" x14ac:dyDescent="0.25">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row>
    <row r="138" spans="2:30" ht="15.75" x14ac:dyDescent="0.25">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row>
    <row r="139" spans="2:30" ht="15.75" x14ac:dyDescent="0.25">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row>
    <row r="140" spans="2:30" ht="15.75" x14ac:dyDescent="0.25">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row>
    <row r="141" spans="2:30" ht="15.75" x14ac:dyDescent="0.25">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row>
    <row r="142" spans="2:30" ht="15.75" x14ac:dyDescent="0.25">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row>
    <row r="143" spans="2:30" ht="15.75" x14ac:dyDescent="0.25">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row>
    <row r="144" spans="2:30" ht="15.75" x14ac:dyDescent="0.25">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row>
    <row r="145" spans="2:30" ht="15.75" x14ac:dyDescent="0.2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row>
    <row r="146" spans="2:30" ht="15.75" x14ac:dyDescent="0.25">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row>
    <row r="147" spans="2:30" ht="15.75" x14ac:dyDescent="0.25">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row>
  </sheetData>
  <mergeCells count="9">
    <mergeCell ref="B2:N2"/>
    <mergeCell ref="B53:D55"/>
    <mergeCell ref="B61:E63"/>
    <mergeCell ref="B57:E59"/>
    <mergeCell ref="B36:B37"/>
    <mergeCell ref="B49:C51"/>
    <mergeCell ref="B8:C8"/>
    <mergeCell ref="B4:C4"/>
    <mergeCell ref="B12:C12"/>
  </mergeCells>
  <pageMargins left="0.7" right="0.7" top="0.75" bottom="0.75" header="0.3" footer="0.3"/>
  <pageSetup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3BE21-A3E7-481B-B533-5A55C02A7AF3}">
  <dimension ref="A2:R167"/>
  <sheetViews>
    <sheetView topLeftCell="A101" zoomScale="115" zoomScaleNormal="115" workbookViewId="0">
      <selection activeCell="C110" sqref="C110"/>
    </sheetView>
  </sheetViews>
  <sheetFormatPr defaultRowHeight="15" x14ac:dyDescent="0.25"/>
  <cols>
    <col min="1" max="1" width="11.5703125" customWidth="1"/>
    <col min="2" max="2" width="11.7109375" customWidth="1"/>
    <col min="3" max="3" width="11.140625" customWidth="1"/>
    <col min="4" max="4" width="12.5703125" customWidth="1"/>
    <col min="6" max="6" width="11.140625" bestFit="1" customWidth="1"/>
    <col min="8" max="8" width="11.5703125" customWidth="1"/>
    <col min="14" max="14" width="10.7109375" customWidth="1"/>
  </cols>
  <sheetData>
    <row r="2" spans="1:6" ht="15.75" x14ac:dyDescent="0.25">
      <c r="A2" s="2" t="s">
        <v>264</v>
      </c>
      <c r="B2" s="136" t="s">
        <v>265</v>
      </c>
    </row>
    <row r="3" spans="1:6" ht="16.5" thickBot="1" x14ac:dyDescent="0.3">
      <c r="A3" s="2"/>
      <c r="B3" s="72" t="s">
        <v>224</v>
      </c>
    </row>
    <row r="4" spans="1:6" ht="15.75" thickBot="1" x14ac:dyDescent="0.3">
      <c r="A4" s="2"/>
      <c r="B4" s="73" t="s">
        <v>225</v>
      </c>
      <c r="C4" s="141" t="s">
        <v>24</v>
      </c>
      <c r="D4" s="141" t="s">
        <v>266</v>
      </c>
      <c r="E4" s="141" t="s">
        <v>267</v>
      </c>
      <c r="F4" s="141" t="s">
        <v>268</v>
      </c>
    </row>
    <row r="5" spans="1:6" ht="16.5" thickBot="1" x14ac:dyDescent="0.3">
      <c r="A5" s="2"/>
      <c r="B5" s="75" t="s">
        <v>230</v>
      </c>
      <c r="C5" s="142" t="s">
        <v>269</v>
      </c>
      <c r="D5" s="142" t="s">
        <v>270</v>
      </c>
      <c r="E5" s="142" t="s">
        <v>271</v>
      </c>
      <c r="F5" s="142" t="s">
        <v>272</v>
      </c>
    </row>
    <row r="6" spans="1:6" ht="15.75" x14ac:dyDescent="0.25">
      <c r="A6" s="2"/>
      <c r="B6" s="77" t="s">
        <v>235</v>
      </c>
      <c r="C6" s="13"/>
      <c r="D6" s="13"/>
      <c r="E6" s="13"/>
      <c r="F6" s="13"/>
    </row>
    <row r="7" spans="1:6" ht="16.5" thickBot="1" x14ac:dyDescent="0.3">
      <c r="A7" s="2"/>
      <c r="B7" s="72" t="s">
        <v>236</v>
      </c>
      <c r="C7" s="13"/>
      <c r="D7" s="13"/>
      <c r="E7" s="13"/>
      <c r="F7" s="13"/>
    </row>
    <row r="8" spans="1:6" ht="15.75" thickBot="1" x14ac:dyDescent="0.3">
      <c r="A8" s="2"/>
      <c r="B8" s="73" t="s">
        <v>237</v>
      </c>
      <c r="C8" s="141" t="s">
        <v>273</v>
      </c>
      <c r="D8" s="141" t="s">
        <v>274</v>
      </c>
      <c r="E8" s="141" t="s">
        <v>275</v>
      </c>
      <c r="F8" s="141" t="s">
        <v>276</v>
      </c>
    </row>
    <row r="9" spans="1:6" ht="16.5" thickBot="1" x14ac:dyDescent="0.3">
      <c r="A9" s="2"/>
      <c r="B9" s="75" t="s">
        <v>240</v>
      </c>
      <c r="C9" s="142" t="s">
        <v>277</v>
      </c>
      <c r="D9" s="142" t="s">
        <v>278</v>
      </c>
      <c r="E9" s="142" t="s">
        <v>279</v>
      </c>
      <c r="F9" s="142" t="s">
        <v>280</v>
      </c>
    </row>
    <row r="10" spans="1:6" ht="15.75" x14ac:dyDescent="0.25">
      <c r="A10" s="2"/>
      <c r="B10" s="78"/>
      <c r="C10" s="13"/>
      <c r="D10" s="13"/>
      <c r="E10" s="13"/>
      <c r="F10" s="13"/>
    </row>
    <row r="11" spans="1:6" ht="16.5" thickBot="1" x14ac:dyDescent="0.3">
      <c r="A11" s="2"/>
      <c r="B11" s="72" t="s">
        <v>243</v>
      </c>
      <c r="C11" s="13"/>
      <c r="D11" s="13"/>
      <c r="E11" s="13"/>
      <c r="F11" s="13"/>
    </row>
    <row r="12" spans="1:6" ht="15.75" thickBot="1" x14ac:dyDescent="0.3">
      <c r="A12" s="2"/>
      <c r="B12" s="73" t="s">
        <v>244</v>
      </c>
      <c r="C12" s="141" t="s">
        <v>281</v>
      </c>
      <c r="D12" s="141" t="s">
        <v>282</v>
      </c>
      <c r="E12" s="141" t="s">
        <v>267</v>
      </c>
      <c r="F12" s="141" t="s">
        <v>283</v>
      </c>
    </row>
    <row r="13" spans="1:6" ht="15.75" thickBot="1" x14ac:dyDescent="0.3">
      <c r="A13" s="2"/>
      <c r="B13" s="79" t="s">
        <v>247</v>
      </c>
      <c r="C13" s="142" t="s">
        <v>284</v>
      </c>
      <c r="D13" s="142" t="s">
        <v>273</v>
      </c>
      <c r="E13" s="142" t="s">
        <v>285</v>
      </c>
      <c r="F13" s="142" t="s">
        <v>286</v>
      </c>
    </row>
    <row r="14" spans="1:6" x14ac:dyDescent="0.25">
      <c r="A14" s="2"/>
      <c r="B14" s="140"/>
      <c r="C14" s="143"/>
      <c r="D14" s="143"/>
      <c r="E14" s="143"/>
      <c r="F14" s="143"/>
    </row>
    <row r="15" spans="1:6" ht="16.5" thickBot="1" x14ac:dyDescent="0.3">
      <c r="A15" s="2"/>
      <c r="B15" s="72" t="s">
        <v>287</v>
      </c>
      <c r="C15" s="13"/>
      <c r="D15" s="13"/>
      <c r="E15" s="13"/>
      <c r="F15" s="13"/>
    </row>
    <row r="16" spans="1:6" ht="15.75" thickBot="1" x14ac:dyDescent="0.3">
      <c r="A16" s="2"/>
      <c r="B16" s="73" t="s">
        <v>288</v>
      </c>
      <c r="C16" s="141" t="s">
        <v>289</v>
      </c>
      <c r="D16" s="141" t="s">
        <v>290</v>
      </c>
      <c r="E16" s="141" t="s">
        <v>291</v>
      </c>
      <c r="F16" s="141" t="s">
        <v>292</v>
      </c>
    </row>
    <row r="17" spans="1:9" ht="15.75" thickBot="1" x14ac:dyDescent="0.3">
      <c r="A17" s="2"/>
      <c r="B17" s="79" t="s">
        <v>293</v>
      </c>
      <c r="C17" s="142" t="s">
        <v>294</v>
      </c>
      <c r="D17" s="142" t="s">
        <v>295</v>
      </c>
      <c r="E17" s="142" t="s">
        <v>296</v>
      </c>
      <c r="F17" s="142" t="s">
        <v>297</v>
      </c>
    </row>
    <row r="18" spans="1:9" ht="15.75" thickBot="1" x14ac:dyDescent="0.3"/>
    <row r="19" spans="1:9" ht="15.75" thickBot="1" x14ac:dyDescent="0.3">
      <c r="A19" s="2" t="s">
        <v>263</v>
      </c>
      <c r="B19" s="80" t="s">
        <v>119</v>
      </c>
      <c r="C19" s="80" t="s">
        <v>120</v>
      </c>
      <c r="D19" s="80" t="s">
        <v>121</v>
      </c>
      <c r="E19" s="80" t="s">
        <v>122</v>
      </c>
      <c r="F19" s="80" t="s">
        <v>123</v>
      </c>
      <c r="G19" s="80" t="s">
        <v>124</v>
      </c>
      <c r="H19" s="80" t="s">
        <v>125</v>
      </c>
      <c r="I19" s="80" t="s">
        <v>126</v>
      </c>
    </row>
    <row r="20" spans="1:9" ht="15.75" thickBot="1" x14ac:dyDescent="0.3">
      <c r="B20" s="18" t="s">
        <v>127</v>
      </c>
      <c r="C20" s="18" t="s">
        <v>131</v>
      </c>
      <c r="D20" s="18" t="s">
        <v>135</v>
      </c>
      <c r="E20" s="18" t="s">
        <v>139</v>
      </c>
      <c r="F20" s="18" t="s">
        <v>143</v>
      </c>
      <c r="G20" s="18" t="s">
        <v>146</v>
      </c>
      <c r="H20" s="18" t="s">
        <v>149</v>
      </c>
      <c r="I20" s="18" t="s">
        <v>153</v>
      </c>
    </row>
    <row r="21" spans="1:9" ht="15.75" thickBot="1" x14ac:dyDescent="0.3">
      <c r="B21" s="18" t="s">
        <v>128</v>
      </c>
      <c r="C21" s="18" t="s">
        <v>132</v>
      </c>
      <c r="D21" s="18" t="s">
        <v>136</v>
      </c>
      <c r="E21" s="18" t="s">
        <v>140</v>
      </c>
      <c r="F21" s="18" t="s">
        <v>144</v>
      </c>
      <c r="G21" s="18" t="s">
        <v>135</v>
      </c>
      <c r="H21" s="18" t="s">
        <v>150</v>
      </c>
      <c r="I21" s="18" t="s">
        <v>154</v>
      </c>
    </row>
    <row r="22" spans="1:9" ht="15.75" thickBot="1" x14ac:dyDescent="0.3">
      <c r="B22" s="18" t="s">
        <v>129</v>
      </c>
      <c r="C22" s="18" t="s">
        <v>133</v>
      </c>
      <c r="D22" s="18" t="s">
        <v>137</v>
      </c>
      <c r="E22" s="18" t="s">
        <v>141</v>
      </c>
      <c r="F22" s="18" t="s">
        <v>129</v>
      </c>
      <c r="G22" s="18" t="s">
        <v>147</v>
      </c>
      <c r="H22" s="18" t="s">
        <v>151</v>
      </c>
      <c r="I22" s="18" t="s">
        <v>155</v>
      </c>
    </row>
    <row r="23" spans="1:9" ht="15.75" thickBot="1" x14ac:dyDescent="0.3">
      <c r="B23" s="18" t="s">
        <v>130</v>
      </c>
      <c r="C23" s="18" t="s">
        <v>134</v>
      </c>
      <c r="D23" s="18" t="s">
        <v>138</v>
      </c>
      <c r="E23" s="18" t="s">
        <v>142</v>
      </c>
      <c r="F23" s="18" t="s">
        <v>145</v>
      </c>
      <c r="G23" s="18" t="s">
        <v>148</v>
      </c>
      <c r="H23" s="18" t="s">
        <v>152</v>
      </c>
      <c r="I23" s="18" t="s">
        <v>156</v>
      </c>
    </row>
    <row r="24" spans="1:9" ht="15.75" thickBot="1" x14ac:dyDescent="0.3"/>
    <row r="25" spans="1:9" ht="15.75" thickBot="1" x14ac:dyDescent="0.3">
      <c r="B25" s="80" t="s">
        <v>119</v>
      </c>
      <c r="C25" s="80" t="s">
        <v>120</v>
      </c>
      <c r="D25" s="80" t="s">
        <v>121</v>
      </c>
      <c r="E25" s="80" t="s">
        <v>122</v>
      </c>
      <c r="F25" s="80" t="s">
        <v>123</v>
      </c>
      <c r="G25" s="80" t="s">
        <v>124</v>
      </c>
      <c r="H25" s="80" t="s">
        <v>125</v>
      </c>
      <c r="I25" s="80" t="s">
        <v>126</v>
      </c>
    </row>
    <row r="26" spans="1:9" ht="15.75" thickBot="1" x14ac:dyDescent="0.3">
      <c r="B26" s="18">
        <v>34</v>
      </c>
      <c r="C26" s="18">
        <v>53</v>
      </c>
      <c r="D26" s="18">
        <v>72</v>
      </c>
      <c r="E26" s="18">
        <v>43</v>
      </c>
      <c r="F26" s="18">
        <v>54</v>
      </c>
      <c r="G26" s="18">
        <v>40</v>
      </c>
      <c r="H26" s="18">
        <v>27</v>
      </c>
      <c r="I26" s="18">
        <v>65</v>
      </c>
    </row>
    <row r="27" spans="1:9" ht="15.75" thickBot="1" x14ac:dyDescent="0.3">
      <c r="B27" s="18">
        <v>81</v>
      </c>
      <c r="C27" s="18">
        <v>35</v>
      </c>
      <c r="D27" s="18">
        <v>52</v>
      </c>
      <c r="E27" s="18">
        <v>11</v>
      </c>
      <c r="F27" s="18">
        <v>50</v>
      </c>
      <c r="G27" s="18">
        <v>72</v>
      </c>
      <c r="H27" s="18">
        <v>60</v>
      </c>
      <c r="I27" s="18">
        <v>49</v>
      </c>
    </row>
    <row r="28" spans="1:9" ht="15.75" thickBot="1" x14ac:dyDescent="0.3">
      <c r="B28" s="18">
        <v>58</v>
      </c>
      <c r="C28" s="18">
        <v>55</v>
      </c>
      <c r="D28" s="18">
        <v>42</v>
      </c>
      <c r="E28" s="18">
        <v>41</v>
      </c>
      <c r="F28" s="18">
        <v>58</v>
      </c>
      <c r="G28" s="18">
        <v>80</v>
      </c>
      <c r="H28" s="18">
        <v>82</v>
      </c>
      <c r="I28" s="18">
        <v>52</v>
      </c>
    </row>
    <row r="29" spans="1:9" ht="15.75" thickBot="1" x14ac:dyDescent="0.3">
      <c r="B29" s="18">
        <v>71</v>
      </c>
      <c r="C29" s="18">
        <v>83</v>
      </c>
      <c r="D29" s="18">
        <v>37</v>
      </c>
      <c r="E29" s="18">
        <v>74</v>
      </c>
      <c r="F29" s="18">
        <v>53</v>
      </c>
      <c r="G29" s="18">
        <v>42</v>
      </c>
      <c r="H29" s="18">
        <v>43</v>
      </c>
      <c r="I29" s="18">
        <v>32</v>
      </c>
    </row>
    <row r="30" spans="1:9" ht="15.75" thickBot="1" x14ac:dyDescent="0.3">
      <c r="B30" s="17">
        <f>SUM(B26:B29)</f>
        <v>244</v>
      </c>
      <c r="C30" s="17">
        <f t="shared" ref="C30:I30" si="0">SUM(C26:C29)</f>
        <v>226</v>
      </c>
      <c r="D30" s="17">
        <f t="shared" si="0"/>
        <v>203</v>
      </c>
      <c r="E30" s="17">
        <f t="shared" si="0"/>
        <v>169</v>
      </c>
      <c r="F30" s="17">
        <f t="shared" si="0"/>
        <v>215</v>
      </c>
      <c r="G30" s="17">
        <f t="shared" si="0"/>
        <v>234</v>
      </c>
      <c r="H30" s="17">
        <f t="shared" si="0"/>
        <v>212</v>
      </c>
      <c r="I30" s="17">
        <f t="shared" si="0"/>
        <v>198</v>
      </c>
    </row>
    <row r="31" spans="1:9" ht="15.75" thickBot="1" x14ac:dyDescent="0.3">
      <c r="B31" s="19"/>
      <c r="C31" s="19"/>
      <c r="D31" s="19"/>
      <c r="E31" s="19"/>
      <c r="F31" s="19"/>
      <c r="G31" s="19"/>
      <c r="H31" s="19"/>
      <c r="I31" s="19"/>
    </row>
    <row r="32" spans="1:9" ht="18.75" thickBot="1" x14ac:dyDescent="0.4">
      <c r="B32" s="14" t="s">
        <v>116</v>
      </c>
      <c r="C32" s="28">
        <f>SUM(B30+C30)</f>
        <v>470</v>
      </c>
      <c r="D32" s="19"/>
      <c r="E32" s="5" t="s">
        <v>44</v>
      </c>
      <c r="F32" s="6">
        <v>3</v>
      </c>
      <c r="G32" s="13" t="s">
        <v>315</v>
      </c>
      <c r="H32" s="13"/>
      <c r="I32" s="19"/>
    </row>
    <row r="33" spans="2:9" ht="18.75" thickBot="1" x14ac:dyDescent="0.4">
      <c r="B33" s="14" t="s">
        <v>117</v>
      </c>
      <c r="C33" s="28">
        <f>SUM(D30+E30)</f>
        <v>372</v>
      </c>
      <c r="D33" s="19"/>
      <c r="E33" s="5" t="s">
        <v>45</v>
      </c>
      <c r="F33" s="6">
        <v>8</v>
      </c>
      <c r="G33" s="13" t="s">
        <v>253</v>
      </c>
      <c r="H33" s="13"/>
      <c r="I33" s="19"/>
    </row>
    <row r="34" spans="2:9" ht="18.75" thickBot="1" x14ac:dyDescent="0.4">
      <c r="B34" s="14" t="s">
        <v>118</v>
      </c>
      <c r="C34" s="28">
        <f>SUM(F30+G30)</f>
        <v>449</v>
      </c>
      <c r="D34" s="19"/>
      <c r="E34" s="5" t="s">
        <v>46</v>
      </c>
      <c r="F34" s="6">
        <v>4</v>
      </c>
      <c r="G34" s="13" t="s">
        <v>254</v>
      </c>
      <c r="H34" s="13"/>
      <c r="I34" s="19"/>
    </row>
    <row r="35" spans="2:9" ht="18.75" thickBot="1" x14ac:dyDescent="0.4">
      <c r="B35" s="14" t="s">
        <v>177</v>
      </c>
      <c r="C35" s="28">
        <f>SUM(H30+I30)</f>
        <v>410</v>
      </c>
      <c r="D35" s="19"/>
      <c r="E35" s="3"/>
      <c r="F35" s="6">
        <v>8</v>
      </c>
      <c r="G35" s="13"/>
      <c r="H35" s="13"/>
      <c r="I35" s="19"/>
    </row>
    <row r="36" spans="2:9" ht="15.75" x14ac:dyDescent="0.25">
      <c r="B36" s="144"/>
      <c r="C36" s="145"/>
      <c r="D36" s="19"/>
      <c r="E36" s="5" t="s">
        <v>43</v>
      </c>
      <c r="F36" s="6">
        <v>32</v>
      </c>
      <c r="G36" s="13" t="s">
        <v>255</v>
      </c>
      <c r="H36" s="13"/>
      <c r="I36" s="19"/>
    </row>
    <row r="37" spans="2:9" x14ac:dyDescent="0.25">
      <c r="B37" s="20" t="s">
        <v>298</v>
      </c>
    </row>
    <row r="38" spans="2:9" x14ac:dyDescent="0.25">
      <c r="B38" t="s">
        <v>157</v>
      </c>
    </row>
    <row r="39" spans="2:9" x14ac:dyDescent="0.25">
      <c r="D39" t="s">
        <v>158</v>
      </c>
    </row>
    <row r="40" spans="2:9" x14ac:dyDescent="0.25">
      <c r="D40" t="s">
        <v>159</v>
      </c>
    </row>
    <row r="41" spans="2:9" x14ac:dyDescent="0.25">
      <c r="D41" s="20" t="s">
        <v>160</v>
      </c>
    </row>
    <row r="42" spans="2:9" x14ac:dyDescent="0.25">
      <c r="B42" s="20" t="s">
        <v>299</v>
      </c>
    </row>
    <row r="43" spans="2:9" x14ac:dyDescent="0.25">
      <c r="B43" t="s">
        <v>161</v>
      </c>
    </row>
    <row r="44" spans="2:9" x14ac:dyDescent="0.25">
      <c r="D44" t="s">
        <v>162</v>
      </c>
    </row>
    <row r="45" spans="2:9" x14ac:dyDescent="0.25">
      <c r="D45" t="s">
        <v>163</v>
      </c>
    </row>
    <row r="46" spans="2:9" x14ac:dyDescent="0.25">
      <c r="D46" s="20" t="s">
        <v>164</v>
      </c>
    </row>
    <row r="47" spans="2:9" x14ac:dyDescent="0.25">
      <c r="B47" s="20" t="s">
        <v>300</v>
      </c>
    </row>
    <row r="48" spans="2:9" x14ac:dyDescent="0.25">
      <c r="B48" t="s">
        <v>165</v>
      </c>
    </row>
    <row r="49" spans="2:18" x14ac:dyDescent="0.25">
      <c r="D49" t="s">
        <v>166</v>
      </c>
    </row>
    <row r="50" spans="2:18" x14ac:dyDescent="0.25">
      <c r="D50" t="s">
        <v>167</v>
      </c>
    </row>
    <row r="51" spans="2:18" x14ac:dyDescent="0.25">
      <c r="D51" s="20" t="s">
        <v>168</v>
      </c>
    </row>
    <row r="52" spans="2:18" x14ac:dyDescent="0.25">
      <c r="B52" s="20" t="s">
        <v>301</v>
      </c>
    </row>
    <row r="53" spans="2:18" x14ac:dyDescent="0.25">
      <c r="B53" t="s">
        <v>169</v>
      </c>
    </row>
    <row r="54" spans="2:18" x14ac:dyDescent="0.25">
      <c r="D54" t="s">
        <v>170</v>
      </c>
    </row>
    <row r="55" spans="2:18" x14ac:dyDescent="0.25">
      <c r="D55" t="s">
        <v>171</v>
      </c>
    </row>
    <row r="56" spans="2:18" x14ac:dyDescent="0.25">
      <c r="D56" s="20" t="s">
        <v>172</v>
      </c>
    </row>
    <row r="57" spans="2:18" x14ac:dyDescent="0.25">
      <c r="D57" s="20"/>
    </row>
    <row r="58" spans="2:18" x14ac:dyDescent="0.25">
      <c r="D58" s="20"/>
      <c r="J58" s="20" t="s">
        <v>187</v>
      </c>
      <c r="P58" s="20" t="s">
        <v>188</v>
      </c>
    </row>
    <row r="59" spans="2:18" x14ac:dyDescent="0.25">
      <c r="C59" t="s">
        <v>302</v>
      </c>
      <c r="H59" t="s">
        <v>303</v>
      </c>
      <c r="J59" s="20" t="s">
        <v>160</v>
      </c>
      <c r="N59" t="s">
        <v>304</v>
      </c>
      <c r="P59" s="20" t="s">
        <v>164</v>
      </c>
    </row>
    <row r="60" spans="2:18" ht="18" x14ac:dyDescent="0.25">
      <c r="B60" s="137" t="s">
        <v>35</v>
      </c>
      <c r="C60" s="139" t="s">
        <v>219</v>
      </c>
      <c r="D60" s="137" t="s">
        <v>220</v>
      </c>
      <c r="E60" s="137" t="s">
        <v>221</v>
      </c>
      <c r="F60" s="137" t="s">
        <v>222</v>
      </c>
      <c r="H60" s="137" t="s">
        <v>35</v>
      </c>
      <c r="I60" s="139" t="s">
        <v>219</v>
      </c>
      <c r="J60" s="137" t="s">
        <v>220</v>
      </c>
      <c r="K60" s="137" t="s">
        <v>221</v>
      </c>
      <c r="L60" s="137" t="s">
        <v>222</v>
      </c>
      <c r="N60" s="137" t="s">
        <v>35</v>
      </c>
      <c r="O60" s="139" t="s">
        <v>219</v>
      </c>
      <c r="P60" s="137" t="s">
        <v>220</v>
      </c>
      <c r="Q60" s="137" t="s">
        <v>221</v>
      </c>
      <c r="R60" s="137" t="s">
        <v>222</v>
      </c>
    </row>
    <row r="61" spans="2:18" ht="15.75" x14ac:dyDescent="0.25">
      <c r="B61" s="138">
        <v>1</v>
      </c>
      <c r="C61" s="4">
        <f>34+43+42+27</f>
        <v>146</v>
      </c>
      <c r="D61" s="4">
        <f>SUM(C61:C62)</f>
        <v>345</v>
      </c>
      <c r="E61" s="4">
        <f>SUM(D61:D62)</f>
        <v>833</v>
      </c>
      <c r="F61" s="4">
        <f>SUM(E61:E62)</f>
        <v>1701</v>
      </c>
      <c r="H61" s="138">
        <v>1</v>
      </c>
      <c r="I61" s="4">
        <f>43+42+27</f>
        <v>112</v>
      </c>
      <c r="J61" s="4">
        <f>SUM(I61:I62)</f>
        <v>256</v>
      </c>
      <c r="K61" s="4">
        <f>SUM(J61:J62)</f>
        <v>610</v>
      </c>
      <c r="L61" s="4">
        <f>SUM(K61:K62)</f>
        <v>1231</v>
      </c>
      <c r="N61" s="138">
        <v>1</v>
      </c>
      <c r="O61" s="4">
        <f>34+42+27</f>
        <v>103</v>
      </c>
      <c r="P61" s="4">
        <f>SUM(O61:O62)</f>
        <v>261</v>
      </c>
      <c r="Q61" s="4">
        <f>SUM(P61:P62)</f>
        <v>625</v>
      </c>
      <c r="R61" s="4">
        <f>SUM(Q61:Q62)</f>
        <v>1329</v>
      </c>
    </row>
    <row r="62" spans="2:18" ht="15.75" x14ac:dyDescent="0.25">
      <c r="B62" s="138" t="s">
        <v>173</v>
      </c>
      <c r="C62" s="4">
        <f>55+41+54+49</f>
        <v>199</v>
      </c>
      <c r="D62" s="4">
        <f>SUM(C63:C64)</f>
        <v>488</v>
      </c>
      <c r="E62" s="4">
        <f>SUM(D63:D64)</f>
        <v>868</v>
      </c>
      <c r="F62" s="4">
        <f>SUM(E63:E64)</f>
        <v>341</v>
      </c>
      <c r="H62" s="138" t="s">
        <v>173</v>
      </c>
      <c r="I62" s="4">
        <f>41+54+49</f>
        <v>144</v>
      </c>
      <c r="J62" s="4">
        <f>SUM(I63:I64)</f>
        <v>354</v>
      </c>
      <c r="K62" s="4">
        <f>SUM(J63:J64)</f>
        <v>621</v>
      </c>
      <c r="L62" s="4">
        <f>SUM(K63:K64)</f>
        <v>257</v>
      </c>
      <c r="N62" s="138" t="s">
        <v>173</v>
      </c>
      <c r="O62" s="4">
        <f>55+54+49</f>
        <v>158</v>
      </c>
      <c r="P62" s="4">
        <f>SUM(O63:O64)</f>
        <v>364</v>
      </c>
      <c r="Q62" s="4">
        <f>SUM(P63:P64)</f>
        <v>704</v>
      </c>
      <c r="R62" s="4">
        <f>SUM(Q63:Q64)</f>
        <v>265</v>
      </c>
    </row>
    <row r="63" spans="2:18" ht="15.75" x14ac:dyDescent="0.25">
      <c r="B63" s="138" t="s">
        <v>36</v>
      </c>
      <c r="C63" s="4">
        <f>53+52+50+43</f>
        <v>198</v>
      </c>
      <c r="D63" s="4">
        <f>SUM(C65:C66)</f>
        <v>362</v>
      </c>
      <c r="E63" s="4">
        <f>SUM(D65:D66)</f>
        <v>145</v>
      </c>
      <c r="F63" s="4">
        <f>SUM(E65:E66)</f>
        <v>287</v>
      </c>
      <c r="H63" s="138" t="s">
        <v>36</v>
      </c>
      <c r="I63" s="4">
        <f>52+50+43</f>
        <v>145</v>
      </c>
      <c r="J63" s="4">
        <f>SUM(I65:I66)</f>
        <v>269</v>
      </c>
      <c r="K63" s="4">
        <f>SUM(J65:J66)</f>
        <v>96</v>
      </c>
      <c r="L63" s="4">
        <f>SUM(K65:K66)</f>
        <v>181</v>
      </c>
      <c r="N63" s="138" t="s">
        <v>36</v>
      </c>
      <c r="O63" s="4">
        <f>53+50+43</f>
        <v>146</v>
      </c>
      <c r="P63" s="4">
        <f>SUM(O65:O66)</f>
        <v>283</v>
      </c>
      <c r="Q63" s="4">
        <f>SUM(P65:P66)</f>
        <v>127</v>
      </c>
      <c r="R63" s="4">
        <f>SUM(Q65:Q66)</f>
        <v>241</v>
      </c>
    </row>
    <row r="64" spans="2:18" ht="15.75" x14ac:dyDescent="0.25">
      <c r="B64" s="138" t="s">
        <v>174</v>
      </c>
      <c r="C64" s="4">
        <f>81+72+72+65</f>
        <v>290</v>
      </c>
      <c r="D64" s="4">
        <f>SUM(C67:C68)</f>
        <v>506</v>
      </c>
      <c r="E64" s="4">
        <f>SUM(D67:D68)</f>
        <v>196</v>
      </c>
      <c r="F64" s="4">
        <f>SUM(E67:E68)</f>
        <v>107</v>
      </c>
      <c r="H64" s="138" t="s">
        <v>174</v>
      </c>
      <c r="I64" s="4">
        <f>72+72+65</f>
        <v>209</v>
      </c>
      <c r="J64" s="4">
        <f>SUM(I67:I68)</f>
        <v>352</v>
      </c>
      <c r="K64" s="4">
        <f>SUM(J67:J68)</f>
        <v>161</v>
      </c>
      <c r="L64" s="4">
        <f>SUM(K67:K68)</f>
        <v>111</v>
      </c>
      <c r="N64" s="138" t="s">
        <v>174</v>
      </c>
      <c r="O64" s="4">
        <f>81+72+65</f>
        <v>218</v>
      </c>
      <c r="P64" s="4">
        <f>SUM(O67:O68)</f>
        <v>421</v>
      </c>
      <c r="Q64" s="4">
        <f>SUM(P67:P68)</f>
        <v>138</v>
      </c>
      <c r="R64" s="4">
        <f>SUM(Q67:Q68)</f>
        <v>17</v>
      </c>
    </row>
    <row r="65" spans="2:18" ht="15.75" x14ac:dyDescent="0.25">
      <c r="B65" s="138" t="s">
        <v>37</v>
      </c>
      <c r="C65" s="4">
        <f>35+42+40+32</f>
        <v>149</v>
      </c>
      <c r="D65" s="4">
        <f>C62-C61</f>
        <v>53</v>
      </c>
      <c r="E65" s="4">
        <f>D62-D61</f>
        <v>143</v>
      </c>
      <c r="F65" s="4">
        <f>E62-E61</f>
        <v>35</v>
      </c>
      <c r="H65" s="138" t="s">
        <v>37</v>
      </c>
      <c r="I65" s="4">
        <f>42+40+32</f>
        <v>114</v>
      </c>
      <c r="J65" s="4">
        <f>I62-I61</f>
        <v>32</v>
      </c>
      <c r="K65" s="4">
        <f>J62-J61</f>
        <v>98</v>
      </c>
      <c r="L65" s="4">
        <f>K62-K61</f>
        <v>11</v>
      </c>
      <c r="N65" s="138" t="s">
        <v>37</v>
      </c>
      <c r="O65" s="4">
        <f>35+40+32</f>
        <v>107</v>
      </c>
      <c r="P65" s="4">
        <f>O62-O61</f>
        <v>55</v>
      </c>
      <c r="Q65" s="4">
        <f>P62-P61</f>
        <v>103</v>
      </c>
      <c r="R65" s="4">
        <f>Q62-Q61</f>
        <v>79</v>
      </c>
    </row>
    <row r="66" spans="2:18" ht="15.75" x14ac:dyDescent="0.25">
      <c r="B66" s="138" t="s">
        <v>175</v>
      </c>
      <c r="C66" s="4">
        <f>58+37+58+60</f>
        <v>213</v>
      </c>
      <c r="D66" s="4">
        <f>C64-C63</f>
        <v>92</v>
      </c>
      <c r="E66" s="4">
        <f>D64-D63</f>
        <v>144</v>
      </c>
      <c r="F66" s="4">
        <f>E64-E63</f>
        <v>51</v>
      </c>
      <c r="H66" s="138" t="s">
        <v>175</v>
      </c>
      <c r="I66" s="4">
        <f>37+58+60</f>
        <v>155</v>
      </c>
      <c r="J66" s="4">
        <f>I64-I63</f>
        <v>64</v>
      </c>
      <c r="K66" s="4">
        <f>J64-J63</f>
        <v>83</v>
      </c>
      <c r="L66" s="4">
        <f>K64-K63</f>
        <v>65</v>
      </c>
      <c r="N66" s="138" t="s">
        <v>175</v>
      </c>
      <c r="O66" s="4">
        <f>58+58+60</f>
        <v>176</v>
      </c>
      <c r="P66" s="4">
        <f>O64-O63</f>
        <v>72</v>
      </c>
      <c r="Q66" s="4">
        <f>P64-P63</f>
        <v>138</v>
      </c>
      <c r="R66" s="4">
        <f>Q64-Q63</f>
        <v>11</v>
      </c>
    </row>
    <row r="67" spans="2:18" ht="15.75" x14ac:dyDescent="0.25">
      <c r="B67" s="138" t="s">
        <v>38</v>
      </c>
      <c r="C67" s="4">
        <f>71+11+53+52</f>
        <v>187</v>
      </c>
      <c r="D67" s="4">
        <f>C66-C65</f>
        <v>64</v>
      </c>
      <c r="E67" s="4">
        <f>D66-D65</f>
        <v>39</v>
      </c>
      <c r="F67" s="4">
        <f>E66-E65</f>
        <v>1</v>
      </c>
      <c r="H67" s="138" t="s">
        <v>38</v>
      </c>
      <c r="I67" s="4">
        <f>11+53+52</f>
        <v>116</v>
      </c>
      <c r="J67" s="4">
        <f>I66-I65</f>
        <v>41</v>
      </c>
      <c r="K67" s="4">
        <f>J66-J65</f>
        <v>32</v>
      </c>
      <c r="L67" s="4">
        <f>K66-K65</f>
        <v>-15</v>
      </c>
      <c r="N67" s="148" t="s">
        <v>38</v>
      </c>
      <c r="O67" s="4">
        <f>71+53+52</f>
        <v>176</v>
      </c>
      <c r="P67" s="4">
        <f>O66-O65</f>
        <v>69</v>
      </c>
      <c r="Q67" s="4">
        <f>P66-P65</f>
        <v>17</v>
      </c>
      <c r="R67" s="147">
        <f>Q66-Q65</f>
        <v>35</v>
      </c>
    </row>
    <row r="68" spans="2:18" ht="15.75" x14ac:dyDescent="0.25">
      <c r="B68" s="138" t="s">
        <v>176</v>
      </c>
      <c r="C68" s="4">
        <f>83+74+80+82</f>
        <v>319</v>
      </c>
      <c r="D68" s="4">
        <f>C68-C67</f>
        <v>132</v>
      </c>
      <c r="E68" s="4">
        <f>D68-D67</f>
        <v>68</v>
      </c>
      <c r="F68" s="4">
        <f>E68-E67</f>
        <v>29</v>
      </c>
      <c r="H68" s="148" t="s">
        <v>176</v>
      </c>
      <c r="I68" s="4">
        <f>74+80+82</f>
        <v>236</v>
      </c>
      <c r="J68" s="4">
        <f>I68-I67</f>
        <v>120</v>
      </c>
      <c r="K68" s="4">
        <f>J68-J67</f>
        <v>79</v>
      </c>
      <c r="L68" s="147">
        <f>K68-K67</f>
        <v>47</v>
      </c>
      <c r="N68" s="138" t="s">
        <v>176</v>
      </c>
      <c r="O68" s="4">
        <f>83+80+82</f>
        <v>245</v>
      </c>
      <c r="P68" s="4">
        <f>O68-O67</f>
        <v>69</v>
      </c>
      <c r="Q68" s="4">
        <f>P68-P67</f>
        <v>0</v>
      </c>
      <c r="R68" s="4">
        <f>Q68-Q67</f>
        <v>-17</v>
      </c>
    </row>
    <row r="69" spans="2:18" ht="15.75" x14ac:dyDescent="0.25">
      <c r="B69" s="146"/>
      <c r="C69" s="122"/>
      <c r="D69" s="122"/>
      <c r="E69" s="122"/>
      <c r="F69" s="122"/>
      <c r="H69" s="146"/>
      <c r="I69" s="122"/>
      <c r="J69" s="122"/>
      <c r="K69" s="122"/>
      <c r="L69" s="122"/>
      <c r="N69" s="146"/>
      <c r="O69" s="122"/>
      <c r="P69" s="122"/>
      <c r="Q69" s="122"/>
      <c r="R69" s="122"/>
    </row>
    <row r="70" spans="2:18" x14ac:dyDescent="0.25">
      <c r="D70" s="20" t="s">
        <v>189</v>
      </c>
      <c r="J70" s="20" t="s">
        <v>190</v>
      </c>
    </row>
    <row r="71" spans="2:18" ht="16.899999999999999" customHeight="1" x14ac:dyDescent="0.25">
      <c r="B71" t="s">
        <v>305</v>
      </c>
      <c r="C71" s="20" t="s">
        <v>168</v>
      </c>
      <c r="H71" t="s">
        <v>306</v>
      </c>
      <c r="I71" s="20" t="s">
        <v>172</v>
      </c>
    </row>
    <row r="72" spans="2:18" s="20" customFormat="1" ht="18" x14ac:dyDescent="0.25">
      <c r="B72" s="137" t="s">
        <v>35</v>
      </c>
      <c r="C72" s="139" t="s">
        <v>219</v>
      </c>
      <c r="D72" s="137" t="s">
        <v>220</v>
      </c>
      <c r="E72" s="137" t="s">
        <v>221</v>
      </c>
      <c r="F72" s="137" t="s">
        <v>222</v>
      </c>
      <c r="H72" s="137" t="s">
        <v>35</v>
      </c>
      <c r="I72" s="139" t="s">
        <v>219</v>
      </c>
      <c r="J72" s="137" t="s">
        <v>220</v>
      </c>
      <c r="K72" s="137" t="s">
        <v>221</v>
      </c>
      <c r="L72" s="137" t="s">
        <v>222</v>
      </c>
    </row>
    <row r="73" spans="2:18" ht="15.75" x14ac:dyDescent="0.25">
      <c r="B73" s="138">
        <v>1</v>
      </c>
      <c r="C73" s="4">
        <f>34+43+27</f>
        <v>104</v>
      </c>
      <c r="D73" s="4">
        <f>SUM(C73:C74)</f>
        <v>249</v>
      </c>
      <c r="E73" s="4">
        <f>SUM(D73:D74)</f>
        <v>615</v>
      </c>
      <c r="F73" s="4">
        <f>SUM(E73:E74)</f>
        <v>1252</v>
      </c>
      <c r="H73" s="138">
        <v>1</v>
      </c>
      <c r="I73" s="4">
        <f>34+43+42</f>
        <v>119</v>
      </c>
      <c r="J73" s="4">
        <f>SUM(I73:I74)</f>
        <v>269</v>
      </c>
      <c r="K73" s="4">
        <f>SUM(J73:J74)</f>
        <v>649</v>
      </c>
      <c r="L73" s="4">
        <f>SUM(K73:K74)</f>
        <v>1291</v>
      </c>
    </row>
    <row r="74" spans="2:18" ht="15.75" x14ac:dyDescent="0.25">
      <c r="B74" s="138" t="s">
        <v>173</v>
      </c>
      <c r="C74" s="4">
        <f>55+41+49</f>
        <v>145</v>
      </c>
      <c r="D74" s="4">
        <f>SUM(C75:C76)</f>
        <v>366</v>
      </c>
      <c r="E74" s="4">
        <f>SUM(D75:D76)</f>
        <v>637</v>
      </c>
      <c r="F74" s="4">
        <f>SUM(E75:E76)</f>
        <v>262</v>
      </c>
      <c r="H74" s="138" t="s">
        <v>173</v>
      </c>
      <c r="I74" s="4">
        <f>55+41+54</f>
        <v>150</v>
      </c>
      <c r="J74" s="4">
        <f>SUM(I75:I76)</f>
        <v>380</v>
      </c>
      <c r="K74" s="4">
        <f>SUM(J75:J76)</f>
        <v>642</v>
      </c>
      <c r="L74" s="4">
        <f>SUM(K75:K76)</f>
        <v>239</v>
      </c>
    </row>
    <row r="75" spans="2:18" ht="15.75" x14ac:dyDescent="0.25">
      <c r="B75" s="138" t="s">
        <v>36</v>
      </c>
      <c r="C75" s="4">
        <f>53+52+43</f>
        <v>148</v>
      </c>
      <c r="D75" s="4">
        <f>SUM(C77:C78)</f>
        <v>264</v>
      </c>
      <c r="E75" s="4">
        <f>SUM(D77:D78)</f>
        <v>111</v>
      </c>
      <c r="F75" s="4">
        <f>SUM(E77:E78)</f>
        <v>226</v>
      </c>
      <c r="H75" s="138" t="s">
        <v>36</v>
      </c>
      <c r="I75" s="4">
        <f>53+52+50</f>
        <v>155</v>
      </c>
      <c r="J75" s="4">
        <f>SUM(I77:I78)</f>
        <v>270</v>
      </c>
      <c r="K75" s="4">
        <f>SUM(J77:J78)</f>
        <v>101</v>
      </c>
      <c r="L75" s="4">
        <f>SUM(K77:K78)</f>
        <v>213</v>
      </c>
    </row>
    <row r="76" spans="2:18" ht="15.75" x14ac:dyDescent="0.25">
      <c r="B76" s="148" t="s">
        <v>174</v>
      </c>
      <c r="C76" s="4">
        <f>81+72+65</f>
        <v>218</v>
      </c>
      <c r="D76" s="4">
        <f>SUM(C79:C80)</f>
        <v>373</v>
      </c>
      <c r="E76" s="4">
        <f>SUM(D79:D80)</f>
        <v>151</v>
      </c>
      <c r="F76" s="147">
        <f>SUM(E79:E80)</f>
        <v>88</v>
      </c>
      <c r="H76" s="138" t="s">
        <v>174</v>
      </c>
      <c r="I76" s="4">
        <f>81+72+72</f>
        <v>225</v>
      </c>
      <c r="J76" s="4">
        <f>SUM(I79:I80)</f>
        <v>372</v>
      </c>
      <c r="K76" s="4">
        <f>SUM(J79:J80)</f>
        <v>138</v>
      </c>
      <c r="L76" s="4">
        <f>SUM(K79:K80)</f>
        <v>105</v>
      </c>
    </row>
    <row r="77" spans="2:18" ht="15.75" x14ac:dyDescent="0.25">
      <c r="B77" s="138" t="s">
        <v>37</v>
      </c>
      <c r="C77" s="4">
        <f>35+42+32</f>
        <v>109</v>
      </c>
      <c r="D77" s="4">
        <f>C74-C73</f>
        <v>41</v>
      </c>
      <c r="E77" s="4">
        <f>D74-D73</f>
        <v>117</v>
      </c>
      <c r="F77" s="4">
        <f>E74-E73</f>
        <v>22</v>
      </c>
      <c r="H77" s="138" t="s">
        <v>37</v>
      </c>
      <c r="I77" s="4">
        <f>35+42+40</f>
        <v>117</v>
      </c>
      <c r="J77" s="4">
        <f>I74-I73</f>
        <v>31</v>
      </c>
      <c r="K77" s="4">
        <f>J74-J73</f>
        <v>111</v>
      </c>
      <c r="L77" s="4">
        <f>K74-K73</f>
        <v>-7</v>
      </c>
    </row>
    <row r="78" spans="2:18" ht="15.75" x14ac:dyDescent="0.25">
      <c r="B78" s="138" t="s">
        <v>175</v>
      </c>
      <c r="C78" s="4">
        <f>58+37+60</f>
        <v>155</v>
      </c>
      <c r="D78" s="4">
        <f>C76-C75</f>
        <v>70</v>
      </c>
      <c r="E78" s="4">
        <f>D76-D75</f>
        <v>109</v>
      </c>
      <c r="F78" s="4">
        <f>E76-E75</f>
        <v>40</v>
      </c>
      <c r="H78" s="148" t="s">
        <v>175</v>
      </c>
      <c r="I78" s="4">
        <f>58+37+58</f>
        <v>153</v>
      </c>
      <c r="J78" s="4">
        <f>I76-I75</f>
        <v>70</v>
      </c>
      <c r="K78" s="4">
        <f>J76-J75</f>
        <v>102</v>
      </c>
      <c r="L78" s="147">
        <f>K76-K75</f>
        <v>37</v>
      </c>
    </row>
    <row r="79" spans="2:18" ht="15.75" x14ac:dyDescent="0.25">
      <c r="B79" s="138" t="s">
        <v>38</v>
      </c>
      <c r="C79" s="4">
        <f>71+11+52</f>
        <v>134</v>
      </c>
      <c r="D79" s="4">
        <f>C78-C77</f>
        <v>46</v>
      </c>
      <c r="E79" s="4">
        <f>D78-D77</f>
        <v>29</v>
      </c>
      <c r="F79" s="4">
        <f>E78-E77</f>
        <v>-8</v>
      </c>
      <c r="H79" s="138" t="s">
        <v>38</v>
      </c>
      <c r="I79" s="4">
        <f>71+11+53</f>
        <v>135</v>
      </c>
      <c r="J79" s="4">
        <f>I78-I77</f>
        <v>36</v>
      </c>
      <c r="K79" s="4">
        <f>J78-J77</f>
        <v>39</v>
      </c>
      <c r="L79" s="4">
        <f>K78-K77</f>
        <v>-9</v>
      </c>
    </row>
    <row r="80" spans="2:18" ht="15.75" x14ac:dyDescent="0.25">
      <c r="B80" s="138" t="s">
        <v>176</v>
      </c>
      <c r="C80" s="4">
        <f>83+74+82</f>
        <v>239</v>
      </c>
      <c r="D80" s="4">
        <f>C80-C79</f>
        <v>105</v>
      </c>
      <c r="E80" s="4">
        <f>D80-D79</f>
        <v>59</v>
      </c>
      <c r="F80" s="4">
        <f>E80-E79</f>
        <v>30</v>
      </c>
      <c r="H80" s="138" t="s">
        <v>176</v>
      </c>
      <c r="I80" s="4">
        <f>83+74+80</f>
        <v>237</v>
      </c>
      <c r="J80" s="4">
        <f>I80-I79</f>
        <v>102</v>
      </c>
      <c r="K80" s="4">
        <f>J80-J79</f>
        <v>66</v>
      </c>
      <c r="L80" s="4">
        <f>K80-K79</f>
        <v>27</v>
      </c>
    </row>
    <row r="81" spans="2:14" ht="15.75" thickBot="1" x14ac:dyDescent="0.3"/>
    <row r="82" spans="2:14" ht="60.75" thickBot="1" x14ac:dyDescent="0.3">
      <c r="B82" s="22" t="s">
        <v>178</v>
      </c>
      <c r="C82" s="23" t="s">
        <v>179</v>
      </c>
      <c r="D82" s="23" t="s">
        <v>180</v>
      </c>
      <c r="E82" s="24" t="s">
        <v>181</v>
      </c>
      <c r="F82" s="25" t="s">
        <v>182</v>
      </c>
    </row>
    <row r="83" spans="2:14" ht="16.5" thickBot="1" x14ac:dyDescent="0.3">
      <c r="B83" s="26" t="s">
        <v>174</v>
      </c>
      <c r="C83" s="27" t="s">
        <v>183</v>
      </c>
      <c r="D83" s="25">
        <f>F76</f>
        <v>88</v>
      </c>
      <c r="E83" s="27">
        <v>24</v>
      </c>
      <c r="F83" s="17">
        <f t="array" ref="F83">D83^2/E83</f>
        <v>322.66666666666669</v>
      </c>
      <c r="I83">
        <f>32-8</f>
        <v>24</v>
      </c>
    </row>
    <row r="84" spans="2:14" ht="16.5" thickBot="1" x14ac:dyDescent="0.3">
      <c r="B84" s="26" t="s">
        <v>175</v>
      </c>
      <c r="C84" s="27" t="s">
        <v>184</v>
      </c>
      <c r="D84" s="25">
        <f>L78</f>
        <v>37</v>
      </c>
      <c r="E84" s="27">
        <v>24</v>
      </c>
      <c r="F84" s="17">
        <f t="array" ref="F84">D84^2/E84</f>
        <v>57.041666666666664</v>
      </c>
      <c r="I84" t="s">
        <v>201</v>
      </c>
      <c r="N84">
        <f>2^3*(4-1)</f>
        <v>24</v>
      </c>
    </row>
    <row r="85" spans="2:14" ht="16.5" thickBot="1" x14ac:dyDescent="0.3">
      <c r="B85" s="26" t="s">
        <v>38</v>
      </c>
      <c r="C85" s="27" t="s">
        <v>204</v>
      </c>
      <c r="D85" s="25">
        <f>R67</f>
        <v>35</v>
      </c>
      <c r="E85" s="27">
        <v>24</v>
      </c>
      <c r="F85" s="17">
        <f t="shared" ref="F85:F86" si="1">D85^2/E85</f>
        <v>51.041666666666664</v>
      </c>
      <c r="I85" t="s">
        <v>202</v>
      </c>
      <c r="N85" t="s">
        <v>203</v>
      </c>
    </row>
    <row r="86" spans="2:14" ht="16.5" thickBot="1" x14ac:dyDescent="0.3">
      <c r="B86" s="26" t="s">
        <v>176</v>
      </c>
      <c r="C86" s="27" t="s">
        <v>185</v>
      </c>
      <c r="D86" s="25">
        <f>L68</f>
        <v>47</v>
      </c>
      <c r="E86" s="27">
        <v>24</v>
      </c>
      <c r="F86" s="17">
        <f t="shared" si="1"/>
        <v>92.041666666666671</v>
      </c>
    </row>
    <row r="87" spans="2:14" ht="15.75" thickBot="1" x14ac:dyDescent="0.3"/>
    <row r="88" spans="2:14" ht="16.5" thickBot="1" x14ac:dyDescent="0.3">
      <c r="B88" s="167"/>
      <c r="C88" s="167"/>
      <c r="E88" s="5"/>
      <c r="F88" s="6"/>
      <c r="G88" s="3"/>
      <c r="H88" s="6"/>
      <c r="I88" s="3"/>
    </row>
    <row r="89" spans="2:14" ht="16.5" thickBot="1" x14ac:dyDescent="0.3">
      <c r="B89" s="167"/>
      <c r="C89" s="167"/>
      <c r="D89" s="2">
        <f>F61^2/(4*8)</f>
        <v>90418.78125</v>
      </c>
      <c r="G89" s="3"/>
      <c r="H89" s="6"/>
      <c r="I89" s="3"/>
    </row>
    <row r="90" spans="2:14" ht="16.5" thickBot="1" x14ac:dyDescent="0.3">
      <c r="B90" s="167"/>
      <c r="C90" s="167"/>
      <c r="G90" s="7"/>
      <c r="H90" s="6"/>
      <c r="I90" s="3"/>
    </row>
    <row r="91" spans="2:14" ht="16.5" thickBot="1" x14ac:dyDescent="0.3">
      <c r="B91" s="3"/>
      <c r="C91" s="3"/>
      <c r="D91" s="3"/>
      <c r="G91" s="3"/>
      <c r="H91" s="3"/>
      <c r="I91" s="3"/>
    </row>
    <row r="92" spans="2:14" ht="16.5" thickBot="1" x14ac:dyDescent="0.3">
      <c r="B92" s="167"/>
      <c r="C92" s="167"/>
      <c r="D92" s="167"/>
      <c r="H92" s="3"/>
      <c r="I92" s="3"/>
    </row>
    <row r="93" spans="2:14" ht="16.5" thickBot="1" x14ac:dyDescent="0.3">
      <c r="B93" s="167"/>
      <c r="C93" s="167"/>
      <c r="D93" s="167"/>
      <c r="E93" s="2">
        <f>SUMSQ(B30:I30)/4-D89</f>
        <v>958.96875</v>
      </c>
      <c r="H93" s="3"/>
      <c r="I93" s="3"/>
    </row>
    <row r="94" spans="2:14" ht="16.5" thickBot="1" x14ac:dyDescent="0.3">
      <c r="B94" s="167"/>
      <c r="C94" s="167"/>
      <c r="D94" s="167"/>
      <c r="H94" s="7"/>
      <c r="I94" s="3"/>
    </row>
    <row r="95" spans="2:14" ht="16.5" thickBot="1" x14ac:dyDescent="0.3">
      <c r="B95" s="3"/>
      <c r="C95" s="3"/>
      <c r="D95" s="3"/>
      <c r="H95" s="3"/>
      <c r="I95" s="3"/>
    </row>
    <row r="96" spans="2:14" ht="16.5" thickBot="1" x14ac:dyDescent="0.3">
      <c r="B96" s="167"/>
      <c r="C96" s="167"/>
      <c r="D96" s="167"/>
      <c r="H96" s="3"/>
      <c r="I96" s="3"/>
    </row>
    <row r="97" spans="2:10" ht="16.5" thickBot="1" x14ac:dyDescent="0.3">
      <c r="B97" s="167"/>
      <c r="C97" s="167"/>
      <c r="D97" s="167"/>
      <c r="E97" s="2">
        <f>SUMSQ(C32:C35)/8-D89</f>
        <v>704.34375</v>
      </c>
      <c r="H97" s="3"/>
      <c r="I97" s="3"/>
    </row>
    <row r="98" spans="2:10" ht="16.5" thickBot="1" x14ac:dyDescent="0.3">
      <c r="B98" s="167"/>
      <c r="C98" s="167"/>
      <c r="D98" s="167"/>
      <c r="H98" s="7"/>
      <c r="I98" s="3"/>
    </row>
    <row r="99" spans="2:10" ht="16.5" thickBot="1" x14ac:dyDescent="0.3">
      <c r="B99" s="3"/>
      <c r="C99" s="3"/>
      <c r="D99" s="3"/>
      <c r="H99" s="3"/>
      <c r="I99" s="3"/>
    </row>
    <row r="100" spans="2:10" ht="16.5" thickBot="1" x14ac:dyDescent="0.3">
      <c r="B100" s="167"/>
      <c r="C100" s="167"/>
      <c r="D100" s="167"/>
      <c r="H100" s="3"/>
      <c r="I100" s="3"/>
    </row>
    <row r="101" spans="2:10" ht="16.5" thickBot="1" x14ac:dyDescent="0.3">
      <c r="B101" s="167"/>
      <c r="C101" s="167"/>
      <c r="D101" s="167"/>
      <c r="E101" s="2">
        <f>SUMSQ(B26:I29)-D89</f>
        <v>9592.21875</v>
      </c>
      <c r="H101" s="3"/>
      <c r="I101" s="3"/>
    </row>
    <row r="102" spans="2:10" ht="16.5" thickBot="1" x14ac:dyDescent="0.3">
      <c r="B102" s="167"/>
      <c r="C102" s="167"/>
      <c r="D102" s="167"/>
      <c r="H102" s="7"/>
      <c r="I102" s="3"/>
    </row>
    <row r="103" spans="2:10" ht="15.75" x14ac:dyDescent="0.25">
      <c r="H103" s="3"/>
      <c r="I103" s="3"/>
    </row>
    <row r="104" spans="2:10" ht="15.75" x14ac:dyDescent="0.25">
      <c r="B104" s="21" t="s">
        <v>186</v>
      </c>
    </row>
    <row r="105" spans="2:10" ht="15.75" thickBot="1" x14ac:dyDescent="0.3"/>
    <row r="106" spans="2:10" ht="18.75" thickBot="1" x14ac:dyDescent="0.4">
      <c r="B106" s="150" t="s">
        <v>48</v>
      </c>
      <c r="C106" s="98" t="s">
        <v>182</v>
      </c>
      <c r="D106" s="99" t="s">
        <v>191</v>
      </c>
      <c r="E106" s="99" t="s">
        <v>192</v>
      </c>
      <c r="F106" s="99" t="s">
        <v>307</v>
      </c>
      <c r="G106" s="92" t="s">
        <v>308</v>
      </c>
    </row>
    <row r="107" spans="2:10" x14ac:dyDescent="0.25">
      <c r="B107" s="128" t="s">
        <v>106</v>
      </c>
      <c r="C107" s="153">
        <f>E97</f>
        <v>704.34375</v>
      </c>
      <c r="D107" s="152">
        <v>3</v>
      </c>
      <c r="E107" s="152">
        <f>C107/D107</f>
        <v>234.78125</v>
      </c>
      <c r="F107" s="152">
        <f>E107/$E$118</f>
        <v>2.1408265774196984</v>
      </c>
      <c r="G107" s="152">
        <f>_xlfn.F.INV.RT(0.05,D107,$D$118)</f>
        <v>3.1967768409433446</v>
      </c>
    </row>
    <row r="108" spans="2:10" ht="45" x14ac:dyDescent="0.25">
      <c r="B108" s="155" t="s">
        <v>107</v>
      </c>
      <c r="C108" s="154">
        <f>C109-C107</f>
        <v>254.625</v>
      </c>
      <c r="D108" s="151">
        <v>4</v>
      </c>
      <c r="E108" s="151">
        <f t="shared" ref="E108:E119" si="2">C108/D108</f>
        <v>63.65625</v>
      </c>
      <c r="F108" s="151">
        <f>E108/$E$118</f>
        <v>0.58044239827018851</v>
      </c>
      <c r="G108" s="151">
        <f>_xlfn.F.INV.RT(0.05,D108,$D$118)</f>
        <v>2.9647081100410797</v>
      </c>
      <c r="J108" t="s">
        <v>235</v>
      </c>
    </row>
    <row r="109" spans="2:10" x14ac:dyDescent="0.25">
      <c r="B109" s="156" t="s">
        <v>61</v>
      </c>
      <c r="C109" s="154">
        <f>E93</f>
        <v>958.96875</v>
      </c>
      <c r="D109" s="151">
        <v>7</v>
      </c>
      <c r="E109" s="151">
        <f t="shared" si="2"/>
        <v>136.99553571428572</v>
      </c>
      <c r="F109" s="151">
        <f>E109/$E$118</f>
        <v>1.24917847504855</v>
      </c>
      <c r="G109" s="151">
        <f t="shared" ref="G109:G117" si="3">_xlfn.F.INV.RT(0.05,D109,$D$118)</f>
        <v>2.6142990451333183</v>
      </c>
    </row>
    <row r="110" spans="2:10" x14ac:dyDescent="0.25">
      <c r="B110" s="156" t="s">
        <v>35</v>
      </c>
      <c r="C110" s="154">
        <f>SUM(C111:C117)</f>
        <v>6768.8854166666679</v>
      </c>
      <c r="D110" s="151">
        <v>7</v>
      </c>
      <c r="E110" s="151">
        <f t="shared" si="2"/>
        <v>966.98363095238108</v>
      </c>
      <c r="F110" s="151">
        <f t="shared" ref="F110:F117" si="4">E110/$E$118</f>
        <v>8.8173321211666558</v>
      </c>
      <c r="G110" s="151">
        <f t="shared" si="3"/>
        <v>2.6142990451333183</v>
      </c>
    </row>
    <row r="111" spans="2:10" ht="15.75" x14ac:dyDescent="0.25">
      <c r="B111" s="157" t="s">
        <v>173</v>
      </c>
      <c r="C111" s="154">
        <f>F62^2/(8*4)</f>
        <v>3633.78125</v>
      </c>
      <c r="D111" s="151">
        <v>1</v>
      </c>
      <c r="E111" s="151">
        <f t="shared" si="2"/>
        <v>3633.78125</v>
      </c>
      <c r="F111" s="151">
        <f t="shared" si="4"/>
        <v>33.134228037926256</v>
      </c>
      <c r="G111" s="151">
        <f t="shared" si="3"/>
        <v>4.4513217724681331</v>
      </c>
    </row>
    <row r="112" spans="2:10" x14ac:dyDescent="0.25">
      <c r="B112" s="156" t="s">
        <v>36</v>
      </c>
      <c r="C112" s="154">
        <f t="shared" ref="C112" si="5">F63^2/(8*4)</f>
        <v>2574.03125</v>
      </c>
      <c r="D112" s="151">
        <v>1</v>
      </c>
      <c r="E112" s="151">
        <f t="shared" si="2"/>
        <v>2574.03125</v>
      </c>
      <c r="F112" s="151">
        <f>E112/$E$118</f>
        <v>23.471016152733018</v>
      </c>
      <c r="G112" s="151">
        <f t="shared" si="3"/>
        <v>4.4513217724681331</v>
      </c>
    </row>
    <row r="113" spans="2:13" ht="15.75" x14ac:dyDescent="0.25">
      <c r="B113" s="157" t="s">
        <v>37</v>
      </c>
      <c r="C113" s="154">
        <f>F65^2/(8*4)</f>
        <v>38.28125</v>
      </c>
      <c r="D113" s="151">
        <v>1</v>
      </c>
      <c r="E113" s="151">
        <f t="shared" si="2"/>
        <v>38.28125</v>
      </c>
      <c r="F113" s="151">
        <f t="shared" si="4"/>
        <v>0.34906329792880753</v>
      </c>
      <c r="G113" s="151">
        <f t="shared" si="3"/>
        <v>4.4513217724681331</v>
      </c>
    </row>
    <row r="114" spans="2:13" x14ac:dyDescent="0.25">
      <c r="B114" s="156" t="s">
        <v>174</v>
      </c>
      <c r="C114" s="154">
        <f>F83</f>
        <v>322.66666666666669</v>
      </c>
      <c r="D114" s="151">
        <v>1</v>
      </c>
      <c r="E114" s="151">
        <f t="shared" si="2"/>
        <v>322.66666666666669</v>
      </c>
      <c r="F114" s="151">
        <f t="shared" si="4"/>
        <v>2.9421999228959841</v>
      </c>
      <c r="G114" s="151">
        <f t="shared" si="3"/>
        <v>4.4513217724681331</v>
      </c>
    </row>
    <row r="115" spans="2:13" ht="15.75" x14ac:dyDescent="0.25">
      <c r="B115" s="157" t="s">
        <v>175</v>
      </c>
      <c r="C115" s="154">
        <f>F84</f>
        <v>57.041666666666664</v>
      </c>
      <c r="D115" s="151">
        <v>1</v>
      </c>
      <c r="E115" s="151">
        <f t="shared" si="2"/>
        <v>57.041666666666664</v>
      </c>
      <c r="F115" s="151">
        <f t="shared" si="4"/>
        <v>0.52012805971650333</v>
      </c>
      <c r="G115" s="151">
        <f t="shared" si="3"/>
        <v>4.4513217724681331</v>
      </c>
    </row>
    <row r="116" spans="2:13" x14ac:dyDescent="0.25">
      <c r="B116" s="156" t="s">
        <v>38</v>
      </c>
      <c r="C116" s="154">
        <f>F85</f>
        <v>51.041666666666664</v>
      </c>
      <c r="D116" s="151">
        <v>1</v>
      </c>
      <c r="E116" s="151">
        <f t="shared" si="2"/>
        <v>51.041666666666664</v>
      </c>
      <c r="F116" s="151">
        <f t="shared" si="4"/>
        <v>0.46541773057174329</v>
      </c>
      <c r="G116" s="151">
        <f t="shared" si="3"/>
        <v>4.4513217724681331</v>
      </c>
    </row>
    <row r="117" spans="2:13" ht="15.75" x14ac:dyDescent="0.25">
      <c r="B117" s="157" t="s">
        <v>176</v>
      </c>
      <c r="C117" s="154">
        <f>F86</f>
        <v>92.041666666666671</v>
      </c>
      <c r="D117" s="151">
        <v>1</v>
      </c>
      <c r="E117" s="151">
        <f t="shared" si="2"/>
        <v>92.041666666666671</v>
      </c>
      <c r="F117" s="151">
        <f t="shared" si="4"/>
        <v>0.83927164639427032</v>
      </c>
      <c r="G117" s="151">
        <f t="shared" si="3"/>
        <v>4.4513217724681331</v>
      </c>
    </row>
    <row r="118" spans="2:13" ht="15.75" thickBot="1" x14ac:dyDescent="0.3">
      <c r="B118" s="160" t="s">
        <v>108</v>
      </c>
      <c r="C118" s="158">
        <f>C119-C109-C110</f>
        <v>1864.3645833333321</v>
      </c>
      <c r="D118" s="159">
        <v>17</v>
      </c>
      <c r="E118" s="159">
        <f t="shared" si="2"/>
        <v>109.66850490196072</v>
      </c>
      <c r="F118" s="159"/>
      <c r="G118" s="159"/>
    </row>
    <row r="119" spans="2:13" ht="16.5" thickBot="1" x14ac:dyDescent="0.3">
      <c r="B119" s="149" t="s">
        <v>109</v>
      </c>
      <c r="C119" s="98">
        <f>E101</f>
        <v>9592.21875</v>
      </c>
      <c r="D119" s="99">
        <v>31</v>
      </c>
      <c r="E119" s="99">
        <f t="shared" si="2"/>
        <v>309.42641129032256</v>
      </c>
      <c r="F119" s="99"/>
      <c r="G119" s="161"/>
    </row>
    <row r="120" spans="2:13" x14ac:dyDescent="0.25">
      <c r="B120" s="13"/>
      <c r="C120" s="13"/>
      <c r="D120" s="13"/>
      <c r="E120" s="13"/>
      <c r="F120" s="13"/>
      <c r="G120" s="13"/>
      <c r="H120" s="13"/>
      <c r="I120" s="13"/>
      <c r="J120" s="13"/>
      <c r="K120" s="13"/>
      <c r="L120" s="13"/>
      <c r="M120" s="13"/>
    </row>
    <row r="121" spans="2:13" ht="15.75" x14ac:dyDescent="0.25">
      <c r="B121" s="10" t="s">
        <v>80</v>
      </c>
      <c r="C121" s="3"/>
      <c r="D121" s="3"/>
      <c r="E121" s="3"/>
      <c r="F121" s="3"/>
      <c r="G121" s="3"/>
      <c r="H121" s="3"/>
      <c r="I121" s="3"/>
      <c r="J121" s="3"/>
      <c r="K121" s="3"/>
      <c r="L121" s="3"/>
      <c r="M121" s="3"/>
    </row>
    <row r="122" spans="2:13" ht="18.75" x14ac:dyDescent="0.35">
      <c r="B122" s="11"/>
      <c r="C122" s="11" t="s">
        <v>82</v>
      </c>
      <c r="D122" s="11" t="s">
        <v>66</v>
      </c>
      <c r="E122" s="11"/>
      <c r="F122" s="11"/>
      <c r="G122" s="11"/>
      <c r="H122" s="11"/>
      <c r="I122" s="11"/>
      <c r="J122" s="11"/>
      <c r="K122" s="11"/>
      <c r="L122" s="3"/>
      <c r="M122" s="3"/>
    </row>
    <row r="123" spans="2:13" ht="18.75" x14ac:dyDescent="0.35">
      <c r="B123" s="11"/>
      <c r="C123" s="11" t="s">
        <v>83</v>
      </c>
      <c r="D123" s="11" t="s">
        <v>67</v>
      </c>
      <c r="E123" s="11"/>
      <c r="F123" s="11"/>
      <c r="G123" s="11"/>
      <c r="H123" s="11"/>
      <c r="I123" s="11"/>
      <c r="J123" s="11"/>
      <c r="K123" s="11"/>
      <c r="L123" s="3"/>
      <c r="M123" s="3"/>
    </row>
    <row r="124" spans="2:13" ht="15.75" x14ac:dyDescent="0.25">
      <c r="B124" s="11"/>
      <c r="C124" s="11"/>
      <c r="D124" s="11"/>
      <c r="E124" s="11"/>
      <c r="F124" s="11"/>
      <c r="G124" s="11"/>
      <c r="H124" s="11"/>
      <c r="I124" s="11"/>
      <c r="J124" s="11"/>
      <c r="K124" s="11"/>
      <c r="L124" s="3"/>
      <c r="M124" s="3"/>
    </row>
    <row r="125" spans="2:13" ht="15.75" x14ac:dyDescent="0.25">
      <c r="B125" s="11"/>
      <c r="C125" s="11" t="s">
        <v>68</v>
      </c>
      <c r="D125" s="16">
        <f>F109</f>
        <v>1.24917847504855</v>
      </c>
      <c r="E125" s="3"/>
      <c r="F125" s="11"/>
      <c r="G125" s="11"/>
      <c r="H125" s="11"/>
      <c r="I125" s="11"/>
      <c r="J125" s="11"/>
      <c r="K125" s="11"/>
      <c r="L125" s="3"/>
      <c r="M125" s="3"/>
    </row>
    <row r="126" spans="2:13" ht="15.75" x14ac:dyDescent="0.25">
      <c r="B126" s="11"/>
      <c r="C126" s="11" t="s">
        <v>69</v>
      </c>
      <c r="D126" s="16">
        <f>G109</f>
        <v>2.6142990451333183</v>
      </c>
      <c r="E126" s="11"/>
      <c r="F126" s="11"/>
      <c r="G126" s="11"/>
      <c r="H126" s="11"/>
      <c r="I126" s="11"/>
      <c r="J126" s="11"/>
      <c r="K126" s="11"/>
      <c r="L126" s="3"/>
      <c r="M126" s="3"/>
    </row>
    <row r="127" spans="2:13" ht="15.75" x14ac:dyDescent="0.25">
      <c r="B127" s="11"/>
      <c r="C127" s="11"/>
      <c r="D127" s="11"/>
      <c r="E127" s="11"/>
      <c r="F127" s="11"/>
      <c r="G127" s="11"/>
      <c r="H127" s="11"/>
      <c r="I127" s="11"/>
      <c r="J127" s="11"/>
      <c r="K127" s="11"/>
      <c r="L127" s="3"/>
      <c r="M127" s="3"/>
    </row>
    <row r="128" spans="2:13" ht="18.75" x14ac:dyDescent="0.35">
      <c r="B128" s="12" t="s">
        <v>81</v>
      </c>
      <c r="C128" s="11" t="s">
        <v>193</v>
      </c>
      <c r="D128" s="11"/>
      <c r="E128" s="11"/>
      <c r="F128" s="11"/>
      <c r="G128" s="11"/>
      <c r="H128" s="11"/>
      <c r="I128" s="11"/>
      <c r="J128" s="11"/>
      <c r="K128" s="11"/>
      <c r="L128" s="3"/>
      <c r="M128" s="3"/>
    </row>
    <row r="129" spans="2:13" ht="15.75" x14ac:dyDescent="0.25">
      <c r="B129" s="11"/>
      <c r="C129" s="11" t="s">
        <v>70</v>
      </c>
      <c r="D129" s="11"/>
      <c r="E129" s="11"/>
      <c r="F129" s="11"/>
      <c r="G129" s="11"/>
      <c r="H129" s="11"/>
      <c r="I129" s="11"/>
      <c r="J129" s="11"/>
      <c r="K129" s="11"/>
      <c r="L129" s="3"/>
      <c r="M129" s="3"/>
    </row>
    <row r="130" spans="2:13" ht="15.75" x14ac:dyDescent="0.25">
      <c r="B130" s="11"/>
      <c r="C130" s="11"/>
      <c r="D130" s="11"/>
      <c r="E130" s="11"/>
      <c r="F130" s="11"/>
      <c r="G130" s="11"/>
      <c r="H130" s="11"/>
      <c r="I130" s="11"/>
      <c r="J130" s="11"/>
      <c r="K130" s="11"/>
      <c r="L130" s="3"/>
      <c r="M130" s="3"/>
    </row>
    <row r="131" spans="2:13" ht="18.75" x14ac:dyDescent="0.35">
      <c r="B131" s="11"/>
      <c r="C131" s="11" t="s">
        <v>85</v>
      </c>
      <c r="D131" s="11" t="s">
        <v>71</v>
      </c>
      <c r="E131" s="11"/>
      <c r="F131" s="11"/>
      <c r="G131" s="11"/>
      <c r="H131" s="11"/>
      <c r="I131" s="11"/>
      <c r="J131" s="11"/>
      <c r="K131" s="11"/>
      <c r="L131" s="3"/>
      <c r="M131" s="3"/>
    </row>
    <row r="132" spans="2:13" ht="18.75" x14ac:dyDescent="0.35">
      <c r="B132" s="11"/>
      <c r="C132" s="11" t="s">
        <v>86</v>
      </c>
      <c r="D132" s="11" t="s">
        <v>72</v>
      </c>
      <c r="E132" s="11"/>
      <c r="F132" s="11"/>
      <c r="G132" s="11"/>
      <c r="H132" s="11"/>
      <c r="I132" s="11"/>
      <c r="J132" s="11"/>
      <c r="K132" s="11"/>
      <c r="L132" s="3"/>
      <c r="M132" s="3"/>
    </row>
    <row r="133" spans="2:13" ht="15.75" x14ac:dyDescent="0.25">
      <c r="B133" s="11"/>
      <c r="C133" s="11"/>
      <c r="D133" s="11"/>
      <c r="E133" s="11"/>
      <c r="F133" s="11"/>
      <c r="G133" s="11"/>
      <c r="H133" s="11"/>
      <c r="I133" s="11"/>
      <c r="J133" s="11"/>
      <c r="K133" s="11"/>
      <c r="L133" s="3"/>
      <c r="M133" s="3"/>
    </row>
    <row r="134" spans="2:13" ht="15.75" x14ac:dyDescent="0.25">
      <c r="B134" s="11"/>
      <c r="C134" s="11" t="s">
        <v>68</v>
      </c>
      <c r="D134" s="16">
        <f>F110</f>
        <v>8.8173321211666558</v>
      </c>
      <c r="E134" s="11"/>
      <c r="F134" s="11"/>
      <c r="G134" s="11"/>
      <c r="H134" s="11"/>
      <c r="I134" s="11"/>
      <c r="J134" s="11"/>
      <c r="K134" s="11"/>
      <c r="L134" s="3"/>
      <c r="M134" s="3"/>
    </row>
    <row r="135" spans="2:13" ht="15.75" x14ac:dyDescent="0.25">
      <c r="B135" s="11"/>
      <c r="C135" s="11" t="s">
        <v>69</v>
      </c>
      <c r="D135" s="16">
        <f>G110</f>
        <v>2.6142990451333183</v>
      </c>
      <c r="E135" s="11"/>
      <c r="F135" s="11"/>
      <c r="G135" s="11"/>
      <c r="H135" s="11"/>
      <c r="I135" s="11"/>
      <c r="J135" s="11"/>
      <c r="K135" s="11"/>
      <c r="L135" s="3"/>
      <c r="M135" s="3"/>
    </row>
    <row r="136" spans="2:13" ht="15.75" x14ac:dyDescent="0.25">
      <c r="B136" s="11"/>
      <c r="C136" s="11"/>
      <c r="D136" s="11"/>
      <c r="E136" s="11"/>
      <c r="F136" s="11"/>
      <c r="G136" s="11"/>
      <c r="H136" s="11"/>
      <c r="I136" s="11"/>
      <c r="J136" s="11"/>
      <c r="K136" s="11"/>
      <c r="L136" s="3"/>
      <c r="M136" s="3"/>
    </row>
    <row r="137" spans="2:13" ht="18.75" x14ac:dyDescent="0.35">
      <c r="B137" s="12" t="s">
        <v>81</v>
      </c>
      <c r="C137" s="11" t="s">
        <v>194</v>
      </c>
      <c r="D137" s="11"/>
      <c r="E137" s="11"/>
      <c r="F137" s="11"/>
      <c r="G137" s="11"/>
      <c r="H137" s="11"/>
      <c r="I137" s="11"/>
      <c r="J137" s="11"/>
      <c r="K137" s="11"/>
      <c r="L137" s="3"/>
      <c r="M137" s="3"/>
    </row>
    <row r="138" spans="2:13" ht="15.75" x14ac:dyDescent="0.25">
      <c r="B138" s="11"/>
      <c r="C138" s="11" t="s">
        <v>73</v>
      </c>
      <c r="D138" s="11"/>
      <c r="E138" s="11"/>
      <c r="F138" s="11"/>
      <c r="G138" s="11"/>
      <c r="H138" s="11"/>
      <c r="I138" s="11"/>
      <c r="J138" s="11"/>
      <c r="K138" s="11"/>
      <c r="L138" s="3"/>
      <c r="M138" s="3"/>
    </row>
    <row r="139" spans="2:13" ht="15.75" x14ac:dyDescent="0.25">
      <c r="B139" s="11"/>
      <c r="C139" s="11"/>
      <c r="D139" s="11"/>
      <c r="E139" s="11"/>
      <c r="F139" s="11"/>
      <c r="G139" s="11"/>
      <c r="H139" s="11"/>
      <c r="I139" s="11"/>
      <c r="J139" s="11"/>
      <c r="K139" s="11"/>
      <c r="L139" s="3"/>
      <c r="M139" s="3"/>
    </row>
    <row r="140" spans="2:13" ht="18.75" x14ac:dyDescent="0.35">
      <c r="B140" s="11"/>
      <c r="C140" s="11" t="s">
        <v>88</v>
      </c>
      <c r="D140" s="11" t="s">
        <v>74</v>
      </c>
      <c r="E140" s="11"/>
      <c r="F140" s="11"/>
      <c r="G140" s="11"/>
      <c r="H140" s="11"/>
      <c r="I140" s="11"/>
      <c r="J140" s="11"/>
      <c r="K140" s="11"/>
      <c r="L140" s="3"/>
      <c r="M140" s="3"/>
    </row>
    <row r="141" spans="2:13" ht="18.75" x14ac:dyDescent="0.35">
      <c r="B141" s="11"/>
      <c r="C141" s="11" t="s">
        <v>89</v>
      </c>
      <c r="D141" s="11" t="s">
        <v>75</v>
      </c>
      <c r="E141" s="11"/>
      <c r="F141" s="11"/>
      <c r="G141" s="11"/>
      <c r="H141" s="11"/>
      <c r="I141" s="11"/>
      <c r="J141" s="11"/>
      <c r="K141" s="11"/>
      <c r="L141" s="3"/>
      <c r="M141" s="3"/>
    </row>
    <row r="142" spans="2:13" ht="15.75" x14ac:dyDescent="0.25">
      <c r="B142" s="11"/>
      <c r="C142" s="3"/>
      <c r="D142" s="3"/>
      <c r="E142" s="3"/>
      <c r="F142" s="3"/>
      <c r="G142" s="3"/>
      <c r="H142" s="3"/>
      <c r="I142" s="3"/>
      <c r="J142" s="3"/>
      <c r="K142" s="11"/>
      <c r="L142" s="3"/>
      <c r="M142" s="3"/>
    </row>
    <row r="143" spans="2:13" ht="15.75" x14ac:dyDescent="0.25">
      <c r="B143" s="11"/>
      <c r="C143" s="16" t="s">
        <v>173</v>
      </c>
      <c r="D143" s="16"/>
      <c r="E143" s="16"/>
      <c r="F143" s="16" t="s">
        <v>36</v>
      </c>
      <c r="G143" s="16"/>
      <c r="H143" s="16"/>
      <c r="I143" s="16" t="s">
        <v>37</v>
      </c>
      <c r="J143" s="11"/>
      <c r="K143" s="11"/>
      <c r="L143" s="3"/>
      <c r="M143" s="3"/>
    </row>
    <row r="144" spans="2:13" ht="15.75" x14ac:dyDescent="0.25">
      <c r="B144" s="11"/>
      <c r="C144" s="11" t="s">
        <v>68</v>
      </c>
      <c r="D144" s="16">
        <f>F111</f>
        <v>33.134228037926256</v>
      </c>
      <c r="E144" s="11"/>
      <c r="F144" s="11" t="s">
        <v>68</v>
      </c>
      <c r="G144" s="16">
        <f>F112</f>
        <v>23.471016152733018</v>
      </c>
      <c r="H144" s="11"/>
      <c r="I144" s="11" t="s">
        <v>68</v>
      </c>
      <c r="J144" s="16">
        <f>F113</f>
        <v>0.34906329792880753</v>
      </c>
      <c r="K144" s="11"/>
      <c r="L144" s="3"/>
      <c r="M144" s="3"/>
    </row>
    <row r="145" spans="2:13" ht="15.75" x14ac:dyDescent="0.25">
      <c r="B145" s="11"/>
      <c r="C145" s="11" t="s">
        <v>69</v>
      </c>
      <c r="D145" s="16">
        <f>G113</f>
        <v>4.4513217724681331</v>
      </c>
      <c r="E145" s="11"/>
      <c r="F145" s="11" t="s">
        <v>69</v>
      </c>
      <c r="G145" s="16">
        <f>D145</f>
        <v>4.4513217724681331</v>
      </c>
      <c r="H145" s="11"/>
      <c r="I145" s="11" t="s">
        <v>69</v>
      </c>
      <c r="J145" s="16">
        <f>G145</f>
        <v>4.4513217724681331</v>
      </c>
      <c r="K145" s="11"/>
      <c r="L145" s="3"/>
      <c r="M145" s="3"/>
    </row>
    <row r="146" spans="2:13" ht="15.75" x14ac:dyDescent="0.25">
      <c r="B146" s="11"/>
      <c r="C146" s="11"/>
      <c r="D146" s="11"/>
      <c r="E146" s="11"/>
      <c r="F146" s="11"/>
      <c r="G146" s="11"/>
      <c r="H146" s="11"/>
      <c r="I146" s="11"/>
      <c r="J146" s="11"/>
      <c r="K146" s="11"/>
      <c r="L146" s="3"/>
      <c r="M146" s="3"/>
    </row>
    <row r="147" spans="2:13" ht="18.75" x14ac:dyDescent="0.35">
      <c r="B147" s="12" t="s">
        <v>81</v>
      </c>
      <c r="C147" s="11" t="s">
        <v>195</v>
      </c>
      <c r="D147" s="11"/>
      <c r="E147" s="11"/>
      <c r="F147" s="11"/>
      <c r="G147" s="11"/>
      <c r="H147" s="11"/>
      <c r="I147" s="11"/>
      <c r="J147" s="11"/>
      <c r="K147" s="11"/>
      <c r="L147" s="3"/>
      <c r="M147" s="3"/>
    </row>
    <row r="148" spans="2:13" ht="15.75" x14ac:dyDescent="0.25">
      <c r="B148" s="12"/>
      <c r="C148" s="11" t="s">
        <v>196</v>
      </c>
      <c r="D148" s="11"/>
      <c r="E148" s="11"/>
      <c r="F148" s="11"/>
      <c r="G148" s="11"/>
      <c r="H148" s="11"/>
      <c r="I148" s="11"/>
      <c r="J148" s="11"/>
      <c r="K148" s="11"/>
      <c r="L148" s="3"/>
      <c r="M148" s="3"/>
    </row>
    <row r="149" spans="2:13" ht="15.75" x14ac:dyDescent="0.25">
      <c r="B149" s="11"/>
      <c r="C149" s="11" t="s">
        <v>197</v>
      </c>
      <c r="D149" s="11"/>
      <c r="E149" s="11"/>
      <c r="F149" s="11"/>
      <c r="G149" s="11"/>
      <c r="H149" s="11"/>
      <c r="I149" s="11"/>
      <c r="J149" s="11"/>
      <c r="K149" s="11"/>
      <c r="L149" s="3"/>
      <c r="M149" s="3"/>
    </row>
    <row r="150" spans="2:13" ht="15.75" x14ac:dyDescent="0.25">
      <c r="B150" s="11"/>
      <c r="C150" s="11"/>
      <c r="D150" s="11"/>
      <c r="E150" s="11"/>
      <c r="F150" s="11"/>
      <c r="G150" s="11"/>
      <c r="H150" s="11"/>
      <c r="I150" s="11"/>
      <c r="J150" s="11"/>
      <c r="K150" s="11"/>
      <c r="L150" s="3"/>
      <c r="M150" s="3"/>
    </row>
    <row r="151" spans="2:13" ht="18.75" x14ac:dyDescent="0.35">
      <c r="B151" s="11"/>
      <c r="C151" s="11" t="s">
        <v>91</v>
      </c>
      <c r="D151" s="11" t="s">
        <v>78</v>
      </c>
      <c r="E151" s="11"/>
      <c r="F151" s="11"/>
      <c r="G151" s="11"/>
      <c r="H151" s="11"/>
      <c r="I151" s="11"/>
      <c r="J151" s="11"/>
      <c r="K151" s="11"/>
      <c r="L151" s="3"/>
      <c r="M151" s="3"/>
    </row>
    <row r="152" spans="2:13" ht="18.75" x14ac:dyDescent="0.35">
      <c r="B152" s="11"/>
      <c r="C152" s="11" t="s">
        <v>92</v>
      </c>
      <c r="D152" s="11" t="s">
        <v>79</v>
      </c>
      <c r="E152" s="11"/>
      <c r="F152" s="11"/>
      <c r="G152" s="11"/>
      <c r="H152" s="11"/>
      <c r="I152" s="11"/>
      <c r="J152" s="11"/>
      <c r="K152" s="11"/>
      <c r="L152" s="3"/>
      <c r="M152" s="3"/>
    </row>
    <row r="153" spans="2:13" ht="15.75" x14ac:dyDescent="0.25">
      <c r="B153" s="11"/>
      <c r="C153" s="11"/>
      <c r="D153" s="11"/>
      <c r="E153" s="11"/>
      <c r="F153" s="11"/>
      <c r="G153" s="11"/>
      <c r="H153" s="11"/>
      <c r="I153" s="11"/>
      <c r="J153" s="11"/>
      <c r="K153" s="11"/>
      <c r="L153" s="3"/>
      <c r="M153" s="3"/>
    </row>
    <row r="154" spans="2:13" ht="15.75" x14ac:dyDescent="0.25">
      <c r="B154" s="3"/>
      <c r="C154" s="16" t="s">
        <v>174</v>
      </c>
      <c r="D154" s="16"/>
      <c r="E154" s="16"/>
      <c r="F154" s="16" t="s">
        <v>175</v>
      </c>
      <c r="G154" s="16"/>
      <c r="H154" s="16"/>
      <c r="I154" s="16" t="s">
        <v>38</v>
      </c>
      <c r="J154" s="11"/>
      <c r="K154" s="3"/>
      <c r="L154" s="16" t="s">
        <v>176</v>
      </c>
      <c r="M154" s="11"/>
    </row>
    <row r="155" spans="2:13" ht="15.75" x14ac:dyDescent="0.25">
      <c r="B155" s="3"/>
      <c r="C155" s="11" t="s">
        <v>68</v>
      </c>
      <c r="D155" s="16">
        <f>F114</f>
        <v>2.9421999228959841</v>
      </c>
      <c r="E155" s="11"/>
      <c r="F155" s="11" t="s">
        <v>68</v>
      </c>
      <c r="G155" s="16">
        <f>F115</f>
        <v>0.52012805971650333</v>
      </c>
      <c r="H155" s="11"/>
      <c r="I155" s="11" t="s">
        <v>68</v>
      </c>
      <c r="J155" s="16">
        <f>F116</f>
        <v>0.46541773057174329</v>
      </c>
      <c r="K155" s="3"/>
      <c r="L155" s="11" t="s">
        <v>68</v>
      </c>
      <c r="M155" s="16">
        <f>F117</f>
        <v>0.83927164639427032</v>
      </c>
    </row>
    <row r="156" spans="2:13" ht="15.75" x14ac:dyDescent="0.25">
      <c r="B156" s="3"/>
      <c r="C156" s="11" t="s">
        <v>69</v>
      </c>
      <c r="D156" s="16">
        <f>G114</f>
        <v>4.4513217724681331</v>
      </c>
      <c r="E156" s="11"/>
      <c r="F156" s="11" t="s">
        <v>69</v>
      </c>
      <c r="G156" s="16">
        <f>D156</f>
        <v>4.4513217724681331</v>
      </c>
      <c r="H156" s="11"/>
      <c r="I156" s="11" t="s">
        <v>69</v>
      </c>
      <c r="J156" s="16">
        <f>G117</f>
        <v>4.4513217724681331</v>
      </c>
      <c r="K156" s="3"/>
      <c r="L156" s="11" t="s">
        <v>69</v>
      </c>
      <c r="M156" s="16">
        <f>G117</f>
        <v>4.4513217724681331</v>
      </c>
    </row>
    <row r="157" spans="2:13" ht="15.75" x14ac:dyDescent="0.25">
      <c r="B157" s="3"/>
      <c r="C157" s="3"/>
      <c r="D157" s="3"/>
      <c r="E157" s="3"/>
      <c r="F157" s="3"/>
      <c r="G157" s="3"/>
      <c r="H157" s="3"/>
      <c r="I157" s="3"/>
      <c r="J157" s="16"/>
      <c r="K157" s="3"/>
      <c r="L157" s="3"/>
      <c r="M157" s="3"/>
    </row>
    <row r="158" spans="2:13" ht="15.75" x14ac:dyDescent="0.25">
      <c r="B158" s="11"/>
      <c r="C158" s="11"/>
      <c r="D158" s="11"/>
      <c r="E158" s="11"/>
      <c r="F158" s="11"/>
      <c r="G158" s="11"/>
      <c r="H158" s="11"/>
      <c r="I158" s="11"/>
      <c r="J158" s="11"/>
      <c r="K158" s="11"/>
      <c r="L158" s="11"/>
      <c r="M158" s="11"/>
    </row>
    <row r="159" spans="2:13" ht="18.75" x14ac:dyDescent="0.35">
      <c r="B159" s="12" t="s">
        <v>81</v>
      </c>
      <c r="C159" s="11" t="s">
        <v>198</v>
      </c>
      <c r="D159" s="11"/>
      <c r="E159" s="11"/>
      <c r="F159" s="11"/>
      <c r="G159" s="11"/>
      <c r="H159" s="11"/>
      <c r="I159" s="11"/>
      <c r="J159" s="11"/>
      <c r="K159" s="11"/>
      <c r="L159" s="11"/>
      <c r="M159" s="11"/>
    </row>
    <row r="160" spans="2:13" ht="15.75" x14ac:dyDescent="0.25">
      <c r="B160" s="11"/>
      <c r="C160" s="11" t="s">
        <v>199</v>
      </c>
      <c r="D160" s="11"/>
      <c r="E160" s="11"/>
      <c r="F160" s="11"/>
      <c r="G160" s="11"/>
      <c r="H160" s="11"/>
      <c r="I160" s="11"/>
      <c r="J160" s="11"/>
      <c r="K160" s="11"/>
      <c r="L160" s="11"/>
      <c r="M160" s="11"/>
    </row>
    <row r="161" spans="2:13" ht="15.75" x14ac:dyDescent="0.25">
      <c r="B161" s="11"/>
      <c r="C161" s="11"/>
      <c r="D161" s="11"/>
      <c r="E161" s="11"/>
      <c r="F161" s="11"/>
      <c r="G161" s="11"/>
      <c r="H161" s="11"/>
      <c r="I161" s="11"/>
      <c r="J161" s="11"/>
      <c r="K161" s="11"/>
      <c r="L161" s="11"/>
      <c r="M161" s="11"/>
    </row>
    <row r="162" spans="2:13" ht="15.75" x14ac:dyDescent="0.25">
      <c r="B162" s="11"/>
      <c r="C162" s="11"/>
      <c r="D162" s="11"/>
      <c r="E162" s="11"/>
      <c r="F162" s="11"/>
      <c r="G162" s="11"/>
      <c r="H162" s="11"/>
      <c r="I162" s="11"/>
      <c r="J162" s="11"/>
      <c r="K162" s="11"/>
      <c r="L162" s="11"/>
      <c r="M162" s="11"/>
    </row>
    <row r="163" spans="2:13" ht="15.75" x14ac:dyDescent="0.25">
      <c r="B163" s="11"/>
      <c r="C163" s="11"/>
      <c r="D163" s="11"/>
      <c r="E163" s="11"/>
      <c r="F163" s="11"/>
      <c r="G163" s="11"/>
      <c r="H163" s="11"/>
      <c r="I163" s="11"/>
      <c r="J163" s="11"/>
      <c r="K163" s="11"/>
      <c r="L163" s="11"/>
      <c r="M163" s="11"/>
    </row>
    <row r="164" spans="2:13" ht="15.75" x14ac:dyDescent="0.25">
      <c r="H164" s="11"/>
    </row>
    <row r="165" spans="2:13" ht="15.75" x14ac:dyDescent="0.25">
      <c r="H165" s="11"/>
    </row>
    <row r="166" spans="2:13" ht="15.75" x14ac:dyDescent="0.25">
      <c r="H166" s="11"/>
    </row>
    <row r="167" spans="2:13" ht="15.75" x14ac:dyDescent="0.25">
      <c r="H167" s="11"/>
    </row>
  </sheetData>
  <mergeCells count="4">
    <mergeCell ref="B88:C90"/>
    <mergeCell ref="B92:D94"/>
    <mergeCell ref="B96:D98"/>
    <mergeCell ref="B100:D102"/>
  </mergeCells>
  <phoneticPr fontId="11" type="noConversion"/>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Q.1</vt:lpstr>
      <vt:lpstr>Q.2</vt:lpstr>
      <vt:lpstr>Q.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pateldaksh3120@gmail.com</cp:lastModifiedBy>
  <dcterms:created xsi:type="dcterms:W3CDTF">2020-12-04T09:48:31Z</dcterms:created>
  <dcterms:modified xsi:type="dcterms:W3CDTF">2021-10-19T19:40:24Z</dcterms:modified>
</cp:coreProperties>
</file>