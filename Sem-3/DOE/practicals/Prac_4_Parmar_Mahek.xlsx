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patel\Desktop\Msc sem3\DOE\practicals\"/>
    </mc:Choice>
  </mc:AlternateContent>
  <xr:revisionPtr revIDLastSave="0" documentId="13_ncr:1_{5ED4BC13-FD89-4DCC-ADE4-4F4C407F14BB}" xr6:coauthVersionLast="47" xr6:coauthVersionMax="47" xr10:uidLastSave="{00000000-0000-0000-0000-000000000000}"/>
  <bookViews>
    <workbookView xWindow="-120" yWindow="-120" windowWidth="20730" windowHeight="11160" xr2:uid="{735F55FB-BE68-4504-93BD-25273682270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1" i="1" l="1"/>
  <c r="D79" i="1"/>
  <c r="I63" i="1"/>
  <c r="G65" i="1"/>
  <c r="C79" i="1"/>
  <c r="C92" i="1"/>
  <c r="E81" i="1"/>
  <c r="D87" i="1"/>
  <c r="E79" i="1"/>
  <c r="C83" i="1"/>
  <c r="C85" i="1"/>
  <c r="C81" i="1"/>
  <c r="C87" i="1"/>
  <c r="F66" i="1"/>
  <c r="I66" i="1" s="1"/>
  <c r="F64" i="1"/>
  <c r="G68" i="1" s="1"/>
  <c r="F65" i="1"/>
  <c r="I65" i="1" s="1"/>
  <c r="F63" i="1"/>
  <c r="G67" i="1" s="1"/>
  <c r="G66" i="1" l="1"/>
  <c r="G64" i="1"/>
  <c r="G63" i="1"/>
  <c r="D71" i="1" s="1"/>
  <c r="D72" i="1" s="1"/>
  <c r="D83" i="1" s="1"/>
  <c r="I64" i="1"/>
  <c r="I68" i="1" s="1"/>
  <c r="G70" i="1"/>
  <c r="G69" i="1"/>
  <c r="D85" i="1" l="1"/>
  <c r="E85" i="1" s="1"/>
  <c r="E83" i="1" l="1"/>
  <c r="F84" i="1" s="1"/>
</calcChain>
</file>

<file path=xl/sharedStrings.xml><?xml version="1.0" encoding="utf-8"?>
<sst xmlns="http://schemas.openxmlformats.org/spreadsheetml/2006/main" count="80" uniqueCount="73">
  <si>
    <t>Original variables</t>
  </si>
  <si>
    <t>Percent yield</t>
  </si>
  <si>
    <t>Y</t>
  </si>
  <si>
    <t>49.8,48.1</t>
  </si>
  <si>
    <t>57.3, 52.3</t>
  </si>
  <si>
    <t>65.7, 69.4</t>
  </si>
  <si>
    <t>73.1, 77.8</t>
  </si>
  <si>
    <t>Time (sec)</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</si>
  <si>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</si>
  <si>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</si>
  <si>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</si>
  <si>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</si>
  <si>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</si>
  <si>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</si>
  <si>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</si>
  <si>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</si>
  <si>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</si>
  <si>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</si>
  <si>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</si>
  <si>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</si>
  <si>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</si>
  <si>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</si>
  <si>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</si>
  <si>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</si>
  <si>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</si>
  <si>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</si>
  <si>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</si>
  <si>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</si>
  <si>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</si>
  <si>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</si>
  <si>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</si>
  <si>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</si>
  <si>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</si>
  <si>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X Variable 2</t>
  </si>
  <si>
    <t>RESIDUAL OUTPUT</t>
  </si>
  <si>
    <t>Observation</t>
  </si>
  <si>
    <t>Predicted Y</t>
  </si>
  <si>
    <t>Residuals</t>
  </si>
  <si>
    <t>The Fitted model is;</t>
  </si>
  <si>
    <t xml:space="preserve">pure error = </t>
  </si>
  <si>
    <t xml:space="preserve">lack of fit = </t>
  </si>
  <si>
    <t>Hypothesis:</t>
  </si>
  <si>
    <t>Source</t>
  </si>
  <si>
    <t>d.f.</t>
  </si>
  <si>
    <t>S.S.</t>
  </si>
  <si>
    <t>M.S.S.</t>
  </si>
  <si>
    <t>Fcal</t>
  </si>
  <si>
    <t>Reg</t>
  </si>
  <si>
    <t>Error S.S.</t>
  </si>
  <si>
    <t>Lack of fit</t>
  </si>
  <si>
    <t>Pure Error</t>
  </si>
  <si>
    <t>Here, m = 4</t>
  </si>
  <si>
    <r>
      <t>H</t>
    </r>
    <r>
      <rPr>
        <vertAlign val="subscript"/>
        <sz val="11"/>
        <color theme="1"/>
        <rFont val="Calibri"/>
        <family val="2"/>
        <scheme val="minor"/>
      </rPr>
      <t>0</t>
    </r>
    <r>
      <rPr>
        <sz val="11"/>
        <color theme="1"/>
        <rFont val="Calibri"/>
        <family val="2"/>
        <scheme val="minor"/>
      </rPr>
      <t>: There is no lack of fit (Model is linear)</t>
    </r>
  </si>
  <si>
    <r>
      <t>F</t>
    </r>
    <r>
      <rPr>
        <vertAlign val="subscript"/>
        <sz val="11"/>
        <color theme="1"/>
        <rFont val="Calibri"/>
        <family val="2"/>
        <scheme val="minor"/>
      </rPr>
      <t>tab</t>
    </r>
    <r>
      <rPr>
        <sz val="11"/>
        <color theme="1"/>
        <rFont val="Calibri"/>
        <family val="2"/>
        <scheme val="minor"/>
      </rPr>
      <t xml:space="preserve"> = </t>
    </r>
  </si>
  <si>
    <t>It means Model is Linear.</t>
  </si>
  <si>
    <t xml:space="preserve">Here, p = 3 parameter </t>
  </si>
  <si>
    <t>PROBABILITY OUTPUT</t>
  </si>
  <si>
    <t>Percentile</t>
  </si>
  <si>
    <r>
      <rPr>
        <b/>
        <u val="double"/>
        <sz val="11"/>
        <color theme="1"/>
        <rFont val="Calibri"/>
        <family val="2"/>
        <scheme val="minor"/>
      </rPr>
      <t>Conclusion</t>
    </r>
    <r>
      <rPr>
        <sz val="11"/>
        <color theme="1"/>
        <rFont val="Calibri"/>
        <family val="2"/>
        <scheme val="minor"/>
      </rPr>
      <t>: Here, Fcal &lt; Ftab. So that, we do not reject H</t>
    </r>
    <r>
      <rPr>
        <vertAlign val="subscript"/>
        <sz val="11"/>
        <color theme="1"/>
        <rFont val="Calibri"/>
        <family val="2"/>
        <scheme val="minor"/>
      </rPr>
      <t>0</t>
    </r>
    <r>
      <rPr>
        <sz val="11"/>
        <color theme="1"/>
        <rFont val="Calibri"/>
        <family val="2"/>
        <scheme val="minor"/>
      </rPr>
      <t xml:space="preserve"> at 5% of los. </t>
    </r>
  </si>
  <si>
    <r>
      <t>In a particular chemical reaction setting the temperature of X</t>
    </r>
    <r>
      <rPr>
        <vertAlign val="subscript"/>
        <sz val="12"/>
        <color theme="1"/>
        <rFont val="Times New Roman"/>
        <family val="1"/>
      </rPr>
      <t>1</t>
    </r>
    <r>
      <rPr>
        <sz val="12"/>
        <color theme="1"/>
        <rFont val="Times New Roman"/>
        <family val="1"/>
      </rPr>
      <t xml:space="preserve"> of the reaction time and length of time X</t>
    </r>
    <r>
      <rPr>
        <vertAlign val="subscript"/>
        <sz val="12"/>
        <color theme="1"/>
        <rFont val="Times New Roman"/>
        <family val="1"/>
      </rPr>
      <t>2</t>
    </r>
    <r>
      <rPr>
        <sz val="12"/>
        <color theme="1"/>
        <rFont val="Times New Roman"/>
        <family val="1"/>
      </rPr>
      <t xml:space="preserve"> of the reaction are known to affect the teaction rate and thus the percent yield. An experimenter interested in determining if an percent increase is possible decides to perform a set of experiments by varying the reaction temperature and reaction time while holding all other factors fixed. The measure yield values associated with each temperature time combination are listed in the table</t>
    </r>
  </si>
  <si>
    <t>Analyse the data using response surface design and also test for lack of fit.</t>
  </si>
  <si>
    <t>Question</t>
  </si>
  <si>
    <t>Solution:</t>
  </si>
  <si>
    <r>
      <t>Temp(</t>
    </r>
    <r>
      <rPr>
        <b/>
        <vertAlign val="superscript"/>
        <sz val="12"/>
        <color theme="1"/>
        <rFont val="Calibri"/>
        <family val="2"/>
        <scheme val="minor"/>
      </rPr>
      <t>0</t>
    </r>
    <r>
      <rPr>
        <b/>
        <sz val="12"/>
        <color theme="1"/>
        <rFont val="Calibri"/>
        <family val="2"/>
        <scheme val="minor"/>
      </rPr>
      <t xml:space="preserve">C)                       </t>
    </r>
  </si>
  <si>
    <r>
      <t>ξ</t>
    </r>
    <r>
      <rPr>
        <b/>
        <vertAlign val="subscript"/>
        <sz val="11"/>
        <color theme="1"/>
        <rFont val="Calibri"/>
        <family val="2"/>
      </rPr>
      <t>1</t>
    </r>
  </si>
  <si>
    <r>
      <t>ξ</t>
    </r>
    <r>
      <rPr>
        <b/>
        <vertAlign val="subscript"/>
        <sz val="11"/>
        <color theme="1"/>
        <rFont val="Calibri"/>
        <family val="2"/>
        <scheme val="minor"/>
      </rPr>
      <t>2</t>
    </r>
  </si>
  <si>
    <r>
      <t>x</t>
    </r>
    <r>
      <rPr>
        <b/>
        <vertAlign val="subscript"/>
        <sz val="11"/>
        <color theme="1"/>
        <rFont val="Calibri"/>
        <family val="2"/>
        <scheme val="minor"/>
      </rPr>
      <t>1</t>
    </r>
  </si>
  <si>
    <r>
      <t>x</t>
    </r>
    <r>
      <rPr>
        <b/>
        <vertAlign val="subscript"/>
        <sz val="11"/>
        <color theme="1"/>
        <rFont val="Calibri"/>
        <family val="2"/>
        <scheme val="minor"/>
      </rPr>
      <t>2</t>
    </r>
  </si>
  <si>
    <t>Practical 4: Response Surface Design</t>
  </si>
  <si>
    <t>Name: Parmar Mahek c.</t>
  </si>
  <si>
    <t>pure error</t>
  </si>
  <si>
    <r>
      <t>H</t>
    </r>
    <r>
      <rPr>
        <vertAlign val="subscript"/>
        <sz val="11"/>
        <color theme="1"/>
        <rFont val="Calibri"/>
        <family val="2"/>
        <scheme val="minor"/>
      </rPr>
      <t>1</t>
    </r>
    <r>
      <rPr>
        <sz val="11"/>
        <color theme="1"/>
        <rFont val="Calibri"/>
        <family val="2"/>
        <scheme val="minor"/>
      </rPr>
      <t>: There is lack of fit (Model is not linear)</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</si>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</sst>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12"/>
      <color theme="1"/>
      <name val="Calibri"/>
      <family val="2"/>
      <scheme val="minor"/>
    </font>
    <font>
      <i/>
      <sz val="11"/>
      <color theme="1"/>
      <name val="Calibri"/>
      <family val="2"/>
      <scheme val="minor"/>
    </font>
    <font>
      <vertAlign val="subscript"/>
      <sz val="11"/>
      <color theme="1"/>
      <name val="Calibri"/>
      <family val="2"/>
      <scheme val="minor"/>
    </font>
    <font>
      <b/>
      <u val="double"/>
      <sz val="11"/>
      <color theme="1"/>
      <name val="Calibri"/>
      <family val="2"/>
      <scheme val="minor"/>
    </font>
    <font>
      <b/>
      <sz val="11"/>
      <color rgb="FFFF0000"/>
      <name val="Calibri"/>
      <family val="2"/>
      <scheme val="minor"/>
    </font>
    <font>
      <sz val="12"/>
      <color theme="1"/>
      <name val="Times New Roman"/>
      <family val="1"/>
    </font>
    <font>
      <vertAlign val="subscript"/>
      <sz val="12"/>
      <color theme="1"/>
      <name val="Times New Roman"/>
      <family val="1"/>
    </font>
    <font>
      <b/>
      <sz val="12"/>
      <color theme="1"/>
      <name val="Calibri"/>
      <family val="2"/>
      <scheme val="minor"/>
    </font>
    <font>
      <b/>
      <vertAlign val="superscript"/>
      <sz val="12"/>
      <color theme="1"/>
      <name val="Calibri"/>
      <family val="2"/>
      <scheme val="minor"/>
    </font>
    <font>
      <b/>
      <sz val="11"/>
      <color theme="1"/>
      <name val="Calibri"/>
      <family val="2"/>
    </font>
    <font>
      <b/>
      <vertAlign val="subscript"/>
      <sz val="11"/>
      <color theme="1"/>
      <name val="Calibri"/>
      <family val="2"/>
    </font>
    <font>
      <b/>
      <vertAlign val="subscript"/>
      <sz val="11"/>
      <color theme="1"/>
      <name val="Calibri"/>
      <family val="2"/>
      <scheme val="minor"/>
    </font>
    <font>
      <sz val="16"/>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7" tint="0.59999389629810485"/>
        <bgColor indexed="64"/>
      </patternFill>
    </fill>
  </fills>
  <borders count="25">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0" fillId="0" borderId="1" xfId="0" applyBorder="1"/>
    <xf numFmtId="0" fontId="2" fillId="0" borderId="1" xfId="0" applyFont="1" applyBorder="1" applyAlignment="1">
      <alignment vertical="center" wrapText="1"/>
    </xf>
    <xf numFmtId="0" fontId="0" fillId="0" borderId="0" xfId="0" applyFill="1" applyBorder="1" applyAlignment="1"/>
    <xf numFmtId="0" fontId="0" fillId="0" borderId="2" xfId="0" applyFill="1" applyBorder="1" applyAlignment="1"/>
    <xf numFmtId="0" fontId="3" fillId="0" borderId="3" xfId="0" applyFont="1" applyFill="1" applyBorder="1" applyAlignment="1">
      <alignment horizontal="center"/>
    </xf>
    <xf numFmtId="0" fontId="3" fillId="0" borderId="3" xfId="0" applyFont="1" applyFill="1" applyBorder="1" applyAlignment="1">
      <alignment horizontal="centerContinuous"/>
    </xf>
    <xf numFmtId="0" fontId="1" fillId="0" borderId="0" xfId="0" applyFont="1"/>
    <xf numFmtId="0" fontId="5" fillId="0" borderId="0" xfId="0" applyFont="1"/>
    <xf numFmtId="0" fontId="1" fillId="0" borderId="1" xfId="0" applyFont="1" applyBorder="1"/>
    <xf numFmtId="0" fontId="6" fillId="0" borderId="0" xfId="0" applyFont="1"/>
    <xf numFmtId="0" fontId="7" fillId="0" borderId="0" xfId="0" applyFont="1"/>
    <xf numFmtId="0" fontId="7" fillId="0" borderId="0" xfId="0" applyFont="1" applyAlignment="1">
      <alignment horizontal="center" vertical="center" wrapText="1"/>
    </xf>
    <xf numFmtId="0" fontId="9" fillId="0" borderId="1" xfId="0" applyFont="1" applyBorder="1" applyAlignment="1">
      <alignment vertical="center" wrapText="1"/>
    </xf>
    <xf numFmtId="0" fontId="0" fillId="0" borderId="6" xfId="0" applyBorder="1"/>
    <xf numFmtId="0" fontId="0" fillId="0" borderId="7" xfId="0" applyBorder="1"/>
    <xf numFmtId="0" fontId="1" fillId="0" borderId="8" xfId="0" applyFont="1" applyBorder="1"/>
    <xf numFmtId="0" fontId="11" fillId="0" borderId="9" xfId="0" applyFont="1" applyBorder="1"/>
    <xf numFmtId="0" fontId="1" fillId="0" borderId="9" xfId="0" applyFont="1" applyBorder="1"/>
    <xf numFmtId="0" fontId="1" fillId="0" borderId="10" xfId="0" applyFont="1" applyBorder="1"/>
    <xf numFmtId="0" fontId="2" fillId="0" borderId="11" xfId="0" applyFont="1" applyFill="1" applyBorder="1" applyAlignment="1">
      <alignment vertical="center" wrapText="1"/>
    </xf>
    <xf numFmtId="0" fontId="0" fillId="0" borderId="12" xfId="0" applyBorder="1"/>
    <xf numFmtId="0" fontId="2" fillId="0" borderId="13" xfId="0" applyFont="1" applyFill="1" applyBorder="1" applyAlignment="1">
      <alignment vertical="center" wrapText="1"/>
    </xf>
    <xf numFmtId="0" fontId="0" fillId="0" borderId="14" xfId="0" applyBorder="1"/>
    <xf numFmtId="0" fontId="2" fillId="0" borderId="15" xfId="0" applyFont="1" applyFill="1" applyBorder="1" applyAlignment="1">
      <alignment vertical="center" wrapText="1"/>
    </xf>
    <xf numFmtId="0" fontId="0" fillId="0" borderId="16" xfId="0" applyBorder="1"/>
    <xf numFmtId="0" fontId="0" fillId="0" borderId="17" xfId="0" applyBorder="1"/>
    <xf numFmtId="0" fontId="9" fillId="0" borderId="18" xfId="0" applyFont="1" applyBorder="1" applyAlignment="1">
      <alignment vertical="center" wrapText="1"/>
    </xf>
    <xf numFmtId="0" fontId="1" fillId="0" borderId="18" xfId="0" applyFont="1" applyBorder="1"/>
    <xf numFmtId="0" fontId="0" fillId="0" borderId="6" xfId="0" applyFont="1" applyBorder="1"/>
    <xf numFmtId="0" fontId="2" fillId="0" borderId="19" xfId="0" applyFont="1" applyBorder="1" applyAlignment="1">
      <alignment vertical="center" wrapText="1"/>
    </xf>
    <xf numFmtId="0" fontId="0" fillId="0" borderId="20" xfId="0" applyFont="1" applyBorder="1"/>
    <xf numFmtId="0" fontId="2" fillId="0" borderId="21" xfId="0" applyFont="1" applyBorder="1" applyAlignment="1">
      <alignment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0" fillId="0" borderId="16" xfId="0" applyFont="1" applyBorder="1"/>
    <xf numFmtId="0" fontId="2" fillId="0" borderId="17" xfId="0" applyFont="1" applyBorder="1" applyAlignment="1">
      <alignment vertical="center" wrapText="1"/>
    </xf>
    <xf numFmtId="0" fontId="14" fillId="3" borderId="0" xfId="0" applyFont="1" applyFill="1" applyBorder="1"/>
    <xf numFmtId="0" fontId="14" fillId="0" borderId="0" xfId="0" applyFont="1" applyFill="1" applyBorder="1"/>
    <xf numFmtId="0" fontId="15" fillId="0" borderId="0" xfId="0" applyFont="1"/>
    <xf numFmtId="0" fontId="6" fillId="0" borderId="6" xfId="0" applyFont="1" applyBorder="1"/>
    <xf numFmtId="0" fontId="1" fillId="0" borderId="5" xfId="0" applyFont="1" applyBorder="1"/>
    <xf numFmtId="0" fontId="0" fillId="0" borderId="23" xfId="0" applyBorder="1"/>
    <xf numFmtId="0" fontId="0" fillId="0" borderId="24" xfId="0" applyBorder="1"/>
    <xf numFmtId="0" fontId="9" fillId="0" borderId="1" xfId="0" applyFont="1" applyBorder="1" applyAlignment="1">
      <alignment horizontal="center" vertical="center" wrapText="1"/>
    </xf>
    <xf numFmtId="0" fontId="1" fillId="0" borderId="4" xfId="0" applyFont="1" applyBorder="1" applyAlignment="1">
      <alignment horizontal="center"/>
    </xf>
    <xf numFmtId="0" fontId="1" fillId="0" borderId="5" xfId="0" applyFont="1" applyBorder="1" applyAlignment="1">
      <alignment horizontal="center"/>
    </xf>
    <xf numFmtId="0" fontId="7" fillId="0" borderId="0" xfId="0" applyFont="1" applyAlignment="1">
      <alignment horizontal="center" vertical="center" wrapText="1"/>
    </xf>
    <xf numFmtId="0" fontId="14" fillId="2" borderId="4" xfId="0" applyFont="1" applyFill="1" applyBorder="1" applyAlignment="1">
      <alignment horizontal="center"/>
    </xf>
    <xf numFmtId="0" fontId="14" fillId="2" borderId="22" xfId="0" applyFont="1" applyFill="1" applyBorder="1" applyAlignment="1">
      <alignment horizontal="center"/>
    </xf>
    <xf numFmtId="0" fontId="14" fillId="2" borderId="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ysClr val="windowText" lastClr="000000"/>
                </a:solidFill>
              </a:rPr>
              <a:t>X Variable 1  Residual Plot</a:t>
            </a:r>
          </a:p>
        </c:rich>
      </c:tx>
      <c:overlay val="0"/>
      <c:spPr>
        <a:noFill/>
        <a:ln>
          <a:noFill/>
        </a:ln>
        <a:effectLst/>
      </c:spPr>
    </c:title>
    <c:autoTitleDeleted val="0"/>
    <c:plotArea>
      <c:layout/>
      <c:scatterChart>
        <c:scatterStyle val="lineMarker"/>
        <c:varyColors val="0"/>
        <c:ser>
          <c:idx val="0"/>
          <c:order val="0"/>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Sheet1!$E$16:$E$23</c:f>
              <c:numCache>
                <c:formatCode>General</c:formatCode>
                <c:ptCount val="8"/>
                <c:pt idx="0">
                  <c:v>-1</c:v>
                </c:pt>
                <c:pt idx="1">
                  <c:v>-1</c:v>
                </c:pt>
                <c:pt idx="2">
                  <c:v>1</c:v>
                </c:pt>
                <c:pt idx="3">
                  <c:v>1</c:v>
                </c:pt>
                <c:pt idx="4">
                  <c:v>-1</c:v>
                </c:pt>
                <c:pt idx="5">
                  <c:v>-1</c:v>
                </c:pt>
                <c:pt idx="6">
                  <c:v>1</c:v>
                </c:pt>
                <c:pt idx="7">
                  <c:v>1</c:v>
                </c:pt>
              </c:numCache>
            </c:numRef>
          </c:xVal>
          <c:yVal>
            <c:numRef>
              <c:f>Sheet1!$E$50:$E$57</c:f>
              <c:numCache>
                <c:formatCode>General</c:formatCode>
                <c:ptCount val="8"/>
                <c:pt idx="0">
                  <c:v>1.3624999999999901</c:v>
                </c:pt>
                <c:pt idx="1">
                  <c:v>-0.33750000000000568</c:v>
                </c:pt>
                <c:pt idx="2">
                  <c:v>1.9874999999999972</c:v>
                </c:pt>
                <c:pt idx="3">
                  <c:v>-3.0125000000000028</c:v>
                </c:pt>
                <c:pt idx="4">
                  <c:v>-2.3624999999999972</c:v>
                </c:pt>
                <c:pt idx="5">
                  <c:v>1.3375000000000057</c:v>
                </c:pt>
                <c:pt idx="6">
                  <c:v>-1.8375000000000057</c:v>
                </c:pt>
                <c:pt idx="7">
                  <c:v>2.8624999999999972</c:v>
                </c:pt>
              </c:numCache>
            </c:numRef>
          </c:yVal>
          <c:smooth val="0"/>
          <c:extLst>
            <c:ext xmlns:c16="http://schemas.microsoft.com/office/drawing/2014/chart" uri="{C3380CC4-5D6E-409C-BE32-E72D297353CC}">
              <c16:uniqueId val="{00000001-E9A5-460A-A1E0-435C46D7AAE0}"/>
            </c:ext>
          </c:extLst>
        </c:ser>
        <c:dLbls>
          <c:showLegendKey val="0"/>
          <c:showVal val="0"/>
          <c:showCatName val="0"/>
          <c:showSerName val="0"/>
          <c:showPercent val="0"/>
          <c:showBubbleSize val="0"/>
        </c:dLbls>
        <c:axId val="709628480"/>
        <c:axId val="779953328"/>
      </c:scatterChart>
      <c:valAx>
        <c:axId val="709628480"/>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X Variable 1</a:t>
                </a:r>
              </a:p>
            </c:rich>
          </c:tx>
          <c:overlay val="0"/>
          <c:spPr>
            <a:noFill/>
            <a:ln>
              <a:noFill/>
            </a:ln>
            <a:effectLst/>
          </c:spPr>
        </c:title>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79953328"/>
        <c:crosses val="autoZero"/>
        <c:crossBetween val="midCat"/>
      </c:valAx>
      <c:valAx>
        <c:axId val="77995332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Residuals</a:t>
                </a:r>
              </a:p>
            </c:rich>
          </c:tx>
          <c:overlay val="0"/>
          <c:spPr>
            <a:noFill/>
            <a:ln>
              <a:noFill/>
            </a:ln>
            <a:effectLst/>
          </c:sp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709628480"/>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ysClr val="windowText" lastClr="000000"/>
                </a:solidFill>
              </a:rPr>
              <a:t>X Variable 2  Residual Plot</a:t>
            </a:r>
          </a:p>
        </c:rich>
      </c:tx>
      <c:layout>
        <c:manualLayout>
          <c:xMode val="edge"/>
          <c:yMode val="edge"/>
          <c:x val="0.23291666666666666"/>
          <c:y val="4.1550684579468637E-2"/>
        </c:manualLayout>
      </c:layout>
      <c:overlay val="0"/>
      <c:spPr>
        <a:noFill/>
        <a:ln>
          <a:noFill/>
        </a:ln>
        <a:effectLst/>
      </c:spPr>
    </c:title>
    <c:autoTitleDeleted val="0"/>
    <c:plotArea>
      <c:layout/>
      <c:scatterChart>
        <c:scatterStyle val="lineMarker"/>
        <c:varyColors val="0"/>
        <c:ser>
          <c:idx val="0"/>
          <c:order val="0"/>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Sheet1!$F$16:$F$23</c:f>
              <c:numCache>
                <c:formatCode>General</c:formatCode>
                <c:ptCount val="8"/>
                <c:pt idx="0">
                  <c:v>-1</c:v>
                </c:pt>
                <c:pt idx="1">
                  <c:v>-1</c:v>
                </c:pt>
                <c:pt idx="2">
                  <c:v>-1</c:v>
                </c:pt>
                <c:pt idx="3">
                  <c:v>-1</c:v>
                </c:pt>
                <c:pt idx="4">
                  <c:v>1</c:v>
                </c:pt>
                <c:pt idx="5">
                  <c:v>1</c:v>
                </c:pt>
                <c:pt idx="6">
                  <c:v>1</c:v>
                </c:pt>
                <c:pt idx="7">
                  <c:v>1</c:v>
                </c:pt>
              </c:numCache>
            </c:numRef>
          </c:xVal>
          <c:yVal>
            <c:numRef>
              <c:f>Sheet1!$E$50:$E$57</c:f>
              <c:numCache>
                <c:formatCode>General</c:formatCode>
                <c:ptCount val="8"/>
                <c:pt idx="0">
                  <c:v>1.3624999999999901</c:v>
                </c:pt>
                <c:pt idx="1">
                  <c:v>-0.33750000000000568</c:v>
                </c:pt>
                <c:pt idx="2">
                  <c:v>1.9874999999999972</c:v>
                </c:pt>
                <c:pt idx="3">
                  <c:v>-3.0125000000000028</c:v>
                </c:pt>
                <c:pt idx="4">
                  <c:v>-2.3624999999999972</c:v>
                </c:pt>
                <c:pt idx="5">
                  <c:v>1.3375000000000057</c:v>
                </c:pt>
                <c:pt idx="6">
                  <c:v>-1.8375000000000057</c:v>
                </c:pt>
                <c:pt idx="7">
                  <c:v>2.8624999999999972</c:v>
                </c:pt>
              </c:numCache>
            </c:numRef>
          </c:yVal>
          <c:smooth val="0"/>
          <c:extLst>
            <c:ext xmlns:c16="http://schemas.microsoft.com/office/drawing/2014/chart" uri="{C3380CC4-5D6E-409C-BE32-E72D297353CC}">
              <c16:uniqueId val="{00000001-D46F-4B85-B758-8A3967A0A173}"/>
            </c:ext>
          </c:extLst>
        </c:ser>
        <c:dLbls>
          <c:showLegendKey val="0"/>
          <c:showVal val="0"/>
          <c:showCatName val="0"/>
          <c:showSerName val="0"/>
          <c:showPercent val="0"/>
          <c:showBubbleSize val="0"/>
        </c:dLbls>
        <c:axId val="720769744"/>
        <c:axId val="779938768"/>
      </c:scatterChart>
      <c:valAx>
        <c:axId val="72076974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X Variable 2</a:t>
                </a:r>
              </a:p>
            </c:rich>
          </c:tx>
          <c:overlay val="0"/>
          <c:spPr>
            <a:noFill/>
            <a:ln>
              <a:noFill/>
            </a:ln>
            <a:effectLst/>
          </c:spPr>
        </c:title>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79938768"/>
        <c:crosses val="autoZero"/>
        <c:crossBetween val="midCat"/>
      </c:valAx>
      <c:valAx>
        <c:axId val="77993876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Residuals</a:t>
                </a:r>
              </a:p>
            </c:rich>
          </c:tx>
          <c:overlay val="0"/>
          <c:spPr>
            <a:noFill/>
            <a:ln>
              <a:noFill/>
            </a:ln>
            <a:effectLst/>
          </c:sp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720769744"/>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ysClr val="windowText" lastClr="000000"/>
                </a:solidFill>
              </a:rPr>
              <a:t>X Variable 1 Line Fit  Plot</a:t>
            </a:r>
          </a:p>
        </c:rich>
      </c:tx>
      <c:layout>
        <c:manualLayout>
          <c:xMode val="edge"/>
          <c:yMode val="edge"/>
          <c:x val="0.244259642332844"/>
          <c:y val="2.397284838966638E-2"/>
        </c:manualLayout>
      </c:layout>
      <c:overlay val="0"/>
      <c:spPr>
        <a:noFill/>
        <a:ln>
          <a:noFill/>
        </a:ln>
        <a:effectLst/>
      </c:spPr>
    </c:title>
    <c:autoTitleDeleted val="0"/>
    <c:plotArea>
      <c:layout/>
      <c:scatterChart>
        <c:scatterStyle val="lineMarker"/>
        <c:varyColors val="0"/>
        <c:ser>
          <c:idx val="0"/>
          <c:order val="0"/>
          <c:tx>
            <c:v>Y</c:v>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Sheet1!$E$16:$E$23</c:f>
              <c:numCache>
                <c:formatCode>General</c:formatCode>
                <c:ptCount val="8"/>
                <c:pt idx="0">
                  <c:v>-1</c:v>
                </c:pt>
                <c:pt idx="1">
                  <c:v>-1</c:v>
                </c:pt>
                <c:pt idx="2">
                  <c:v>1</c:v>
                </c:pt>
                <c:pt idx="3">
                  <c:v>1</c:v>
                </c:pt>
                <c:pt idx="4">
                  <c:v>-1</c:v>
                </c:pt>
                <c:pt idx="5">
                  <c:v>-1</c:v>
                </c:pt>
                <c:pt idx="6">
                  <c:v>1</c:v>
                </c:pt>
                <c:pt idx="7">
                  <c:v>1</c:v>
                </c:pt>
              </c:numCache>
            </c:numRef>
          </c:xVal>
          <c:yVal>
            <c:numRef>
              <c:f>Sheet1!$B$16:$B$23</c:f>
              <c:numCache>
                <c:formatCode>General</c:formatCode>
                <c:ptCount val="8"/>
                <c:pt idx="0">
                  <c:v>49.8</c:v>
                </c:pt>
                <c:pt idx="1">
                  <c:v>48.1</c:v>
                </c:pt>
                <c:pt idx="2">
                  <c:v>57.3</c:v>
                </c:pt>
                <c:pt idx="3">
                  <c:v>52.3</c:v>
                </c:pt>
                <c:pt idx="4">
                  <c:v>65.7</c:v>
                </c:pt>
                <c:pt idx="5">
                  <c:v>69.400000000000006</c:v>
                </c:pt>
                <c:pt idx="6">
                  <c:v>73.099999999999994</c:v>
                </c:pt>
                <c:pt idx="7">
                  <c:v>77.8</c:v>
                </c:pt>
              </c:numCache>
            </c:numRef>
          </c:yVal>
          <c:smooth val="0"/>
          <c:extLst>
            <c:ext xmlns:c16="http://schemas.microsoft.com/office/drawing/2014/chart" uri="{C3380CC4-5D6E-409C-BE32-E72D297353CC}">
              <c16:uniqueId val="{00000001-100D-4107-B514-65BF03B576A2}"/>
            </c:ext>
          </c:extLst>
        </c:ser>
        <c:ser>
          <c:idx val="1"/>
          <c:order val="1"/>
          <c:tx>
            <c:v>Predicted Y</c:v>
          </c:tx>
          <c:spPr>
            <a:ln w="25400" cap="flat" cmpd="sng" algn="ctr">
              <a:no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xVal>
            <c:numRef>
              <c:f>Sheet1!$E$16:$E$23</c:f>
              <c:numCache>
                <c:formatCode>General</c:formatCode>
                <c:ptCount val="8"/>
                <c:pt idx="0">
                  <c:v>-1</c:v>
                </c:pt>
                <c:pt idx="1">
                  <c:v>-1</c:v>
                </c:pt>
                <c:pt idx="2">
                  <c:v>1</c:v>
                </c:pt>
                <c:pt idx="3">
                  <c:v>1</c:v>
                </c:pt>
                <c:pt idx="4">
                  <c:v>-1</c:v>
                </c:pt>
                <c:pt idx="5">
                  <c:v>-1</c:v>
                </c:pt>
                <c:pt idx="6">
                  <c:v>1</c:v>
                </c:pt>
                <c:pt idx="7">
                  <c:v>1</c:v>
                </c:pt>
              </c:numCache>
            </c:numRef>
          </c:xVal>
          <c:yVal>
            <c:numRef>
              <c:f>Sheet1!$D$50:$D$57</c:f>
              <c:numCache>
                <c:formatCode>General</c:formatCode>
                <c:ptCount val="8"/>
                <c:pt idx="0">
                  <c:v>48.437500000000007</c:v>
                </c:pt>
                <c:pt idx="1">
                  <c:v>48.437500000000007</c:v>
                </c:pt>
                <c:pt idx="2">
                  <c:v>55.3125</c:v>
                </c:pt>
                <c:pt idx="3">
                  <c:v>55.3125</c:v>
                </c:pt>
                <c:pt idx="4">
                  <c:v>68.0625</c:v>
                </c:pt>
                <c:pt idx="5">
                  <c:v>68.0625</c:v>
                </c:pt>
                <c:pt idx="6">
                  <c:v>74.9375</c:v>
                </c:pt>
                <c:pt idx="7">
                  <c:v>74.9375</c:v>
                </c:pt>
              </c:numCache>
            </c:numRef>
          </c:yVal>
          <c:smooth val="0"/>
          <c:extLst>
            <c:ext xmlns:c16="http://schemas.microsoft.com/office/drawing/2014/chart" uri="{C3380CC4-5D6E-409C-BE32-E72D297353CC}">
              <c16:uniqueId val="{00000002-100D-4107-B514-65BF03B576A2}"/>
            </c:ext>
          </c:extLst>
        </c:ser>
        <c:dLbls>
          <c:showLegendKey val="0"/>
          <c:showVal val="0"/>
          <c:showCatName val="0"/>
          <c:showSerName val="0"/>
          <c:showPercent val="0"/>
          <c:showBubbleSize val="0"/>
        </c:dLbls>
        <c:axId val="720769744"/>
        <c:axId val="779944176"/>
      </c:scatterChart>
      <c:valAx>
        <c:axId val="72076974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X Variable 1</a:t>
                </a:r>
              </a:p>
            </c:rich>
          </c:tx>
          <c:overlay val="0"/>
          <c:spPr>
            <a:noFill/>
            <a:ln>
              <a:noFill/>
            </a:ln>
            <a:effectLst/>
          </c:spPr>
        </c:title>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79944176"/>
        <c:crosses val="autoZero"/>
        <c:crossBetween val="midCat"/>
      </c:valAx>
      <c:valAx>
        <c:axId val="77994417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Y</a:t>
                </a:r>
              </a:p>
            </c:rich>
          </c:tx>
          <c:overlay val="0"/>
          <c:spPr>
            <a:noFill/>
            <a:ln>
              <a:noFill/>
            </a:ln>
            <a:effectLst/>
          </c:sp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720769744"/>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ysClr val="windowText" lastClr="000000"/>
                </a:solidFill>
              </a:rPr>
              <a:t>X Variable 2 Line Fit  Plot</a:t>
            </a:r>
          </a:p>
        </c:rich>
      </c:tx>
      <c:overlay val="0"/>
      <c:spPr>
        <a:noFill/>
        <a:ln>
          <a:noFill/>
        </a:ln>
        <a:effectLst/>
      </c:spPr>
    </c:title>
    <c:autoTitleDeleted val="0"/>
    <c:plotArea>
      <c:layout/>
      <c:scatterChart>
        <c:scatterStyle val="lineMarker"/>
        <c:varyColors val="0"/>
        <c:ser>
          <c:idx val="0"/>
          <c:order val="0"/>
          <c:tx>
            <c:v>Y</c:v>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Sheet1!$F$16:$F$23</c:f>
              <c:numCache>
                <c:formatCode>General</c:formatCode>
                <c:ptCount val="8"/>
                <c:pt idx="0">
                  <c:v>-1</c:v>
                </c:pt>
                <c:pt idx="1">
                  <c:v>-1</c:v>
                </c:pt>
                <c:pt idx="2">
                  <c:v>-1</c:v>
                </c:pt>
                <c:pt idx="3">
                  <c:v>-1</c:v>
                </c:pt>
                <c:pt idx="4">
                  <c:v>1</c:v>
                </c:pt>
                <c:pt idx="5">
                  <c:v>1</c:v>
                </c:pt>
                <c:pt idx="6">
                  <c:v>1</c:v>
                </c:pt>
                <c:pt idx="7">
                  <c:v>1</c:v>
                </c:pt>
              </c:numCache>
            </c:numRef>
          </c:xVal>
          <c:yVal>
            <c:numRef>
              <c:f>Sheet1!$B$16:$B$23</c:f>
              <c:numCache>
                <c:formatCode>General</c:formatCode>
                <c:ptCount val="8"/>
                <c:pt idx="0">
                  <c:v>49.8</c:v>
                </c:pt>
                <c:pt idx="1">
                  <c:v>48.1</c:v>
                </c:pt>
                <c:pt idx="2">
                  <c:v>57.3</c:v>
                </c:pt>
                <c:pt idx="3">
                  <c:v>52.3</c:v>
                </c:pt>
                <c:pt idx="4">
                  <c:v>65.7</c:v>
                </c:pt>
                <c:pt idx="5">
                  <c:v>69.400000000000006</c:v>
                </c:pt>
                <c:pt idx="6">
                  <c:v>73.099999999999994</c:v>
                </c:pt>
                <c:pt idx="7">
                  <c:v>77.8</c:v>
                </c:pt>
              </c:numCache>
            </c:numRef>
          </c:yVal>
          <c:smooth val="0"/>
          <c:extLst>
            <c:ext xmlns:c16="http://schemas.microsoft.com/office/drawing/2014/chart" uri="{C3380CC4-5D6E-409C-BE32-E72D297353CC}">
              <c16:uniqueId val="{00000001-71F0-459A-B2D2-0E82DF7EACE4}"/>
            </c:ext>
          </c:extLst>
        </c:ser>
        <c:ser>
          <c:idx val="1"/>
          <c:order val="1"/>
          <c:tx>
            <c:v>Predicted Y</c:v>
          </c:tx>
          <c:spPr>
            <a:ln w="25400" cap="flat" cmpd="sng" algn="ctr">
              <a:no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xVal>
            <c:numRef>
              <c:f>Sheet1!$F$16:$F$23</c:f>
              <c:numCache>
                <c:formatCode>General</c:formatCode>
                <c:ptCount val="8"/>
                <c:pt idx="0">
                  <c:v>-1</c:v>
                </c:pt>
                <c:pt idx="1">
                  <c:v>-1</c:v>
                </c:pt>
                <c:pt idx="2">
                  <c:v>-1</c:v>
                </c:pt>
                <c:pt idx="3">
                  <c:v>-1</c:v>
                </c:pt>
                <c:pt idx="4">
                  <c:v>1</c:v>
                </c:pt>
                <c:pt idx="5">
                  <c:v>1</c:v>
                </c:pt>
                <c:pt idx="6">
                  <c:v>1</c:v>
                </c:pt>
                <c:pt idx="7">
                  <c:v>1</c:v>
                </c:pt>
              </c:numCache>
            </c:numRef>
          </c:xVal>
          <c:yVal>
            <c:numRef>
              <c:f>Sheet1!$D$50:$D$57</c:f>
              <c:numCache>
                <c:formatCode>General</c:formatCode>
                <c:ptCount val="8"/>
                <c:pt idx="0">
                  <c:v>48.437500000000007</c:v>
                </c:pt>
                <c:pt idx="1">
                  <c:v>48.437500000000007</c:v>
                </c:pt>
                <c:pt idx="2">
                  <c:v>55.3125</c:v>
                </c:pt>
                <c:pt idx="3">
                  <c:v>55.3125</c:v>
                </c:pt>
                <c:pt idx="4">
                  <c:v>68.0625</c:v>
                </c:pt>
                <c:pt idx="5">
                  <c:v>68.0625</c:v>
                </c:pt>
                <c:pt idx="6">
                  <c:v>74.9375</c:v>
                </c:pt>
                <c:pt idx="7">
                  <c:v>74.9375</c:v>
                </c:pt>
              </c:numCache>
            </c:numRef>
          </c:yVal>
          <c:smooth val="0"/>
          <c:extLst>
            <c:ext xmlns:c16="http://schemas.microsoft.com/office/drawing/2014/chart" uri="{C3380CC4-5D6E-409C-BE32-E72D297353CC}">
              <c16:uniqueId val="{00000002-71F0-459A-B2D2-0E82DF7EACE4}"/>
            </c:ext>
          </c:extLst>
        </c:ser>
        <c:dLbls>
          <c:showLegendKey val="0"/>
          <c:showVal val="0"/>
          <c:showCatName val="0"/>
          <c:showSerName val="0"/>
          <c:showPercent val="0"/>
          <c:showBubbleSize val="0"/>
        </c:dLbls>
        <c:axId val="720769744"/>
        <c:axId val="779950832"/>
      </c:scatterChart>
      <c:valAx>
        <c:axId val="72076974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X Variable 2</a:t>
                </a:r>
              </a:p>
            </c:rich>
          </c:tx>
          <c:overlay val="0"/>
          <c:spPr>
            <a:noFill/>
            <a:ln>
              <a:noFill/>
            </a:ln>
            <a:effectLst/>
          </c:spPr>
        </c:title>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79950832"/>
        <c:crosses val="autoZero"/>
        <c:crossBetween val="midCat"/>
      </c:valAx>
      <c:valAx>
        <c:axId val="77995083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Y</a:t>
                </a:r>
              </a:p>
            </c:rich>
          </c:tx>
          <c:overlay val="0"/>
          <c:spPr>
            <a:noFill/>
            <a:ln>
              <a:noFill/>
            </a:ln>
            <a:effectLst/>
          </c:sp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720769744"/>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ysClr val="windowText" lastClr="000000"/>
                </a:solidFill>
              </a:rPr>
              <a:t>Normal Probability Plot</a:t>
            </a:r>
          </a:p>
        </c:rich>
      </c:tx>
      <c:overlay val="0"/>
      <c:spPr>
        <a:noFill/>
        <a:ln>
          <a:noFill/>
        </a:ln>
        <a:effectLst/>
      </c:spPr>
    </c:title>
    <c:autoTitleDeleted val="0"/>
    <c:plotArea>
      <c:layout/>
      <c:scatterChart>
        <c:scatterStyle val="lineMarker"/>
        <c:varyColors val="0"/>
        <c:ser>
          <c:idx val="0"/>
          <c:order val="0"/>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Sheet1!$G$50:$G$57</c:f>
              <c:numCache>
                <c:formatCode>General</c:formatCode>
                <c:ptCount val="8"/>
                <c:pt idx="0">
                  <c:v>6.25</c:v>
                </c:pt>
                <c:pt idx="1">
                  <c:v>18.75</c:v>
                </c:pt>
                <c:pt idx="2">
                  <c:v>31.25</c:v>
                </c:pt>
                <c:pt idx="3">
                  <c:v>43.75</c:v>
                </c:pt>
                <c:pt idx="4">
                  <c:v>56.25</c:v>
                </c:pt>
                <c:pt idx="5">
                  <c:v>68.75</c:v>
                </c:pt>
                <c:pt idx="6">
                  <c:v>81.25</c:v>
                </c:pt>
                <c:pt idx="7">
                  <c:v>93.75</c:v>
                </c:pt>
              </c:numCache>
            </c:numRef>
          </c:xVal>
          <c:yVal>
            <c:numRef>
              <c:f>Sheet1!$H$50:$H$57</c:f>
              <c:numCache>
                <c:formatCode>General</c:formatCode>
                <c:ptCount val="8"/>
                <c:pt idx="0">
                  <c:v>48.1</c:v>
                </c:pt>
                <c:pt idx="1">
                  <c:v>49.8</c:v>
                </c:pt>
                <c:pt idx="2">
                  <c:v>52.3</c:v>
                </c:pt>
                <c:pt idx="3">
                  <c:v>57.3</c:v>
                </c:pt>
                <c:pt idx="4">
                  <c:v>65.7</c:v>
                </c:pt>
                <c:pt idx="5">
                  <c:v>69.400000000000006</c:v>
                </c:pt>
                <c:pt idx="6">
                  <c:v>73.099999999999994</c:v>
                </c:pt>
                <c:pt idx="7">
                  <c:v>77.8</c:v>
                </c:pt>
              </c:numCache>
            </c:numRef>
          </c:yVal>
          <c:smooth val="0"/>
          <c:extLst>
            <c:ext xmlns:c16="http://schemas.microsoft.com/office/drawing/2014/chart" uri="{C3380CC4-5D6E-409C-BE32-E72D297353CC}">
              <c16:uniqueId val="{00000001-943F-41A9-8AE0-278E0A8922CB}"/>
            </c:ext>
          </c:extLst>
        </c:ser>
        <c:dLbls>
          <c:showLegendKey val="0"/>
          <c:showVal val="0"/>
          <c:showCatName val="0"/>
          <c:showSerName val="0"/>
          <c:showPercent val="0"/>
          <c:showBubbleSize val="0"/>
        </c:dLbls>
        <c:axId val="829276064"/>
        <c:axId val="832252128"/>
      </c:scatterChart>
      <c:valAx>
        <c:axId val="82927606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Sample Percentile</a:t>
                </a:r>
              </a:p>
            </c:rich>
          </c:tx>
          <c:overlay val="0"/>
          <c:spPr>
            <a:noFill/>
            <a:ln>
              <a:noFill/>
            </a:ln>
            <a:effectLst/>
          </c:spPr>
        </c:title>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32252128"/>
        <c:crosses val="autoZero"/>
        <c:crossBetween val="midCat"/>
      </c:valAx>
      <c:valAx>
        <c:axId val="83225212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Y</a:t>
                </a:r>
              </a:p>
            </c:rich>
          </c:tx>
          <c:overlay val="0"/>
          <c:spPr>
            <a:noFill/>
            <a:ln>
              <a:noFill/>
            </a:ln>
            <a:effectLst/>
          </c:sp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829276064"/>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388620</xdr:colOff>
      <xdr:row>21</xdr:row>
      <xdr:rowOff>53340</xdr:rowOff>
    </xdr:from>
    <xdr:to>
      <xdr:col>18</xdr:col>
      <xdr:colOff>259080</xdr:colOff>
      <xdr:row>35</xdr:row>
      <xdr:rowOff>91440</xdr:rowOff>
    </xdr:to>
    <xdr:graphicFrame macro="">
      <xdr:nvGraphicFramePr>
        <xdr:cNvPr id="2" name="Chart 1">
          <a:extLst>
            <a:ext uri="{FF2B5EF4-FFF2-40B4-BE49-F238E27FC236}">
              <a16:creationId xmlns:a16="http://schemas.microsoft.com/office/drawing/2014/main" id="{7DCD1727-6DDB-4ECF-98A1-CDC98070B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510540</xdr:colOff>
      <xdr:row>36</xdr:row>
      <xdr:rowOff>83820</xdr:rowOff>
    </xdr:from>
    <xdr:to>
      <xdr:col>24</xdr:col>
      <xdr:colOff>510540</xdr:colOff>
      <xdr:row>51</xdr:row>
      <xdr:rowOff>175260</xdr:rowOff>
    </xdr:to>
    <xdr:graphicFrame macro="">
      <xdr:nvGraphicFramePr>
        <xdr:cNvPr id="3" name="Chart 2">
          <a:extLst>
            <a:ext uri="{FF2B5EF4-FFF2-40B4-BE49-F238E27FC236}">
              <a16:creationId xmlns:a16="http://schemas.microsoft.com/office/drawing/2014/main" id="{B373ABD2-5FB9-4C7F-A6F6-EB778698C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518160</xdr:colOff>
      <xdr:row>21</xdr:row>
      <xdr:rowOff>53340</xdr:rowOff>
    </xdr:from>
    <xdr:to>
      <xdr:col>24</xdr:col>
      <xdr:colOff>457200</xdr:colOff>
      <xdr:row>35</xdr:row>
      <xdr:rowOff>76200</xdr:rowOff>
    </xdr:to>
    <xdr:graphicFrame macro="">
      <xdr:nvGraphicFramePr>
        <xdr:cNvPr id="4" name="Chart 3">
          <a:extLst>
            <a:ext uri="{FF2B5EF4-FFF2-40B4-BE49-F238E27FC236}">
              <a16:creationId xmlns:a16="http://schemas.microsoft.com/office/drawing/2014/main" id="{C7D40CE1-F509-4F6B-8FFD-08B8260CF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403860</xdr:colOff>
      <xdr:row>36</xdr:row>
      <xdr:rowOff>68580</xdr:rowOff>
    </xdr:from>
    <xdr:to>
      <xdr:col>18</xdr:col>
      <xdr:colOff>289560</xdr:colOff>
      <xdr:row>52</xdr:row>
      <xdr:rowOff>0</xdr:rowOff>
    </xdr:to>
    <xdr:graphicFrame macro="">
      <xdr:nvGraphicFramePr>
        <xdr:cNvPr id="5" name="Chart 4">
          <a:extLst>
            <a:ext uri="{FF2B5EF4-FFF2-40B4-BE49-F238E27FC236}">
              <a16:creationId xmlns:a16="http://schemas.microsoft.com/office/drawing/2014/main" id="{959AFB31-CAAC-426D-BE94-EE24246AF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xdr:col>
      <xdr:colOff>14654</xdr:colOff>
      <xdr:row>59</xdr:row>
      <xdr:rowOff>17584</xdr:rowOff>
    </xdr:from>
    <xdr:ext cx="2446504" cy="18037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C546A00-FDAA-46A5-8CEF-8CC567DF6393}"/>
                </a:ext>
              </a:extLst>
            </xdr:cNvPr>
            <xdr:cNvSpPr txBox="1"/>
          </xdr:nvSpPr>
          <xdr:spPr>
            <a:xfrm>
              <a:off x="723900" y="10322169"/>
              <a:ext cx="2446504" cy="18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IN" sz="1100" b="1" i="1">
                            <a:solidFill>
                              <a:srgbClr val="FF0000"/>
                            </a:solidFill>
                            <a:latin typeface="Cambria Math" panose="02040503050406030204" pitchFamily="18" charset="0"/>
                          </a:rPr>
                        </m:ctrlPr>
                      </m:accPr>
                      <m:e>
                        <m:r>
                          <a:rPr lang="en-IN" sz="1100" b="1" i="1">
                            <a:solidFill>
                              <a:srgbClr val="FF0000"/>
                            </a:solidFill>
                            <a:latin typeface="Cambria Math" panose="02040503050406030204" pitchFamily="18" charset="0"/>
                          </a:rPr>
                          <m:t>𝒀</m:t>
                        </m:r>
                      </m:e>
                    </m:acc>
                    <m:r>
                      <a:rPr lang="en-IN" sz="1100" b="1" i="1">
                        <a:solidFill>
                          <a:srgbClr val="FF0000"/>
                        </a:solidFill>
                        <a:latin typeface="Cambria Math" panose="02040503050406030204" pitchFamily="18" charset="0"/>
                      </a:rPr>
                      <m:t>=</m:t>
                    </m:r>
                    <m:r>
                      <a:rPr lang="en-IN" sz="1100" b="1" i="1">
                        <a:solidFill>
                          <a:srgbClr val="FF0000"/>
                        </a:solidFill>
                        <a:latin typeface="Cambria Math" panose="02040503050406030204" pitchFamily="18" charset="0"/>
                      </a:rPr>
                      <m:t>𝟔𝟏</m:t>
                    </m:r>
                    <m:r>
                      <a:rPr lang="en-IN" sz="1100" b="1" i="1">
                        <a:solidFill>
                          <a:srgbClr val="FF0000"/>
                        </a:solidFill>
                        <a:latin typeface="Cambria Math" panose="02040503050406030204" pitchFamily="18" charset="0"/>
                      </a:rPr>
                      <m:t>.</m:t>
                    </m:r>
                    <m:r>
                      <a:rPr lang="en-IN" sz="1100" b="1" i="1">
                        <a:solidFill>
                          <a:srgbClr val="FF0000"/>
                        </a:solidFill>
                        <a:latin typeface="Cambria Math" panose="02040503050406030204" pitchFamily="18" charset="0"/>
                      </a:rPr>
                      <m:t>𝟔𝟖𝟕𝟓</m:t>
                    </m:r>
                    <m:r>
                      <a:rPr lang="en-IN" sz="1100" b="1" i="1">
                        <a:solidFill>
                          <a:srgbClr val="FF0000"/>
                        </a:solidFill>
                        <a:latin typeface="Cambria Math" panose="02040503050406030204" pitchFamily="18" charset="0"/>
                      </a:rPr>
                      <m:t>+</m:t>
                    </m:r>
                    <m:r>
                      <a:rPr lang="en-IN" sz="1100" b="1" i="1">
                        <a:solidFill>
                          <a:srgbClr val="FF0000"/>
                        </a:solidFill>
                        <a:latin typeface="Cambria Math" panose="02040503050406030204" pitchFamily="18" charset="0"/>
                      </a:rPr>
                      <m:t>𝟑</m:t>
                    </m:r>
                    <m:r>
                      <a:rPr lang="en-IN" sz="1100" b="1" i="1">
                        <a:solidFill>
                          <a:srgbClr val="FF0000"/>
                        </a:solidFill>
                        <a:latin typeface="Cambria Math" panose="02040503050406030204" pitchFamily="18" charset="0"/>
                      </a:rPr>
                      <m:t>.</m:t>
                    </m:r>
                    <m:r>
                      <a:rPr lang="en-IN" sz="1100" b="1" i="1">
                        <a:solidFill>
                          <a:srgbClr val="FF0000"/>
                        </a:solidFill>
                        <a:latin typeface="Cambria Math" panose="02040503050406030204" pitchFamily="18" charset="0"/>
                      </a:rPr>
                      <m:t>𝟒𝟑𝟕𝟓</m:t>
                    </m:r>
                    <m:sSub>
                      <m:sSubPr>
                        <m:ctrlPr>
                          <a:rPr lang="en-IN" sz="1100" b="1" i="1">
                            <a:solidFill>
                              <a:srgbClr val="FF0000"/>
                            </a:solidFill>
                            <a:latin typeface="Cambria Math" panose="02040503050406030204" pitchFamily="18" charset="0"/>
                          </a:rPr>
                        </m:ctrlPr>
                      </m:sSubPr>
                      <m:e>
                        <m:r>
                          <a:rPr lang="en-IN" sz="1100" b="1" i="1">
                            <a:solidFill>
                              <a:srgbClr val="FF0000"/>
                            </a:solidFill>
                            <a:latin typeface="Cambria Math" panose="02040503050406030204" pitchFamily="18" charset="0"/>
                          </a:rPr>
                          <m:t>𝒙</m:t>
                        </m:r>
                      </m:e>
                      <m:sub>
                        <m:r>
                          <a:rPr lang="en-IN" sz="1100" b="1" i="1">
                            <a:solidFill>
                              <a:srgbClr val="FF0000"/>
                            </a:solidFill>
                            <a:latin typeface="Cambria Math" panose="02040503050406030204" pitchFamily="18" charset="0"/>
                          </a:rPr>
                          <m:t>𝟏</m:t>
                        </m:r>
                      </m:sub>
                    </m:sSub>
                    <m:r>
                      <a:rPr lang="en-IN" sz="1100" b="1" i="1">
                        <a:solidFill>
                          <a:srgbClr val="FF0000"/>
                        </a:solidFill>
                        <a:latin typeface="Cambria Math" panose="02040503050406030204" pitchFamily="18" charset="0"/>
                      </a:rPr>
                      <m:t>+</m:t>
                    </m:r>
                    <m:r>
                      <a:rPr lang="en-IN" sz="1100" b="1" i="1">
                        <a:solidFill>
                          <a:srgbClr val="FF0000"/>
                        </a:solidFill>
                        <a:latin typeface="Cambria Math" panose="02040503050406030204" pitchFamily="18" charset="0"/>
                      </a:rPr>
                      <m:t>𝟗</m:t>
                    </m:r>
                    <m:r>
                      <a:rPr lang="en-IN" sz="1100" b="1" i="1">
                        <a:solidFill>
                          <a:srgbClr val="FF0000"/>
                        </a:solidFill>
                        <a:latin typeface="Cambria Math" panose="02040503050406030204" pitchFamily="18" charset="0"/>
                      </a:rPr>
                      <m:t>.</m:t>
                    </m:r>
                    <m:r>
                      <a:rPr lang="en-IN" sz="1100" b="1" i="1">
                        <a:solidFill>
                          <a:srgbClr val="FF0000"/>
                        </a:solidFill>
                        <a:latin typeface="Cambria Math" panose="02040503050406030204" pitchFamily="18" charset="0"/>
                      </a:rPr>
                      <m:t>𝟖𝟏𝟐𝟓</m:t>
                    </m:r>
                    <m:sSub>
                      <m:sSubPr>
                        <m:ctrlPr>
                          <a:rPr lang="en-IN" sz="1100" b="1" i="1">
                            <a:solidFill>
                              <a:srgbClr val="FF0000"/>
                            </a:solidFill>
                            <a:latin typeface="Cambria Math" panose="02040503050406030204" pitchFamily="18" charset="0"/>
                          </a:rPr>
                        </m:ctrlPr>
                      </m:sSubPr>
                      <m:e>
                        <m:r>
                          <a:rPr lang="en-IN" sz="1100" b="1" i="1">
                            <a:solidFill>
                              <a:srgbClr val="FF0000"/>
                            </a:solidFill>
                            <a:latin typeface="Cambria Math" panose="02040503050406030204" pitchFamily="18" charset="0"/>
                          </a:rPr>
                          <m:t>𝒙</m:t>
                        </m:r>
                      </m:e>
                      <m:sub>
                        <m:r>
                          <a:rPr lang="en-IN" sz="1100" b="1" i="1">
                            <a:solidFill>
                              <a:srgbClr val="FF0000"/>
                            </a:solidFill>
                            <a:latin typeface="Cambria Math" panose="02040503050406030204" pitchFamily="18" charset="0"/>
                          </a:rPr>
                          <m:t>𝟐</m:t>
                        </m:r>
                      </m:sub>
                    </m:sSub>
                  </m:oMath>
                </m:oMathPara>
              </a14:m>
              <a:endParaRPr lang="en-IN" sz="1100" b="1"/>
            </a:p>
          </xdr:txBody>
        </xdr:sp>
      </mc:Choice>
      <mc:Fallback xmlns="">
        <xdr:sp macro="" textlink="">
          <xdr:nvSpPr>
            <xdr:cNvPr id="6" name="TextBox 5">
              <a:extLst>
                <a:ext uri="{FF2B5EF4-FFF2-40B4-BE49-F238E27FC236}">
                  <a16:creationId xmlns:a16="http://schemas.microsoft.com/office/drawing/2014/main" id="{DC546A00-FDAA-46A5-8CEF-8CC567DF6393}"/>
                </a:ext>
              </a:extLst>
            </xdr:cNvPr>
            <xdr:cNvSpPr txBox="1"/>
          </xdr:nvSpPr>
          <xdr:spPr>
            <a:xfrm>
              <a:off x="723900" y="10322169"/>
              <a:ext cx="2446504" cy="18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IN" sz="1100" b="1" i="0">
                  <a:solidFill>
                    <a:srgbClr val="FF0000"/>
                  </a:solidFill>
                  <a:latin typeface="Cambria Math" panose="02040503050406030204" pitchFamily="18" charset="0"/>
                </a:rPr>
                <a:t>𝒀 ̂=𝟔𝟏.𝟔𝟖𝟕𝟓+𝟑.𝟒𝟑𝟕𝟓𝒙_𝟏+𝟗.𝟖𝟏𝟐𝟓𝒙_𝟐</a:t>
              </a:r>
              <a:endParaRPr lang="en-IN" sz="1100" b="1"/>
            </a:p>
          </xdr:txBody>
        </xdr:sp>
      </mc:Fallback>
    </mc:AlternateContent>
    <xdr:clientData/>
  </xdr:oneCellAnchor>
  <xdr:oneCellAnchor>
    <xdr:from>
      <xdr:col>5</xdr:col>
      <xdr:colOff>272562</xdr:colOff>
      <xdr:row>60</xdr:row>
      <xdr:rowOff>187569</xdr:rowOff>
    </xdr:from>
    <xdr:ext cx="160236" cy="17222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2EE60A09-A01D-43E7-90F9-72E3DB09D4AA}"/>
                </a:ext>
              </a:extLst>
            </xdr:cNvPr>
            <xdr:cNvSpPr txBox="1"/>
          </xdr:nvSpPr>
          <xdr:spPr>
            <a:xfrm>
              <a:off x="3875497" y="12122808"/>
              <a:ext cx="16023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IN" sz="1100" b="1" i="1">
                            <a:latin typeface="Cambria Math" panose="02040503050406030204" pitchFamily="18" charset="0"/>
                          </a:rPr>
                        </m:ctrlPr>
                      </m:accPr>
                      <m:e>
                        <m:sSub>
                          <m:sSubPr>
                            <m:ctrlPr>
                              <a:rPr lang="en-IN" sz="1100" b="1" i="1">
                                <a:latin typeface="Cambria Math" panose="02040503050406030204" pitchFamily="18" charset="0"/>
                              </a:rPr>
                            </m:ctrlPr>
                          </m:sSubPr>
                          <m:e>
                            <m:r>
                              <a:rPr lang="en-IN" sz="1100" b="1" i="1">
                                <a:latin typeface="Cambria Math" panose="02040503050406030204" pitchFamily="18" charset="0"/>
                              </a:rPr>
                              <m:t>𝒚</m:t>
                            </m:r>
                          </m:e>
                          <m:sub>
                            <m:r>
                              <a:rPr lang="en-IN" sz="1100" b="1" i="1">
                                <a:latin typeface="Cambria Math" panose="02040503050406030204" pitchFamily="18" charset="0"/>
                              </a:rPr>
                              <m:t>𝒊</m:t>
                            </m:r>
                          </m:sub>
                        </m:sSub>
                      </m:e>
                    </m:acc>
                  </m:oMath>
                </m:oMathPara>
              </a14:m>
              <a:endParaRPr lang="en-IN" sz="1100" b="1"/>
            </a:p>
          </xdr:txBody>
        </xdr:sp>
      </mc:Choice>
      <mc:Fallback xmlns="">
        <xdr:sp macro="" textlink="">
          <xdr:nvSpPr>
            <xdr:cNvPr id="7" name="TextBox 6">
              <a:extLst>
                <a:ext uri="{FF2B5EF4-FFF2-40B4-BE49-F238E27FC236}">
                  <a16:creationId xmlns:a16="http://schemas.microsoft.com/office/drawing/2014/main" id="{2EE60A09-A01D-43E7-90F9-72E3DB09D4AA}"/>
                </a:ext>
              </a:extLst>
            </xdr:cNvPr>
            <xdr:cNvSpPr txBox="1"/>
          </xdr:nvSpPr>
          <xdr:spPr>
            <a:xfrm>
              <a:off x="3875497" y="12122808"/>
              <a:ext cx="16023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IN" sz="1100" b="1" i="0">
                  <a:latin typeface="Cambria Math" panose="02040503050406030204" pitchFamily="18" charset="0"/>
                </a:rPr>
                <a:t>(𝒚_𝒊 ) ̅</a:t>
              </a:r>
              <a:endParaRPr lang="en-IN" sz="1100" b="1"/>
            </a:p>
          </xdr:txBody>
        </xdr:sp>
      </mc:Fallback>
    </mc:AlternateContent>
    <xdr:clientData/>
  </xdr:oneCellAnchor>
  <xdr:oneCellAnchor>
    <xdr:from>
      <xdr:col>5</xdr:col>
      <xdr:colOff>600808</xdr:colOff>
      <xdr:row>61</xdr:row>
      <xdr:rowOff>5861</xdr:rowOff>
    </xdr:from>
    <xdr:ext cx="619079" cy="18556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ACF748D-CB96-4FB3-9509-71F4609BAD08}"/>
                </a:ext>
              </a:extLst>
            </xdr:cNvPr>
            <xdr:cNvSpPr txBox="1"/>
          </xdr:nvSpPr>
          <xdr:spPr>
            <a:xfrm>
              <a:off x="4203743" y="12139883"/>
              <a:ext cx="619079" cy="185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IN" sz="1100" b="1" i="1">
                        <a:latin typeface="Cambria Math" panose="02040503050406030204" pitchFamily="18" charset="0"/>
                      </a:rPr>
                      <m:t>(</m:t>
                    </m:r>
                    <m:sSub>
                      <m:sSubPr>
                        <m:ctrlPr>
                          <a:rPr lang="en-IN" sz="1100" b="1" i="1">
                            <a:latin typeface="Cambria Math" panose="02040503050406030204" pitchFamily="18" charset="0"/>
                          </a:rPr>
                        </m:ctrlPr>
                      </m:sSubPr>
                      <m:e>
                        <m:r>
                          <a:rPr lang="en-IN" sz="1100" b="1" i="1">
                            <a:latin typeface="Cambria Math" panose="02040503050406030204" pitchFamily="18" charset="0"/>
                          </a:rPr>
                          <m:t>𝒀</m:t>
                        </m:r>
                      </m:e>
                      <m:sub>
                        <m:r>
                          <a:rPr lang="en-IN" sz="1100" b="1" i="1">
                            <a:latin typeface="Cambria Math" panose="02040503050406030204" pitchFamily="18" charset="0"/>
                          </a:rPr>
                          <m:t>𝒊𝒋</m:t>
                        </m:r>
                      </m:sub>
                    </m:sSub>
                    <m:r>
                      <a:rPr lang="en-IN" sz="1100" b="1" i="1">
                        <a:latin typeface="Cambria Math" panose="02040503050406030204" pitchFamily="18" charset="0"/>
                      </a:rPr>
                      <m:t>−</m:t>
                    </m:r>
                    <m:acc>
                      <m:accPr>
                        <m:chr m:val="̅"/>
                        <m:ctrlPr>
                          <a:rPr lang="en-IN" sz="1100" b="1" i="1">
                            <a:latin typeface="Cambria Math" panose="02040503050406030204" pitchFamily="18" charset="0"/>
                          </a:rPr>
                        </m:ctrlPr>
                      </m:accPr>
                      <m:e>
                        <m:sSub>
                          <m:sSubPr>
                            <m:ctrlPr>
                              <a:rPr lang="en-IN" sz="1100" b="1" i="1">
                                <a:latin typeface="Cambria Math" panose="02040503050406030204" pitchFamily="18" charset="0"/>
                              </a:rPr>
                            </m:ctrlPr>
                          </m:sSubPr>
                          <m:e>
                            <m:r>
                              <a:rPr lang="en-IN" sz="1100" b="1" i="1">
                                <a:latin typeface="Cambria Math" panose="02040503050406030204" pitchFamily="18" charset="0"/>
                              </a:rPr>
                              <m:t>𝒚</m:t>
                            </m:r>
                          </m:e>
                          <m:sub>
                            <m:r>
                              <a:rPr lang="en-IN" sz="1100" b="1" i="1">
                                <a:latin typeface="Cambria Math" panose="02040503050406030204" pitchFamily="18" charset="0"/>
                              </a:rPr>
                              <m:t>𝒊</m:t>
                            </m:r>
                          </m:sub>
                        </m:sSub>
                      </m:e>
                    </m:acc>
                    <m:r>
                      <a:rPr lang="en-IN" sz="1100" b="1" i="1">
                        <a:latin typeface="Cambria Math" panose="02040503050406030204" pitchFamily="18" charset="0"/>
                      </a:rPr>
                      <m:t>)</m:t>
                    </m:r>
                  </m:oMath>
                </m:oMathPara>
              </a14:m>
              <a:endParaRPr lang="en-IN" sz="1100" b="1"/>
            </a:p>
          </xdr:txBody>
        </xdr:sp>
      </mc:Choice>
      <mc:Fallback xmlns="">
        <xdr:sp macro="" textlink="">
          <xdr:nvSpPr>
            <xdr:cNvPr id="8" name="TextBox 7">
              <a:extLst>
                <a:ext uri="{FF2B5EF4-FFF2-40B4-BE49-F238E27FC236}">
                  <a16:creationId xmlns:a16="http://schemas.microsoft.com/office/drawing/2014/main" id="{AACF748D-CB96-4FB3-9509-71F4609BAD08}"/>
                </a:ext>
              </a:extLst>
            </xdr:cNvPr>
            <xdr:cNvSpPr txBox="1"/>
          </xdr:nvSpPr>
          <xdr:spPr>
            <a:xfrm>
              <a:off x="4203743" y="12139883"/>
              <a:ext cx="619079" cy="185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IN" sz="1100" b="1" i="0">
                  <a:latin typeface="Cambria Math" panose="02040503050406030204" pitchFamily="18" charset="0"/>
                </a:rPr>
                <a:t>(𝒀_𝒊𝒋−(𝒚_𝒊 ) ̅)</a:t>
              </a:r>
              <a:endParaRPr lang="en-IN" sz="1100" b="1"/>
            </a:p>
          </xdr:txBody>
        </xdr:sp>
      </mc:Fallback>
    </mc:AlternateContent>
    <xdr:clientData/>
  </xdr:oneCellAnchor>
  <xdr:oneCellAnchor>
    <xdr:from>
      <xdr:col>2</xdr:col>
      <xdr:colOff>589086</xdr:colOff>
      <xdr:row>88</xdr:row>
      <xdr:rowOff>169985</xdr:rowOff>
    </xdr:from>
    <xdr:ext cx="660502" cy="185885"/>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4699C63-5DD1-4EE5-BC8A-E695A120D899}"/>
                </a:ext>
              </a:extLst>
            </xdr:cNvPr>
            <xdr:cNvSpPr txBox="1"/>
          </xdr:nvSpPr>
          <xdr:spPr>
            <a:xfrm>
              <a:off x="1298332" y="16084062"/>
              <a:ext cx="660502" cy="18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IN" sz="1100" i="1">
                            <a:latin typeface="Cambria Math" panose="02040503050406030204" pitchFamily="18" charset="0"/>
                          </a:rPr>
                        </m:ctrlPr>
                      </m:sSubPr>
                      <m:e>
                        <m:r>
                          <a:rPr lang="en-IN" sz="1100" b="0" i="1">
                            <a:latin typeface="Cambria Math" panose="02040503050406030204" pitchFamily="18" charset="0"/>
                          </a:rPr>
                          <m:t>(</m:t>
                        </m:r>
                        <m:r>
                          <a:rPr lang="en-IN" sz="1100" i="1">
                            <a:latin typeface="Cambria Math" panose="02040503050406030204" pitchFamily="18" charset="0"/>
                            <a:ea typeface="Cambria Math" panose="02040503050406030204" pitchFamily="18" charset="0"/>
                          </a:rPr>
                          <m:t>𝛽</m:t>
                        </m:r>
                      </m:e>
                      <m:sub>
                        <m:r>
                          <a:rPr lang="en-IN" sz="1100" b="0" i="1">
                            <a:latin typeface="Cambria Math" panose="02040503050406030204" pitchFamily="18" charset="0"/>
                          </a:rPr>
                          <m:t>0</m:t>
                        </m:r>
                      </m:sub>
                    </m:sSub>
                    <m:r>
                      <a:rPr lang="en-IN" sz="1100" b="0" i="1">
                        <a:latin typeface="Cambria Math" panose="02040503050406030204" pitchFamily="18" charset="0"/>
                      </a:rPr>
                      <m:t>,</m:t>
                    </m:r>
                    <m:sSub>
                      <m:sSubPr>
                        <m:ctrlPr>
                          <a:rPr lang="en-IN" sz="1100" b="0" i="1">
                            <a:latin typeface="Cambria Math" panose="02040503050406030204" pitchFamily="18" charset="0"/>
                          </a:rPr>
                        </m:ctrlPr>
                      </m:sSubPr>
                      <m:e>
                        <m:r>
                          <a:rPr lang="en-IN" sz="1100" b="0" i="1">
                            <a:latin typeface="Cambria Math" panose="02040503050406030204" pitchFamily="18" charset="0"/>
                            <a:ea typeface="Cambria Math" panose="02040503050406030204" pitchFamily="18" charset="0"/>
                          </a:rPr>
                          <m:t>𝛽</m:t>
                        </m:r>
                      </m:e>
                      <m:sub>
                        <m:r>
                          <a:rPr lang="en-IN" sz="1100" b="0" i="1">
                            <a:latin typeface="Cambria Math" panose="02040503050406030204" pitchFamily="18" charset="0"/>
                          </a:rPr>
                          <m:t>1</m:t>
                        </m:r>
                      </m:sub>
                    </m:sSub>
                    <m:r>
                      <a:rPr lang="en-IN" sz="1100" b="0" i="1">
                        <a:latin typeface="Cambria Math" panose="02040503050406030204" pitchFamily="18" charset="0"/>
                      </a:rPr>
                      <m:t>,</m:t>
                    </m:r>
                    <m:sSub>
                      <m:sSubPr>
                        <m:ctrlPr>
                          <a:rPr lang="en-IN" sz="1100" b="0" i="1">
                            <a:latin typeface="Cambria Math" panose="02040503050406030204" pitchFamily="18" charset="0"/>
                          </a:rPr>
                        </m:ctrlPr>
                      </m:sSubPr>
                      <m:e>
                        <m:r>
                          <a:rPr lang="en-IN" sz="1100" b="0" i="1">
                            <a:latin typeface="Cambria Math" panose="02040503050406030204" pitchFamily="18" charset="0"/>
                            <a:ea typeface="Cambria Math" panose="02040503050406030204" pitchFamily="18" charset="0"/>
                          </a:rPr>
                          <m:t>𝛽</m:t>
                        </m:r>
                      </m:e>
                      <m:sub>
                        <m:r>
                          <a:rPr lang="en-IN" sz="1100" b="0" i="1">
                            <a:latin typeface="Cambria Math" panose="02040503050406030204" pitchFamily="18" charset="0"/>
                          </a:rPr>
                          <m:t>2)</m:t>
                        </m:r>
                      </m:sub>
                    </m:sSub>
                  </m:oMath>
                </m:oMathPara>
              </a14:m>
              <a:endParaRPr lang="en-IN" sz="1100"/>
            </a:p>
          </xdr:txBody>
        </xdr:sp>
      </mc:Choice>
      <mc:Fallback xmlns="">
        <xdr:sp macro="" textlink="">
          <xdr:nvSpPr>
            <xdr:cNvPr id="9" name="TextBox 8">
              <a:extLst>
                <a:ext uri="{FF2B5EF4-FFF2-40B4-BE49-F238E27FC236}">
                  <a16:creationId xmlns:a16="http://schemas.microsoft.com/office/drawing/2014/main" id="{04699C63-5DD1-4EE5-BC8A-E695A120D899}"/>
                </a:ext>
              </a:extLst>
            </xdr:cNvPr>
            <xdr:cNvSpPr txBox="1"/>
          </xdr:nvSpPr>
          <xdr:spPr>
            <a:xfrm>
              <a:off x="1298332" y="16084062"/>
              <a:ext cx="660502" cy="18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IN" sz="1100" i="0">
                  <a:latin typeface="Cambria Math" panose="02040503050406030204" pitchFamily="18" charset="0"/>
                </a:rPr>
                <a:t>〖</a:t>
              </a:r>
              <a:r>
                <a:rPr lang="en-IN" sz="1100" b="0" i="0">
                  <a:latin typeface="Cambria Math" panose="02040503050406030204" pitchFamily="18" charset="0"/>
                </a:rPr>
                <a:t>(</a:t>
              </a:r>
              <a:r>
                <a:rPr lang="en-IN" sz="1100" i="0">
                  <a:latin typeface="Cambria Math" panose="02040503050406030204" pitchFamily="18" charset="0"/>
                  <a:ea typeface="Cambria Math" panose="02040503050406030204" pitchFamily="18" charset="0"/>
                </a:rPr>
                <a:t>𝛽〗_</a:t>
              </a:r>
              <a:r>
                <a:rPr lang="en-IN" sz="1100" b="0" i="0">
                  <a:latin typeface="Cambria Math" panose="02040503050406030204" pitchFamily="18" charset="0"/>
                </a:rPr>
                <a:t>0,</a:t>
              </a:r>
              <a:r>
                <a:rPr lang="en-IN" sz="1100" b="0" i="0">
                  <a:latin typeface="Cambria Math" panose="02040503050406030204" pitchFamily="18" charset="0"/>
                  <a:ea typeface="Cambria Math" panose="02040503050406030204" pitchFamily="18" charset="0"/>
                </a:rPr>
                <a:t>𝛽_</a:t>
              </a:r>
              <a:r>
                <a:rPr lang="en-IN" sz="1100" b="0" i="0">
                  <a:latin typeface="Cambria Math" panose="02040503050406030204" pitchFamily="18" charset="0"/>
                </a:rPr>
                <a:t>1,</a:t>
              </a:r>
              <a:r>
                <a:rPr lang="en-IN" sz="1100" b="0" i="0">
                  <a:latin typeface="Cambria Math" panose="02040503050406030204" pitchFamily="18" charset="0"/>
                  <a:ea typeface="Cambria Math" panose="02040503050406030204" pitchFamily="18" charset="0"/>
                </a:rPr>
                <a:t>𝛽_(</a:t>
              </a:r>
              <a:r>
                <a:rPr lang="en-IN" sz="1100" b="0" i="0">
                  <a:latin typeface="Cambria Math" panose="02040503050406030204" pitchFamily="18" charset="0"/>
                </a:rPr>
                <a:t>2))</a:t>
              </a:r>
              <a:endParaRPr lang="en-IN" sz="1100"/>
            </a:p>
          </xdr:txBody>
        </xdr:sp>
      </mc:Fallback>
    </mc:AlternateContent>
    <xdr:clientData/>
  </xdr:oneCellAnchor>
  <xdr:twoCellAnchor>
    <xdr:from>
      <xdr:col>11</xdr:col>
      <xdr:colOff>420273</xdr:colOff>
      <xdr:row>52</xdr:row>
      <xdr:rowOff>164124</xdr:rowOff>
    </xdr:from>
    <xdr:to>
      <xdr:col>18</xdr:col>
      <xdr:colOff>298939</xdr:colOff>
      <xdr:row>64</xdr:row>
      <xdr:rowOff>105507</xdr:rowOff>
    </xdr:to>
    <xdr:graphicFrame macro="">
      <xdr:nvGraphicFramePr>
        <xdr:cNvPr id="14" name="Chart 13">
          <a:extLst>
            <a:ext uri="{FF2B5EF4-FFF2-40B4-BE49-F238E27FC236}">
              <a16:creationId xmlns:a16="http://schemas.microsoft.com/office/drawing/2014/main" id="{DA35BA4D-745C-4971-8C96-ED331E0D2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8</xdr:col>
      <xdr:colOff>33131</xdr:colOff>
      <xdr:row>61</xdr:row>
      <xdr:rowOff>8283</xdr:rowOff>
    </xdr:from>
    <xdr:ext cx="674352" cy="19736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D402A1BA-A442-4715-AB4B-0C6F7000657F}"/>
                </a:ext>
              </a:extLst>
            </xdr:cNvPr>
            <xdr:cNvSpPr txBox="1"/>
          </xdr:nvSpPr>
          <xdr:spPr>
            <a:xfrm>
              <a:off x="5474805" y="12142305"/>
              <a:ext cx="674352" cy="197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IN" sz="1100" b="1" i="1">
                            <a:latin typeface="Cambria Math" panose="02040503050406030204" pitchFamily="18" charset="0"/>
                          </a:rPr>
                        </m:ctrlPr>
                      </m:dPr>
                      <m:e>
                        <m:sSub>
                          <m:sSubPr>
                            <m:ctrlPr>
                              <a:rPr lang="en-IN" sz="1100" b="1" i="1">
                                <a:latin typeface="Cambria Math" panose="02040503050406030204" pitchFamily="18" charset="0"/>
                              </a:rPr>
                            </m:ctrlPr>
                          </m:sSubPr>
                          <m:e>
                            <m:r>
                              <a:rPr lang="en-IN" sz="1100" b="1" i="1">
                                <a:latin typeface="Cambria Math" panose="02040503050406030204" pitchFamily="18" charset="0"/>
                              </a:rPr>
                              <m:t>𝒀</m:t>
                            </m:r>
                          </m:e>
                          <m:sub>
                            <m:r>
                              <a:rPr lang="en-IN" sz="1100" b="1" i="1">
                                <a:latin typeface="Cambria Math" panose="02040503050406030204" pitchFamily="18" charset="0"/>
                              </a:rPr>
                              <m:t>𝒊𝒋</m:t>
                            </m:r>
                          </m:sub>
                        </m:sSub>
                        <m:r>
                          <a:rPr lang="en-IN" sz="1100" b="1" i="1">
                            <a:latin typeface="Cambria Math" panose="02040503050406030204" pitchFamily="18" charset="0"/>
                          </a:rPr>
                          <m:t>−</m:t>
                        </m:r>
                        <m:acc>
                          <m:accPr>
                            <m:chr m:val="̅"/>
                            <m:ctrlPr>
                              <a:rPr lang="en-IN" sz="1100" b="1" i="1">
                                <a:latin typeface="Cambria Math" panose="02040503050406030204" pitchFamily="18" charset="0"/>
                              </a:rPr>
                            </m:ctrlPr>
                          </m:accPr>
                          <m:e>
                            <m:sSub>
                              <m:sSubPr>
                                <m:ctrlPr>
                                  <a:rPr lang="en-IN" sz="1100" b="1" i="1">
                                    <a:latin typeface="Cambria Math" panose="02040503050406030204" pitchFamily="18" charset="0"/>
                                  </a:rPr>
                                </m:ctrlPr>
                              </m:sSubPr>
                              <m:e>
                                <m:r>
                                  <a:rPr lang="en-IN" sz="1100" b="1" i="1">
                                    <a:latin typeface="Cambria Math" panose="02040503050406030204" pitchFamily="18" charset="0"/>
                                  </a:rPr>
                                  <m:t>𝒚</m:t>
                                </m:r>
                              </m:e>
                              <m:sub>
                                <m:r>
                                  <a:rPr lang="en-IN" sz="1100" b="1" i="1">
                                    <a:latin typeface="Cambria Math" panose="02040503050406030204" pitchFamily="18" charset="0"/>
                                  </a:rPr>
                                  <m:t>𝒊</m:t>
                                </m:r>
                              </m:sub>
                            </m:sSub>
                          </m:e>
                        </m:acc>
                      </m:e>
                    </m:d>
                    <m:r>
                      <a:rPr lang="en-US" sz="1100" b="1" i="0" baseline="30000">
                        <a:latin typeface="Cambria Math" panose="02040503050406030204" pitchFamily="18" charset="0"/>
                      </a:rPr>
                      <m:t>𝟐</m:t>
                    </m:r>
                  </m:oMath>
                </m:oMathPara>
              </a14:m>
              <a:endParaRPr lang="en-IN" sz="1100" b="1" baseline="30000"/>
            </a:p>
          </xdr:txBody>
        </xdr:sp>
      </mc:Choice>
      <mc:Fallback xmlns="">
        <xdr:sp macro="" textlink="">
          <xdr:nvSpPr>
            <xdr:cNvPr id="11" name="TextBox 10">
              <a:extLst>
                <a:ext uri="{FF2B5EF4-FFF2-40B4-BE49-F238E27FC236}">
                  <a16:creationId xmlns:a16="http://schemas.microsoft.com/office/drawing/2014/main" id="{D402A1BA-A442-4715-AB4B-0C6F7000657F}"/>
                </a:ext>
              </a:extLst>
            </xdr:cNvPr>
            <xdr:cNvSpPr txBox="1"/>
          </xdr:nvSpPr>
          <xdr:spPr>
            <a:xfrm>
              <a:off x="5474805" y="12142305"/>
              <a:ext cx="674352" cy="197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IN" sz="1100" b="1" i="0">
                  <a:latin typeface="Cambria Math" panose="02040503050406030204" pitchFamily="18" charset="0"/>
                </a:rPr>
                <a:t>(𝒀_𝒊𝒋−(𝒚_𝒊 ) ̅ )</a:t>
              </a:r>
              <a:r>
                <a:rPr lang="en-US" sz="1100" b="1" i="0" baseline="30000">
                  <a:latin typeface="Cambria Math" panose="02040503050406030204" pitchFamily="18" charset="0"/>
                </a:rPr>
                <a:t>𝟐</a:t>
              </a:r>
              <a:endParaRPr lang="en-IN" sz="1100" b="1" baseline="300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601FA-08B7-4FED-A36B-F32B364372D1}">
  <dimension ref="A1:Y95"/>
  <sheetViews>
    <sheetView tabSelected="1" topLeftCell="A68" zoomScale="115" zoomScaleNormal="115" workbookViewId="0">
      <selection activeCell="K13" sqref="K13"/>
    </sheetView>
  </sheetViews>
  <sheetFormatPr defaultRowHeight="15" x14ac:dyDescent="0.25"/>
  <cols>
    <col min="2" max="2" width="10.28515625" customWidth="1"/>
    <col min="3" max="3" width="11.28515625" customWidth="1"/>
    <col min="4" max="4" width="14" customWidth="1"/>
    <col min="9" max="9" width="10.5703125" customWidth="1"/>
  </cols>
  <sheetData>
    <row r="1" spans="1:25" s="38" customFormat="1" ht="21.75" thickBot="1" x14ac:dyDescent="0.4">
      <c r="A1" s="39"/>
      <c r="B1" s="39"/>
      <c r="C1" s="39"/>
      <c r="D1" s="49" t="s">
        <v>68</v>
      </c>
      <c r="E1" s="50"/>
      <c r="F1" s="50"/>
      <c r="G1" s="50"/>
      <c r="H1" s="50"/>
      <c r="I1" s="50"/>
      <c r="J1" s="51"/>
      <c r="K1" s="39"/>
      <c r="L1" s="39"/>
      <c r="M1" s="39"/>
      <c r="N1" s="49" t="s">
        <v>69</v>
      </c>
      <c r="O1" s="50"/>
      <c r="P1" s="50"/>
      <c r="Q1" s="51"/>
      <c r="R1" s="39"/>
      <c r="S1" s="39"/>
      <c r="T1" s="39"/>
      <c r="U1" s="39"/>
      <c r="V1" s="39"/>
      <c r="W1" s="39"/>
      <c r="X1" s="39"/>
      <c r="Y1" s="39"/>
    </row>
    <row r="4" spans="1:25" ht="18.75" customHeight="1" x14ac:dyDescent="0.25">
      <c r="A4" s="10" t="s">
        <v>61</v>
      </c>
      <c r="B4" s="48" t="s">
        <v>59</v>
      </c>
      <c r="C4" s="48"/>
      <c r="D4" s="48"/>
      <c r="E4" s="48"/>
      <c r="F4" s="48"/>
      <c r="G4" s="48"/>
      <c r="H4" s="48"/>
      <c r="I4" s="48"/>
      <c r="J4" s="48"/>
      <c r="K4" s="48"/>
      <c r="L4" s="48"/>
      <c r="M4" s="48"/>
      <c r="N4" s="48"/>
      <c r="O4" s="48"/>
      <c r="P4" s="48"/>
      <c r="Q4" s="48"/>
    </row>
    <row r="5" spans="1:25" ht="18.75" customHeight="1" x14ac:dyDescent="0.25">
      <c r="B5" s="48"/>
      <c r="C5" s="48"/>
      <c r="D5" s="48"/>
      <c r="E5" s="48"/>
      <c r="F5" s="48"/>
      <c r="G5" s="48"/>
      <c r="H5" s="48"/>
      <c r="I5" s="48"/>
      <c r="J5" s="48"/>
      <c r="K5" s="48"/>
      <c r="L5" s="48"/>
      <c r="M5" s="48"/>
      <c r="N5" s="48"/>
      <c r="O5" s="48"/>
      <c r="P5" s="48"/>
      <c r="Q5" s="48"/>
    </row>
    <row r="6" spans="1:25" x14ac:dyDescent="0.25">
      <c r="B6" s="48"/>
      <c r="C6" s="48"/>
      <c r="D6" s="48"/>
      <c r="E6" s="48"/>
      <c r="F6" s="48"/>
      <c r="G6" s="48"/>
      <c r="H6" s="48"/>
      <c r="I6" s="48"/>
      <c r="J6" s="48"/>
      <c r="K6" s="48"/>
      <c r="L6" s="48"/>
      <c r="M6" s="48"/>
      <c r="N6" s="48"/>
      <c r="O6" s="48"/>
      <c r="P6" s="48"/>
      <c r="Q6" s="48"/>
    </row>
    <row r="7" spans="1:25" ht="16.5" thickBot="1" x14ac:dyDescent="0.3">
      <c r="B7" s="12"/>
      <c r="C7" s="12"/>
      <c r="D7" s="12"/>
      <c r="E7" s="12"/>
      <c r="F7" s="12"/>
      <c r="G7" s="12"/>
      <c r="H7" s="12"/>
      <c r="I7" s="12"/>
      <c r="J7" s="12"/>
      <c r="K7" s="12"/>
      <c r="L7" s="12"/>
      <c r="M7" s="12"/>
      <c r="N7" s="12"/>
      <c r="O7" s="12"/>
      <c r="P7" s="12"/>
      <c r="Q7" s="12"/>
    </row>
    <row r="8" spans="1:25" ht="16.5" thickBot="1" x14ac:dyDescent="0.3">
      <c r="B8" s="45" t="s">
        <v>0</v>
      </c>
      <c r="C8" s="45"/>
      <c r="D8" s="13" t="s">
        <v>1</v>
      </c>
      <c r="F8" s="11" t="s">
        <v>60</v>
      </c>
    </row>
    <row r="9" spans="1:25" ht="18.75" thickBot="1" x14ac:dyDescent="0.3">
      <c r="B9" s="27" t="s">
        <v>63</v>
      </c>
      <c r="C9" s="28" t="s">
        <v>7</v>
      </c>
      <c r="D9" s="27" t="s">
        <v>2</v>
      </c>
    </row>
    <row r="10" spans="1:25" ht="15.75" x14ac:dyDescent="0.25">
      <c r="B10" s="30">
        <v>70</v>
      </c>
      <c r="C10" s="31">
        <v>30</v>
      </c>
      <c r="D10" s="32" t="s">
        <v>3</v>
      </c>
    </row>
    <row r="11" spans="1:25" ht="15.75" x14ac:dyDescent="0.25">
      <c r="B11" s="33">
        <v>90</v>
      </c>
      <c r="C11" s="29">
        <v>30</v>
      </c>
      <c r="D11" s="34" t="s">
        <v>4</v>
      </c>
    </row>
    <row r="12" spans="1:25" ht="15.75" x14ac:dyDescent="0.25">
      <c r="B12" s="33">
        <v>70</v>
      </c>
      <c r="C12" s="29">
        <v>90</v>
      </c>
      <c r="D12" s="34" t="s">
        <v>5</v>
      </c>
    </row>
    <row r="13" spans="1:25" ht="16.5" thickBot="1" x14ac:dyDescent="0.3">
      <c r="B13" s="35">
        <v>90</v>
      </c>
      <c r="C13" s="36">
        <v>90</v>
      </c>
      <c r="D13" s="37" t="s">
        <v>6</v>
      </c>
    </row>
    <row r="14" spans="1:25" ht="15.75" thickBot="1" x14ac:dyDescent="0.3"/>
    <row r="15" spans="1:25" ht="18.75" thickBot="1" x14ac:dyDescent="0.4">
      <c r="A15" s="10" t="s">
        <v>62</v>
      </c>
      <c r="B15" s="16" t="s">
        <v>2</v>
      </c>
      <c r="C15" s="17" t="s">
        <v>64</v>
      </c>
      <c r="D15" s="18" t="s">
        <v>65</v>
      </c>
      <c r="E15" s="18" t="s">
        <v>66</v>
      </c>
      <c r="F15" s="19" t="s">
        <v>67</v>
      </c>
    </row>
    <row r="16" spans="1:25" ht="15.75" x14ac:dyDescent="0.25">
      <c r="B16" s="20">
        <v>49.8</v>
      </c>
      <c r="C16" s="15">
        <v>70</v>
      </c>
      <c r="D16" s="15">
        <v>30</v>
      </c>
      <c r="E16" s="15">
        <v>-1</v>
      </c>
      <c r="F16" s="21">
        <v>-1</v>
      </c>
    </row>
    <row r="17" spans="2:6" ht="15.75" x14ac:dyDescent="0.25">
      <c r="B17" s="22">
        <v>48.1</v>
      </c>
      <c r="C17" s="14">
        <v>70</v>
      </c>
      <c r="D17" s="14">
        <v>30</v>
      </c>
      <c r="E17" s="14">
        <v>-1</v>
      </c>
      <c r="F17" s="23">
        <v>-1</v>
      </c>
    </row>
    <row r="18" spans="2:6" ht="15.75" x14ac:dyDescent="0.25">
      <c r="B18" s="22">
        <v>57.3</v>
      </c>
      <c r="C18" s="14">
        <v>90</v>
      </c>
      <c r="D18" s="14">
        <v>30</v>
      </c>
      <c r="E18" s="14">
        <v>1</v>
      </c>
      <c r="F18" s="23">
        <v>-1</v>
      </c>
    </row>
    <row r="19" spans="2:6" ht="15.75" x14ac:dyDescent="0.25">
      <c r="B19" s="22">
        <v>52.3</v>
      </c>
      <c r="C19" s="14">
        <v>90</v>
      </c>
      <c r="D19" s="14">
        <v>30</v>
      </c>
      <c r="E19" s="14">
        <v>1</v>
      </c>
      <c r="F19" s="23">
        <v>-1</v>
      </c>
    </row>
    <row r="20" spans="2:6" ht="15.75" x14ac:dyDescent="0.25">
      <c r="B20" s="22">
        <v>65.7</v>
      </c>
      <c r="C20" s="14">
        <v>70</v>
      </c>
      <c r="D20" s="14">
        <v>90</v>
      </c>
      <c r="E20" s="14">
        <v>-1</v>
      </c>
      <c r="F20" s="23">
        <v>1</v>
      </c>
    </row>
    <row r="21" spans="2:6" ht="15.75" x14ac:dyDescent="0.25">
      <c r="B21" s="22">
        <v>69.400000000000006</v>
      </c>
      <c r="C21" s="14">
        <v>70</v>
      </c>
      <c r="D21" s="14">
        <v>90</v>
      </c>
      <c r="E21" s="14">
        <v>-1</v>
      </c>
      <c r="F21" s="23">
        <v>1</v>
      </c>
    </row>
    <row r="22" spans="2:6" ht="15.75" x14ac:dyDescent="0.25">
      <c r="B22" s="22">
        <v>73.099999999999994</v>
      </c>
      <c r="C22" s="14">
        <v>90</v>
      </c>
      <c r="D22" s="14">
        <v>90</v>
      </c>
      <c r="E22" s="14">
        <v>1</v>
      </c>
      <c r="F22" s="23">
        <v>1</v>
      </c>
    </row>
    <row r="23" spans="2:6" ht="16.5" thickBot="1" x14ac:dyDescent="0.3">
      <c r="B23" s="24">
        <v>77.8</v>
      </c>
      <c r="C23" s="25">
        <v>90</v>
      </c>
      <c r="D23" s="25">
        <v>90</v>
      </c>
      <c r="E23" s="25">
        <v>1</v>
      </c>
      <c r="F23" s="26">
        <v>1</v>
      </c>
    </row>
    <row r="25" spans="2:6" x14ac:dyDescent="0.25">
      <c r="C25" s="7" t="s">
        <v>8</v>
      </c>
    </row>
    <row r="26" spans="2:6" ht="15.75" thickBot="1" x14ac:dyDescent="0.3"/>
    <row r="27" spans="2:6" x14ac:dyDescent="0.25">
      <c r="C27" s="6" t="s">
        <v>9</v>
      </c>
      <c r="D27" s="6"/>
    </row>
    <row r="28" spans="2:6" x14ac:dyDescent="0.25">
      <c r="C28" s="3" t="s">
        <v>10</v>
      </c>
      <c r="D28" s="3">
        <v>0.98093861145560468</v>
      </c>
    </row>
    <row r="29" spans="2:6" x14ac:dyDescent="0.25">
      <c r="C29" s="3" t="s">
        <v>11</v>
      </c>
      <c r="D29" s="3">
        <v>0.96224055944444986</v>
      </c>
    </row>
    <row r="30" spans="2:6" x14ac:dyDescent="0.25">
      <c r="C30" s="3" t="s">
        <v>12</v>
      </c>
      <c r="D30" s="3">
        <v>0.94713678322222994</v>
      </c>
    </row>
    <row r="31" spans="2:6" x14ac:dyDescent="0.25">
      <c r="C31" s="3" t="s">
        <v>13</v>
      </c>
      <c r="D31" s="3">
        <v>2.6052351141499681</v>
      </c>
    </row>
    <row r="32" spans="2:6" ht="15.75" thickBot="1" x14ac:dyDescent="0.3">
      <c r="C32" s="4" t="s">
        <v>14</v>
      </c>
      <c r="D32" s="4">
        <v>8</v>
      </c>
    </row>
    <row r="34" spans="3:11" ht="15.75" thickBot="1" x14ac:dyDescent="0.3">
      <c r="C34" t="s">
        <v>15</v>
      </c>
    </row>
    <row r="35" spans="3:11" x14ac:dyDescent="0.25">
      <c r="C35" s="5"/>
      <c r="D35" s="5" t="s">
        <v>20</v>
      </c>
      <c r="E35" s="5" t="s">
        <v>21</v>
      </c>
      <c r="F35" s="5" t="s">
        <v>22</v>
      </c>
      <c r="G35" s="5" t="s">
        <v>23</v>
      </c>
      <c r="H35" s="5" t="s">
        <v>24</v>
      </c>
    </row>
    <row r="36" spans="3:11" x14ac:dyDescent="0.25">
      <c r="C36" s="3" t="s">
        <v>16</v>
      </c>
      <c r="D36" s="3">
        <v>2</v>
      </c>
      <c r="E36" s="3">
        <v>864.8125</v>
      </c>
      <c r="F36" s="3">
        <v>432.40625</v>
      </c>
      <c r="G36" s="3">
        <v>63.708608051861972</v>
      </c>
      <c r="H36" s="3">
        <v>2.7705365116208864E-4</v>
      </c>
    </row>
    <row r="37" spans="3:11" x14ac:dyDescent="0.25">
      <c r="C37" s="3" t="s">
        <v>17</v>
      </c>
      <c r="D37" s="3">
        <v>5</v>
      </c>
      <c r="E37" s="3">
        <v>33.936249999999987</v>
      </c>
      <c r="F37" s="3">
        <v>6.7872499999999976</v>
      </c>
      <c r="G37" s="3"/>
      <c r="H37" s="3"/>
    </row>
    <row r="38" spans="3:11" ht="15.75" thickBot="1" x14ac:dyDescent="0.3">
      <c r="C38" s="4" t="s">
        <v>18</v>
      </c>
      <c r="D38" s="4">
        <v>7</v>
      </c>
      <c r="E38" s="4">
        <v>898.74874999999997</v>
      </c>
      <c r="F38" s="4"/>
      <c r="G38" s="4"/>
      <c r="H38" s="4"/>
    </row>
    <row r="39" spans="3:11" ht="15.75" thickBot="1" x14ac:dyDescent="0.3"/>
    <row r="40" spans="3:11" x14ac:dyDescent="0.25">
      <c r="C40" s="5"/>
      <c r="D40" s="5" t="s">
        <v>25</v>
      </c>
      <c r="E40" s="5" t="s">
        <v>13</v>
      </c>
      <c r="F40" s="5" t="s">
        <v>26</v>
      </c>
      <c r="G40" s="5" t="s">
        <v>27</v>
      </c>
      <c r="H40" s="5" t="s">
        <v>28</v>
      </c>
      <c r="I40" s="5" t="s">
        <v>29</v>
      </c>
      <c r="J40" s="5" t="s">
        <v>30</v>
      </c>
      <c r="K40" s="5" t="s">
        <v>31</v>
      </c>
    </row>
    <row r="41" spans="3:11" x14ac:dyDescent="0.25">
      <c r="C41" s="3" t="s">
        <v>19</v>
      </c>
      <c r="D41" s="3">
        <v>61.687500000000007</v>
      </c>
      <c r="E41" s="3">
        <v>0.9210897079003757</v>
      </c>
      <c r="F41" s="3">
        <v>66.972304077326712</v>
      </c>
      <c r="G41" s="3">
        <v>1.4053703713882228E-8</v>
      </c>
      <c r="H41" s="3">
        <v>59.319763527879743</v>
      </c>
      <c r="I41" s="3">
        <v>64.055236472120271</v>
      </c>
      <c r="J41" s="3">
        <v>59.319763527879743</v>
      </c>
      <c r="K41" s="3">
        <v>64.055236472120271</v>
      </c>
    </row>
    <row r="42" spans="3:11" x14ac:dyDescent="0.25">
      <c r="C42" s="3" t="s">
        <v>32</v>
      </c>
      <c r="D42" s="3">
        <v>3.4374999999999987</v>
      </c>
      <c r="E42" s="3">
        <v>0.92108970790037592</v>
      </c>
      <c r="F42" s="3">
        <v>3.7319926284224589</v>
      </c>
      <c r="G42" s="3">
        <v>1.3543074698682744E-2</v>
      </c>
      <c r="H42" s="3">
        <v>1.0697635278797333</v>
      </c>
      <c r="I42" s="3">
        <v>5.8052364721202636</v>
      </c>
      <c r="J42" s="3">
        <v>1.0697635278797333</v>
      </c>
      <c r="K42" s="3">
        <v>5.8052364721202636</v>
      </c>
    </row>
    <row r="43" spans="3:11" ht="15.75" thickBot="1" x14ac:dyDescent="0.3">
      <c r="C43" s="4" t="s">
        <v>33</v>
      </c>
      <c r="D43" s="4">
        <v>9.8125</v>
      </c>
      <c r="E43" s="4">
        <v>0.9210897079003757</v>
      </c>
      <c r="F43" s="4">
        <v>10.65314259386048</v>
      </c>
      <c r="G43" s="4">
        <v>1.2611430655873687E-4</v>
      </c>
      <c r="H43" s="4">
        <v>7.4447635278797346</v>
      </c>
      <c r="I43" s="4">
        <v>12.180236472120265</v>
      </c>
      <c r="J43" s="4">
        <v>7.4447635278797346</v>
      </c>
      <c r="K43" s="4">
        <v>12.180236472120265</v>
      </c>
    </row>
    <row r="47" spans="3:11" x14ac:dyDescent="0.25">
      <c r="C47" s="7" t="s">
        <v>34</v>
      </c>
      <c r="G47" s="7" t="s">
        <v>56</v>
      </c>
    </row>
    <row r="48" spans="3:11" ht="15.75" thickBot="1" x14ac:dyDescent="0.3"/>
    <row r="49" spans="2:9" x14ac:dyDescent="0.25">
      <c r="C49" s="5" t="s">
        <v>35</v>
      </c>
      <c r="D49" s="5" t="s">
        <v>36</v>
      </c>
      <c r="E49" s="5" t="s">
        <v>37</v>
      </c>
      <c r="G49" s="5" t="s">
        <v>57</v>
      </c>
      <c r="H49" s="5" t="s">
        <v>2</v>
      </c>
    </row>
    <row r="50" spans="2:9" x14ac:dyDescent="0.25">
      <c r="C50" s="3">
        <v>1</v>
      </c>
      <c r="D50" s="3">
        <v>48.437500000000007</v>
      </c>
      <c r="E50" s="3">
        <v>1.3624999999999901</v>
      </c>
      <c r="G50" s="3">
        <v>6.25</v>
      </c>
      <c r="H50" s="3">
        <v>48.1</v>
      </c>
    </row>
    <row r="51" spans="2:9" x14ac:dyDescent="0.25">
      <c r="C51" s="3">
        <v>2</v>
      </c>
      <c r="D51" s="3">
        <v>48.437500000000007</v>
      </c>
      <c r="E51" s="3">
        <v>-0.33750000000000568</v>
      </c>
      <c r="G51" s="3">
        <v>18.75</v>
      </c>
      <c r="H51" s="3">
        <v>49.8</v>
      </c>
    </row>
    <row r="52" spans="2:9" x14ac:dyDescent="0.25">
      <c r="C52" s="3">
        <v>3</v>
      </c>
      <c r="D52" s="3">
        <v>55.3125</v>
      </c>
      <c r="E52" s="3">
        <v>1.9874999999999972</v>
      </c>
      <c r="G52" s="3">
        <v>31.25</v>
      </c>
      <c r="H52" s="3">
        <v>52.3</v>
      </c>
    </row>
    <row r="53" spans="2:9" x14ac:dyDescent="0.25">
      <c r="C53" s="3">
        <v>4</v>
      </c>
      <c r="D53" s="3">
        <v>55.3125</v>
      </c>
      <c r="E53" s="3">
        <v>-3.0125000000000028</v>
      </c>
      <c r="G53" s="3">
        <v>43.75</v>
      </c>
      <c r="H53" s="3">
        <v>57.3</v>
      </c>
    </row>
    <row r="54" spans="2:9" x14ac:dyDescent="0.25">
      <c r="C54" s="3">
        <v>5</v>
      </c>
      <c r="D54" s="3">
        <v>68.0625</v>
      </c>
      <c r="E54" s="3">
        <v>-2.3624999999999972</v>
      </c>
      <c r="G54" s="3">
        <v>56.25</v>
      </c>
      <c r="H54" s="3">
        <v>65.7</v>
      </c>
    </row>
    <row r="55" spans="2:9" x14ac:dyDescent="0.25">
      <c r="C55" s="3">
        <v>6</v>
      </c>
      <c r="D55" s="3">
        <v>68.0625</v>
      </c>
      <c r="E55" s="3">
        <v>1.3375000000000057</v>
      </c>
      <c r="G55" s="3">
        <v>68.75</v>
      </c>
      <c r="H55" s="3">
        <v>69.400000000000006</v>
      </c>
    </row>
    <row r="56" spans="2:9" x14ac:dyDescent="0.25">
      <c r="C56" s="3">
        <v>7</v>
      </c>
      <c r="D56" s="3">
        <v>74.9375</v>
      </c>
      <c r="E56" s="3">
        <v>-1.8375000000000057</v>
      </c>
      <c r="G56" s="3">
        <v>81.25</v>
      </c>
      <c r="H56" s="3">
        <v>73.099999999999994</v>
      </c>
    </row>
    <row r="57" spans="2:9" ht="15.75" thickBot="1" x14ac:dyDescent="0.3">
      <c r="C57" s="4">
        <v>8</v>
      </c>
      <c r="D57" s="4">
        <v>74.9375</v>
      </c>
      <c r="E57" s="4">
        <v>2.8624999999999972</v>
      </c>
      <c r="G57" s="4">
        <v>93.75</v>
      </c>
      <c r="H57" s="4">
        <v>77.8</v>
      </c>
    </row>
    <row r="59" spans="2:9" x14ac:dyDescent="0.25">
      <c r="B59" t="s">
        <v>38</v>
      </c>
    </row>
    <row r="60" spans="2:9" x14ac:dyDescent="0.25">
      <c r="C60" s="10"/>
    </row>
    <row r="61" spans="2:9" ht="15.75" thickBot="1" x14ac:dyDescent="0.3"/>
    <row r="62" spans="2:9" ht="18.75" thickBot="1" x14ac:dyDescent="0.4">
      <c r="B62" s="9" t="s">
        <v>66</v>
      </c>
      <c r="C62" s="9" t="s">
        <v>67</v>
      </c>
      <c r="D62" s="46" t="s">
        <v>2</v>
      </c>
      <c r="E62" s="47"/>
      <c r="F62" s="9"/>
      <c r="G62" s="9"/>
      <c r="I62" s="14"/>
    </row>
    <row r="63" spans="2:9" ht="16.5" thickBot="1" x14ac:dyDescent="0.3">
      <c r="B63" s="1">
        <v>-1</v>
      </c>
      <c r="C63" s="1">
        <v>-1</v>
      </c>
      <c r="D63" s="2">
        <v>49.8</v>
      </c>
      <c r="E63" s="1">
        <v>48.1</v>
      </c>
      <c r="F63" s="1">
        <f>AVERAGE(D63,E63)</f>
        <v>48.95</v>
      </c>
      <c r="G63" s="1">
        <f>D63-F63</f>
        <v>0.84999999999999432</v>
      </c>
      <c r="I63" s="14">
        <f>(D63-F63)^2+(E63-F63)^2</f>
        <v>1.4449999999999927</v>
      </c>
    </row>
    <row r="64" spans="2:9" ht="16.5" thickBot="1" x14ac:dyDescent="0.3">
      <c r="B64" s="1">
        <v>1</v>
      </c>
      <c r="C64" s="1">
        <v>-1</v>
      </c>
      <c r="D64" s="2">
        <v>57.3</v>
      </c>
      <c r="E64" s="1">
        <v>52.3</v>
      </c>
      <c r="F64" s="1">
        <f>AVERAGE(D64,E64)</f>
        <v>54.8</v>
      </c>
      <c r="G64" s="1">
        <f>D64-F64</f>
        <v>2.5</v>
      </c>
      <c r="I64" s="14">
        <f t="shared" ref="I64:I66" si="0">(D64-F64)^2+(E64-F64)^2</f>
        <v>12.5</v>
      </c>
    </row>
    <row r="65" spans="2:10" ht="16.5" thickBot="1" x14ac:dyDescent="0.3">
      <c r="B65" s="1">
        <v>-1</v>
      </c>
      <c r="C65" s="1">
        <v>1</v>
      </c>
      <c r="D65" s="2">
        <v>65.7</v>
      </c>
      <c r="E65" s="1">
        <v>69.400000000000006</v>
      </c>
      <c r="F65" s="1">
        <f>AVERAGE(D65,E65)</f>
        <v>67.550000000000011</v>
      </c>
      <c r="G65" s="1">
        <f>D65-F65</f>
        <v>-1.8500000000000085</v>
      </c>
      <c r="I65" s="14">
        <f t="shared" si="0"/>
        <v>6.8450000000000104</v>
      </c>
    </row>
    <row r="66" spans="2:10" ht="16.5" thickBot="1" x14ac:dyDescent="0.3">
      <c r="B66" s="1">
        <v>1</v>
      </c>
      <c r="C66" s="1">
        <v>1</v>
      </c>
      <c r="D66" s="2">
        <v>73.099999999999994</v>
      </c>
      <c r="E66" s="1">
        <v>77.8</v>
      </c>
      <c r="F66" s="1">
        <f>AVERAGE(D66,E66)</f>
        <v>75.449999999999989</v>
      </c>
      <c r="G66" s="1">
        <f>D66-F66</f>
        <v>-2.3499999999999943</v>
      </c>
      <c r="I66" s="14">
        <f t="shared" si="0"/>
        <v>11.045000000000012</v>
      </c>
    </row>
    <row r="67" spans="2:10" ht="15.75" thickBot="1" x14ac:dyDescent="0.3">
      <c r="G67" s="1">
        <f>E63-F63</f>
        <v>-0.85000000000000142</v>
      </c>
    </row>
    <row r="68" spans="2:10" ht="15.75" thickBot="1" x14ac:dyDescent="0.3">
      <c r="G68" s="1">
        <f t="shared" ref="G68:G69" si="1">E64-F64</f>
        <v>-2.5</v>
      </c>
      <c r="I68" s="40">
        <f>SUM(I63:I66)</f>
        <v>31.835000000000015</v>
      </c>
      <c r="J68" t="s">
        <v>70</v>
      </c>
    </row>
    <row r="69" spans="2:10" ht="15.75" thickBot="1" x14ac:dyDescent="0.3">
      <c r="G69" s="1">
        <f t="shared" si="1"/>
        <v>1.8499999999999943</v>
      </c>
      <c r="I69" t="s">
        <v>72</v>
      </c>
    </row>
    <row r="70" spans="2:10" ht="15.75" thickBot="1" x14ac:dyDescent="0.3">
      <c r="G70" s="1">
        <f>E66-F66</f>
        <v>2.3500000000000085</v>
      </c>
    </row>
    <row r="71" spans="2:10" x14ac:dyDescent="0.25">
      <c r="C71" t="s">
        <v>39</v>
      </c>
      <c r="D71" s="10">
        <f>SUMSQ(G63:G70)</f>
        <v>31.835000000000015</v>
      </c>
    </row>
    <row r="72" spans="2:10" x14ac:dyDescent="0.25">
      <c r="C72" t="s">
        <v>40</v>
      </c>
      <c r="D72" s="10">
        <f>E37-D71</f>
        <v>2.1012499999999719</v>
      </c>
    </row>
    <row r="74" spans="2:10" x14ac:dyDescent="0.25">
      <c r="B74" s="8" t="s">
        <v>41</v>
      </c>
    </row>
    <row r="75" spans="2:10" ht="18" x14ac:dyDescent="0.35">
      <c r="B75" t="s">
        <v>52</v>
      </c>
    </row>
    <row r="76" spans="2:10" ht="18" x14ac:dyDescent="0.35">
      <c r="B76" t="s">
        <v>71</v>
      </c>
    </row>
    <row r="77" spans="2:10" ht="15.75" thickBot="1" x14ac:dyDescent="0.3"/>
    <row r="78" spans="2:10" ht="15.75" thickBot="1" x14ac:dyDescent="0.3">
      <c r="B78" s="9" t="s">
        <v>42</v>
      </c>
      <c r="C78" s="42" t="s">
        <v>43</v>
      </c>
      <c r="D78" s="9" t="s">
        <v>44</v>
      </c>
      <c r="E78" s="9" t="s">
        <v>45</v>
      </c>
      <c r="F78" s="9" t="s">
        <v>46</v>
      </c>
    </row>
    <row r="79" spans="2:10" ht="15.75" thickBot="1" x14ac:dyDescent="0.3">
      <c r="B79" s="9" t="s">
        <v>47</v>
      </c>
      <c r="C79" s="43">
        <f>3-1</f>
        <v>2</v>
      </c>
      <c r="D79" s="15">
        <f>E36</f>
        <v>864.8125</v>
      </c>
      <c r="E79" s="15">
        <f>D79/C79</f>
        <v>432.40625</v>
      </c>
      <c r="F79" s="15"/>
    </row>
    <row r="80" spans="2:10" ht="15.75" thickBot="1" x14ac:dyDescent="0.3">
      <c r="B80" s="9"/>
      <c r="C80" s="44"/>
      <c r="D80" s="14"/>
      <c r="E80" s="14"/>
      <c r="F80" s="14"/>
    </row>
    <row r="81" spans="2:6" ht="15.75" thickBot="1" x14ac:dyDescent="0.3">
      <c r="B81" s="9" t="s">
        <v>48</v>
      </c>
      <c r="C81" s="44">
        <f>8-3</f>
        <v>5</v>
      </c>
      <c r="D81" s="14">
        <f>E37</f>
        <v>33.936249999999987</v>
      </c>
      <c r="E81" s="14">
        <f t="shared" ref="E81:E85" si="2">D81/C81</f>
        <v>6.7872499999999976</v>
      </c>
      <c r="F81" s="14"/>
    </row>
    <row r="82" spans="2:6" ht="15.75" thickBot="1" x14ac:dyDescent="0.3">
      <c r="B82" s="9"/>
      <c r="C82" s="44"/>
      <c r="D82" s="14"/>
      <c r="E82" s="14"/>
      <c r="F82" s="14"/>
    </row>
    <row r="83" spans="2:6" ht="15.75" thickBot="1" x14ac:dyDescent="0.3">
      <c r="B83" s="9" t="s">
        <v>49</v>
      </c>
      <c r="C83" s="44">
        <f>5-4</f>
        <v>1</v>
      </c>
      <c r="D83" s="14">
        <f>D72</f>
        <v>2.1012499999999719</v>
      </c>
      <c r="E83" s="14">
        <f t="shared" si="2"/>
        <v>2.1012499999999719</v>
      </c>
      <c r="F83" s="14"/>
    </row>
    <row r="84" spans="2:6" ht="15.75" thickBot="1" x14ac:dyDescent="0.3">
      <c r="B84" s="9"/>
      <c r="C84" s="44"/>
      <c r="D84" s="14"/>
      <c r="E84" s="14"/>
      <c r="F84" s="41">
        <f>E83/E85</f>
        <v>0.26401759070205383</v>
      </c>
    </row>
    <row r="85" spans="2:6" ht="15.75" thickBot="1" x14ac:dyDescent="0.3">
      <c r="B85" s="9" t="s">
        <v>50</v>
      </c>
      <c r="C85" s="44">
        <f>8-4</f>
        <v>4</v>
      </c>
      <c r="D85" s="14">
        <f>D71</f>
        <v>31.835000000000015</v>
      </c>
      <c r="E85" s="14">
        <f t="shared" si="2"/>
        <v>7.9587500000000038</v>
      </c>
      <c r="F85" s="14"/>
    </row>
    <row r="86" spans="2:6" ht="15.75" thickBot="1" x14ac:dyDescent="0.3">
      <c r="B86" s="9"/>
      <c r="C86" s="44"/>
      <c r="D86" s="14"/>
      <c r="E86" s="14"/>
      <c r="F86" s="14"/>
    </row>
    <row r="87" spans="2:6" ht="15.75" thickBot="1" x14ac:dyDescent="0.3">
      <c r="B87" s="9" t="s">
        <v>18</v>
      </c>
      <c r="C87" s="44">
        <f>8-1</f>
        <v>7</v>
      </c>
      <c r="D87" s="14">
        <f>E38</f>
        <v>898.74874999999997</v>
      </c>
      <c r="E87" s="14"/>
      <c r="F87" s="14"/>
    </row>
    <row r="89" spans="2:6" x14ac:dyDescent="0.25">
      <c r="B89" t="s">
        <v>51</v>
      </c>
    </row>
    <row r="90" spans="2:6" x14ac:dyDescent="0.25">
      <c r="B90" t="s">
        <v>55</v>
      </c>
    </row>
    <row r="92" spans="2:6" ht="18" x14ac:dyDescent="0.35">
      <c r="B92" t="s">
        <v>53</v>
      </c>
      <c r="C92" s="10">
        <f>_xlfn.F.INV.RT(0.05,4-3,8-4)</f>
        <v>7.708647422176786</v>
      </c>
    </row>
    <row r="94" spans="2:6" ht="18" x14ac:dyDescent="0.35">
      <c r="B94" t="s">
        <v>58</v>
      </c>
    </row>
    <row r="95" spans="2:6" x14ac:dyDescent="0.25">
      <c r="C95" t="s">
        <v>54</v>
      </c>
    </row>
  </sheetData>
  <sortState xmlns:xlrd2="http://schemas.microsoft.com/office/spreadsheetml/2017/richdata2" ref="H50:H57">
    <sortCondition ref="H50"/>
  </sortState>
  <mergeCells count="5">
    <mergeCell ref="B8:C8"/>
    <mergeCell ref="D62:E62"/>
    <mergeCell ref="B4:Q6"/>
    <mergeCell ref="D1:J1"/>
    <mergeCell ref="N1:Q1"/>
  </mergeCells>
  <pageMargins left="0.7" right="0.7" top="0.75" bottom="0.75" header="0.3" footer="0.3"/>
  <pageSetup orientation="portrait" horizontalDpi="300" verticalDpi="300" r:id="rId1"/>
  <ignoredErrors>
    <ignoredError sqref="F65"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Hinal</dc:creator>
  <cp:lastModifiedBy>pateldaksh3120@gmail.com</cp:lastModifiedBy>
  <dcterms:created xsi:type="dcterms:W3CDTF">2020-11-26T06:16:27Z</dcterms:created>
  <dcterms:modified xsi:type="dcterms:W3CDTF">2021-10-19T11:09:12Z</dcterms:modified>
</cp:coreProperties>
</file>