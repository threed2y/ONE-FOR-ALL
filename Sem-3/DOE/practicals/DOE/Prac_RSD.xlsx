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ACTICALS\DOE\"/>
    </mc:Choice>
  </mc:AlternateContent>
  <xr:revisionPtr revIDLastSave="0" documentId="13_ncr:1_{8A4FC001-EF5C-449B-98A6-ED1843B07B07}" xr6:coauthVersionLast="47" xr6:coauthVersionMax="47" xr10:uidLastSave="{00000000-0000-0000-0000-000000000000}"/>
  <bookViews>
    <workbookView xWindow="-120" yWindow="-120" windowWidth="20730" windowHeight="11760" xr2:uid="{9CDF670F-857E-4EE7-B892-7CA25744BC62}"/>
  </bookViews>
  <sheets>
    <sheet name="Sheet2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D45" i="1"/>
  <c r="D44" i="1"/>
  <c r="D43" i="1"/>
  <c r="D42" i="1"/>
  <c r="D41" i="1"/>
  <c r="D40" i="1"/>
  <c r="D39" i="1"/>
  <c r="P33" i="1"/>
  <c r="P32" i="1"/>
  <c r="O31" i="1"/>
  <c r="P31" i="1" s="1"/>
  <c r="P30" i="1"/>
  <c r="R29" i="1"/>
  <c r="P29" i="1"/>
  <c r="Q19" i="1"/>
  <c r="R19" i="1" s="1"/>
  <c r="Q18" i="1"/>
  <c r="R18" i="1" s="1"/>
  <c r="Q17" i="1"/>
  <c r="R17" i="1" s="1"/>
  <c r="Q16" i="1"/>
  <c r="R16" i="1" s="1"/>
  <c r="Q29" i="1" l="1"/>
  <c r="R20" i="1"/>
</calcChain>
</file>

<file path=xl/sharedStrings.xml><?xml version="1.0" encoding="utf-8"?>
<sst xmlns="http://schemas.openxmlformats.org/spreadsheetml/2006/main" count="95" uniqueCount="52">
  <si>
    <t>Q.1.</t>
  </si>
  <si>
    <t>Orignal Values</t>
  </si>
  <si>
    <t>Percent yield</t>
  </si>
  <si>
    <t>Time</t>
  </si>
  <si>
    <t>Coded Value</t>
  </si>
  <si>
    <t>Temp</t>
  </si>
  <si>
    <t>x1(time)</t>
  </si>
  <si>
    <t>x2(temp)</t>
  </si>
  <si>
    <t>y</t>
  </si>
  <si>
    <t>Y</t>
  </si>
  <si>
    <t>Regression Statistics</t>
  </si>
  <si>
    <t>ANOVA</t>
  </si>
  <si>
    <t>Multiple R</t>
  </si>
  <si>
    <t>df</t>
  </si>
  <si>
    <t>SS</t>
  </si>
  <si>
    <t>MS</t>
  </si>
  <si>
    <t>F</t>
  </si>
  <si>
    <t>Significance F</t>
  </si>
  <si>
    <t>R Square</t>
  </si>
  <si>
    <t>Regression</t>
  </si>
  <si>
    <t>Adjusted R Square</t>
  </si>
  <si>
    <t>Residual</t>
  </si>
  <si>
    <t>x1</t>
  </si>
  <si>
    <t>x2</t>
  </si>
  <si>
    <t>yi(bar)</t>
  </si>
  <si>
    <t>(yij-yi(bar))^2</t>
  </si>
  <si>
    <t>Standard Error</t>
  </si>
  <si>
    <t>Total</t>
  </si>
  <si>
    <t>Observations</t>
  </si>
  <si>
    <t>Coefficients</t>
  </si>
  <si>
    <t>t Stat</t>
  </si>
  <si>
    <t>P-value</t>
  </si>
  <si>
    <t>Lower 95%</t>
  </si>
  <si>
    <t>Upper 95%</t>
  </si>
  <si>
    <t>Pure Error S.S</t>
  </si>
  <si>
    <t>Intercept</t>
  </si>
  <si>
    <t>Lack of fit=Residual Error S.S -  Pure Error S.S</t>
  </si>
  <si>
    <t>H0: no lack of fit hence model is linear</t>
  </si>
  <si>
    <t>H1: lack of fit exsists thus model is non linear</t>
  </si>
  <si>
    <t>Source</t>
  </si>
  <si>
    <t>S.S</t>
  </si>
  <si>
    <t>M.S.S</t>
  </si>
  <si>
    <t>Fcal</t>
  </si>
  <si>
    <t>Ftab</t>
  </si>
  <si>
    <t>Residual Error</t>
  </si>
  <si>
    <t>Lack of fit</t>
  </si>
  <si>
    <t>Pure Error</t>
  </si>
  <si>
    <t>INTERACTION EFFECT</t>
  </si>
  <si>
    <t>INTERACTION</t>
  </si>
  <si>
    <t>x1*x2</t>
  </si>
  <si>
    <t>RESPONSE SURFACE DESIGN</t>
  </si>
  <si>
    <t>CONCLUSION: We do not reject H0 at 0.05 LOS thus no lack of fit exsists thus model is linear.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</si>
</sst>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3" xfId="0" applyFont="1" applyBorder="1"/>
    <xf numFmtId="0" fontId="0" fillId="0" borderId="15" xfId="0" applyBorder="1"/>
    <xf numFmtId="0" fontId="1" fillId="0" borderId="8" xfId="0" applyFont="1" applyBorder="1"/>
    <xf numFmtId="0" fontId="0" fillId="0" borderId="16" xfId="0" applyBorder="1"/>
    <xf numFmtId="0" fontId="1" fillId="0" borderId="8" xfId="0" applyFont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11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1" xfId="0" applyFont="1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x1(time)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[1]Sheet4!$A$1:$A$8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[1]Sheet4!$B$1:$B$8</c:f>
              <c:numCache>
                <c:formatCode>General</c:formatCode>
                <c:ptCount val="8"/>
                <c:pt idx="0">
                  <c:v>0.84999999999999432</c:v>
                </c:pt>
                <c:pt idx="1">
                  <c:v>2.4999999999999858</c:v>
                </c:pt>
                <c:pt idx="2">
                  <c:v>-1.8500000000000083</c:v>
                </c:pt>
                <c:pt idx="3">
                  <c:v>-2.3500000000000227</c:v>
                </c:pt>
                <c:pt idx="4">
                  <c:v>-0.85000000000000142</c:v>
                </c:pt>
                <c:pt idx="5">
                  <c:v>-2.5000000000000142</c:v>
                </c:pt>
                <c:pt idx="6">
                  <c:v>1.8499999999999943</c:v>
                </c:pt>
                <c:pt idx="7">
                  <c:v>2.3499999999999801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8A-4C4A-A82E-2E641A265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656520"/>
        <c:axId val="479661920"/>
      </c:scatterChart>
      <c:valAx>
        <c:axId val="47965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x1(time)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61920"/>
        <c:crosses val="autoZero"/>
        <c:crossBetween val="midCat"/>
      </c:valAx>
      <c:valAx>
        <c:axId val="4796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5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x2(temp)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[1]Sheet4!$C$1:$C$8</c:f>
              <c:numCache>
                <c:formatCode>General</c:formatCode>
                <c:ptCount val="8"/>
                <c:pt idx="0">
                  <c:v>-1</c:v>
                </c:pt>
                <c:pt idx="1">
                  <c:v>1</c:v>
                </c:pt>
                <c:pt idx="2">
                  <c:v>-1</c:v>
                </c:pt>
                <c:pt idx="3">
                  <c:v>1</c:v>
                </c:pt>
                <c:pt idx="4">
                  <c:v>-1</c:v>
                </c:pt>
                <c:pt idx="5">
                  <c:v>1</c:v>
                </c:pt>
                <c:pt idx="6">
                  <c:v>-1</c:v>
                </c:pt>
                <c:pt idx="7">
                  <c:v>1</c:v>
                </c:pt>
              </c:numCache>
            </c:numRef>
          </c:xVal>
          <c:yVal>
            <c:numRef>
              <c:f>[1]Sheet4!$D$1:$D$8</c:f>
              <c:numCache>
                <c:formatCode>General</c:formatCode>
                <c:ptCount val="8"/>
                <c:pt idx="0">
                  <c:v>0.84999999999999432</c:v>
                </c:pt>
                <c:pt idx="1">
                  <c:v>2.4999999999999858</c:v>
                </c:pt>
                <c:pt idx="2">
                  <c:v>-1.8500000000000083</c:v>
                </c:pt>
                <c:pt idx="3">
                  <c:v>-2.3500000000000227</c:v>
                </c:pt>
                <c:pt idx="4">
                  <c:v>-0.85000000000000142</c:v>
                </c:pt>
                <c:pt idx="5">
                  <c:v>-2.5000000000000142</c:v>
                </c:pt>
                <c:pt idx="6">
                  <c:v>1.8499999999999943</c:v>
                </c:pt>
                <c:pt idx="7">
                  <c:v>2.3499999999999801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3-4436-85D9-CA361D339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26584"/>
        <c:axId val="478881656"/>
      </c:scatterChart>
      <c:valAx>
        <c:axId val="490626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x2(temp)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881656"/>
        <c:crosses val="autoZero"/>
        <c:crossBetween val="midCat"/>
      </c:valAx>
      <c:valAx>
        <c:axId val="47888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26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x1*x2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[1]Sheet4!$E$1:$E$8</c:f>
              <c:numCache>
                <c:formatCode>General</c:formatCode>
                <c:ptCount val="8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1</c:v>
                </c:pt>
              </c:numCache>
            </c:numRef>
          </c:xVal>
          <c:yVal>
            <c:numRef>
              <c:f>[1]Sheet4!$F$1:$F$8</c:f>
              <c:numCache>
                <c:formatCode>General</c:formatCode>
                <c:ptCount val="8"/>
                <c:pt idx="0">
                  <c:v>0.84999999999999432</c:v>
                </c:pt>
                <c:pt idx="1">
                  <c:v>2.4999999999999858</c:v>
                </c:pt>
                <c:pt idx="2">
                  <c:v>-1.8500000000000083</c:v>
                </c:pt>
                <c:pt idx="3">
                  <c:v>-2.3500000000000227</c:v>
                </c:pt>
                <c:pt idx="4">
                  <c:v>-0.85000000000000142</c:v>
                </c:pt>
                <c:pt idx="5">
                  <c:v>-2.5000000000000142</c:v>
                </c:pt>
                <c:pt idx="6">
                  <c:v>1.8499999999999943</c:v>
                </c:pt>
                <c:pt idx="7">
                  <c:v>2.3499999999999801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F5-40ED-B9EC-047EE4A2C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26584"/>
        <c:axId val="359891264"/>
      </c:scatterChart>
      <c:valAx>
        <c:axId val="490626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x1*x2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91264"/>
        <c:crosses val="autoZero"/>
        <c:crossBetween val="midCat"/>
      </c:valAx>
      <c:valAx>
        <c:axId val="35989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26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59</xdr:row>
      <xdr:rowOff>0</xdr:rowOff>
    </xdr:from>
    <xdr:to>
      <xdr:col>30</xdr:col>
      <xdr:colOff>304800</xdr:colOff>
      <xdr:row>73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1E3C4-E1D3-4019-AC09-930443074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61</xdr:row>
      <xdr:rowOff>0</xdr:rowOff>
    </xdr:from>
    <xdr:to>
      <xdr:col>31</xdr:col>
      <xdr:colOff>304800</xdr:colOff>
      <xdr:row>75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BB6D6C-A1BB-4A46-9F78-E50D52256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63</xdr:row>
      <xdr:rowOff>0</xdr:rowOff>
    </xdr:from>
    <xdr:to>
      <xdr:col>32</xdr:col>
      <xdr:colOff>304800</xdr:colOff>
      <xdr:row>77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168C73-E7BF-4C44-98D9-619797F2E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OneDrive\Desktop\PRACTICALS\DOE\DOE_Prac3.xlsx" TargetMode="External"/><Relationship Id="rId1" Type="http://schemas.openxmlformats.org/officeDocument/2006/relationships/externalLinkPath" Target="DOE_Prac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>
        <row r="1">
          <cell r="A1">
            <v>-1</v>
          </cell>
          <cell r="B1">
            <v>0.84999999999999432</v>
          </cell>
          <cell r="C1">
            <v>-1</v>
          </cell>
          <cell r="D1">
            <v>0.84999999999999432</v>
          </cell>
          <cell r="E1">
            <v>1</v>
          </cell>
          <cell r="F1">
            <v>0.84999999999999432</v>
          </cell>
        </row>
        <row r="2">
          <cell r="A2">
            <v>-1</v>
          </cell>
          <cell r="B2">
            <v>2.4999999999999858</v>
          </cell>
          <cell r="C2">
            <v>1</v>
          </cell>
          <cell r="D2">
            <v>2.4999999999999858</v>
          </cell>
          <cell r="E2">
            <v>-1</v>
          </cell>
          <cell r="F2">
            <v>2.4999999999999858</v>
          </cell>
        </row>
        <row r="3">
          <cell r="A3">
            <v>1</v>
          </cell>
          <cell r="B3">
            <v>-1.8500000000000083</v>
          </cell>
          <cell r="C3">
            <v>-1</v>
          </cell>
          <cell r="D3">
            <v>-1.8500000000000083</v>
          </cell>
          <cell r="E3">
            <v>-1</v>
          </cell>
          <cell r="F3">
            <v>-1.8500000000000083</v>
          </cell>
        </row>
        <row r="4">
          <cell r="A4">
            <v>1</v>
          </cell>
          <cell r="B4">
            <v>-2.3500000000000227</v>
          </cell>
          <cell r="C4">
            <v>1</v>
          </cell>
          <cell r="D4">
            <v>-2.3500000000000227</v>
          </cell>
          <cell r="E4">
            <v>1</v>
          </cell>
          <cell r="F4">
            <v>-2.3500000000000227</v>
          </cell>
        </row>
        <row r="5">
          <cell r="A5">
            <v>-1</v>
          </cell>
          <cell r="B5">
            <v>-0.85000000000000142</v>
          </cell>
          <cell r="C5">
            <v>-1</v>
          </cell>
          <cell r="D5">
            <v>-0.85000000000000142</v>
          </cell>
          <cell r="E5">
            <v>1</v>
          </cell>
          <cell r="F5">
            <v>-0.85000000000000142</v>
          </cell>
        </row>
        <row r="6">
          <cell r="A6">
            <v>-1</v>
          </cell>
          <cell r="B6">
            <v>-2.5000000000000142</v>
          </cell>
          <cell r="C6">
            <v>1</v>
          </cell>
          <cell r="D6">
            <v>-2.5000000000000142</v>
          </cell>
          <cell r="E6">
            <v>-1</v>
          </cell>
          <cell r="F6">
            <v>-2.5000000000000142</v>
          </cell>
        </row>
        <row r="7">
          <cell r="A7">
            <v>1</v>
          </cell>
          <cell r="B7">
            <v>1.8499999999999943</v>
          </cell>
          <cell r="C7">
            <v>-1</v>
          </cell>
          <cell r="D7">
            <v>1.8499999999999943</v>
          </cell>
          <cell r="E7">
            <v>-1</v>
          </cell>
          <cell r="F7">
            <v>1.8499999999999943</v>
          </cell>
        </row>
        <row r="8">
          <cell r="A8">
            <v>1</v>
          </cell>
          <cell r="B8">
            <v>2.3499999999999801</v>
          </cell>
          <cell r="C8">
            <v>1</v>
          </cell>
          <cell r="D8">
            <v>2.3499999999999801</v>
          </cell>
          <cell r="E8">
            <v>1</v>
          </cell>
          <cell r="F8">
            <v>2.3499999999999801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1C25-32CD-47D4-92AE-C78E4AFB234D}">
  <dimension ref="A1:R94"/>
  <sheetViews>
    <sheetView tabSelected="1" topLeftCell="A38" workbookViewId="0">
      <selection activeCell="N35" sqref="N35"/>
    </sheetView>
  </sheetViews>
  <sheetFormatPr defaultRowHeight="15" x14ac:dyDescent="0.25"/>
  <cols>
    <col min="3" max="3" width="14" bestFit="1" customWidth="1"/>
    <col min="4" max="4" width="12.28515625" bestFit="1" customWidth="1"/>
    <col min="5" max="5" width="12.7109375" bestFit="1" customWidth="1"/>
    <col min="6" max="6" width="12.28515625" bestFit="1" customWidth="1"/>
    <col min="7" max="7" width="19.5703125" customWidth="1"/>
    <col min="8" max="8" width="9.140625" customWidth="1"/>
    <col min="9" max="9" width="11.5703125" customWidth="1"/>
    <col min="10" max="10" width="12" customWidth="1"/>
    <col min="11" max="11" width="13.85546875" customWidth="1"/>
    <col min="13" max="13" width="14.42578125" customWidth="1"/>
    <col min="15" max="15" width="15.28515625" customWidth="1"/>
    <col min="18" max="18" width="13" customWidth="1"/>
  </cols>
  <sheetData>
    <row r="1" spans="2:18" ht="15.75" thickBot="1" x14ac:dyDescent="0.3"/>
    <row r="2" spans="2:18" ht="21.75" thickBot="1" x14ac:dyDescent="0.4">
      <c r="G2" s="78" t="s">
        <v>50</v>
      </c>
      <c r="H2" s="79"/>
      <c r="I2" s="80"/>
    </row>
    <row r="3" spans="2:18" ht="19.5" thickBot="1" x14ac:dyDescent="0.35">
      <c r="B3" s="1" t="s">
        <v>0</v>
      </c>
    </row>
    <row r="4" spans="2:18" ht="15.75" thickBot="1" x14ac:dyDescent="0.3">
      <c r="C4" s="2" t="s">
        <v>1</v>
      </c>
      <c r="D4" s="3"/>
      <c r="E4" s="2" t="s">
        <v>2</v>
      </c>
      <c r="F4" s="3"/>
      <c r="H4" s="4" t="s">
        <v>3</v>
      </c>
      <c r="I4" s="5" t="s">
        <v>4</v>
      </c>
      <c r="J4" s="4" t="s">
        <v>5</v>
      </c>
      <c r="K4" s="6" t="s">
        <v>4</v>
      </c>
      <c r="M4" s="7" t="s">
        <v>6</v>
      </c>
      <c r="N4" s="8" t="s">
        <v>7</v>
      </c>
      <c r="O4" s="9" t="s">
        <v>8</v>
      </c>
    </row>
    <row r="5" spans="2:18" ht="15.75" thickBot="1" x14ac:dyDescent="0.3">
      <c r="C5" s="7" t="s">
        <v>5</v>
      </c>
      <c r="D5" s="8" t="s">
        <v>3</v>
      </c>
      <c r="E5" s="2" t="s">
        <v>9</v>
      </c>
      <c r="F5" s="3"/>
      <c r="H5" s="10">
        <v>30</v>
      </c>
      <c r="I5" s="11">
        <v>-1</v>
      </c>
      <c r="J5" s="10">
        <v>70</v>
      </c>
      <c r="K5" s="12">
        <v>-1</v>
      </c>
      <c r="M5" s="13">
        <v>-1</v>
      </c>
      <c r="N5" s="14">
        <v>-1</v>
      </c>
      <c r="O5" s="15">
        <v>49.8</v>
      </c>
    </row>
    <row r="6" spans="2:18" ht="15.75" thickBot="1" x14ac:dyDescent="0.3">
      <c r="C6" s="13">
        <v>70</v>
      </c>
      <c r="D6" s="14">
        <v>30</v>
      </c>
      <c r="E6" s="13">
        <v>49.8</v>
      </c>
      <c r="F6" s="16">
        <v>48.1</v>
      </c>
      <c r="H6" s="17">
        <v>90</v>
      </c>
      <c r="I6" s="18">
        <v>1</v>
      </c>
      <c r="J6" s="17">
        <v>90</v>
      </c>
      <c r="K6" s="19">
        <v>1</v>
      </c>
      <c r="M6" s="13">
        <v>-1</v>
      </c>
      <c r="N6" s="14">
        <v>1</v>
      </c>
      <c r="O6" s="15">
        <v>57.3</v>
      </c>
    </row>
    <row r="7" spans="2:18" x14ac:dyDescent="0.25">
      <c r="C7" s="13">
        <v>90</v>
      </c>
      <c r="D7" s="14">
        <v>30</v>
      </c>
      <c r="E7" s="13">
        <v>57.3</v>
      </c>
      <c r="F7" s="16">
        <v>52.3</v>
      </c>
      <c r="M7" s="13">
        <v>1</v>
      </c>
      <c r="N7" s="14">
        <v>-1</v>
      </c>
      <c r="O7" s="15">
        <v>65.7</v>
      </c>
    </row>
    <row r="8" spans="2:18" x14ac:dyDescent="0.25">
      <c r="C8" s="13">
        <v>70</v>
      </c>
      <c r="D8" s="14">
        <v>90</v>
      </c>
      <c r="E8" s="13">
        <v>65.7</v>
      </c>
      <c r="F8" s="16">
        <v>69.400000000000006</v>
      </c>
      <c r="M8" s="13">
        <v>1</v>
      </c>
      <c r="N8" s="14">
        <v>1</v>
      </c>
      <c r="O8" s="15">
        <v>73.099999999999994</v>
      </c>
    </row>
    <row r="9" spans="2:18" ht="15.75" thickBot="1" x14ac:dyDescent="0.3">
      <c r="C9" s="17">
        <v>90</v>
      </c>
      <c r="D9" s="18">
        <v>90</v>
      </c>
      <c r="E9" s="17">
        <v>73.099999999999994</v>
      </c>
      <c r="F9" s="19">
        <v>77.8</v>
      </c>
      <c r="M9" s="13">
        <v>-1</v>
      </c>
      <c r="N9" s="14">
        <v>-1</v>
      </c>
      <c r="O9" s="15">
        <v>48.1</v>
      </c>
    </row>
    <row r="10" spans="2:18" x14ac:dyDescent="0.25">
      <c r="M10" s="13">
        <v>-1</v>
      </c>
      <c r="N10" s="14">
        <v>1</v>
      </c>
      <c r="O10" s="15">
        <v>52.3</v>
      </c>
    </row>
    <row r="11" spans="2:18" ht="15.75" thickBot="1" x14ac:dyDescent="0.3">
      <c r="M11" s="13">
        <v>1</v>
      </c>
      <c r="N11" s="14">
        <v>-1</v>
      </c>
      <c r="O11" s="15">
        <v>69.400000000000006</v>
      </c>
    </row>
    <row r="12" spans="2:18" ht="15.75" thickBot="1" x14ac:dyDescent="0.3">
      <c r="C12" s="20" t="s">
        <v>10</v>
      </c>
      <c r="D12" s="21"/>
      <c r="F12" s="2" t="s">
        <v>11</v>
      </c>
      <c r="G12" s="22"/>
      <c r="H12" s="22"/>
      <c r="I12" s="22"/>
      <c r="J12" s="22"/>
      <c r="K12" s="3"/>
      <c r="M12" s="17">
        <v>1</v>
      </c>
      <c r="N12" s="18">
        <v>1</v>
      </c>
      <c r="O12" s="23">
        <v>77.8</v>
      </c>
    </row>
    <row r="13" spans="2:18" x14ac:dyDescent="0.25">
      <c r="C13" s="24" t="s">
        <v>12</v>
      </c>
      <c r="D13" s="25">
        <v>0.98093861145560468</v>
      </c>
      <c r="F13" s="4"/>
      <c r="G13" s="5" t="s">
        <v>13</v>
      </c>
      <c r="H13" s="5" t="s">
        <v>14</v>
      </c>
      <c r="I13" s="5" t="s">
        <v>15</v>
      </c>
      <c r="J13" s="5" t="s">
        <v>16</v>
      </c>
      <c r="K13" s="6" t="s">
        <v>17</v>
      </c>
    </row>
    <row r="14" spans="2:18" ht="15.75" thickBot="1" x14ac:dyDescent="0.3">
      <c r="C14" s="26" t="s">
        <v>18</v>
      </c>
      <c r="D14" s="27">
        <v>0.96224055944444986</v>
      </c>
      <c r="F14" s="28" t="s">
        <v>19</v>
      </c>
      <c r="G14" s="29">
        <v>2</v>
      </c>
      <c r="H14" s="30">
        <v>864.8125</v>
      </c>
      <c r="I14" s="30">
        <v>432.40625</v>
      </c>
      <c r="J14" s="31">
        <v>63.708608051861944</v>
      </c>
      <c r="K14" s="32">
        <v>2.7705365116204028E-4</v>
      </c>
    </row>
    <row r="15" spans="2:18" x14ac:dyDescent="0.25">
      <c r="C15" s="26" t="s">
        <v>20</v>
      </c>
      <c r="D15" s="27">
        <v>0.94713678322222983</v>
      </c>
      <c r="F15" s="28" t="s">
        <v>21</v>
      </c>
      <c r="G15" s="33">
        <v>5</v>
      </c>
      <c r="H15" s="34">
        <v>33.936250000000001</v>
      </c>
      <c r="I15" s="34">
        <v>6.7872500000000002</v>
      </c>
      <c r="J15" s="14"/>
      <c r="K15" s="16"/>
      <c r="M15" s="4" t="s">
        <v>22</v>
      </c>
      <c r="N15" s="5" t="s">
        <v>23</v>
      </c>
      <c r="O15" s="5" t="s">
        <v>8</v>
      </c>
      <c r="P15" s="5" t="s">
        <v>8</v>
      </c>
      <c r="Q15" s="5" t="s">
        <v>24</v>
      </c>
      <c r="R15" s="6" t="s">
        <v>25</v>
      </c>
    </row>
    <row r="16" spans="2:18" ht="15.75" thickBot="1" x14ac:dyDescent="0.3">
      <c r="C16" s="26" t="s">
        <v>26</v>
      </c>
      <c r="D16" s="27">
        <v>2.6052351141499686</v>
      </c>
      <c r="F16" s="35" t="s">
        <v>27</v>
      </c>
      <c r="G16" s="36">
        <v>7</v>
      </c>
      <c r="H16" s="37">
        <v>898.74874999999997</v>
      </c>
      <c r="I16" s="37"/>
      <c r="J16" s="18"/>
      <c r="K16" s="19"/>
      <c r="M16" s="38">
        <v>-1</v>
      </c>
      <c r="N16" s="31">
        <v>-1</v>
      </c>
      <c r="O16" s="31">
        <v>49.8</v>
      </c>
      <c r="P16" s="31">
        <v>48.1</v>
      </c>
      <c r="Q16" s="31">
        <f>AVERAGE(O16:P16)</f>
        <v>48.95</v>
      </c>
      <c r="R16" s="32">
        <f>SUM((O16-Q16)^2,(P16-Q16)^2)</f>
        <v>1.4449999999999927</v>
      </c>
    </row>
    <row r="17" spans="3:18" ht="15.75" thickBot="1" x14ac:dyDescent="0.3">
      <c r="C17" s="39" t="s">
        <v>28</v>
      </c>
      <c r="D17" s="40">
        <v>8</v>
      </c>
      <c r="M17" s="13">
        <v>1</v>
      </c>
      <c r="N17" s="14">
        <v>-1</v>
      </c>
      <c r="O17" s="14">
        <v>57.3</v>
      </c>
      <c r="P17" s="14">
        <v>52.3</v>
      </c>
      <c r="Q17" s="14">
        <f t="shared" ref="Q17:Q19" si="0">AVERAGE(O17:P17)</f>
        <v>54.8</v>
      </c>
      <c r="R17" s="16">
        <f t="shared" ref="R17:R19" si="1">SUM((O17-Q17)^2,(P17-Q17)^2)</f>
        <v>12.5</v>
      </c>
    </row>
    <row r="18" spans="3:18" x14ac:dyDescent="0.25">
      <c r="M18" s="13">
        <v>-1</v>
      </c>
      <c r="N18" s="14">
        <v>1</v>
      </c>
      <c r="O18" s="14">
        <v>65.7</v>
      </c>
      <c r="P18" s="14">
        <v>69.400000000000006</v>
      </c>
      <c r="Q18" s="14">
        <f t="shared" si="0"/>
        <v>67.550000000000011</v>
      </c>
      <c r="R18" s="16">
        <f t="shared" si="1"/>
        <v>6.8450000000000104</v>
      </c>
    </row>
    <row r="19" spans="3:18" ht="15.75" thickBot="1" x14ac:dyDescent="0.3">
      <c r="M19" s="41">
        <v>1</v>
      </c>
      <c r="N19" s="42">
        <v>1</v>
      </c>
      <c r="O19" s="42">
        <v>73.099999999999994</v>
      </c>
      <c r="P19" s="42">
        <v>77.8</v>
      </c>
      <c r="Q19" s="42">
        <f t="shared" si="0"/>
        <v>75.449999999999989</v>
      </c>
      <c r="R19" s="43">
        <f t="shared" si="1"/>
        <v>11.045000000000012</v>
      </c>
    </row>
    <row r="20" spans="3:18" ht="15.75" thickBot="1" x14ac:dyDescent="0.3">
      <c r="C20" s="10"/>
      <c r="D20" s="5" t="s">
        <v>29</v>
      </c>
      <c r="E20" s="5" t="s">
        <v>26</v>
      </c>
      <c r="F20" s="5" t="s">
        <v>30</v>
      </c>
      <c r="G20" s="5" t="s">
        <v>31</v>
      </c>
      <c r="H20" s="5" t="s">
        <v>32</v>
      </c>
      <c r="I20" s="5" t="s">
        <v>33</v>
      </c>
      <c r="J20" s="5" t="s">
        <v>32</v>
      </c>
      <c r="K20" s="6" t="s">
        <v>33</v>
      </c>
      <c r="M20" s="17"/>
      <c r="N20" s="18"/>
      <c r="O20" s="18"/>
      <c r="P20" s="18"/>
      <c r="Q20" s="44" t="s">
        <v>34</v>
      </c>
      <c r="R20" s="45">
        <f>SUM(R16:R19)</f>
        <v>31.835000000000015</v>
      </c>
    </row>
    <row r="21" spans="3:18" x14ac:dyDescent="0.25">
      <c r="C21" s="28" t="s">
        <v>35</v>
      </c>
      <c r="D21" s="46">
        <v>61.687500000000007</v>
      </c>
      <c r="E21" s="31">
        <v>0.92108970790037603</v>
      </c>
      <c r="F21" s="31">
        <v>66.972304077326697</v>
      </c>
      <c r="G21" s="31">
        <v>1.4053703713872566E-8</v>
      </c>
      <c r="H21" s="31">
        <v>59.31976352868309</v>
      </c>
      <c r="I21" s="31">
        <v>64.055236471316917</v>
      </c>
      <c r="J21" s="31">
        <v>59.31976352868309</v>
      </c>
      <c r="K21" s="32">
        <v>64.055236471316917</v>
      </c>
    </row>
    <row r="22" spans="3:18" ht="15.75" thickBot="1" x14ac:dyDescent="0.3">
      <c r="C22" s="28" t="s">
        <v>6</v>
      </c>
      <c r="D22" s="47">
        <v>9.8125000000000018</v>
      </c>
      <c r="E22" s="14">
        <v>0.92108970790037603</v>
      </c>
      <c r="F22" s="14">
        <v>10.653142593860478</v>
      </c>
      <c r="G22" s="14">
        <v>1.2611430655326859E-4</v>
      </c>
      <c r="H22" s="14">
        <v>7.4447635286830858</v>
      </c>
      <c r="I22" s="14">
        <v>12.180236471316917</v>
      </c>
      <c r="J22" s="14">
        <v>7.4447635286830858</v>
      </c>
      <c r="K22" s="16">
        <v>12.180236471316917</v>
      </c>
    </row>
    <row r="23" spans="3:18" ht="15.75" thickBot="1" x14ac:dyDescent="0.3">
      <c r="C23" s="35" t="s">
        <v>7</v>
      </c>
      <c r="D23" s="48">
        <v>3.4374999999999973</v>
      </c>
      <c r="E23" s="18">
        <v>0.92108970790037603</v>
      </c>
      <c r="F23" s="18">
        <v>3.7319926284224567</v>
      </c>
      <c r="G23" s="18">
        <v>1.3543074698561277E-2</v>
      </c>
      <c r="H23" s="18">
        <v>1.0697635286830813</v>
      </c>
      <c r="I23" s="18">
        <v>5.8052364713169133</v>
      </c>
      <c r="J23" s="18">
        <v>1.0697635286830813</v>
      </c>
      <c r="K23" s="19">
        <v>5.8052364713169133</v>
      </c>
      <c r="M23" s="49" t="s">
        <v>36</v>
      </c>
      <c r="N23" s="50"/>
      <c r="O23" s="50"/>
      <c r="P23" s="50"/>
      <c r="Q23" s="51"/>
    </row>
    <row r="25" spans="3:18" x14ac:dyDescent="0.25">
      <c r="N25" t="s">
        <v>37</v>
      </c>
    </row>
    <row r="26" spans="3:18" x14ac:dyDescent="0.25">
      <c r="N26" t="s">
        <v>38</v>
      </c>
    </row>
    <row r="27" spans="3:18" ht="15.75" thickBot="1" x14ac:dyDescent="0.3"/>
    <row r="28" spans="3:18" x14ac:dyDescent="0.25">
      <c r="M28" s="4" t="s">
        <v>39</v>
      </c>
      <c r="N28" s="5" t="s">
        <v>13</v>
      </c>
      <c r="O28" s="5" t="s">
        <v>40</v>
      </c>
      <c r="P28" s="5" t="s">
        <v>41</v>
      </c>
      <c r="Q28" s="5" t="s">
        <v>42</v>
      </c>
      <c r="R28" s="6" t="s">
        <v>43</v>
      </c>
    </row>
    <row r="29" spans="3:18" x14ac:dyDescent="0.25">
      <c r="F29" t="s">
        <v>51</v>
      </c>
      <c r="M29" s="52" t="s">
        <v>19</v>
      </c>
      <c r="N29" s="29">
        <v>2</v>
      </c>
      <c r="O29" s="30">
        <v>864.8125</v>
      </c>
      <c r="P29" s="30">
        <f>O29/N29</f>
        <v>432.40625</v>
      </c>
      <c r="Q29" s="53">
        <f>P31/P32</f>
        <v>0.2640175907020556</v>
      </c>
      <c r="R29" s="54">
        <f>_xlfn.F.INV.RT(0.05,N31,N32)</f>
        <v>7.708647422176786</v>
      </c>
    </row>
    <row r="30" spans="3:18" x14ac:dyDescent="0.25">
      <c r="M30" s="55" t="s">
        <v>44</v>
      </c>
      <c r="N30" s="33">
        <v>5</v>
      </c>
      <c r="O30" s="34">
        <v>33.936250000000001</v>
      </c>
      <c r="P30" s="34">
        <f t="shared" ref="P30" si="2">O30/N30</f>
        <v>6.7872500000000002</v>
      </c>
      <c r="Q30" s="14"/>
      <c r="R30" s="16"/>
    </row>
    <row r="31" spans="3:18" x14ac:dyDescent="0.25">
      <c r="M31" s="55" t="s">
        <v>45</v>
      </c>
      <c r="N31" s="56">
        <v>1</v>
      </c>
      <c r="O31" s="14">
        <f>O30-O32</f>
        <v>2.1012499999999861</v>
      </c>
      <c r="P31" s="14">
        <f>O31/N31</f>
        <v>2.1012499999999861</v>
      </c>
      <c r="Q31" s="14"/>
      <c r="R31" s="16"/>
    </row>
    <row r="32" spans="3:18" x14ac:dyDescent="0.25">
      <c r="M32" s="57" t="s">
        <v>46</v>
      </c>
      <c r="N32" s="58">
        <v>4</v>
      </c>
      <c r="O32" s="42">
        <v>31.835000000000015</v>
      </c>
      <c r="P32" s="42">
        <f>O32/N32</f>
        <v>7.9587500000000038</v>
      </c>
      <c r="Q32" s="42"/>
      <c r="R32" s="43"/>
    </row>
    <row r="33" spans="1:18" ht="15.75" thickBot="1" x14ac:dyDescent="0.3">
      <c r="M33" s="35" t="s">
        <v>27</v>
      </c>
      <c r="N33" s="37">
        <v>7</v>
      </c>
      <c r="O33" s="37">
        <v>898.74874999999997</v>
      </c>
      <c r="P33" s="18">
        <f>O33/N33</f>
        <v>128.39267857142858</v>
      </c>
      <c r="Q33" s="18"/>
      <c r="R33" s="19"/>
    </row>
    <row r="34" spans="1:18" x14ac:dyDescent="0.25">
      <c r="M34" s="59"/>
      <c r="N34" s="60"/>
      <c r="O34" s="60"/>
      <c r="P34" s="14"/>
      <c r="Q34" s="14"/>
      <c r="R34" s="14"/>
    </row>
    <row r="35" spans="1:18" x14ac:dyDescent="0.25">
      <c r="M35" s="59"/>
      <c r="N35" s="60"/>
      <c r="O35" s="60"/>
      <c r="P35" s="14"/>
      <c r="Q35" s="14"/>
      <c r="R35" s="14"/>
    </row>
    <row r="36" spans="1:18" x14ac:dyDescent="0.25">
      <c r="A36" s="61" t="s">
        <v>47</v>
      </c>
    </row>
    <row r="37" spans="1:18" ht="15.75" thickBot="1" x14ac:dyDescent="0.3">
      <c r="B37" s="14"/>
      <c r="C37" s="14"/>
      <c r="D37" s="59" t="s">
        <v>48</v>
      </c>
      <c r="E37" s="14"/>
    </row>
    <row r="38" spans="1:18" ht="15.75" thickBot="1" x14ac:dyDescent="0.3">
      <c r="B38" s="7" t="s">
        <v>6</v>
      </c>
      <c r="C38" s="8" t="s">
        <v>7</v>
      </c>
      <c r="D38" s="8" t="s">
        <v>49</v>
      </c>
      <c r="E38" s="62" t="s">
        <v>8</v>
      </c>
    </row>
    <row r="39" spans="1:18" ht="15.75" thickBot="1" x14ac:dyDescent="0.3">
      <c r="B39" s="13">
        <v>-1</v>
      </c>
      <c r="C39" s="14">
        <v>-1</v>
      </c>
      <c r="D39" s="14">
        <f t="shared" ref="D39:D46" si="3">B39*C39</f>
        <v>1</v>
      </c>
      <c r="E39" s="16">
        <v>49.8</v>
      </c>
      <c r="G39" s="2" t="s">
        <v>10</v>
      </c>
      <c r="H39" s="3"/>
      <c r="J39" s="2" t="s">
        <v>11</v>
      </c>
      <c r="K39" s="22"/>
      <c r="L39" s="22"/>
      <c r="M39" s="22"/>
      <c r="N39" s="22"/>
      <c r="O39" s="3"/>
    </row>
    <row r="40" spans="1:18" x14ac:dyDescent="0.25">
      <c r="B40" s="13">
        <v>-1</v>
      </c>
      <c r="C40" s="14">
        <v>1</v>
      </c>
      <c r="D40" s="14">
        <f t="shared" si="3"/>
        <v>-1</v>
      </c>
      <c r="E40" s="16">
        <v>57.3</v>
      </c>
      <c r="G40" s="55" t="s">
        <v>12</v>
      </c>
      <c r="H40" s="16">
        <v>0.98212959027721869</v>
      </c>
      <c r="J40" s="63"/>
      <c r="K40" s="64" t="s">
        <v>13</v>
      </c>
      <c r="L40" s="65" t="s">
        <v>14</v>
      </c>
      <c r="M40" s="65" t="s">
        <v>15</v>
      </c>
      <c r="N40" s="65" t="s">
        <v>16</v>
      </c>
      <c r="O40" s="66" t="s">
        <v>17</v>
      </c>
    </row>
    <row r="41" spans="1:18" x14ac:dyDescent="0.25">
      <c r="B41" s="13">
        <v>1</v>
      </c>
      <c r="C41" s="14">
        <v>-1</v>
      </c>
      <c r="D41" s="14">
        <f t="shared" si="3"/>
        <v>-1</v>
      </c>
      <c r="E41" s="16">
        <v>65.7</v>
      </c>
      <c r="G41" s="55" t="s">
        <v>18</v>
      </c>
      <c r="H41" s="16">
        <v>0.96457853209809752</v>
      </c>
      <c r="J41" s="55" t="s">
        <v>19</v>
      </c>
      <c r="K41" s="14">
        <v>3</v>
      </c>
      <c r="L41" s="14">
        <v>866.91374999999994</v>
      </c>
      <c r="M41" s="14">
        <v>288.97125</v>
      </c>
      <c r="N41" s="14">
        <v>36.308622585204944</v>
      </c>
      <c r="O41" s="16">
        <v>2.3245619475974477E-3</v>
      </c>
    </row>
    <row r="42" spans="1:18" x14ac:dyDescent="0.25">
      <c r="B42" s="13">
        <v>1</v>
      </c>
      <c r="C42" s="14">
        <v>1</v>
      </c>
      <c r="D42" s="14">
        <f t="shared" si="3"/>
        <v>1</v>
      </c>
      <c r="E42" s="16">
        <v>73.099999999999994</v>
      </c>
      <c r="G42" s="55" t="s">
        <v>20</v>
      </c>
      <c r="H42" s="16">
        <v>0.93801243117167055</v>
      </c>
      <c r="J42" s="55" t="s">
        <v>21</v>
      </c>
      <c r="K42" s="14">
        <v>4</v>
      </c>
      <c r="L42" s="14">
        <v>31.835000000000019</v>
      </c>
      <c r="M42" s="14">
        <v>7.9587500000000047</v>
      </c>
      <c r="N42" s="14"/>
      <c r="O42" s="16"/>
    </row>
    <row r="43" spans="1:18" ht="15.75" thickBot="1" x14ac:dyDescent="0.3">
      <c r="B43" s="13">
        <v>-1</v>
      </c>
      <c r="C43" s="14">
        <v>-1</v>
      </c>
      <c r="D43" s="14">
        <f t="shared" si="3"/>
        <v>1</v>
      </c>
      <c r="E43" s="16">
        <v>48.1</v>
      </c>
      <c r="G43" s="55" t="s">
        <v>26</v>
      </c>
      <c r="H43" s="16">
        <v>2.8211256618591105</v>
      </c>
      <c r="J43" s="67" t="s">
        <v>27</v>
      </c>
      <c r="K43" s="18">
        <v>7</v>
      </c>
      <c r="L43" s="18">
        <v>898.74874999999997</v>
      </c>
      <c r="M43" s="18"/>
      <c r="N43" s="18"/>
      <c r="O43" s="19"/>
    </row>
    <row r="44" spans="1:18" ht="15.75" thickBot="1" x14ac:dyDescent="0.3">
      <c r="B44" s="13">
        <v>-1</v>
      </c>
      <c r="C44" s="14">
        <v>1</v>
      </c>
      <c r="D44" s="14">
        <f t="shared" si="3"/>
        <v>-1</v>
      </c>
      <c r="E44" s="16">
        <v>52.3</v>
      </c>
      <c r="G44" s="67" t="s">
        <v>28</v>
      </c>
      <c r="H44" s="19">
        <v>8</v>
      </c>
    </row>
    <row r="45" spans="1:18" x14ac:dyDescent="0.25">
      <c r="B45" s="13">
        <v>1</v>
      </c>
      <c r="C45" s="14">
        <v>-1</v>
      </c>
      <c r="D45" s="14">
        <f t="shared" si="3"/>
        <v>-1</v>
      </c>
      <c r="E45" s="16">
        <v>69.400000000000006</v>
      </c>
    </row>
    <row r="46" spans="1:18" ht="15.75" thickBot="1" x14ac:dyDescent="0.3">
      <c r="B46" s="17">
        <v>1</v>
      </c>
      <c r="C46" s="18">
        <v>1</v>
      </c>
      <c r="D46" s="18">
        <f t="shared" si="3"/>
        <v>1</v>
      </c>
      <c r="E46" s="19">
        <v>77.8</v>
      </c>
    </row>
    <row r="47" spans="1:18" ht="15.75" thickBot="1" x14ac:dyDescent="0.3"/>
    <row r="48" spans="1:18" ht="15.75" thickBot="1" x14ac:dyDescent="0.3">
      <c r="B48" s="24"/>
      <c r="C48" s="68" t="s">
        <v>29</v>
      </c>
      <c r="D48" s="68" t="s">
        <v>26</v>
      </c>
      <c r="E48" s="68" t="s">
        <v>30</v>
      </c>
      <c r="F48" s="68" t="s">
        <v>31</v>
      </c>
      <c r="G48" s="68" t="s">
        <v>32</v>
      </c>
      <c r="H48" s="68" t="s">
        <v>33</v>
      </c>
      <c r="I48" s="68" t="s">
        <v>32</v>
      </c>
      <c r="J48" s="69" t="s">
        <v>33</v>
      </c>
    </row>
    <row r="49" spans="2:10" x14ac:dyDescent="0.25">
      <c r="B49" s="26" t="s">
        <v>35</v>
      </c>
      <c r="C49" s="70">
        <v>61.687500000000007</v>
      </c>
      <c r="D49" s="71">
        <v>0.99741854303998212</v>
      </c>
      <c r="E49" s="71">
        <v>61.847155770721649</v>
      </c>
      <c r="F49" s="71">
        <v>4.0936977554547519E-7</v>
      </c>
      <c r="G49" s="71">
        <v>58.918222175211241</v>
      </c>
      <c r="H49" s="71">
        <v>64.456777824788773</v>
      </c>
      <c r="I49" s="71">
        <v>58.918222175211241</v>
      </c>
      <c r="J49" s="72">
        <v>64.456777824788773</v>
      </c>
    </row>
    <row r="50" spans="2:10" x14ac:dyDescent="0.25">
      <c r="B50" s="26" t="s">
        <v>6</v>
      </c>
      <c r="C50" s="73">
        <v>9.8125000000000018</v>
      </c>
      <c r="D50">
        <v>0.99741854303998212</v>
      </c>
      <c r="E50">
        <v>9.8378961053731508</v>
      </c>
      <c r="F50">
        <v>5.9869307340210695E-4</v>
      </c>
      <c r="G50">
        <v>7.0432221752112394</v>
      </c>
      <c r="H50">
        <v>12.581777824788764</v>
      </c>
      <c r="I50">
        <v>7.0432221752112394</v>
      </c>
      <c r="J50" s="74">
        <v>12.581777824788764</v>
      </c>
    </row>
    <row r="51" spans="2:10" x14ac:dyDescent="0.25">
      <c r="B51" s="26" t="s">
        <v>7</v>
      </c>
      <c r="C51" s="73">
        <v>3.4374999999999973</v>
      </c>
      <c r="D51">
        <v>0.99741854303998212</v>
      </c>
      <c r="E51">
        <v>3.4463967248122467</v>
      </c>
      <c r="F51">
        <v>2.6140384641257765E-2</v>
      </c>
      <c r="G51">
        <v>0.66822217521123495</v>
      </c>
      <c r="H51">
        <v>6.2067778247887597</v>
      </c>
      <c r="I51">
        <v>0.66822217521123495</v>
      </c>
      <c r="J51" s="74">
        <v>6.2067778247887597</v>
      </c>
    </row>
    <row r="52" spans="2:10" ht="15.75" thickBot="1" x14ac:dyDescent="0.3">
      <c r="B52" s="39" t="s">
        <v>49</v>
      </c>
      <c r="C52" s="75">
        <v>0.51249999999999751</v>
      </c>
      <c r="D52" s="76">
        <v>0.99741854303998212</v>
      </c>
      <c r="E52" s="76">
        <v>0.51382642079018737</v>
      </c>
      <c r="F52" s="76">
        <v>0.63445494020533733</v>
      </c>
      <c r="G52" s="76">
        <v>-2.2567778247887649</v>
      </c>
      <c r="H52" s="76">
        <v>3.2817778247887599</v>
      </c>
      <c r="I52" s="76">
        <v>-2.2567778247887649</v>
      </c>
      <c r="J52" s="77">
        <v>3.2817778247887599</v>
      </c>
    </row>
    <row r="93" spans="3:7" x14ac:dyDescent="0.25">
      <c r="C93" s="61"/>
    </row>
    <row r="94" spans="3:7" x14ac:dyDescent="0.25">
      <c r="C94" s="59"/>
      <c r="D94" s="59"/>
      <c r="E94" s="61"/>
      <c r="F94" s="61"/>
      <c r="G94" s="59"/>
    </row>
  </sheetData>
  <mergeCells count="9">
    <mergeCell ref="G39:H39"/>
    <mergeCell ref="J39:O39"/>
    <mergeCell ref="G2:I2"/>
    <mergeCell ref="C4:D4"/>
    <mergeCell ref="E4:F4"/>
    <mergeCell ref="E5:F5"/>
    <mergeCell ref="C12:D12"/>
    <mergeCell ref="F12:K12"/>
    <mergeCell ref="M23:Q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Chaurasia</dc:creator>
  <cp:lastModifiedBy>Julie Chaurasia</cp:lastModifiedBy>
  <dcterms:created xsi:type="dcterms:W3CDTF">2026-09-20T20:39:50Z</dcterms:created>
  <dcterms:modified xsi:type="dcterms:W3CDTF">2026-09-20T20:50:39Z</dcterms:modified>
</cp:coreProperties>
</file>