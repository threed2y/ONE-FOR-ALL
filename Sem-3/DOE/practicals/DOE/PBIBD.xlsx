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PRACTICALS\DOE\"/>
    </mc:Choice>
  </mc:AlternateContent>
  <xr:revisionPtr revIDLastSave="0" documentId="13_ncr:1_{AD6B9830-20B2-4756-9428-55DA71489A9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Q1" sheetId="1" r:id="rId1"/>
    <sheet name="Q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2" l="1"/>
  <c r="E52" i="2"/>
  <c r="E53" i="2"/>
  <c r="E54" i="2"/>
  <c r="G52" i="2" s="1"/>
  <c r="E55" i="2"/>
  <c r="E56" i="2"/>
  <c r="E57" i="2"/>
  <c r="E58" i="2"/>
  <c r="G50" i="2" s="1"/>
  <c r="E59" i="2"/>
  <c r="G58" i="2"/>
  <c r="E50" i="2"/>
  <c r="G60" i="1"/>
  <c r="G57" i="2"/>
  <c r="G56" i="2"/>
  <c r="G51" i="2"/>
  <c r="D60" i="2"/>
  <c r="C60" i="2"/>
  <c r="N56" i="2"/>
  <c r="N52" i="2"/>
  <c r="N49" i="2"/>
  <c r="E74" i="2"/>
  <c r="N57" i="2"/>
  <c r="N58" i="2" s="1"/>
  <c r="N53" i="2"/>
  <c r="N50" i="2"/>
  <c r="E74" i="1"/>
  <c r="N57" i="1"/>
  <c r="E67" i="1"/>
  <c r="E65" i="1"/>
  <c r="H60" i="1"/>
  <c r="H51" i="1"/>
  <c r="H52" i="1"/>
  <c r="H53" i="1"/>
  <c r="H54" i="1"/>
  <c r="H55" i="1"/>
  <c r="H56" i="1"/>
  <c r="H57" i="1"/>
  <c r="H58" i="1"/>
  <c r="H59" i="1"/>
  <c r="H50" i="1"/>
  <c r="G56" i="1"/>
  <c r="G52" i="1"/>
  <c r="G59" i="1"/>
  <c r="G58" i="1"/>
  <c r="G57" i="1"/>
  <c r="G55" i="1"/>
  <c r="G54" i="1"/>
  <c r="G53" i="1"/>
  <c r="G51" i="1"/>
  <c r="G50" i="1"/>
  <c r="E60" i="1"/>
  <c r="E51" i="1"/>
  <c r="E52" i="1"/>
  <c r="E53" i="1"/>
  <c r="E54" i="1"/>
  <c r="E55" i="1"/>
  <c r="E56" i="1"/>
  <c r="E57" i="1"/>
  <c r="E58" i="1"/>
  <c r="E59" i="1"/>
  <c r="E50" i="1"/>
  <c r="N59" i="1"/>
  <c r="N60" i="1" s="1"/>
  <c r="E71" i="1" s="1"/>
  <c r="N58" i="1"/>
  <c r="N56" i="1"/>
  <c r="N54" i="1"/>
  <c r="N53" i="1"/>
  <c r="N52" i="1"/>
  <c r="N50" i="1"/>
  <c r="N49" i="1"/>
  <c r="P23" i="2"/>
  <c r="M18" i="2"/>
  <c r="N16" i="2"/>
  <c r="N25" i="2"/>
  <c r="M23" i="2"/>
  <c r="M15" i="2"/>
  <c r="L25" i="2"/>
  <c r="N15" i="2"/>
  <c r="D39" i="2"/>
  <c r="N17" i="2"/>
  <c r="M25" i="2"/>
  <c r="M24" i="2"/>
  <c r="M22" i="2"/>
  <c r="M21" i="2"/>
  <c r="M20" i="2"/>
  <c r="M19" i="2"/>
  <c r="M17" i="2"/>
  <c r="M16" i="2"/>
  <c r="M42" i="2"/>
  <c r="I42" i="2"/>
  <c r="L35" i="2"/>
  <c r="L34" i="2" s="1"/>
  <c r="J34" i="2"/>
  <c r="L33" i="2"/>
  <c r="L32" i="2"/>
  <c r="G26" i="2"/>
  <c r="F26" i="2"/>
  <c r="E26" i="2"/>
  <c r="D26" i="2"/>
  <c r="C26" i="2"/>
  <c r="H25" i="2"/>
  <c r="H24" i="2"/>
  <c r="H23" i="2"/>
  <c r="H22" i="2"/>
  <c r="H21" i="2"/>
  <c r="H20" i="2"/>
  <c r="H19" i="2"/>
  <c r="H18" i="2"/>
  <c r="H17" i="2"/>
  <c r="H16" i="2"/>
  <c r="M3" i="2"/>
  <c r="M2" i="2"/>
  <c r="M42" i="1"/>
  <c r="M41" i="1"/>
  <c r="I42" i="1"/>
  <c r="L34" i="1"/>
  <c r="I41" i="1" s="1"/>
  <c r="M32" i="1"/>
  <c r="J34" i="1"/>
  <c r="E37" i="1"/>
  <c r="L35" i="1"/>
  <c r="L33" i="1"/>
  <c r="L32" i="1"/>
  <c r="D39" i="1"/>
  <c r="E35" i="1"/>
  <c r="G33" i="1"/>
  <c r="M6" i="1"/>
  <c r="M5" i="1"/>
  <c r="M4" i="1"/>
  <c r="D31" i="1"/>
  <c r="M3" i="1"/>
  <c r="M2" i="1"/>
  <c r="D26" i="1"/>
  <c r="E26" i="1"/>
  <c r="F26" i="1"/>
  <c r="G26" i="1"/>
  <c r="C26" i="1"/>
  <c r="H17" i="1"/>
  <c r="H18" i="1"/>
  <c r="H19" i="1"/>
  <c r="H20" i="1"/>
  <c r="H21" i="1"/>
  <c r="H22" i="1"/>
  <c r="H23" i="1"/>
  <c r="H24" i="1"/>
  <c r="H25" i="1"/>
  <c r="H16" i="1"/>
  <c r="G59" i="2" l="1"/>
  <c r="G55" i="2"/>
  <c r="G53" i="2"/>
  <c r="G54" i="2"/>
  <c r="N54" i="2"/>
  <c r="E69" i="1"/>
  <c r="E73" i="1" s="1"/>
  <c r="M5" i="2"/>
  <c r="N22" i="2"/>
  <c r="N24" i="2"/>
  <c r="H26" i="2"/>
  <c r="D31" i="2" s="1"/>
  <c r="E35" i="2" s="1"/>
  <c r="N21" i="2"/>
  <c r="I41" i="2"/>
  <c r="E37" i="2"/>
  <c r="M6" i="2"/>
  <c r="N19" i="2"/>
  <c r="P24" i="2" s="1"/>
  <c r="N23" i="2"/>
  <c r="M4" i="2"/>
  <c r="N20" i="2"/>
  <c r="N18" i="2"/>
  <c r="H26" i="1"/>
  <c r="M23" i="1"/>
  <c r="N23" i="1" s="1"/>
  <c r="M24" i="1"/>
  <c r="N24" i="1" s="1"/>
  <c r="M19" i="1"/>
  <c r="N19" i="1" s="1"/>
  <c r="M18" i="1"/>
  <c r="N18" i="1" s="1"/>
  <c r="M16" i="1"/>
  <c r="N16" i="1" s="1"/>
  <c r="M20" i="1"/>
  <c r="N20" i="1" s="1"/>
  <c r="M17" i="1"/>
  <c r="N17" i="1" s="1"/>
  <c r="M21" i="1"/>
  <c r="N21" i="1" s="1"/>
  <c r="M22" i="1"/>
  <c r="N22" i="1" s="1"/>
  <c r="P15" i="1" s="1"/>
  <c r="M15" i="1"/>
  <c r="G60" i="2" l="1"/>
  <c r="N59" i="2"/>
  <c r="H51" i="2"/>
  <c r="H53" i="2"/>
  <c r="H52" i="2"/>
  <c r="H50" i="2"/>
  <c r="E60" i="2"/>
  <c r="E65" i="2"/>
  <c r="H59" i="2"/>
  <c r="H58" i="2"/>
  <c r="H57" i="2"/>
  <c r="H54" i="2"/>
  <c r="H56" i="2"/>
  <c r="H55" i="2"/>
  <c r="P20" i="2"/>
  <c r="P19" i="2"/>
  <c r="P18" i="2"/>
  <c r="Q18" i="2" s="1"/>
  <c r="P17" i="2"/>
  <c r="Q17" i="2" s="1"/>
  <c r="P15" i="2"/>
  <c r="P22" i="2"/>
  <c r="P16" i="2"/>
  <c r="Q16" i="2" s="1"/>
  <c r="P21" i="2"/>
  <c r="Q21" i="2" s="1"/>
  <c r="Q15" i="2"/>
  <c r="Q20" i="2"/>
  <c r="Q24" i="2"/>
  <c r="Q23" i="2"/>
  <c r="Q22" i="2"/>
  <c r="Q19" i="2"/>
  <c r="P19" i="1"/>
  <c r="Q19" i="1" s="1"/>
  <c r="P17" i="1"/>
  <c r="Q17" i="1" s="1"/>
  <c r="P18" i="1"/>
  <c r="Q18" i="1" s="1"/>
  <c r="P16" i="1"/>
  <c r="Q16" i="1" s="1"/>
  <c r="M25" i="1"/>
  <c r="P21" i="1"/>
  <c r="Q21" i="1" s="1"/>
  <c r="P20" i="1"/>
  <c r="Q20" i="1" s="1"/>
  <c r="N15" i="1"/>
  <c r="Q15" i="1" s="1"/>
  <c r="H60" i="2" l="1"/>
  <c r="E67" i="2" s="1"/>
  <c r="E69" i="2" s="1"/>
  <c r="N60" i="2"/>
  <c r="E71" i="2" s="1"/>
  <c r="G33" i="2"/>
  <c r="P25" i="2"/>
  <c r="Q25" i="2"/>
  <c r="N25" i="1"/>
  <c r="P24" i="1"/>
  <c r="Q24" i="1" s="1"/>
  <c r="P23" i="1"/>
  <c r="Q23" i="1" s="1"/>
  <c r="P22" i="1"/>
  <c r="Q22" i="1" s="1"/>
  <c r="Q25" i="1" s="1"/>
  <c r="E73" i="2" l="1"/>
  <c r="P25" i="1"/>
  <c r="M32" i="2"/>
  <c r="M41" i="2" s="1"/>
</calcChain>
</file>

<file path=xl/sharedStrings.xml><?xml version="1.0" encoding="utf-8"?>
<sst xmlns="http://schemas.openxmlformats.org/spreadsheetml/2006/main" count="424" uniqueCount="191">
  <si>
    <t>Q1</t>
  </si>
  <si>
    <t>Block</t>
  </si>
  <si>
    <t>Treatment and yield</t>
  </si>
  <si>
    <t>(6) 89</t>
  </si>
  <si>
    <t>(1) 14</t>
  </si>
  <si>
    <t>(7) 45</t>
  </si>
  <si>
    <t>(5) 80</t>
  </si>
  <si>
    <t>(2) 43</t>
  </si>
  <si>
    <t>(3) 34</t>
  </si>
  <si>
    <t>(4) 36</t>
  </si>
  <si>
    <t>(1) 31</t>
  </si>
  <si>
    <t>(8) 69</t>
  </si>
  <si>
    <t>(6) 69</t>
  </si>
  <si>
    <t>(9) 25</t>
  </si>
  <si>
    <t>(4) 52</t>
  </si>
  <si>
    <t>(2) 51</t>
  </si>
  <si>
    <t>(5) 89</t>
  </si>
  <si>
    <t>(10) 17</t>
  </si>
  <si>
    <t>(9) 17</t>
  </si>
  <si>
    <t>(10) 23</t>
  </si>
  <si>
    <t>(3) 32</t>
  </si>
  <si>
    <t>(7) 51</t>
  </si>
  <si>
    <t>(8) 63</t>
  </si>
  <si>
    <t>groups(b)</t>
  </si>
  <si>
    <t>variety(v)</t>
  </si>
  <si>
    <t>variety in each grp(k)</t>
  </si>
  <si>
    <t>λ1</t>
  </si>
  <si>
    <t>λ2</t>
  </si>
  <si>
    <t>Treatment</t>
  </si>
  <si>
    <t>BLOCK</t>
  </si>
  <si>
    <t>TREATMENT</t>
  </si>
  <si>
    <t>TOTAL</t>
  </si>
  <si>
    <t>repeatations of treatment(r)</t>
  </si>
  <si>
    <t>ts</t>
  </si>
  <si>
    <t>Ts</t>
  </si>
  <si>
    <t>K(Qs)=KTs-B(s)</t>
  </si>
  <si>
    <t>B(s)</t>
  </si>
  <si>
    <t>1st associate</t>
  </si>
  <si>
    <t>S1(KQs)</t>
  </si>
  <si>
    <t>K(Qs)*S1(KQs)</t>
  </si>
  <si>
    <t>2nd associate</t>
  </si>
  <si>
    <t>2,3,4,5,6,7</t>
  </si>
  <si>
    <t>1,4,5,7,8,9</t>
  </si>
  <si>
    <t>1,3,4,5,9,10</t>
  </si>
  <si>
    <t>1,2,6,7,9,10</t>
  </si>
  <si>
    <t>2,4,5,6,8,10</t>
  </si>
  <si>
    <t>2,3,5,7,8,9</t>
  </si>
  <si>
    <t>1,2,4,7,8,10</t>
  </si>
  <si>
    <t>1,2,3,6,8,9</t>
  </si>
  <si>
    <t>8,9,10</t>
  </si>
  <si>
    <t>6,7,8</t>
  </si>
  <si>
    <t>5,6,9</t>
  </si>
  <si>
    <t>5,7,10</t>
  </si>
  <si>
    <t>3,4,8</t>
  </si>
  <si>
    <t>2,3,10</t>
  </si>
  <si>
    <t>1,3,5,6,8,10</t>
  </si>
  <si>
    <t>2,4,9</t>
  </si>
  <si>
    <t>1,2,5</t>
  </si>
  <si>
    <t>3,4,6,7,9,10</t>
  </si>
  <si>
    <t>1,3,7</t>
  </si>
  <si>
    <t>1,4,6</t>
  </si>
  <si>
    <t>P1</t>
  </si>
  <si>
    <t>P2</t>
  </si>
  <si>
    <t>B=λ2-λ1</t>
  </si>
  <si>
    <t>C=B(P122)</t>
  </si>
  <si>
    <t>D=A+B(P111-P112)</t>
  </si>
  <si>
    <t>Δ=AD-BC</t>
  </si>
  <si>
    <t>A=r(k-1)+λ2</t>
  </si>
  <si>
    <t xml:space="preserve">  </t>
  </si>
  <si>
    <t>INTRA BLOCK ANALYSIS</t>
  </si>
  <si>
    <t>1st associates of 1</t>
  </si>
  <si>
    <t>1st associates of 8</t>
  </si>
  <si>
    <t>{9,10}</t>
  </si>
  <si>
    <t>{2,5}</t>
  </si>
  <si>
    <t>p11(1)</t>
  </si>
  <si>
    <t>2nd associates of 8</t>
  </si>
  <si>
    <t>p12(1)</t>
  </si>
  <si>
    <t>p21(1)</t>
  </si>
  <si>
    <t>2nd associates of 1</t>
  </si>
  <si>
    <t>p22(1)</t>
  </si>
  <si>
    <t>{3,4,6,7,9,10}</t>
  </si>
  <si>
    <t>{2,3,4,5,6,7}</t>
  </si>
  <si>
    <t>1st associates of 2</t>
  </si>
  <si>
    <t>p11(2)</t>
  </si>
  <si>
    <t>2nd associates of 2</t>
  </si>
  <si>
    <t>p12(2)</t>
  </si>
  <si>
    <t>p21(2)</t>
  </si>
  <si>
    <t>p22(2)</t>
  </si>
  <si>
    <t>P1: let's fix first associates (1,8)</t>
  </si>
  <si>
    <t>P2: lets's fix second associates (1,2)</t>
  </si>
  <si>
    <t>{8,9,10}</t>
  </si>
  <si>
    <t>{6,7,8}</t>
  </si>
  <si>
    <t>{1,3,4,5,9,10}</t>
  </si>
  <si>
    <t>FORMULAS</t>
  </si>
  <si>
    <t>CF</t>
  </si>
  <si>
    <t>G^2/bk</t>
  </si>
  <si>
    <t>SST(adj.)</t>
  </si>
  <si>
    <t>D∑[K(Qs))^2]-[B∑(K(Qs))S1(KQs))]/kΔ</t>
  </si>
  <si>
    <t>SST(unadj.)</t>
  </si>
  <si>
    <t>(1/r)(∑Ts^2)-CF</t>
  </si>
  <si>
    <t>SSB(unadj.)</t>
  </si>
  <si>
    <t>(1/k)(∑Bj^2)-CF</t>
  </si>
  <si>
    <t>Total</t>
  </si>
  <si>
    <t>∑Y^2-CF</t>
  </si>
  <si>
    <t>ANOVA</t>
  </si>
  <si>
    <t>SOURCE</t>
  </si>
  <si>
    <t>Block (unadj.)</t>
  </si>
  <si>
    <t>Treat(adj.)</t>
  </si>
  <si>
    <t>Error</t>
  </si>
  <si>
    <t>S.S</t>
  </si>
  <si>
    <t>df</t>
  </si>
  <si>
    <t>b-1</t>
  </si>
  <si>
    <t>v-1</t>
  </si>
  <si>
    <t>bk-b-v+1</t>
  </si>
  <si>
    <t>bk-1</t>
  </si>
  <si>
    <t>Block (adj.)</t>
  </si>
  <si>
    <t>Treat(unadj.)</t>
  </si>
  <si>
    <t>Hypothesis</t>
  </si>
  <si>
    <t>H01: All treatements are equally effective.</t>
  </si>
  <si>
    <t>H02: All blocks are equally effective.</t>
  </si>
  <si>
    <t>H11: Atleast one treatment is different</t>
  </si>
  <si>
    <t>H12: Atleast one blocks is different</t>
  </si>
  <si>
    <t>Fcal</t>
  </si>
  <si>
    <t>Ftab</t>
  </si>
  <si>
    <t>Hence, we reject H0 thus atleast one treatment differs.</t>
  </si>
  <si>
    <t>Hence, we do not reject H0 thus all blocks are equally effective.</t>
  </si>
  <si>
    <t>(9)4.5</t>
  </si>
  <si>
    <t>(3)2.5</t>
  </si>
  <si>
    <t>(8)5.6</t>
  </si>
  <si>
    <t>(4)4.0</t>
  </si>
  <si>
    <t>(5)3.5</t>
  </si>
  <si>
    <t>(4)3.6</t>
  </si>
  <si>
    <t>(10)4.3</t>
  </si>
  <si>
    <t>(2)4.7</t>
  </si>
  <si>
    <t>(1)3.5</t>
  </si>
  <si>
    <t>(7)2.5</t>
  </si>
  <si>
    <t>(7)4.4</t>
  </si>
  <si>
    <t>(8)4.0</t>
  </si>
  <si>
    <t>(9)5.4</t>
  </si>
  <si>
    <t>(3)3.8</t>
  </si>
  <si>
    <t>(1)3.2</t>
  </si>
  <si>
    <t>(10)4.2</t>
  </si>
  <si>
    <t>(6)3.5</t>
  </si>
  <si>
    <t>(5)4.3</t>
  </si>
  <si>
    <t>(2)3.7</t>
  </si>
  <si>
    <t>(6)2.6</t>
  </si>
  <si>
    <t>3,4,6,7,8,9</t>
  </si>
  <si>
    <t>2,3,5,6,9,10</t>
  </si>
  <si>
    <t>2,4,5,7,8,10</t>
  </si>
  <si>
    <t>1,2,3,7,9,10</t>
  </si>
  <si>
    <t>1,2,4,6,8,10</t>
  </si>
  <si>
    <t>1,3,4,5,8,9</t>
  </si>
  <si>
    <t>1,2,6,7,8,9</t>
  </si>
  <si>
    <t>1,4,5,6,9,10</t>
  </si>
  <si>
    <t>1,3,5,7,8,10</t>
  </si>
  <si>
    <t>6,7,10</t>
  </si>
  <si>
    <t>5,7,9</t>
  </si>
  <si>
    <t>5,6,8</t>
  </si>
  <si>
    <t>3,4,10</t>
  </si>
  <si>
    <t>2,3,8</t>
  </si>
  <si>
    <t>1,4,7</t>
  </si>
  <si>
    <t>1,3,6</t>
  </si>
  <si>
    <t>{4,7}</t>
  </si>
  <si>
    <t>{2,3,5,6,9,10}</t>
  </si>
  <si>
    <t>{6,7,10}</t>
  </si>
  <si>
    <t>{1,3,4,5,8,9}</t>
  </si>
  <si>
    <t>Hence, we do not reject H0 thus atleast no treatment differs.</t>
  </si>
  <si>
    <t>INTERBLOCK ANALYSIS</t>
  </si>
  <si>
    <t>mean intrablock adj block S.S</t>
  </si>
  <si>
    <t>mean intrablock error S.S</t>
  </si>
  <si>
    <t>Eb</t>
  </si>
  <si>
    <t>Ee</t>
  </si>
  <si>
    <t>w1(cap)</t>
  </si>
  <si>
    <t>w2(cap)</t>
  </si>
  <si>
    <t>w(cap)</t>
  </si>
  <si>
    <t>1/Ee</t>
  </si>
  <si>
    <t>(bk-v)/(k(b-1)Eb-(v-k)Ee)</t>
  </si>
  <si>
    <t>(k-1)w1(cap)+w2(cap)</t>
  </si>
  <si>
    <t>A=rw(cap)+λ2(w1(cap)-w2(cap))</t>
  </si>
  <si>
    <t>K(Ps)=w1Ts-(w1-w2)Bs-w2G</t>
  </si>
  <si>
    <t>S1(KPs)</t>
  </si>
  <si>
    <t>K(Ps)*S1(KPs)</t>
  </si>
  <si>
    <t>∑(kPs)^2</t>
  </si>
  <si>
    <t>∑(kPs)(S1(kPs))</t>
  </si>
  <si>
    <t>D∑(kPs)^2-B∑(kPs)S1(kPs)</t>
  </si>
  <si>
    <t>k(v-1)Δ</t>
  </si>
  <si>
    <t>D∑[K(Ps))^2]-[B∑(K(Ps))S1(KPs))]/k(v-1)Δ</t>
  </si>
  <si>
    <t>B=(w1(cap)-w2(cap)*(λ2-λ1)</t>
  </si>
  <si>
    <t>Ho : All the treatments are equally effective</t>
  </si>
  <si>
    <t>H1 : All the treatments are not equally effective</t>
  </si>
  <si>
    <t>Here, since Fcal&gt; Ftab, we reject our Ho at 5% los and 9,6 df. Hence, All the treatments are not equally effective.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</si>
</sst>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right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1" xfId="0" applyBorder="1"/>
    <xf numFmtId="0" fontId="0" fillId="0" borderId="8" xfId="0" applyBorder="1" applyAlignment="1">
      <alignment horizontal="center"/>
    </xf>
    <xf numFmtId="0" fontId="0" fillId="0" borderId="1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4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left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Fill="1" applyBorder="1"/>
    <xf numFmtId="0" fontId="1" fillId="0" borderId="0" xfId="0" applyFont="1" applyBorder="1"/>
    <xf numFmtId="0" fontId="0" fillId="0" borderId="0" xfId="0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2" fillId="0" borderId="0" xfId="0" applyFont="1" applyBorder="1"/>
    <xf numFmtId="0" fontId="4" fillId="0" borderId="0" xfId="0" applyFont="1" applyBorder="1"/>
    <xf numFmtId="0" fontId="0" fillId="0" borderId="0" xfId="0" applyFill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6" xfId="0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6"/>
  <sheetViews>
    <sheetView topLeftCell="A45" zoomScale="85" zoomScaleNormal="85" workbookViewId="0">
      <selection activeCell="G61" sqref="G61"/>
    </sheetView>
  </sheetViews>
  <sheetFormatPr defaultRowHeight="15" x14ac:dyDescent="0.25"/>
  <cols>
    <col min="2" max="2" width="11.5703125" style="20" customWidth="1"/>
    <col min="3" max="4" width="9.140625" style="20"/>
    <col min="5" max="5" width="25" style="20" customWidth="1"/>
    <col min="6" max="6" width="12.5703125" style="20" customWidth="1"/>
    <col min="7" max="7" width="11.85546875" style="20" bestFit="1" customWidth="1"/>
    <col min="8" max="8" width="14" style="20" customWidth="1"/>
    <col min="9" max="9" width="11.85546875" style="20" customWidth="1"/>
    <col min="10" max="11" width="9.140625" style="20"/>
    <col min="12" max="12" width="11.7109375" style="20" customWidth="1"/>
    <col min="13" max="13" width="14.42578125" style="20" customWidth="1"/>
    <col min="14" max="14" width="15" style="20" customWidth="1"/>
    <col min="15" max="15" width="13" style="20" customWidth="1"/>
    <col min="16" max="16" width="12.140625" style="20" customWidth="1"/>
    <col min="17" max="17" width="13.140625" style="20" customWidth="1"/>
    <col min="18" max="18" width="9.140625" style="20"/>
    <col min="19" max="19" width="10.42578125" style="20" customWidth="1"/>
    <col min="20" max="24" width="9.140625" style="20"/>
    <col min="25" max="25" width="11.85546875" style="20" customWidth="1"/>
    <col min="26" max="16384" width="9.140625" style="20"/>
  </cols>
  <sheetData>
    <row r="1" spans="1:25" customFormat="1" ht="15.75" thickBot="1" x14ac:dyDescent="0.3">
      <c r="A1" s="1" t="s">
        <v>0</v>
      </c>
      <c r="B1" s="1"/>
      <c r="C1" s="1"/>
      <c r="D1" s="1"/>
      <c r="E1" s="1"/>
      <c r="F1" s="1"/>
    </row>
    <row r="2" spans="1:25" customFormat="1" ht="15.75" thickBot="1" x14ac:dyDescent="0.3">
      <c r="A2" s="1"/>
      <c r="B2" s="11" t="s">
        <v>1</v>
      </c>
      <c r="C2" s="12" t="s">
        <v>2</v>
      </c>
      <c r="D2" s="13"/>
      <c r="E2" s="13"/>
      <c r="F2" s="14"/>
      <c r="I2" s="15" t="s">
        <v>24</v>
      </c>
      <c r="J2">
        <v>10</v>
      </c>
      <c r="L2" s="15" t="s">
        <v>67</v>
      </c>
      <c r="M2">
        <f>J5*(J4-1)+J7</f>
        <v>7</v>
      </c>
      <c r="O2" s="41" t="s">
        <v>28</v>
      </c>
      <c r="P2" s="42" t="s">
        <v>37</v>
      </c>
      <c r="Q2" s="43" t="s">
        <v>40</v>
      </c>
      <c r="V2" s="53" t="s">
        <v>88</v>
      </c>
    </row>
    <row r="3" spans="1:25" customFormat="1" x14ac:dyDescent="0.25">
      <c r="A3" s="1"/>
      <c r="B3" s="8">
        <v>1</v>
      </c>
      <c r="C3" s="3" t="s">
        <v>3</v>
      </c>
      <c r="D3" s="3" t="s">
        <v>4</v>
      </c>
      <c r="E3" s="3" t="s">
        <v>5</v>
      </c>
      <c r="F3" s="4" t="s">
        <v>6</v>
      </c>
      <c r="I3" s="17" t="s">
        <v>23</v>
      </c>
      <c r="J3">
        <v>5</v>
      </c>
      <c r="L3" s="15" t="s">
        <v>63</v>
      </c>
      <c r="M3">
        <f>J7-J6</f>
        <v>1</v>
      </c>
      <c r="O3" s="35">
        <v>1</v>
      </c>
      <c r="P3" s="36" t="s">
        <v>49</v>
      </c>
      <c r="Q3" s="37" t="s">
        <v>41</v>
      </c>
      <c r="S3" s="25"/>
      <c r="T3" s="69" t="s">
        <v>70</v>
      </c>
      <c r="U3" s="26" t="s">
        <v>72</v>
      </c>
      <c r="V3" s="26"/>
      <c r="W3" s="26"/>
      <c r="X3" s="69" t="s">
        <v>78</v>
      </c>
      <c r="Y3" s="27" t="s">
        <v>81</v>
      </c>
    </row>
    <row r="4" spans="1:25" customFormat="1" x14ac:dyDescent="0.25">
      <c r="A4" s="1"/>
      <c r="B4" s="9">
        <v>2</v>
      </c>
      <c r="C4" s="2" t="s">
        <v>7</v>
      </c>
      <c r="D4" s="2" t="s">
        <v>8</v>
      </c>
      <c r="E4" s="2" t="s">
        <v>9</v>
      </c>
      <c r="F4" s="5" t="s">
        <v>10</v>
      </c>
      <c r="I4" s="17" t="s">
        <v>25</v>
      </c>
      <c r="J4">
        <v>4</v>
      </c>
      <c r="L4" s="15" t="s">
        <v>64</v>
      </c>
      <c r="M4">
        <f>M3*U19</f>
        <v>2</v>
      </c>
      <c r="O4" s="19">
        <v>2</v>
      </c>
      <c r="P4" s="18" t="s">
        <v>50</v>
      </c>
      <c r="Q4" s="38" t="s">
        <v>43</v>
      </c>
      <c r="S4" s="28"/>
      <c r="T4" s="58" t="s">
        <v>71</v>
      </c>
      <c r="U4" s="20" t="s">
        <v>73</v>
      </c>
      <c r="V4" s="20"/>
      <c r="W4" s="20"/>
      <c r="X4" s="58" t="s">
        <v>71</v>
      </c>
      <c r="Y4" s="21" t="s">
        <v>73</v>
      </c>
    </row>
    <row r="5" spans="1:25" customFormat="1" x14ac:dyDescent="0.25">
      <c r="A5" s="1"/>
      <c r="B5" s="9">
        <v>3</v>
      </c>
      <c r="C5" s="2" t="s">
        <v>11</v>
      </c>
      <c r="D5" s="2" t="s">
        <v>12</v>
      </c>
      <c r="E5" s="2" t="s">
        <v>13</v>
      </c>
      <c r="F5" s="5" t="s">
        <v>14</v>
      </c>
      <c r="I5" s="17" t="s">
        <v>32</v>
      </c>
      <c r="J5">
        <v>2</v>
      </c>
      <c r="L5" s="15" t="s">
        <v>65</v>
      </c>
      <c r="M5">
        <f>M2+M3*(U5-U15)</f>
        <v>6</v>
      </c>
      <c r="O5" s="19">
        <v>3</v>
      </c>
      <c r="P5" s="18" t="s">
        <v>51</v>
      </c>
      <c r="Q5" s="38" t="s">
        <v>47</v>
      </c>
      <c r="S5" s="28"/>
      <c r="T5" s="61" t="s">
        <v>74</v>
      </c>
      <c r="U5" s="61">
        <v>0</v>
      </c>
      <c r="V5" s="20"/>
      <c r="W5" s="20"/>
      <c r="X5" s="61" t="s">
        <v>77</v>
      </c>
      <c r="Y5" s="70">
        <v>2</v>
      </c>
    </row>
    <row r="6" spans="1:25" customFormat="1" x14ac:dyDescent="0.25">
      <c r="A6" s="1"/>
      <c r="B6" s="9">
        <v>4</v>
      </c>
      <c r="C6" s="2" t="s">
        <v>15</v>
      </c>
      <c r="D6" s="2" t="s">
        <v>16</v>
      </c>
      <c r="E6" s="2" t="s">
        <v>17</v>
      </c>
      <c r="F6" s="5" t="s">
        <v>18</v>
      </c>
      <c r="I6" s="16" t="s">
        <v>26</v>
      </c>
      <c r="J6">
        <v>0</v>
      </c>
      <c r="L6" s="15" t="s">
        <v>66</v>
      </c>
      <c r="M6">
        <f>(M2*M5)-(M3*M4)</f>
        <v>40</v>
      </c>
      <c r="O6" s="19">
        <v>4</v>
      </c>
      <c r="P6" s="18" t="s">
        <v>52</v>
      </c>
      <c r="Q6" s="38" t="s">
        <v>48</v>
      </c>
      <c r="S6" s="28"/>
      <c r="T6" s="20"/>
      <c r="U6" s="20"/>
      <c r="V6" s="20"/>
      <c r="W6" s="20"/>
      <c r="X6" s="20"/>
      <c r="Y6" s="21"/>
    </row>
    <row r="7" spans="1:25" customFormat="1" ht="15.75" thickBot="1" x14ac:dyDescent="0.3">
      <c r="A7" s="1"/>
      <c r="B7" s="10">
        <v>5</v>
      </c>
      <c r="C7" s="6" t="s">
        <v>19</v>
      </c>
      <c r="D7" s="6" t="s">
        <v>20</v>
      </c>
      <c r="E7" s="6" t="s">
        <v>21</v>
      </c>
      <c r="F7" s="7" t="s">
        <v>22</v>
      </c>
      <c r="I7" s="16" t="s">
        <v>27</v>
      </c>
      <c r="J7">
        <v>1</v>
      </c>
      <c r="O7" s="19">
        <v>5</v>
      </c>
      <c r="P7" s="18" t="s">
        <v>53</v>
      </c>
      <c r="Q7" s="38" t="s">
        <v>44</v>
      </c>
      <c r="S7" s="28"/>
      <c r="T7" s="58" t="s">
        <v>70</v>
      </c>
      <c r="U7" s="20" t="s">
        <v>72</v>
      </c>
      <c r="V7" s="20"/>
      <c r="W7" s="20"/>
      <c r="X7" s="58" t="s">
        <v>78</v>
      </c>
      <c r="Y7" s="21" t="s">
        <v>81</v>
      </c>
    </row>
    <row r="8" spans="1:25" customFormat="1" ht="15.75" thickBot="1" x14ac:dyDescent="0.3">
      <c r="O8" s="19">
        <v>6</v>
      </c>
      <c r="P8" s="18" t="s">
        <v>54</v>
      </c>
      <c r="Q8" s="38" t="s">
        <v>42</v>
      </c>
      <c r="S8" s="28"/>
      <c r="T8" s="58" t="s">
        <v>75</v>
      </c>
      <c r="U8" s="20" t="s">
        <v>80</v>
      </c>
      <c r="V8" s="20"/>
      <c r="W8" s="20"/>
      <c r="X8" s="58" t="s">
        <v>75</v>
      </c>
      <c r="Y8" s="21" t="s">
        <v>80</v>
      </c>
    </row>
    <row r="9" spans="1:25" customFormat="1" ht="15.75" thickBot="1" x14ac:dyDescent="0.3">
      <c r="B9" s="15" t="s">
        <v>61</v>
      </c>
      <c r="C9" s="25">
        <v>0</v>
      </c>
      <c r="D9" s="27">
        <v>2</v>
      </c>
      <c r="F9" s="16" t="s">
        <v>62</v>
      </c>
      <c r="G9" s="25">
        <v>1</v>
      </c>
      <c r="H9" s="27">
        <v>2</v>
      </c>
      <c r="L9" s="15" t="s">
        <v>68</v>
      </c>
      <c r="O9" s="19">
        <v>7</v>
      </c>
      <c r="P9" s="18" t="s">
        <v>56</v>
      </c>
      <c r="Q9" s="38" t="s">
        <v>55</v>
      </c>
      <c r="S9" s="22"/>
      <c r="T9" s="71" t="s">
        <v>76</v>
      </c>
      <c r="U9" s="71">
        <v>2</v>
      </c>
      <c r="V9" s="23"/>
      <c r="W9" s="23"/>
      <c r="X9" s="71" t="s">
        <v>79</v>
      </c>
      <c r="Y9" s="72">
        <v>4</v>
      </c>
    </row>
    <row r="10" spans="1:25" customFormat="1" ht="15.75" thickBot="1" x14ac:dyDescent="0.3">
      <c r="C10" s="22">
        <v>2</v>
      </c>
      <c r="D10" s="24">
        <v>4</v>
      </c>
      <c r="G10" s="22">
        <v>2</v>
      </c>
      <c r="H10" s="24">
        <v>3</v>
      </c>
      <c r="O10" s="19">
        <v>8</v>
      </c>
      <c r="P10" s="18" t="s">
        <v>57</v>
      </c>
      <c r="Q10" s="38" t="s">
        <v>58</v>
      </c>
    </row>
    <row r="11" spans="1:25" customFormat="1" x14ac:dyDescent="0.25">
      <c r="C11" s="20"/>
      <c r="D11" s="20"/>
      <c r="O11" s="19">
        <v>9</v>
      </c>
      <c r="P11" s="18" t="s">
        <v>59</v>
      </c>
      <c r="Q11" s="38" t="s">
        <v>45</v>
      </c>
    </row>
    <row r="12" spans="1:25" customFormat="1" ht="19.5" thickBot="1" x14ac:dyDescent="0.35">
      <c r="B12" s="51" t="s">
        <v>69</v>
      </c>
      <c r="O12" s="39">
        <v>10</v>
      </c>
      <c r="P12" s="33" t="s">
        <v>60</v>
      </c>
      <c r="Q12" s="40" t="s">
        <v>46</v>
      </c>
      <c r="V12" s="54" t="s">
        <v>89</v>
      </c>
    </row>
    <row r="13" spans="1:25" customFormat="1" ht="15.75" thickBot="1" x14ac:dyDescent="0.3">
      <c r="S13" s="25"/>
      <c r="T13" s="69" t="s">
        <v>70</v>
      </c>
      <c r="U13" s="26" t="s">
        <v>90</v>
      </c>
      <c r="V13" s="26"/>
      <c r="W13" s="26"/>
      <c r="X13" s="69" t="s">
        <v>78</v>
      </c>
      <c r="Y13" s="27" t="s">
        <v>81</v>
      </c>
    </row>
    <row r="14" spans="1:25" customFormat="1" ht="15.75" thickBot="1" x14ac:dyDescent="0.3">
      <c r="B14" s="44" t="s">
        <v>30</v>
      </c>
      <c r="C14" s="45" t="s">
        <v>29</v>
      </c>
      <c r="D14" s="45"/>
      <c r="E14" s="45"/>
      <c r="F14" s="45"/>
      <c r="G14" s="45"/>
      <c r="H14" s="44" t="s">
        <v>31</v>
      </c>
      <c r="K14" s="41" t="s">
        <v>33</v>
      </c>
      <c r="L14" s="42" t="s">
        <v>34</v>
      </c>
      <c r="M14" s="42" t="s">
        <v>36</v>
      </c>
      <c r="N14" s="42" t="s">
        <v>35</v>
      </c>
      <c r="O14" s="42" t="s">
        <v>37</v>
      </c>
      <c r="P14" s="42" t="s">
        <v>38</v>
      </c>
      <c r="Q14" s="43" t="s">
        <v>39</v>
      </c>
      <c r="S14" s="28"/>
      <c r="T14" s="58" t="s">
        <v>82</v>
      </c>
      <c r="U14" s="20" t="s">
        <v>91</v>
      </c>
      <c r="V14" s="20"/>
      <c r="W14" s="20"/>
      <c r="X14" s="58" t="s">
        <v>82</v>
      </c>
      <c r="Y14" s="21" t="s">
        <v>91</v>
      </c>
    </row>
    <row r="15" spans="1:25" customFormat="1" ht="15.75" thickBot="1" x14ac:dyDescent="0.3">
      <c r="B15" s="46"/>
      <c r="C15" s="47">
        <v>1</v>
      </c>
      <c r="D15" s="47">
        <v>2</v>
      </c>
      <c r="E15" s="47">
        <v>3</v>
      </c>
      <c r="F15" s="47">
        <v>4</v>
      </c>
      <c r="G15" s="47">
        <v>5</v>
      </c>
      <c r="H15" s="46"/>
      <c r="K15" s="35">
        <v>1</v>
      </c>
      <c r="L15" s="36">
        <v>45</v>
      </c>
      <c r="M15" s="36">
        <f>C26+D26</f>
        <v>372</v>
      </c>
      <c r="N15" s="36">
        <f>$J$4*L15-M15</f>
        <v>-192</v>
      </c>
      <c r="O15" s="36" t="s">
        <v>49</v>
      </c>
      <c r="P15" s="36">
        <f>SUM(N22,N23,N24)</f>
        <v>-260</v>
      </c>
      <c r="Q15" s="37">
        <f>P15*N15</f>
        <v>49920</v>
      </c>
      <c r="S15" s="28"/>
      <c r="T15" s="61" t="s">
        <v>83</v>
      </c>
      <c r="U15" s="61">
        <v>1</v>
      </c>
      <c r="V15" s="20"/>
      <c r="W15" s="20"/>
      <c r="X15" s="61" t="s">
        <v>86</v>
      </c>
      <c r="Y15" s="70">
        <v>2</v>
      </c>
    </row>
    <row r="16" spans="1:25" customFormat="1" x14ac:dyDescent="0.25">
      <c r="B16" s="48">
        <v>1</v>
      </c>
      <c r="C16" s="20">
        <v>14</v>
      </c>
      <c r="D16" s="20">
        <v>31</v>
      </c>
      <c r="E16" s="20"/>
      <c r="F16" s="20"/>
      <c r="G16" s="20"/>
      <c r="H16" s="32">
        <f>SUM(C16:G16)</f>
        <v>45</v>
      </c>
      <c r="K16" s="19">
        <v>2</v>
      </c>
      <c r="L16" s="18">
        <v>94</v>
      </c>
      <c r="M16" s="18">
        <f>D26+F26</f>
        <v>318</v>
      </c>
      <c r="N16" s="18">
        <f t="shared" ref="N16:N24" si="0">$J$4*L16-M16</f>
        <v>58</v>
      </c>
      <c r="O16" s="18" t="s">
        <v>50</v>
      </c>
      <c r="P16" s="18">
        <f>SUM(N20,N21,N22)</f>
        <v>320</v>
      </c>
      <c r="Q16" s="38">
        <f t="shared" ref="Q16:Q24" si="1">P16*N16</f>
        <v>18560</v>
      </c>
      <c r="S16" s="28"/>
      <c r="T16" s="20"/>
      <c r="U16" s="20"/>
      <c r="V16" s="20"/>
      <c r="W16" s="20"/>
      <c r="X16" s="20"/>
      <c r="Y16" s="21"/>
    </row>
    <row r="17" spans="2:25" customFormat="1" x14ac:dyDescent="0.25">
      <c r="B17" s="48">
        <v>2</v>
      </c>
      <c r="C17" s="20"/>
      <c r="D17" s="20">
        <v>43</v>
      </c>
      <c r="E17" s="20"/>
      <c r="F17" s="20">
        <v>51</v>
      </c>
      <c r="G17" s="20"/>
      <c r="H17" s="32">
        <f t="shared" ref="H17:H25" si="2">SUM(C17:G17)</f>
        <v>94</v>
      </c>
      <c r="K17" s="19">
        <v>3</v>
      </c>
      <c r="L17" s="18">
        <v>66</v>
      </c>
      <c r="M17" s="18">
        <f>D26+G26</f>
        <v>313</v>
      </c>
      <c r="N17" s="18">
        <f t="shared" si="0"/>
        <v>-49</v>
      </c>
      <c r="O17" s="18" t="s">
        <v>51</v>
      </c>
      <c r="P17" s="18">
        <f>SUM(N19,N20,N23)</f>
        <v>242</v>
      </c>
      <c r="Q17" s="38">
        <f t="shared" si="1"/>
        <v>-11858</v>
      </c>
      <c r="S17" s="28"/>
      <c r="T17" s="58" t="s">
        <v>70</v>
      </c>
      <c r="U17" s="20" t="s">
        <v>90</v>
      </c>
      <c r="V17" s="20"/>
      <c r="W17" s="20"/>
      <c r="X17" s="58" t="s">
        <v>78</v>
      </c>
      <c r="Y17" s="21" t="s">
        <v>81</v>
      </c>
    </row>
    <row r="18" spans="2:25" customFormat="1" x14ac:dyDescent="0.25">
      <c r="B18" s="48">
        <v>3</v>
      </c>
      <c r="C18" s="20"/>
      <c r="D18" s="20">
        <v>34</v>
      </c>
      <c r="E18" s="20"/>
      <c r="F18" s="20"/>
      <c r="G18" s="20">
        <v>32</v>
      </c>
      <c r="H18" s="32">
        <f t="shared" si="2"/>
        <v>66</v>
      </c>
      <c r="K18" s="19">
        <v>4</v>
      </c>
      <c r="L18" s="18">
        <v>88</v>
      </c>
      <c r="M18" s="18">
        <f>D26+E26</f>
        <v>359</v>
      </c>
      <c r="N18" s="18">
        <f t="shared" si="0"/>
        <v>-7</v>
      </c>
      <c r="O18" s="18" t="s">
        <v>52</v>
      </c>
      <c r="P18" s="18">
        <f>SUM(N19,N21,N24)</f>
        <v>78</v>
      </c>
      <c r="Q18" s="38">
        <f t="shared" si="1"/>
        <v>-546</v>
      </c>
      <c r="S18" s="28"/>
      <c r="T18" s="58" t="s">
        <v>84</v>
      </c>
      <c r="U18" s="55" t="s">
        <v>92</v>
      </c>
      <c r="V18" s="20"/>
      <c r="W18" s="20"/>
      <c r="X18" s="58" t="s">
        <v>84</v>
      </c>
      <c r="Y18" s="55" t="s">
        <v>92</v>
      </c>
    </row>
    <row r="19" spans="2:25" customFormat="1" ht="15.75" thickBot="1" x14ac:dyDescent="0.3">
      <c r="B19" s="48">
        <v>4</v>
      </c>
      <c r="C19" s="20"/>
      <c r="D19" s="20">
        <v>36</v>
      </c>
      <c r="E19" s="20">
        <v>52</v>
      </c>
      <c r="F19" s="20"/>
      <c r="G19" s="20"/>
      <c r="H19" s="32">
        <f t="shared" si="2"/>
        <v>88</v>
      </c>
      <c r="K19" s="19">
        <v>5</v>
      </c>
      <c r="L19" s="18">
        <v>169</v>
      </c>
      <c r="M19" s="18">
        <f>C26+F26</f>
        <v>402</v>
      </c>
      <c r="N19" s="18">
        <f t="shared" si="0"/>
        <v>274</v>
      </c>
      <c r="O19" s="18" t="s">
        <v>53</v>
      </c>
      <c r="P19" s="18">
        <f>SUM(N17,N18,N22)</f>
        <v>88</v>
      </c>
      <c r="Q19" s="38">
        <f t="shared" si="1"/>
        <v>24112</v>
      </c>
      <c r="S19" s="22"/>
      <c r="T19" s="71" t="s">
        <v>85</v>
      </c>
      <c r="U19" s="71">
        <v>2</v>
      </c>
      <c r="V19" s="23"/>
      <c r="W19" s="23"/>
      <c r="X19" s="71" t="s">
        <v>87</v>
      </c>
      <c r="Y19" s="72">
        <v>3</v>
      </c>
    </row>
    <row r="20" spans="2:25" customFormat="1" x14ac:dyDescent="0.25">
      <c r="B20" s="48">
        <v>5</v>
      </c>
      <c r="C20" s="20">
        <v>80</v>
      </c>
      <c r="D20" s="20"/>
      <c r="E20" s="20"/>
      <c r="F20" s="20">
        <v>89</v>
      </c>
      <c r="G20" s="20"/>
      <c r="H20" s="32">
        <f t="shared" si="2"/>
        <v>169</v>
      </c>
      <c r="K20" s="19">
        <v>6</v>
      </c>
      <c r="L20" s="18">
        <v>158</v>
      </c>
      <c r="M20" s="18">
        <f>C26+E26</f>
        <v>443</v>
      </c>
      <c r="N20" s="18">
        <f t="shared" si="0"/>
        <v>189</v>
      </c>
      <c r="O20" s="18" t="s">
        <v>54</v>
      </c>
      <c r="P20" s="18">
        <f>SUM(N16,N17,N24)</f>
        <v>-174</v>
      </c>
      <c r="Q20" s="38">
        <f t="shared" si="1"/>
        <v>-32886</v>
      </c>
    </row>
    <row r="21" spans="2:25" customFormat="1" x14ac:dyDescent="0.25">
      <c r="B21" s="48">
        <v>6</v>
      </c>
      <c r="C21" s="20">
        <v>89</v>
      </c>
      <c r="D21" s="20"/>
      <c r="E21" s="20">
        <v>69</v>
      </c>
      <c r="F21" s="20"/>
      <c r="G21" s="20"/>
      <c r="H21" s="32">
        <f t="shared" si="2"/>
        <v>158</v>
      </c>
      <c r="K21" s="19">
        <v>7</v>
      </c>
      <c r="L21" s="18">
        <v>96</v>
      </c>
      <c r="M21" s="18">
        <f>C26+G26</f>
        <v>397</v>
      </c>
      <c r="N21" s="18">
        <f t="shared" si="0"/>
        <v>-13</v>
      </c>
      <c r="O21" s="18" t="s">
        <v>56</v>
      </c>
      <c r="P21" s="18">
        <f>SUM(N16,N18,N23)</f>
        <v>-170</v>
      </c>
      <c r="Q21" s="38">
        <f t="shared" si="1"/>
        <v>2210</v>
      </c>
    </row>
    <row r="22" spans="2:25" customFormat="1" x14ac:dyDescent="0.25">
      <c r="B22" s="48">
        <v>7</v>
      </c>
      <c r="C22" s="20">
        <v>45</v>
      </c>
      <c r="D22" s="20"/>
      <c r="E22" s="20"/>
      <c r="F22" s="20"/>
      <c r="G22" s="20">
        <v>51</v>
      </c>
      <c r="H22" s="32">
        <f t="shared" si="2"/>
        <v>96</v>
      </c>
      <c r="K22" s="19">
        <v>8</v>
      </c>
      <c r="L22" s="18">
        <v>132</v>
      </c>
      <c r="M22" s="18">
        <f>E26+G26</f>
        <v>384</v>
      </c>
      <c r="N22" s="18">
        <f t="shared" si="0"/>
        <v>144</v>
      </c>
      <c r="O22" s="18" t="s">
        <v>57</v>
      </c>
      <c r="P22" s="18">
        <f>SUM(N15,N16,N19)</f>
        <v>140</v>
      </c>
      <c r="Q22" s="38">
        <f t="shared" si="1"/>
        <v>20160</v>
      </c>
    </row>
    <row r="23" spans="2:25" customFormat="1" x14ac:dyDescent="0.25">
      <c r="B23" s="48">
        <v>8</v>
      </c>
      <c r="C23" s="20"/>
      <c r="D23" s="20"/>
      <c r="E23" s="20">
        <v>69</v>
      </c>
      <c r="F23" s="20"/>
      <c r="G23" s="20">
        <v>63</v>
      </c>
      <c r="H23" s="32">
        <f t="shared" si="2"/>
        <v>132</v>
      </c>
      <c r="K23" s="19">
        <v>9</v>
      </c>
      <c r="L23" s="18">
        <v>42</v>
      </c>
      <c r="M23" s="18">
        <f>E26+F26</f>
        <v>389</v>
      </c>
      <c r="N23" s="18">
        <f t="shared" si="0"/>
        <v>-221</v>
      </c>
      <c r="O23" s="18" t="s">
        <v>59</v>
      </c>
      <c r="P23" s="18">
        <f>SUM(N15,N17,N21)</f>
        <v>-254</v>
      </c>
      <c r="Q23" s="38">
        <f t="shared" si="1"/>
        <v>56134</v>
      </c>
    </row>
    <row r="24" spans="2:25" customFormat="1" ht="15.75" thickBot="1" x14ac:dyDescent="0.3">
      <c r="B24" s="48">
        <v>9</v>
      </c>
      <c r="C24" s="20"/>
      <c r="D24" s="20"/>
      <c r="E24" s="20">
        <v>25</v>
      </c>
      <c r="F24" s="20">
        <v>17</v>
      </c>
      <c r="G24" s="20"/>
      <c r="H24" s="32">
        <f t="shared" si="2"/>
        <v>42</v>
      </c>
      <c r="K24" s="39">
        <v>10</v>
      </c>
      <c r="L24" s="33">
        <v>40</v>
      </c>
      <c r="M24" s="33">
        <f>F26+G26</f>
        <v>343</v>
      </c>
      <c r="N24" s="33">
        <f t="shared" si="0"/>
        <v>-183</v>
      </c>
      <c r="O24" s="33" t="s">
        <v>60</v>
      </c>
      <c r="P24" s="33">
        <f>SUM(N15,N18,N20)</f>
        <v>-10</v>
      </c>
      <c r="Q24" s="40">
        <f t="shared" si="1"/>
        <v>1830</v>
      </c>
    </row>
    <row r="25" spans="2:25" customFormat="1" ht="15.75" thickBot="1" x14ac:dyDescent="0.3">
      <c r="B25" s="48">
        <v>10</v>
      </c>
      <c r="C25" s="20"/>
      <c r="D25" s="20"/>
      <c r="E25" s="20"/>
      <c r="F25" s="20">
        <v>17</v>
      </c>
      <c r="G25" s="20">
        <v>23</v>
      </c>
      <c r="H25" s="32">
        <f t="shared" si="2"/>
        <v>40</v>
      </c>
      <c r="K25" s="39" t="s">
        <v>31</v>
      </c>
      <c r="L25" s="33">
        <v>930</v>
      </c>
      <c r="M25" s="33">
        <f>SUM(M15:M24)</f>
        <v>3720</v>
      </c>
      <c r="N25" s="33">
        <f t="shared" ref="N25:Q25" si="3">SUM(N15:N24)</f>
        <v>0</v>
      </c>
      <c r="O25" s="33"/>
      <c r="P25" s="33">
        <f t="shared" si="3"/>
        <v>0</v>
      </c>
      <c r="Q25" s="40">
        <f t="shared" si="3"/>
        <v>127636</v>
      </c>
    </row>
    <row r="26" spans="2:25" customFormat="1" ht="15.75" thickBot="1" x14ac:dyDescent="0.3">
      <c r="B26" s="49" t="s">
        <v>31</v>
      </c>
      <c r="C26" s="34">
        <f>SUM(C16:C25)</f>
        <v>228</v>
      </c>
      <c r="D26" s="34">
        <f t="shared" ref="D26:G26" si="4">SUM(D16:D25)</f>
        <v>144</v>
      </c>
      <c r="E26" s="34">
        <f t="shared" si="4"/>
        <v>215</v>
      </c>
      <c r="F26" s="34">
        <f t="shared" si="4"/>
        <v>174</v>
      </c>
      <c r="G26" s="34">
        <f t="shared" si="4"/>
        <v>169</v>
      </c>
      <c r="H26" s="29">
        <f>SUM(H16:H25)</f>
        <v>930</v>
      </c>
    </row>
    <row r="27" spans="2:25" customFormat="1" x14ac:dyDescent="0.25"/>
    <row r="28" spans="2:25" customFormat="1" x14ac:dyDescent="0.25"/>
    <row r="29" spans="2:25" customFormat="1" ht="18.75" x14ac:dyDescent="0.3">
      <c r="B29" s="51" t="s">
        <v>93</v>
      </c>
      <c r="I29" s="51" t="s">
        <v>104</v>
      </c>
    </row>
    <row r="30" spans="2:25" customFormat="1" ht="15.75" thickBot="1" x14ac:dyDescent="0.3">
      <c r="B30" s="20"/>
      <c r="C30" s="20"/>
      <c r="D30" s="20"/>
    </row>
    <row r="31" spans="2:25" ht="15.75" thickBot="1" x14ac:dyDescent="0.3">
      <c r="B31" s="54" t="s">
        <v>94</v>
      </c>
      <c r="C31" t="s">
        <v>95</v>
      </c>
      <c r="D31" s="50">
        <f>H26^2/(J3*J4)</f>
        <v>43245</v>
      </c>
      <c r="E31" s="52"/>
      <c r="F31" s="52"/>
      <c r="G31" s="52"/>
      <c r="H31" s="52"/>
      <c r="I31" s="41" t="s">
        <v>105</v>
      </c>
      <c r="J31" s="42" t="s">
        <v>109</v>
      </c>
      <c r="K31" s="42" t="s">
        <v>110</v>
      </c>
      <c r="L31" s="63" t="s">
        <v>110</v>
      </c>
      <c r="M31" s="63" t="s">
        <v>109</v>
      </c>
      <c r="N31" s="43" t="s">
        <v>105</v>
      </c>
    </row>
    <row r="32" spans="2:25" x14ac:dyDescent="0.25">
      <c r="B32" s="52"/>
      <c r="C32" s="18"/>
      <c r="D32" s="18"/>
      <c r="E32" s="18"/>
      <c r="F32" s="18"/>
      <c r="G32" s="18"/>
      <c r="H32" s="18"/>
      <c r="I32" s="64" t="s">
        <v>106</v>
      </c>
      <c r="J32" s="35">
        <v>1200.5</v>
      </c>
      <c r="K32" s="36" t="s">
        <v>111</v>
      </c>
      <c r="L32" s="36">
        <f>J3-1</f>
        <v>4</v>
      </c>
      <c r="M32" s="37">
        <f>M35-M33-M34</f>
        <v>29.399999999999636</v>
      </c>
      <c r="N32" s="65" t="s">
        <v>115</v>
      </c>
    </row>
    <row r="33" spans="2:14" x14ac:dyDescent="0.25">
      <c r="B33" s="52" t="s">
        <v>96</v>
      </c>
      <c r="C33" s="57" t="s">
        <v>97</v>
      </c>
      <c r="D33" s="18"/>
      <c r="E33" s="18"/>
      <c r="F33" s="18"/>
      <c r="G33" s="52">
        <f>((M5*SUMSQ(N15:N24))-(M3*SUM(Q15:Q24)))/(J4*M6)</f>
        <v>8828.9</v>
      </c>
      <c r="H33" s="18"/>
      <c r="I33" s="64" t="s">
        <v>107</v>
      </c>
      <c r="J33" s="19">
        <v>8828.9</v>
      </c>
      <c r="K33" s="18" t="s">
        <v>112</v>
      </c>
      <c r="L33" s="18">
        <f>J2-1</f>
        <v>9</v>
      </c>
      <c r="M33" s="38">
        <v>10000</v>
      </c>
      <c r="N33" s="65" t="s">
        <v>116</v>
      </c>
    </row>
    <row r="34" spans="2:14" x14ac:dyDescent="0.25">
      <c r="B34" s="52"/>
      <c r="C34" s="18"/>
      <c r="D34" s="18"/>
      <c r="E34" s="18"/>
      <c r="F34" s="18"/>
      <c r="G34" s="18"/>
      <c r="H34" s="18"/>
      <c r="I34" s="64" t="s">
        <v>108</v>
      </c>
      <c r="J34" s="19">
        <f>J35-J32-J33</f>
        <v>603.60000000000036</v>
      </c>
      <c r="K34" s="62" t="s">
        <v>113</v>
      </c>
      <c r="L34" s="18">
        <f>L35-L33-L32</f>
        <v>6</v>
      </c>
      <c r="M34" s="38">
        <v>603.60000000000036</v>
      </c>
      <c r="N34" s="65" t="s">
        <v>108</v>
      </c>
    </row>
    <row r="35" spans="2:14" ht="15.75" thickBot="1" x14ac:dyDescent="0.3">
      <c r="B35" s="52" t="s">
        <v>98</v>
      </c>
      <c r="C35" s="59" t="s">
        <v>99</v>
      </c>
      <c r="D35" s="18"/>
      <c r="E35" s="52">
        <f>((1/J5)*SUMSQ(L15:L24))-D31</f>
        <v>10000</v>
      </c>
      <c r="F35" s="18"/>
      <c r="G35" s="18"/>
      <c r="H35" s="18"/>
      <c r="I35" s="66" t="s">
        <v>102</v>
      </c>
      <c r="J35" s="39">
        <v>10633</v>
      </c>
      <c r="K35" s="67" t="s">
        <v>114</v>
      </c>
      <c r="L35" s="33">
        <f>J3*J4-1</f>
        <v>19</v>
      </c>
      <c r="M35" s="40">
        <v>10633</v>
      </c>
      <c r="N35" s="68" t="s">
        <v>102</v>
      </c>
    </row>
    <row r="36" spans="2:14" x14ac:dyDescent="0.25">
      <c r="B36" s="52"/>
      <c r="C36" s="18"/>
      <c r="D36" s="18"/>
      <c r="E36" s="18"/>
      <c r="F36" s="18"/>
      <c r="G36" s="18"/>
      <c r="H36" s="18"/>
      <c r="I36" s="18"/>
    </row>
    <row r="37" spans="2:14" x14ac:dyDescent="0.25">
      <c r="B37" s="52" t="s">
        <v>100</v>
      </c>
      <c r="C37" s="59" t="s">
        <v>101</v>
      </c>
      <c r="D37" s="18"/>
      <c r="E37" s="52">
        <f>((1/J4)*SUMSQ(C26:G26))-D31</f>
        <v>1200.5</v>
      </c>
      <c r="F37" s="18"/>
      <c r="G37" s="18"/>
      <c r="H37" s="18"/>
      <c r="I37" s="52" t="s">
        <v>117</v>
      </c>
      <c r="M37" s="52" t="s">
        <v>117</v>
      </c>
    </row>
    <row r="38" spans="2:14" x14ac:dyDescent="0.25">
      <c r="B38" s="52"/>
      <c r="C38" s="18"/>
      <c r="D38" s="18"/>
      <c r="E38" s="18"/>
      <c r="F38" s="18"/>
      <c r="G38" s="18"/>
      <c r="H38" s="18"/>
      <c r="I38" s="18" t="s">
        <v>118</v>
      </c>
      <c r="M38" s="18" t="s">
        <v>119</v>
      </c>
    </row>
    <row r="39" spans="2:14" x14ac:dyDescent="0.25">
      <c r="B39" s="52" t="s">
        <v>102</v>
      </c>
      <c r="C39" s="59" t="s">
        <v>103</v>
      </c>
      <c r="D39" s="52">
        <f>SUMSQ(C16:G25)-D31</f>
        <v>10633</v>
      </c>
      <c r="E39" s="18"/>
      <c r="F39" s="18"/>
      <c r="G39" s="18"/>
      <c r="H39" s="18"/>
      <c r="I39" s="18" t="s">
        <v>120</v>
      </c>
      <c r="M39" s="18" t="s">
        <v>121</v>
      </c>
    </row>
    <row r="40" spans="2:14" ht="15.75" thickBot="1" x14ac:dyDescent="0.3">
      <c r="B40" s="18"/>
      <c r="C40" s="18"/>
      <c r="D40" s="18"/>
      <c r="E40" s="18"/>
      <c r="F40" s="18"/>
      <c r="G40" s="18"/>
      <c r="H40" s="18"/>
      <c r="I40" s="18"/>
    </row>
    <row r="41" spans="2:14" x14ac:dyDescent="0.25">
      <c r="B41" s="18"/>
      <c r="C41" s="18"/>
      <c r="D41" s="18"/>
      <c r="E41" s="18"/>
      <c r="F41" s="18"/>
      <c r="G41" s="18"/>
      <c r="H41" s="35" t="s">
        <v>122</v>
      </c>
      <c r="I41" s="37">
        <f>(J33/L33)/(J34/L34)</f>
        <v>9.7513806052573386</v>
      </c>
      <c r="L41" s="35" t="s">
        <v>122</v>
      </c>
      <c r="M41" s="37">
        <f>(M32/L32)/(M34/L34)</f>
        <v>7.3061630218686918E-2</v>
      </c>
    </row>
    <row r="42" spans="2:14" ht="15.75" thickBot="1" x14ac:dyDescent="0.3">
      <c r="B42" s="18"/>
      <c r="C42" s="18"/>
      <c r="D42" s="18"/>
      <c r="E42" s="18"/>
      <c r="F42" s="18"/>
      <c r="G42" s="18"/>
      <c r="H42" s="39" t="s">
        <v>123</v>
      </c>
      <c r="I42" s="40">
        <f>_xlfn.F.INV.RT(0.05,9,6)</f>
        <v>4.099015541716521</v>
      </c>
      <c r="L42" s="39" t="s">
        <v>123</v>
      </c>
      <c r="M42" s="40">
        <f>_xlfn.F.INV.RT(0.05,4,6)</f>
        <v>4.5336769502752441</v>
      </c>
    </row>
    <row r="44" spans="2:14" x14ac:dyDescent="0.25">
      <c r="H44" s="18" t="s">
        <v>124</v>
      </c>
      <c r="M44" s="18" t="s">
        <v>125</v>
      </c>
    </row>
    <row r="47" spans="2:14" ht="18.75" x14ac:dyDescent="0.3">
      <c r="C47" s="75" t="s">
        <v>167</v>
      </c>
    </row>
    <row r="48" spans="2:14" ht="15.75" thickBot="1" x14ac:dyDescent="0.3"/>
    <row r="49" spans="2:14" ht="15.75" thickBot="1" x14ac:dyDescent="0.3">
      <c r="B49" s="41" t="s">
        <v>33</v>
      </c>
      <c r="C49" s="42" t="s">
        <v>34</v>
      </c>
      <c r="D49" s="42" t="s">
        <v>36</v>
      </c>
      <c r="E49" s="42" t="s">
        <v>179</v>
      </c>
      <c r="F49" s="42" t="s">
        <v>37</v>
      </c>
      <c r="G49" s="42" t="s">
        <v>180</v>
      </c>
      <c r="H49" s="79" t="s">
        <v>181</v>
      </c>
      <c r="L49" s="58" t="s">
        <v>168</v>
      </c>
      <c r="M49" s="52" t="s">
        <v>170</v>
      </c>
      <c r="N49" s="20">
        <f>M32/L32</f>
        <v>7.3499999999999091</v>
      </c>
    </row>
    <row r="50" spans="2:14" x14ac:dyDescent="0.25">
      <c r="B50" s="35">
        <v>1</v>
      </c>
      <c r="C50" s="36">
        <v>45</v>
      </c>
      <c r="D50" s="36">
        <v>372</v>
      </c>
      <c r="E50" s="77">
        <f>($N$52*C50)-(($N$52-$N$53)*D50)-($N$53*$C$60)</f>
        <v>8.2309844635887988</v>
      </c>
      <c r="F50" s="36" t="s">
        <v>49</v>
      </c>
      <c r="G50" s="36">
        <f>SUM(E57,E58,E59)</f>
        <v>25.478241661144128</v>
      </c>
      <c r="H50" s="30">
        <f>E50*G50</f>
        <v>209.71101127243818</v>
      </c>
      <c r="L50" s="58" t="s">
        <v>169</v>
      </c>
      <c r="M50" s="52" t="s">
        <v>171</v>
      </c>
      <c r="N50" s="20">
        <f>M34/L34</f>
        <v>100.60000000000007</v>
      </c>
    </row>
    <row r="51" spans="2:14" x14ac:dyDescent="0.25">
      <c r="B51" s="19">
        <v>2</v>
      </c>
      <c r="C51" s="18">
        <v>94</v>
      </c>
      <c r="D51" s="18">
        <v>318</v>
      </c>
      <c r="E51" s="30">
        <f t="shared" ref="E51:E59" si="5">($N$52*C51)-(($N$52-$N$53)*D51)-($N$53*$C$60)</f>
        <v>10.365952433546823</v>
      </c>
      <c r="F51" s="18" t="s">
        <v>50</v>
      </c>
      <c r="G51" s="18">
        <f>SUM(E55,E56,E57)</f>
        <v>23.892202341506412</v>
      </c>
      <c r="H51" s="30">
        <f t="shared" ref="H51:H59" si="6">E51*G51</f>
        <v>247.66543300473151</v>
      </c>
    </row>
    <row r="52" spans="2:14" x14ac:dyDescent="0.25">
      <c r="B52" s="19">
        <v>3</v>
      </c>
      <c r="C52" s="18">
        <v>66</v>
      </c>
      <c r="D52" s="18">
        <v>313</v>
      </c>
      <c r="E52" s="30">
        <f t="shared" si="5"/>
        <v>10.240204861366735</v>
      </c>
      <c r="F52" s="18" t="s">
        <v>51</v>
      </c>
      <c r="G52" s="18">
        <f>SUM(E54,E55,E58)</f>
        <v>23.41805136260615</v>
      </c>
      <c r="H52" s="30">
        <f t="shared" si="6"/>
        <v>239.80564340709537</v>
      </c>
      <c r="L52" s="58" t="s">
        <v>175</v>
      </c>
      <c r="M52" s="52" t="s">
        <v>172</v>
      </c>
      <c r="N52" s="20">
        <f>1/N50</f>
        <v>9.9403578528826971E-3</v>
      </c>
    </row>
    <row r="53" spans="2:14" x14ac:dyDescent="0.25">
      <c r="B53" s="19">
        <v>4</v>
      </c>
      <c r="C53" s="18">
        <v>88</v>
      </c>
      <c r="D53" s="18">
        <v>359</v>
      </c>
      <c r="E53" s="30">
        <f t="shared" si="5"/>
        <v>9.0551342152843848</v>
      </c>
      <c r="F53" s="18" t="s">
        <v>52</v>
      </c>
      <c r="G53" s="18">
        <f>SUM(E54,E56,E59)</f>
        <v>25.589385497713192</v>
      </c>
      <c r="H53" s="30">
        <f t="shared" si="6"/>
        <v>231.71532016844475</v>
      </c>
      <c r="L53" s="76" t="s">
        <v>176</v>
      </c>
      <c r="M53" s="52" t="s">
        <v>173</v>
      </c>
      <c r="N53" s="20">
        <f>((J3*J4)-J2)/((J4*(J3-1)*N49)-((J2-J4)*N50))</f>
        <v>-2.0576131687242722E-2</v>
      </c>
    </row>
    <row r="54" spans="2:14" x14ac:dyDescent="0.25">
      <c r="B54" s="19">
        <v>5</v>
      </c>
      <c r="C54" s="18">
        <v>169</v>
      </c>
      <c r="D54" s="18">
        <v>402</v>
      </c>
      <c r="E54" s="30">
        <f t="shared" si="5"/>
        <v>8.5480941511424895</v>
      </c>
      <c r="F54" s="18" t="s">
        <v>53</v>
      </c>
      <c r="G54" s="18">
        <f>SUM(E52,E53,E57)</f>
        <v>28.024936798959207</v>
      </c>
      <c r="H54" s="30">
        <f t="shared" si="6"/>
        <v>239.55979833732113</v>
      </c>
      <c r="L54" s="76" t="s">
        <v>177</v>
      </c>
      <c r="M54" s="52" t="s">
        <v>174</v>
      </c>
      <c r="N54" s="20">
        <f>((J4-1)*N52)+N53</f>
        <v>9.2449418714053676E-3</v>
      </c>
    </row>
    <row r="55" spans="2:14" x14ac:dyDescent="0.25">
      <c r="B55" s="19">
        <v>6</v>
      </c>
      <c r="C55" s="18">
        <v>158</v>
      </c>
      <c r="D55" s="18">
        <v>443</v>
      </c>
      <c r="E55" s="30">
        <f t="shared" si="5"/>
        <v>7.18757414361564</v>
      </c>
      <c r="F55" s="18" t="s">
        <v>54</v>
      </c>
      <c r="G55" s="18">
        <f>SUM(E51,E52,E59)</f>
        <v>29.672418165901579</v>
      </c>
      <c r="H55" s="30">
        <f t="shared" si="6"/>
        <v>213.2727055877852</v>
      </c>
    </row>
    <row r="56" spans="2:14" x14ac:dyDescent="0.25">
      <c r="B56" s="19">
        <v>7</v>
      </c>
      <c r="C56" s="18">
        <v>96</v>
      </c>
      <c r="D56" s="18">
        <v>397</v>
      </c>
      <c r="E56" s="30">
        <f t="shared" si="5"/>
        <v>7.9750304755826811</v>
      </c>
      <c r="F56" s="18" t="s">
        <v>56</v>
      </c>
      <c r="G56" s="18">
        <f>SUM(E51,E53,E58)</f>
        <v>27.103469716679225</v>
      </c>
      <c r="H56" s="30">
        <f t="shared" si="6"/>
        <v>216.15099698454912</v>
      </c>
      <c r="M56" s="15" t="s">
        <v>178</v>
      </c>
      <c r="N56">
        <f>(J5*N54)+(J7*(N52-N53))</f>
        <v>4.9006373282936153E-2</v>
      </c>
    </row>
    <row r="57" spans="2:14" x14ac:dyDescent="0.25">
      <c r="B57" s="19">
        <v>8</v>
      </c>
      <c r="C57" s="18">
        <v>132</v>
      </c>
      <c r="D57" s="18">
        <v>384</v>
      </c>
      <c r="E57" s="30">
        <f t="shared" si="5"/>
        <v>8.7295977223080889</v>
      </c>
      <c r="F57" s="18" t="s">
        <v>57</v>
      </c>
      <c r="G57" s="18">
        <f>SUM(E50,E51,E54)</f>
        <v>27.14503104827811</v>
      </c>
      <c r="H57" s="30">
        <f t="shared" si="6"/>
        <v>236.96520121103094</v>
      </c>
      <c r="M57" s="15" t="s">
        <v>187</v>
      </c>
      <c r="N57">
        <f>(N52-N53)*(J7-J6)</f>
        <v>3.0516489540125417E-2</v>
      </c>
    </row>
    <row r="58" spans="2:14" x14ac:dyDescent="0.25">
      <c r="B58" s="19">
        <v>9</v>
      </c>
      <c r="C58" s="18">
        <v>42</v>
      </c>
      <c r="D58" s="18">
        <v>389</v>
      </c>
      <c r="E58" s="30">
        <f t="shared" si="5"/>
        <v>7.6823830678480185</v>
      </c>
      <c r="F58" s="18" t="s">
        <v>59</v>
      </c>
      <c r="G58" s="18">
        <f>SUM(E50,E52,E56)</f>
        <v>26.446219800538213</v>
      </c>
      <c r="H58" s="30">
        <f t="shared" si="6"/>
        <v>203.16999120424177</v>
      </c>
      <c r="M58" s="15" t="s">
        <v>64</v>
      </c>
      <c r="N58">
        <f>U19*N57</f>
        <v>6.1032979080250835E-2</v>
      </c>
    </row>
    <row r="59" spans="2:14" ht="15.75" thickBot="1" x14ac:dyDescent="0.3">
      <c r="B59" s="39">
        <v>10</v>
      </c>
      <c r="C59" s="33">
        <v>40</v>
      </c>
      <c r="D59" s="33">
        <v>343</v>
      </c>
      <c r="E59" s="78">
        <f t="shared" si="5"/>
        <v>9.066260870988021</v>
      </c>
      <c r="F59" s="33" t="s">
        <v>60</v>
      </c>
      <c r="G59" s="33">
        <f>SUM(E50,E53,E55)</f>
        <v>24.473692822488822</v>
      </c>
      <c r="H59" s="30">
        <f t="shared" si="6"/>
        <v>221.88488360511079</v>
      </c>
      <c r="M59" s="15" t="s">
        <v>65</v>
      </c>
      <c r="N59">
        <f>N56+N57*(U5-U15)</f>
        <v>1.8489883742810735E-2</v>
      </c>
    </row>
    <row r="60" spans="2:14" ht="15.75" thickBot="1" x14ac:dyDescent="0.3">
      <c r="B60" s="39" t="s">
        <v>31</v>
      </c>
      <c r="C60" s="33">
        <v>930</v>
      </c>
      <c r="D60" s="33">
        <v>3720</v>
      </c>
      <c r="E60" s="33">
        <f>SUM(E50:E59)</f>
        <v>87.081216405271675</v>
      </c>
      <c r="F60" s="33"/>
      <c r="G60" s="33">
        <f>SUM(G50:G59)</f>
        <v>261.24364921581503</v>
      </c>
      <c r="H60" s="78">
        <f>SUM(H50:H59)</f>
        <v>2259.9009847827488</v>
      </c>
      <c r="M60" s="15" t="s">
        <v>66</v>
      </c>
      <c r="N60">
        <f>(N56*N59)-(N57*N58)</f>
        <v>-9.5639012304689255E-4</v>
      </c>
    </row>
    <row r="63" spans="2:14" ht="15.75" x14ac:dyDescent="0.25">
      <c r="D63" s="74" t="s">
        <v>93</v>
      </c>
    </row>
    <row r="65" spans="4:7" x14ac:dyDescent="0.25">
      <c r="D65" s="58" t="s">
        <v>182</v>
      </c>
      <c r="E65" s="20">
        <f>SUMSQ(E50:E59)</f>
        <v>767.81354530250235</v>
      </c>
    </row>
    <row r="66" spans="4:7" x14ac:dyDescent="0.25">
      <c r="D66" s="58"/>
    </row>
    <row r="67" spans="4:7" x14ac:dyDescent="0.25">
      <c r="D67" s="58" t="s">
        <v>183</v>
      </c>
      <c r="E67" s="20">
        <f>H60</f>
        <v>2259.9009847827488</v>
      </c>
    </row>
    <row r="68" spans="4:7" x14ac:dyDescent="0.25">
      <c r="D68" s="58"/>
    </row>
    <row r="69" spans="4:7" x14ac:dyDescent="0.25">
      <c r="D69" s="58" t="s">
        <v>184</v>
      </c>
      <c r="E69" s="20">
        <f>(N59*E65)-(N57*E67)</f>
        <v>-54.767461575043264</v>
      </c>
    </row>
    <row r="70" spans="4:7" x14ac:dyDescent="0.25">
      <c r="D70" s="58"/>
    </row>
    <row r="71" spans="4:7" x14ac:dyDescent="0.25">
      <c r="D71" s="58" t="s">
        <v>185</v>
      </c>
      <c r="E71" s="20">
        <f>J4*(J2-1)*N60</f>
        <v>-3.4430044429688132E-2</v>
      </c>
    </row>
    <row r="72" spans="4:7" ht="15.75" thickBot="1" x14ac:dyDescent="0.3">
      <c r="D72" s="58"/>
    </row>
    <row r="73" spans="4:7" ht="15.75" thickBot="1" x14ac:dyDescent="0.3">
      <c r="D73" s="56" t="s">
        <v>186</v>
      </c>
      <c r="E73" s="20">
        <f>E69/E71</f>
        <v>1590.6880889127958</v>
      </c>
      <c r="F73" s="61" t="s">
        <v>122</v>
      </c>
      <c r="G73" s="80" t="s">
        <v>188</v>
      </c>
    </row>
    <row r="74" spans="4:7" ht="15.75" thickBot="1" x14ac:dyDescent="0.3">
      <c r="E74" s="20">
        <f>_xlfn.F.INV.RT(0.05,9,6)</f>
        <v>4.099015541716521</v>
      </c>
      <c r="F74" s="61" t="s">
        <v>123</v>
      </c>
      <c r="G74" s="80" t="s">
        <v>189</v>
      </c>
    </row>
    <row r="76" spans="4:7" x14ac:dyDescent="0.25">
      <c r="E76" s="81" t="s">
        <v>190</v>
      </c>
    </row>
  </sheetData>
  <mergeCells count="4">
    <mergeCell ref="C2:F2"/>
    <mergeCell ref="C14:G14"/>
    <mergeCell ref="B14:B15"/>
    <mergeCell ref="H14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E2D5-763B-4CD2-97F1-0D718E5BD170}">
  <dimension ref="A1:Y76"/>
  <sheetViews>
    <sheetView tabSelected="1" topLeftCell="A59" zoomScale="89" zoomScaleNormal="89" workbookViewId="0">
      <selection activeCell="F63" sqref="F63"/>
    </sheetView>
  </sheetViews>
  <sheetFormatPr defaultRowHeight="15" x14ac:dyDescent="0.25"/>
  <cols>
    <col min="2" max="2" width="11.5703125" style="20" customWidth="1"/>
    <col min="3" max="3" width="9.85546875" style="20" customWidth="1"/>
    <col min="4" max="4" width="9.140625" style="20"/>
    <col min="5" max="5" width="26.28515625" style="20" customWidth="1"/>
    <col min="6" max="6" width="12.5703125" style="20" customWidth="1"/>
    <col min="7" max="7" width="11.85546875" style="20" bestFit="1" customWidth="1"/>
    <col min="8" max="8" width="14.28515625" style="20" customWidth="1"/>
    <col min="9" max="9" width="17.85546875" style="20" customWidth="1"/>
    <col min="10" max="11" width="9.140625" style="20"/>
    <col min="12" max="12" width="11.7109375" style="20" customWidth="1"/>
    <col min="13" max="13" width="14.42578125" style="20" customWidth="1"/>
    <col min="14" max="14" width="19.5703125" style="20" customWidth="1"/>
    <col min="15" max="15" width="15.85546875" style="20" customWidth="1"/>
    <col min="16" max="16" width="17" style="20" customWidth="1"/>
    <col min="17" max="17" width="16.42578125" style="20" customWidth="1"/>
    <col min="18" max="18" width="9.140625" style="20"/>
    <col min="19" max="19" width="10.42578125" style="20" customWidth="1"/>
    <col min="20" max="24" width="9.140625" style="20"/>
    <col min="25" max="25" width="14.140625" style="20" customWidth="1"/>
    <col min="26" max="16384" width="9.140625" style="20"/>
  </cols>
  <sheetData>
    <row r="1" spans="1:25" customFormat="1" ht="15.75" thickBot="1" x14ac:dyDescent="0.3">
      <c r="A1" s="1" t="s">
        <v>0</v>
      </c>
      <c r="B1" s="1"/>
      <c r="C1" s="1"/>
      <c r="D1" s="1"/>
      <c r="E1" s="1"/>
      <c r="F1" s="1"/>
    </row>
    <row r="2" spans="1:25" customFormat="1" ht="15.75" thickBot="1" x14ac:dyDescent="0.3">
      <c r="A2" s="1"/>
      <c r="B2" s="11" t="s">
        <v>1</v>
      </c>
      <c r="C2" s="12" t="s">
        <v>2</v>
      </c>
      <c r="D2" s="13"/>
      <c r="E2" s="13"/>
      <c r="F2" s="14"/>
      <c r="I2" s="15" t="s">
        <v>24</v>
      </c>
      <c r="J2">
        <v>10</v>
      </c>
      <c r="L2" s="15" t="s">
        <v>67</v>
      </c>
      <c r="M2">
        <f>J5*(J4-1)+J7</f>
        <v>7</v>
      </c>
      <c r="O2" s="41" t="s">
        <v>28</v>
      </c>
      <c r="P2" s="42" t="s">
        <v>37</v>
      </c>
      <c r="Q2" s="43" t="s">
        <v>40</v>
      </c>
      <c r="V2" s="53" t="s">
        <v>88</v>
      </c>
    </row>
    <row r="3" spans="1:25" customFormat="1" x14ac:dyDescent="0.25">
      <c r="A3" s="1"/>
      <c r="B3" s="8">
        <v>1</v>
      </c>
      <c r="C3" s="3" t="s">
        <v>126</v>
      </c>
      <c r="D3" s="3" t="s">
        <v>131</v>
      </c>
      <c r="E3" s="3" t="s">
        <v>136</v>
      </c>
      <c r="F3" s="4" t="s">
        <v>141</v>
      </c>
      <c r="I3" s="17" t="s">
        <v>23</v>
      </c>
      <c r="J3">
        <v>5</v>
      </c>
      <c r="L3" s="15" t="s">
        <v>63</v>
      </c>
      <c r="M3">
        <f>J7-J6</f>
        <v>1</v>
      </c>
      <c r="O3" s="35">
        <v>1</v>
      </c>
      <c r="P3" s="36" t="s">
        <v>49</v>
      </c>
      <c r="Q3" s="37" t="s">
        <v>41</v>
      </c>
      <c r="S3" s="25"/>
      <c r="T3" s="69" t="s">
        <v>70</v>
      </c>
      <c r="U3" s="26" t="s">
        <v>72</v>
      </c>
      <c r="V3" s="26"/>
      <c r="W3" s="26"/>
      <c r="X3" s="69" t="s">
        <v>78</v>
      </c>
      <c r="Y3" s="27" t="s">
        <v>81</v>
      </c>
    </row>
    <row r="4" spans="1:25" customFormat="1" x14ac:dyDescent="0.25">
      <c r="A4" s="1"/>
      <c r="B4" s="9">
        <v>2</v>
      </c>
      <c r="C4" s="2" t="s">
        <v>127</v>
      </c>
      <c r="D4" s="2" t="s">
        <v>132</v>
      </c>
      <c r="E4" s="2" t="s">
        <v>137</v>
      </c>
      <c r="F4" s="5" t="s">
        <v>142</v>
      </c>
      <c r="I4" s="17" t="s">
        <v>25</v>
      </c>
      <c r="J4">
        <v>4</v>
      </c>
      <c r="L4" s="15" t="s">
        <v>64</v>
      </c>
      <c r="M4">
        <f>M3*U19</f>
        <v>2</v>
      </c>
      <c r="O4" s="19">
        <v>2</v>
      </c>
      <c r="P4" s="18" t="s">
        <v>155</v>
      </c>
      <c r="Q4" s="38" t="s">
        <v>151</v>
      </c>
      <c r="S4" s="28"/>
      <c r="T4" s="58" t="s">
        <v>71</v>
      </c>
      <c r="U4" s="20" t="s">
        <v>162</v>
      </c>
      <c r="V4" s="20"/>
      <c r="W4" s="20"/>
      <c r="X4" s="58" t="s">
        <v>71</v>
      </c>
      <c r="Y4" s="21" t="s">
        <v>162</v>
      </c>
    </row>
    <row r="5" spans="1:25" customFormat="1" x14ac:dyDescent="0.25">
      <c r="A5" s="1"/>
      <c r="B5" s="9">
        <v>3</v>
      </c>
      <c r="C5" s="2" t="s">
        <v>128</v>
      </c>
      <c r="D5" s="2" t="s">
        <v>133</v>
      </c>
      <c r="E5" s="2" t="s">
        <v>138</v>
      </c>
      <c r="F5" s="5" t="s">
        <v>143</v>
      </c>
      <c r="I5" s="17" t="s">
        <v>32</v>
      </c>
      <c r="J5">
        <v>2</v>
      </c>
      <c r="L5" s="15" t="s">
        <v>65</v>
      </c>
      <c r="M5">
        <f>M2+M3*(U5-U15)</f>
        <v>6</v>
      </c>
      <c r="O5" s="19">
        <v>3</v>
      </c>
      <c r="P5" s="18" t="s">
        <v>156</v>
      </c>
      <c r="Q5" s="38" t="s">
        <v>150</v>
      </c>
      <c r="S5" s="28"/>
      <c r="T5" s="61" t="s">
        <v>74</v>
      </c>
      <c r="U5" s="61">
        <v>0</v>
      </c>
      <c r="V5" s="20"/>
      <c r="W5" s="20"/>
      <c r="X5" s="61" t="s">
        <v>77</v>
      </c>
      <c r="Y5" s="70">
        <v>2</v>
      </c>
    </row>
    <row r="6" spans="1:25" customFormat="1" x14ac:dyDescent="0.25">
      <c r="A6" s="1"/>
      <c r="B6" s="9">
        <v>4</v>
      </c>
      <c r="C6" s="2" t="s">
        <v>129</v>
      </c>
      <c r="D6" s="2" t="s">
        <v>134</v>
      </c>
      <c r="E6" s="2" t="s">
        <v>139</v>
      </c>
      <c r="F6" s="5" t="s">
        <v>144</v>
      </c>
      <c r="I6" s="16" t="s">
        <v>26</v>
      </c>
      <c r="J6">
        <v>0</v>
      </c>
      <c r="L6" s="15" t="s">
        <v>66</v>
      </c>
      <c r="M6">
        <f>(M2*M5)-(M3*M4)</f>
        <v>40</v>
      </c>
      <c r="O6" s="19">
        <v>4</v>
      </c>
      <c r="P6" s="18" t="s">
        <v>157</v>
      </c>
      <c r="Q6" s="38" t="s">
        <v>149</v>
      </c>
      <c r="S6" s="28"/>
      <c r="T6" s="20"/>
      <c r="U6" s="20"/>
      <c r="V6" s="20"/>
      <c r="W6" s="20"/>
      <c r="X6" s="20"/>
      <c r="Y6" s="21"/>
    </row>
    <row r="7" spans="1:25" customFormat="1" ht="15.75" thickBot="1" x14ac:dyDescent="0.3">
      <c r="A7" s="1"/>
      <c r="B7" s="10">
        <v>5</v>
      </c>
      <c r="C7" s="6" t="s">
        <v>130</v>
      </c>
      <c r="D7" s="6" t="s">
        <v>135</v>
      </c>
      <c r="E7" s="6" t="s">
        <v>140</v>
      </c>
      <c r="F7" s="7" t="s">
        <v>145</v>
      </c>
      <c r="I7" s="16" t="s">
        <v>27</v>
      </c>
      <c r="J7">
        <v>1</v>
      </c>
      <c r="O7" s="19">
        <v>5</v>
      </c>
      <c r="P7" s="18" t="s">
        <v>158</v>
      </c>
      <c r="Q7" s="38" t="s">
        <v>152</v>
      </c>
      <c r="S7" s="28"/>
      <c r="T7" s="58" t="s">
        <v>70</v>
      </c>
      <c r="U7" s="20" t="s">
        <v>72</v>
      </c>
      <c r="V7" s="20"/>
      <c r="W7" s="20"/>
      <c r="X7" s="58" t="s">
        <v>78</v>
      </c>
      <c r="Y7" s="21" t="s">
        <v>81</v>
      </c>
    </row>
    <row r="8" spans="1:25" customFormat="1" ht="15.75" thickBot="1" x14ac:dyDescent="0.3">
      <c r="O8" s="19">
        <v>6</v>
      </c>
      <c r="P8" s="18" t="s">
        <v>56</v>
      </c>
      <c r="Q8" s="38" t="s">
        <v>154</v>
      </c>
      <c r="S8" s="28"/>
      <c r="T8" s="58" t="s">
        <v>75</v>
      </c>
      <c r="U8" s="55" t="s">
        <v>163</v>
      </c>
      <c r="V8" s="20"/>
      <c r="W8" s="20"/>
      <c r="X8" s="58" t="s">
        <v>75</v>
      </c>
      <c r="Y8" s="55" t="s">
        <v>163</v>
      </c>
    </row>
    <row r="9" spans="1:25" customFormat="1" ht="15.75" thickBot="1" x14ac:dyDescent="0.3">
      <c r="B9" s="15" t="s">
        <v>61</v>
      </c>
      <c r="C9" s="25">
        <v>0</v>
      </c>
      <c r="D9" s="27">
        <v>2</v>
      </c>
      <c r="F9" s="16" t="s">
        <v>62</v>
      </c>
      <c r="G9" s="25">
        <v>1</v>
      </c>
      <c r="H9" s="27">
        <v>2</v>
      </c>
      <c r="L9" s="15" t="s">
        <v>68</v>
      </c>
      <c r="O9" s="19">
        <v>7</v>
      </c>
      <c r="P9" s="18" t="s">
        <v>159</v>
      </c>
      <c r="Q9" s="38" t="s">
        <v>153</v>
      </c>
      <c r="S9" s="22"/>
      <c r="T9" s="71" t="s">
        <v>76</v>
      </c>
      <c r="U9" s="71">
        <v>2</v>
      </c>
      <c r="V9" s="23"/>
      <c r="W9" s="23"/>
      <c r="X9" s="71" t="s">
        <v>79</v>
      </c>
      <c r="Y9" s="72">
        <v>4</v>
      </c>
    </row>
    <row r="10" spans="1:25" customFormat="1" ht="15.75" thickBot="1" x14ac:dyDescent="0.3">
      <c r="C10" s="22">
        <v>2</v>
      </c>
      <c r="D10" s="24">
        <v>4</v>
      </c>
      <c r="G10" s="22">
        <v>2</v>
      </c>
      <c r="H10" s="24">
        <v>3</v>
      </c>
      <c r="O10" s="19">
        <v>8</v>
      </c>
      <c r="P10" s="18" t="s">
        <v>160</v>
      </c>
      <c r="Q10" s="38" t="s">
        <v>147</v>
      </c>
    </row>
    <row r="11" spans="1:25" customFormat="1" x14ac:dyDescent="0.25">
      <c r="C11" s="20"/>
      <c r="D11" s="20"/>
      <c r="O11" s="19">
        <v>9</v>
      </c>
      <c r="P11" s="18" t="s">
        <v>161</v>
      </c>
      <c r="Q11" s="38" t="s">
        <v>148</v>
      </c>
    </row>
    <row r="12" spans="1:25" customFormat="1" ht="19.5" thickBot="1" x14ac:dyDescent="0.35">
      <c r="B12" s="51" t="s">
        <v>69</v>
      </c>
      <c r="O12" s="39">
        <v>10</v>
      </c>
      <c r="P12" s="33" t="s">
        <v>57</v>
      </c>
      <c r="Q12" s="40" t="s">
        <v>146</v>
      </c>
      <c r="V12" s="54" t="s">
        <v>89</v>
      </c>
    </row>
    <row r="13" spans="1:25" customFormat="1" ht="15.75" thickBot="1" x14ac:dyDescent="0.3">
      <c r="S13" s="25"/>
      <c r="T13" s="69" t="s">
        <v>70</v>
      </c>
      <c r="U13" s="26" t="s">
        <v>90</v>
      </c>
      <c r="V13" s="26"/>
      <c r="W13" s="26"/>
      <c r="X13" s="69" t="s">
        <v>78</v>
      </c>
      <c r="Y13" s="27" t="s">
        <v>81</v>
      </c>
    </row>
    <row r="14" spans="1:25" customFormat="1" ht="15.75" thickBot="1" x14ac:dyDescent="0.3">
      <c r="B14" s="44" t="s">
        <v>30</v>
      </c>
      <c r="C14" s="45" t="s">
        <v>29</v>
      </c>
      <c r="D14" s="45"/>
      <c r="E14" s="45"/>
      <c r="F14" s="45"/>
      <c r="G14" s="45"/>
      <c r="H14" s="44" t="s">
        <v>31</v>
      </c>
      <c r="K14" s="41" t="s">
        <v>33</v>
      </c>
      <c r="L14" s="42" t="s">
        <v>34</v>
      </c>
      <c r="M14" s="42" t="s">
        <v>36</v>
      </c>
      <c r="N14" s="42" t="s">
        <v>35</v>
      </c>
      <c r="O14" s="42" t="s">
        <v>37</v>
      </c>
      <c r="P14" s="42" t="s">
        <v>38</v>
      </c>
      <c r="Q14" s="43" t="s">
        <v>39</v>
      </c>
      <c r="S14" s="28"/>
      <c r="T14" s="58" t="s">
        <v>82</v>
      </c>
      <c r="U14" s="20" t="s">
        <v>164</v>
      </c>
      <c r="V14" s="20"/>
      <c r="W14" s="20"/>
      <c r="X14" s="58" t="s">
        <v>82</v>
      </c>
      <c r="Y14" s="20" t="s">
        <v>164</v>
      </c>
    </row>
    <row r="15" spans="1:25" customFormat="1" ht="15.75" thickBot="1" x14ac:dyDescent="0.3">
      <c r="B15" s="46"/>
      <c r="C15" s="47">
        <v>1</v>
      </c>
      <c r="D15" s="47">
        <v>2</v>
      </c>
      <c r="E15" s="47">
        <v>3</v>
      </c>
      <c r="F15" s="47">
        <v>4</v>
      </c>
      <c r="G15" s="47">
        <v>5</v>
      </c>
      <c r="H15" s="46"/>
      <c r="K15" s="35">
        <v>1</v>
      </c>
      <c r="L15" s="73">
        <v>6.7</v>
      </c>
      <c r="M15" s="36">
        <f>F26+G26</f>
        <v>26.8</v>
      </c>
      <c r="N15" s="36">
        <f>$J$4*L15-M15</f>
        <v>0</v>
      </c>
      <c r="O15" s="36" t="s">
        <v>49</v>
      </c>
      <c r="P15" s="36">
        <f>SUM(N22,N23,N24)</f>
        <v>10</v>
      </c>
      <c r="Q15" s="37">
        <f>P15*N15</f>
        <v>0</v>
      </c>
      <c r="S15" s="28"/>
      <c r="T15" s="61" t="s">
        <v>83</v>
      </c>
      <c r="U15" s="61">
        <v>1</v>
      </c>
      <c r="V15" s="20"/>
      <c r="W15" s="20"/>
      <c r="X15" s="61" t="s">
        <v>86</v>
      </c>
      <c r="Y15" s="70">
        <v>2</v>
      </c>
    </row>
    <row r="16" spans="1:25" customFormat="1" x14ac:dyDescent="0.25">
      <c r="B16" s="48">
        <v>1</v>
      </c>
      <c r="C16" s="20"/>
      <c r="D16" s="20"/>
      <c r="E16" s="20"/>
      <c r="F16" s="20">
        <v>3.5</v>
      </c>
      <c r="G16" s="60">
        <v>3.2</v>
      </c>
      <c r="H16" s="32">
        <f>SUM(C16:G16)</f>
        <v>6.7</v>
      </c>
      <c r="K16" s="19">
        <v>2</v>
      </c>
      <c r="L16" s="32">
        <v>8.4</v>
      </c>
      <c r="M16" s="18">
        <f>E26+F26</f>
        <v>35</v>
      </c>
      <c r="N16" s="18">
        <f>$J$4*L16-M16</f>
        <v>-1.3999999999999986</v>
      </c>
      <c r="O16" s="18" t="s">
        <v>155</v>
      </c>
      <c r="P16" s="18">
        <f>SUM(N20,N21,N24)</f>
        <v>0.39999999999999858</v>
      </c>
      <c r="Q16" s="38">
        <f t="shared" ref="Q16:Q24" si="0">P16*N16</f>
        <v>-0.55999999999999739</v>
      </c>
      <c r="S16" s="28"/>
      <c r="T16" s="20"/>
      <c r="U16" s="20"/>
      <c r="V16" s="20"/>
      <c r="W16" s="20"/>
      <c r="X16" s="20"/>
      <c r="Y16" s="21"/>
    </row>
    <row r="17" spans="2:25" customFormat="1" x14ac:dyDescent="0.25">
      <c r="B17" s="48">
        <v>2</v>
      </c>
      <c r="C17" s="20"/>
      <c r="D17" s="20"/>
      <c r="E17" s="20">
        <v>4.7</v>
      </c>
      <c r="F17" s="60">
        <v>3.7</v>
      </c>
      <c r="G17" s="20"/>
      <c r="H17" s="32">
        <f t="shared" ref="H17:H25" si="1">SUM(C17:G17)</f>
        <v>8.4</v>
      </c>
      <c r="K17" s="19">
        <v>3</v>
      </c>
      <c r="L17" s="32">
        <v>6.3</v>
      </c>
      <c r="M17" s="18">
        <f>D26+F26</f>
        <v>29.3</v>
      </c>
      <c r="N17" s="18">
        <f>$J$4*L17-M17</f>
        <v>-4.1000000000000014</v>
      </c>
      <c r="O17" s="18" t="s">
        <v>156</v>
      </c>
      <c r="P17" s="18">
        <f>SUM(N19,N21,N23)</f>
        <v>1.3999999999999986</v>
      </c>
      <c r="Q17" s="38">
        <f t="shared" si="0"/>
        <v>-5.7399999999999958</v>
      </c>
      <c r="S17" s="28"/>
      <c r="T17" s="58" t="s">
        <v>70</v>
      </c>
      <c r="U17" s="20" t="s">
        <v>90</v>
      </c>
      <c r="V17" s="20"/>
      <c r="W17" s="20"/>
      <c r="X17" s="58" t="s">
        <v>78</v>
      </c>
      <c r="Y17" s="21" t="s">
        <v>81</v>
      </c>
    </row>
    <row r="18" spans="2:25" customFormat="1" x14ac:dyDescent="0.25">
      <c r="B18" s="48">
        <v>3</v>
      </c>
      <c r="C18" s="20"/>
      <c r="D18" s="20">
        <v>2.5</v>
      </c>
      <c r="E18" s="20"/>
      <c r="F18" s="20">
        <v>3.8</v>
      </c>
      <c r="G18" s="20"/>
      <c r="H18" s="32">
        <f t="shared" si="1"/>
        <v>6.3</v>
      </c>
      <c r="K18" s="19">
        <v>4</v>
      </c>
      <c r="L18" s="32">
        <v>7.6</v>
      </c>
      <c r="M18" s="18">
        <f>C26+F26</f>
        <v>31.7</v>
      </c>
      <c r="N18" s="18">
        <f t="shared" ref="N16:N24" si="2">$J$4*L18-M18</f>
        <v>-1.3000000000000007</v>
      </c>
      <c r="O18" s="18" t="s">
        <v>157</v>
      </c>
      <c r="P18" s="18">
        <f>SUM(N19,N20,N22)</f>
        <v>1.7999999999999972</v>
      </c>
      <c r="Q18" s="38">
        <f t="shared" si="0"/>
        <v>-2.3399999999999976</v>
      </c>
      <c r="S18" s="28"/>
      <c r="T18" s="58" t="s">
        <v>84</v>
      </c>
      <c r="U18" s="55" t="s">
        <v>165</v>
      </c>
      <c r="V18" s="20"/>
      <c r="W18" s="20"/>
      <c r="X18" s="58" t="s">
        <v>84</v>
      </c>
      <c r="Y18" s="55" t="s">
        <v>165</v>
      </c>
    </row>
    <row r="19" spans="2:25" customFormat="1" ht="15.75" thickBot="1" x14ac:dyDescent="0.3">
      <c r="B19" s="48">
        <v>4</v>
      </c>
      <c r="C19" s="20">
        <v>3.6</v>
      </c>
      <c r="D19" s="20"/>
      <c r="E19" s="20"/>
      <c r="F19" s="20">
        <v>4</v>
      </c>
      <c r="G19" s="20"/>
      <c r="H19" s="32">
        <f t="shared" si="1"/>
        <v>7.6</v>
      </c>
      <c r="K19" s="19">
        <v>5</v>
      </c>
      <c r="L19" s="32">
        <v>7.8</v>
      </c>
      <c r="M19" s="18">
        <f>E26+G26</f>
        <v>31.8</v>
      </c>
      <c r="N19" s="18">
        <f t="shared" si="2"/>
        <v>-0.60000000000000142</v>
      </c>
      <c r="O19" s="18" t="s">
        <v>158</v>
      </c>
      <c r="P19" s="18">
        <f>SUM(N17,N18,N24)</f>
        <v>-2.4000000000000021</v>
      </c>
      <c r="Q19" s="38">
        <f t="shared" si="0"/>
        <v>1.4400000000000046</v>
      </c>
      <c r="S19" s="22"/>
      <c r="T19" s="71" t="s">
        <v>85</v>
      </c>
      <c r="U19" s="71">
        <v>2</v>
      </c>
      <c r="V19" s="23"/>
      <c r="W19" s="23"/>
      <c r="X19" s="71" t="s">
        <v>87</v>
      </c>
      <c r="Y19" s="72">
        <v>3</v>
      </c>
    </row>
    <row r="20" spans="2:25" customFormat="1" x14ac:dyDescent="0.25">
      <c r="B20" s="48">
        <v>5</v>
      </c>
      <c r="C20" s="20"/>
      <c r="D20" s="20"/>
      <c r="E20" s="20">
        <v>4.3</v>
      </c>
      <c r="F20" s="20"/>
      <c r="G20" s="20">
        <v>3.5</v>
      </c>
      <c r="H20" s="32">
        <f t="shared" si="1"/>
        <v>7.8</v>
      </c>
      <c r="K20" s="19">
        <v>6</v>
      </c>
      <c r="L20" s="32">
        <v>6.1</v>
      </c>
      <c r="M20" s="18">
        <f>D26+G26</f>
        <v>26.1</v>
      </c>
      <c r="N20" s="18">
        <f t="shared" si="2"/>
        <v>-1.7000000000000028</v>
      </c>
      <c r="O20" s="18" t="s">
        <v>56</v>
      </c>
      <c r="P20" s="18">
        <f>SUM(N16,N18,N23)</f>
        <v>0.19999999999999929</v>
      </c>
      <c r="Q20" s="38">
        <f t="shared" si="0"/>
        <v>-0.33999999999999936</v>
      </c>
    </row>
    <row r="21" spans="2:25" customFormat="1" x14ac:dyDescent="0.25">
      <c r="B21" s="48">
        <v>6</v>
      </c>
      <c r="C21" s="20"/>
      <c r="D21" s="60">
        <v>3.5</v>
      </c>
      <c r="E21" s="20"/>
      <c r="F21" s="20"/>
      <c r="G21" s="20">
        <v>2.6</v>
      </c>
      <c r="H21" s="32">
        <f t="shared" si="1"/>
        <v>6.1</v>
      </c>
      <c r="K21" s="19">
        <v>7</v>
      </c>
      <c r="L21" s="32">
        <v>6.9</v>
      </c>
      <c r="M21" s="18">
        <f>C26+G26</f>
        <v>28.5</v>
      </c>
      <c r="N21" s="18">
        <f t="shared" si="2"/>
        <v>-0.89999999999999858</v>
      </c>
      <c r="O21" s="18" t="s">
        <v>159</v>
      </c>
      <c r="P21" s="18">
        <f>SUM(N16,N17,N22)</f>
        <v>-1.3999999999999986</v>
      </c>
      <c r="Q21" s="38">
        <f t="shared" si="0"/>
        <v>1.2599999999999967</v>
      </c>
    </row>
    <row r="22" spans="2:25" customFormat="1" x14ac:dyDescent="0.25">
      <c r="B22" s="48">
        <v>7</v>
      </c>
      <c r="C22" s="20">
        <v>4.4000000000000004</v>
      </c>
      <c r="D22" s="20"/>
      <c r="E22" s="20"/>
      <c r="F22" s="20"/>
      <c r="G22" s="60">
        <v>2.5</v>
      </c>
      <c r="H22" s="32">
        <f t="shared" si="1"/>
        <v>6.9</v>
      </c>
      <c r="K22" s="19">
        <v>8</v>
      </c>
      <c r="L22" s="32">
        <v>9.6</v>
      </c>
      <c r="M22" s="18">
        <f>D26+E26</f>
        <v>34.299999999999997</v>
      </c>
      <c r="N22" s="18">
        <f t="shared" si="2"/>
        <v>4.1000000000000014</v>
      </c>
      <c r="O22" s="18" t="s">
        <v>160</v>
      </c>
      <c r="P22" s="18">
        <f>SUM(N15,N18,N21)</f>
        <v>-2.1999999999999993</v>
      </c>
      <c r="Q22" s="38">
        <f t="shared" si="0"/>
        <v>-9.02</v>
      </c>
    </row>
    <row r="23" spans="2:25" customFormat="1" x14ac:dyDescent="0.25">
      <c r="B23" s="48">
        <v>8</v>
      </c>
      <c r="C23" s="20"/>
      <c r="D23" s="20">
        <v>4</v>
      </c>
      <c r="E23" s="20">
        <v>5.6</v>
      </c>
      <c r="F23" s="20"/>
      <c r="G23" s="20"/>
      <c r="H23" s="32">
        <f t="shared" si="1"/>
        <v>9.6</v>
      </c>
      <c r="K23" s="19">
        <v>9</v>
      </c>
      <c r="L23" s="32">
        <v>9.9</v>
      </c>
      <c r="M23" s="18">
        <f>C26+E26</f>
        <v>36.700000000000003</v>
      </c>
      <c r="N23" s="18">
        <f t="shared" si="2"/>
        <v>2.8999999999999986</v>
      </c>
      <c r="O23" s="18" t="s">
        <v>161</v>
      </c>
      <c r="P23" s="18">
        <f>SUM(N15,N17,N20)</f>
        <v>-5.8000000000000043</v>
      </c>
      <c r="Q23" s="38">
        <f t="shared" si="0"/>
        <v>-16.820000000000004</v>
      </c>
    </row>
    <row r="24" spans="2:25" customFormat="1" ht="15.75" thickBot="1" x14ac:dyDescent="0.3">
      <c r="B24" s="48">
        <v>9</v>
      </c>
      <c r="C24" s="60">
        <v>4.5</v>
      </c>
      <c r="D24" s="20"/>
      <c r="E24" s="20">
        <v>5.4</v>
      </c>
      <c r="F24" s="20"/>
      <c r="G24" s="20"/>
      <c r="H24" s="32">
        <f t="shared" si="1"/>
        <v>9.9</v>
      </c>
      <c r="K24" s="39">
        <v>10</v>
      </c>
      <c r="L24" s="31">
        <v>8.5</v>
      </c>
      <c r="M24" s="33">
        <f>C26+D26</f>
        <v>31</v>
      </c>
      <c r="N24" s="33">
        <f t="shared" si="2"/>
        <v>3</v>
      </c>
      <c r="O24" s="33" t="s">
        <v>57</v>
      </c>
      <c r="P24" s="33">
        <f>SUM(N15,N16,N19)</f>
        <v>-2</v>
      </c>
      <c r="Q24" s="40">
        <f t="shared" si="0"/>
        <v>-6</v>
      </c>
    </row>
    <row r="25" spans="2:25" customFormat="1" ht="15.75" thickBot="1" x14ac:dyDescent="0.3">
      <c r="B25" s="48">
        <v>10</v>
      </c>
      <c r="C25" s="20">
        <v>4.2</v>
      </c>
      <c r="D25" s="20">
        <v>4.3</v>
      </c>
      <c r="E25" s="20"/>
      <c r="F25" s="20"/>
      <c r="G25" s="20"/>
      <c r="H25" s="32">
        <f t="shared" si="1"/>
        <v>8.5</v>
      </c>
      <c r="K25" s="39" t="s">
        <v>31</v>
      </c>
      <c r="L25" s="33">
        <f>SUM(L15:L24)</f>
        <v>77.8</v>
      </c>
      <c r="M25" s="33">
        <f>SUM(M15:M24)</f>
        <v>311.2</v>
      </c>
      <c r="N25" s="33">
        <f>SUM(N15:N24)</f>
        <v>-3.5527136788005009E-15</v>
      </c>
      <c r="O25" s="33"/>
      <c r="P25" s="33">
        <f t="shared" ref="N25:Q25" si="3">SUM(P15:P24)</f>
        <v>-1.0658141036401503E-14</v>
      </c>
      <c r="Q25" s="40">
        <f t="shared" si="3"/>
        <v>-38.11999999999999</v>
      </c>
    </row>
    <row r="26" spans="2:25" customFormat="1" ht="15.75" thickBot="1" x14ac:dyDescent="0.3">
      <c r="B26" s="49" t="s">
        <v>31</v>
      </c>
      <c r="C26" s="34">
        <f>SUM(C16:C25)</f>
        <v>16.7</v>
      </c>
      <c r="D26" s="34">
        <f t="shared" ref="D26:G26" si="4">SUM(D16:D25)</f>
        <v>14.3</v>
      </c>
      <c r="E26" s="34">
        <f t="shared" si="4"/>
        <v>20</v>
      </c>
      <c r="F26" s="34">
        <f t="shared" si="4"/>
        <v>15</v>
      </c>
      <c r="G26" s="34">
        <f t="shared" si="4"/>
        <v>11.8</v>
      </c>
      <c r="H26" s="29">
        <f>SUM(H16:H25)</f>
        <v>77.8</v>
      </c>
    </row>
    <row r="27" spans="2:25" customFormat="1" x14ac:dyDescent="0.25"/>
    <row r="28" spans="2:25" customFormat="1" x14ac:dyDescent="0.25"/>
    <row r="29" spans="2:25" customFormat="1" ht="18.75" x14ac:dyDescent="0.3">
      <c r="B29" s="51" t="s">
        <v>93</v>
      </c>
      <c r="I29" s="51" t="s">
        <v>104</v>
      </c>
    </row>
    <row r="30" spans="2:25" customFormat="1" ht="15.75" thickBot="1" x14ac:dyDescent="0.3">
      <c r="B30" s="20"/>
      <c r="C30" s="20"/>
      <c r="D30" s="20"/>
    </row>
    <row r="31" spans="2:25" ht="15.75" thickBot="1" x14ac:dyDescent="0.3">
      <c r="B31" s="54" t="s">
        <v>94</v>
      </c>
      <c r="C31" t="s">
        <v>95</v>
      </c>
      <c r="D31" s="50">
        <f>H26^2/(J3*J4)</f>
        <v>302.64199999999994</v>
      </c>
      <c r="E31" s="52"/>
      <c r="F31" s="52"/>
      <c r="G31" s="52"/>
      <c r="H31" s="52"/>
      <c r="I31" s="41" t="s">
        <v>105</v>
      </c>
      <c r="J31" s="42" t="s">
        <v>109</v>
      </c>
      <c r="K31" s="42" t="s">
        <v>110</v>
      </c>
      <c r="L31" s="63" t="s">
        <v>110</v>
      </c>
      <c r="M31" s="63" t="s">
        <v>109</v>
      </c>
      <c r="N31" s="43" t="s">
        <v>105</v>
      </c>
    </row>
    <row r="32" spans="2:25" x14ac:dyDescent="0.25">
      <c r="B32" s="52"/>
      <c r="C32" s="18"/>
      <c r="D32" s="18"/>
      <c r="E32" s="18"/>
      <c r="F32" s="18"/>
      <c r="G32" s="18"/>
      <c r="H32" s="18"/>
      <c r="I32" s="64" t="s">
        <v>106</v>
      </c>
      <c r="J32" s="35">
        <v>9.2630000000000905</v>
      </c>
      <c r="K32" s="36" t="s">
        <v>111</v>
      </c>
      <c r="L32" s="36">
        <f>J3-1</f>
        <v>4</v>
      </c>
      <c r="M32" s="37">
        <f>M35-M33-M34</f>
        <v>3.8560000000001105</v>
      </c>
      <c r="N32" s="65" t="s">
        <v>115</v>
      </c>
    </row>
    <row r="33" spans="2:14" x14ac:dyDescent="0.25">
      <c r="B33" s="52" t="s">
        <v>96</v>
      </c>
      <c r="C33" s="57" t="s">
        <v>97</v>
      </c>
      <c r="D33" s="18"/>
      <c r="E33" s="18"/>
      <c r="F33" s="18"/>
      <c r="G33" s="52">
        <f>((M5*SUMSQ(N15:N24))-(M3*SUM(Q15:Q24)))/(J4*M6)</f>
        <v>2.4410000000000012</v>
      </c>
      <c r="H33" s="18"/>
      <c r="I33" s="64" t="s">
        <v>107</v>
      </c>
      <c r="J33" s="19">
        <v>2.4410000000000012</v>
      </c>
      <c r="K33" s="18" t="s">
        <v>112</v>
      </c>
      <c r="L33" s="18">
        <f>J2-1</f>
        <v>9</v>
      </c>
      <c r="M33" s="38">
        <v>7.8480000000000132</v>
      </c>
      <c r="N33" s="65" t="s">
        <v>116</v>
      </c>
    </row>
    <row r="34" spans="2:14" x14ac:dyDescent="0.25">
      <c r="B34" s="52"/>
      <c r="C34" s="18"/>
      <c r="D34" s="18"/>
      <c r="E34" s="18"/>
      <c r="F34" s="18"/>
      <c r="G34" s="18"/>
      <c r="H34" s="18"/>
      <c r="I34" s="64" t="s">
        <v>108</v>
      </c>
      <c r="J34" s="19">
        <f>J35-J32-J33</f>
        <v>1.8340000000000081</v>
      </c>
      <c r="K34" s="62" t="s">
        <v>113</v>
      </c>
      <c r="L34" s="18">
        <f>L35-L33-L32</f>
        <v>6</v>
      </c>
      <c r="M34" s="38">
        <v>1.8339999999999761</v>
      </c>
      <c r="N34" s="65" t="s">
        <v>108</v>
      </c>
    </row>
    <row r="35" spans="2:14" ht="15.75" thickBot="1" x14ac:dyDescent="0.3">
      <c r="B35" s="52" t="s">
        <v>98</v>
      </c>
      <c r="C35" s="59" t="s">
        <v>99</v>
      </c>
      <c r="D35" s="18"/>
      <c r="E35" s="52">
        <f>((1/J5)*SUMSQ(L15:L24))-D31</f>
        <v>7.8480000000000132</v>
      </c>
      <c r="F35" s="18"/>
      <c r="G35" s="18"/>
      <c r="H35" s="18"/>
      <c r="I35" s="66" t="s">
        <v>102</v>
      </c>
      <c r="J35" s="39">
        <v>13.5380000000001</v>
      </c>
      <c r="K35" s="67" t="s">
        <v>114</v>
      </c>
      <c r="L35" s="33">
        <f>J3*J4-1</f>
        <v>19</v>
      </c>
      <c r="M35" s="39">
        <v>13.5380000000001</v>
      </c>
      <c r="N35" s="68" t="s">
        <v>102</v>
      </c>
    </row>
    <row r="36" spans="2:14" x14ac:dyDescent="0.25">
      <c r="B36" s="52"/>
      <c r="C36" s="18"/>
      <c r="D36" s="18"/>
      <c r="E36" s="18"/>
      <c r="F36" s="18"/>
      <c r="G36" s="18"/>
      <c r="H36" s="18"/>
      <c r="I36" s="18"/>
    </row>
    <row r="37" spans="2:14" x14ac:dyDescent="0.25">
      <c r="B37" s="52" t="s">
        <v>100</v>
      </c>
      <c r="C37" s="59" t="s">
        <v>101</v>
      </c>
      <c r="D37" s="18"/>
      <c r="E37" s="52">
        <f>((1/J4)*SUMSQ(C26:G26))-D31</f>
        <v>9.2630000000000905</v>
      </c>
      <c r="F37" s="18"/>
      <c r="G37" s="18"/>
      <c r="H37" s="18"/>
      <c r="I37" s="52" t="s">
        <v>117</v>
      </c>
      <c r="M37" s="52" t="s">
        <v>117</v>
      </c>
    </row>
    <row r="38" spans="2:14" x14ac:dyDescent="0.25">
      <c r="B38" s="52"/>
      <c r="C38" s="18"/>
      <c r="D38" s="18"/>
      <c r="E38" s="18"/>
      <c r="F38" s="18"/>
      <c r="G38" s="18"/>
      <c r="H38" s="18"/>
      <c r="I38" s="18" t="s">
        <v>118</v>
      </c>
      <c r="M38" s="18" t="s">
        <v>119</v>
      </c>
    </row>
    <row r="39" spans="2:14" x14ac:dyDescent="0.25">
      <c r="B39" s="52" t="s">
        <v>102</v>
      </c>
      <c r="C39" s="59" t="s">
        <v>103</v>
      </c>
      <c r="D39" s="52">
        <f>SUMSQ(C16:G25)-D31</f>
        <v>13.538000000000068</v>
      </c>
      <c r="E39" s="18"/>
      <c r="F39" s="18"/>
      <c r="G39" s="18"/>
      <c r="H39" s="18"/>
      <c r="I39" s="18" t="s">
        <v>120</v>
      </c>
      <c r="M39" s="18" t="s">
        <v>121</v>
      </c>
    </row>
    <row r="40" spans="2:14" ht="15.75" thickBot="1" x14ac:dyDescent="0.3">
      <c r="B40" s="18"/>
      <c r="C40" s="18"/>
      <c r="D40" s="18"/>
      <c r="E40" s="18"/>
      <c r="F40" s="18"/>
      <c r="G40" s="18"/>
      <c r="H40" s="18"/>
      <c r="I40" s="18"/>
    </row>
    <row r="41" spans="2:14" x14ac:dyDescent="0.25">
      <c r="B41" s="18"/>
      <c r="C41" s="18"/>
      <c r="D41" s="18"/>
      <c r="E41" s="18"/>
      <c r="F41" s="18"/>
      <c r="G41" s="18"/>
      <c r="H41" s="35" t="s">
        <v>122</v>
      </c>
      <c r="I41" s="37">
        <f>(J33/L33)/(J34/L34)</f>
        <v>0.88731370410759369</v>
      </c>
      <c r="L41" s="35" t="s">
        <v>122</v>
      </c>
      <c r="M41" s="37">
        <f>(M32/L32)/(M34/L34)</f>
        <v>3.1537622682662163</v>
      </c>
    </row>
    <row r="42" spans="2:14" ht="15.75" thickBot="1" x14ac:dyDescent="0.3">
      <c r="B42" s="18"/>
      <c r="C42" s="18"/>
      <c r="D42" s="18"/>
      <c r="E42" s="18"/>
      <c r="F42" s="18"/>
      <c r="G42" s="18"/>
      <c r="H42" s="39" t="s">
        <v>123</v>
      </c>
      <c r="I42" s="40">
        <f>_xlfn.F.INV.RT(0.05,9,6)</f>
        <v>4.099015541716521</v>
      </c>
      <c r="L42" s="39" t="s">
        <v>123</v>
      </c>
      <c r="M42" s="40">
        <f>_xlfn.F.INV.RT(0.05,4,6)</f>
        <v>4.5336769502752441</v>
      </c>
    </row>
    <row r="44" spans="2:14" x14ac:dyDescent="0.25">
      <c r="H44" s="18" t="s">
        <v>166</v>
      </c>
      <c r="M44" s="18" t="s">
        <v>125</v>
      </c>
    </row>
    <row r="47" spans="2:14" ht="18.75" x14ac:dyDescent="0.3">
      <c r="C47" s="75" t="s">
        <v>167</v>
      </c>
    </row>
    <row r="48" spans="2:14" ht="15.75" thickBot="1" x14ac:dyDescent="0.3"/>
    <row r="49" spans="2:14" ht="15.75" thickBot="1" x14ac:dyDescent="0.3">
      <c r="B49" s="41" t="s">
        <v>33</v>
      </c>
      <c r="C49" s="42" t="s">
        <v>34</v>
      </c>
      <c r="D49" s="42" t="s">
        <v>36</v>
      </c>
      <c r="E49" s="42" t="s">
        <v>179</v>
      </c>
      <c r="F49" s="42" t="s">
        <v>37</v>
      </c>
      <c r="G49" s="42" t="s">
        <v>180</v>
      </c>
      <c r="H49" s="79" t="s">
        <v>181</v>
      </c>
      <c r="L49" s="58" t="s">
        <v>168</v>
      </c>
      <c r="M49" s="52" t="s">
        <v>170</v>
      </c>
      <c r="N49" s="20">
        <f>M32/L32</f>
        <v>0.96400000000002761</v>
      </c>
    </row>
    <row r="50" spans="2:14" x14ac:dyDescent="0.25">
      <c r="B50" s="35">
        <v>1</v>
      </c>
      <c r="C50" s="36">
        <v>6.7</v>
      </c>
      <c r="D50" s="36">
        <v>26.8</v>
      </c>
      <c r="E50" s="77">
        <f>($N$52*C50)-(($N$52-$N$53)*D50)-($N$53*$C$60)</f>
        <v>-103.2855000349056</v>
      </c>
      <c r="F50" s="36" t="s">
        <v>49</v>
      </c>
      <c r="G50" s="36">
        <f>SUM(E57,E58,E59)</f>
        <v>-338.78252580037099</v>
      </c>
      <c r="H50" s="30">
        <f>E50*G50</f>
        <v>34991.322580379623</v>
      </c>
      <c r="L50" s="58" t="s">
        <v>169</v>
      </c>
      <c r="M50" s="52" t="s">
        <v>171</v>
      </c>
      <c r="N50" s="20">
        <f>M34/L34</f>
        <v>0.3056666666666627</v>
      </c>
    </row>
    <row r="51" spans="2:14" x14ac:dyDescent="0.25">
      <c r="B51" s="19">
        <v>2</v>
      </c>
      <c r="C51" s="18">
        <v>8.4</v>
      </c>
      <c r="D51" s="18">
        <v>35</v>
      </c>
      <c r="E51" s="30">
        <f t="shared" ref="E51:E59" si="5">($N$52*C51)-(($N$52-$N$53)*D51)-($N$53*$C$60)</f>
        <v>-118.51664616438899</v>
      </c>
      <c r="F51" s="18" t="s">
        <v>155</v>
      </c>
      <c r="G51" s="18">
        <f>SUM(E55,E56,E59)</f>
        <v>-318.4620001717206</v>
      </c>
      <c r="H51" s="30">
        <f t="shared" ref="H51:H59" si="6">E51*G51</f>
        <v>37743.048191155394</v>
      </c>
    </row>
    <row r="52" spans="2:14" x14ac:dyDescent="0.25">
      <c r="B52" s="19">
        <v>3</v>
      </c>
      <c r="C52" s="18">
        <v>6.3</v>
      </c>
      <c r="D52" s="18">
        <v>29.3</v>
      </c>
      <c r="E52" s="30">
        <f t="shared" si="5"/>
        <v>-110.93337120838231</v>
      </c>
      <c r="F52" s="18" t="s">
        <v>156</v>
      </c>
      <c r="G52" s="18">
        <f>SUM(E54,E56,E58)</f>
        <v>-337.22724146868489</v>
      </c>
      <c r="H52" s="30">
        <f t="shared" si="6"/>
        <v>37409.754759424395</v>
      </c>
      <c r="L52" s="58" t="s">
        <v>175</v>
      </c>
      <c r="M52" s="52" t="s">
        <v>172</v>
      </c>
      <c r="N52" s="20">
        <f>1/N50</f>
        <v>3.2715376226827031</v>
      </c>
    </row>
    <row r="53" spans="2:14" x14ac:dyDescent="0.25">
      <c r="B53" s="19">
        <v>4</v>
      </c>
      <c r="C53" s="18">
        <v>7.6</v>
      </c>
      <c r="D53" s="18">
        <v>31.7</v>
      </c>
      <c r="E53" s="30">
        <f t="shared" si="5"/>
        <v>-112.76605817832233</v>
      </c>
      <c r="F53" s="18" t="s">
        <v>157</v>
      </c>
      <c r="G53" s="18">
        <f>SUM(E54,E55,E57)</f>
        <v>-328.65456109478083</v>
      </c>
      <c r="H53" s="30">
        <f t="shared" si="6"/>
        <v>37061.079356985043</v>
      </c>
      <c r="L53" s="76" t="s">
        <v>176</v>
      </c>
      <c r="M53" s="52" t="s">
        <v>173</v>
      </c>
      <c r="N53" s="20">
        <f>((J3*J4)-J2)/((J4*(J3-1)*N49)-((J2-J4)*N50))</f>
        <v>0.73583517292124045</v>
      </c>
    </row>
    <row r="54" spans="2:14" x14ac:dyDescent="0.25">
      <c r="B54" s="19">
        <v>5</v>
      </c>
      <c r="C54" s="18">
        <v>7.8</v>
      </c>
      <c r="D54" s="18">
        <v>31.8</v>
      </c>
      <c r="E54" s="30">
        <f t="shared" si="5"/>
        <v>-112.36532089876192</v>
      </c>
      <c r="F54" s="18" t="s">
        <v>158</v>
      </c>
      <c r="G54" s="18">
        <f>SUM(E52,E53,E59)</f>
        <v>-331.74611198977954</v>
      </c>
      <c r="H54" s="30">
        <f t="shared" si="6"/>
        <v>37276.75833064819</v>
      </c>
      <c r="L54" s="76" t="s">
        <v>177</v>
      </c>
      <c r="M54" s="52" t="s">
        <v>174</v>
      </c>
      <c r="N54" s="20">
        <f>((J4-1)*N52)+N53</f>
        <v>10.550448040969348</v>
      </c>
    </row>
    <row r="55" spans="2:14" x14ac:dyDescent="0.25">
      <c r="B55" s="19">
        <v>6</v>
      </c>
      <c r="C55" s="18">
        <v>6.1</v>
      </c>
      <c r="D55" s="18">
        <v>26.1</v>
      </c>
      <c r="E55" s="30">
        <f t="shared" si="5"/>
        <v>-103.47343089368221</v>
      </c>
      <c r="F55" s="18" t="s">
        <v>56</v>
      </c>
      <c r="G55" s="18">
        <f>SUM(E51,E53,E58)</f>
        <v>-349.20273823767076</v>
      </c>
      <c r="H55" s="30">
        <f t="shared" si="6"/>
        <v>36133.205402920219</v>
      </c>
    </row>
    <row r="56" spans="2:14" x14ac:dyDescent="0.25">
      <c r="B56" s="19">
        <v>7</v>
      </c>
      <c r="C56" s="18">
        <v>6.9</v>
      </c>
      <c r="D56" s="18">
        <v>28.5</v>
      </c>
      <c r="E56" s="30">
        <f t="shared" si="5"/>
        <v>-106.94188667496354</v>
      </c>
      <c r="F56" s="18" t="s">
        <v>159</v>
      </c>
      <c r="G56" s="18">
        <f>SUM(E51,E52,E57)</f>
        <v>-342.26582667510797</v>
      </c>
      <c r="H56" s="30">
        <f t="shared" si="6"/>
        <v>36602.553249002107</v>
      </c>
      <c r="M56" s="15" t="s">
        <v>178</v>
      </c>
      <c r="N56">
        <f>(J5*N54)+(J7*(N52-N53))</f>
        <v>23.636598531700159</v>
      </c>
    </row>
    <row r="57" spans="2:14" x14ac:dyDescent="0.25">
      <c r="B57" s="19">
        <v>8</v>
      </c>
      <c r="C57" s="18">
        <v>9.6</v>
      </c>
      <c r="D57" s="18">
        <v>34.299999999999997</v>
      </c>
      <c r="E57" s="30">
        <f t="shared" si="5"/>
        <v>-112.8158093023367</v>
      </c>
      <c r="F57" s="18" t="s">
        <v>160</v>
      </c>
      <c r="G57" s="18">
        <f>SUM(E50,E53,E56)</f>
        <v>-322.99344488819145</v>
      </c>
      <c r="H57" s="30">
        <f t="shared" si="6"/>
        <v>36438.766884411009</v>
      </c>
      <c r="M57" s="15" t="s">
        <v>187</v>
      </c>
      <c r="N57">
        <f>(N52-N53)*(J7-J6)</f>
        <v>2.5357024497614624</v>
      </c>
    </row>
    <row r="58" spans="2:14" x14ac:dyDescent="0.25">
      <c r="B58" s="19">
        <v>9</v>
      </c>
      <c r="C58" s="18">
        <v>9.9</v>
      </c>
      <c r="D58" s="18">
        <v>36.700000000000003</v>
      </c>
      <c r="E58" s="30">
        <f t="shared" si="5"/>
        <v>-117.92003389495943</v>
      </c>
      <c r="F58" s="18" t="s">
        <v>161</v>
      </c>
      <c r="G58" s="18">
        <f>SUM(E50,E52,E55)</f>
        <v>-317.69230213697011</v>
      </c>
      <c r="H58" s="30">
        <f t="shared" si="6"/>
        <v>37462.287036159207</v>
      </c>
      <c r="M58" s="15" t="s">
        <v>64</v>
      </c>
      <c r="N58">
        <f>U19*N57</f>
        <v>5.0714048995229248</v>
      </c>
    </row>
    <row r="59" spans="2:14" ht="15.75" thickBot="1" x14ac:dyDescent="0.3">
      <c r="B59" s="39">
        <v>10</v>
      </c>
      <c r="C59" s="33">
        <v>8.5</v>
      </c>
      <c r="D59" s="33">
        <v>31</v>
      </c>
      <c r="E59" s="78">
        <f t="shared" si="5"/>
        <v>-108.04668260307487</v>
      </c>
      <c r="F59" s="33" t="s">
        <v>57</v>
      </c>
      <c r="G59" s="33">
        <f>SUM(E50,E51,E54)</f>
        <v>-334.16746709805648</v>
      </c>
      <c r="H59" s="30">
        <f t="shared" si="6"/>
        <v>36105.68625381717</v>
      </c>
      <c r="M59" s="15" t="s">
        <v>65</v>
      </c>
      <c r="N59">
        <f>N56+N57*(U5-U15)</f>
        <v>21.100896081938696</v>
      </c>
    </row>
    <row r="60" spans="2:14" ht="15.75" thickBot="1" x14ac:dyDescent="0.3">
      <c r="B60" s="39" t="s">
        <v>31</v>
      </c>
      <c r="C60" s="33">
        <f>SUM(C50:C59)</f>
        <v>77.8</v>
      </c>
      <c r="D60" s="33">
        <f>SUM(D50:D59)</f>
        <v>311.2</v>
      </c>
      <c r="E60" s="33">
        <f>SUM(E50:E59)</f>
        <v>-1107.0647398537781</v>
      </c>
      <c r="F60" s="33"/>
      <c r="G60" s="33">
        <f>SUM(G50:G59)</f>
        <v>-3321.1942195613337</v>
      </c>
      <c r="H60" s="78">
        <f>SUM(H50:H59)</f>
        <v>367224.46204490232</v>
      </c>
      <c r="M60" s="15" t="s">
        <v>66</v>
      </c>
      <c r="N60">
        <f>(N56*N59)-(N57*N58)</f>
        <v>485.89383552045729</v>
      </c>
    </row>
    <row r="63" spans="2:14" ht="15.75" x14ac:dyDescent="0.25">
      <c r="D63" s="74" t="s">
        <v>93</v>
      </c>
    </row>
    <row r="65" spans="4:7" x14ac:dyDescent="0.25">
      <c r="D65" s="58" t="s">
        <v>182</v>
      </c>
      <c r="E65" s="20">
        <f>SUMSQ(E50:E59)</f>
        <v>122812.3968713003</v>
      </c>
    </row>
    <row r="66" spans="4:7" x14ac:dyDescent="0.25">
      <c r="D66" s="58"/>
    </row>
    <row r="67" spans="4:7" x14ac:dyDescent="0.25">
      <c r="D67" s="58" t="s">
        <v>183</v>
      </c>
      <c r="E67" s="20">
        <f>H60</f>
        <v>367224.46204490232</v>
      </c>
    </row>
    <row r="68" spans="4:7" x14ac:dyDescent="0.25">
      <c r="D68" s="58"/>
    </row>
    <row r="69" spans="4:7" x14ac:dyDescent="0.25">
      <c r="D69" s="58" t="s">
        <v>184</v>
      </c>
      <c r="E69" s="20">
        <f>(N59*E65)-(N57*E67)</f>
        <v>1660279.6559355268</v>
      </c>
    </row>
    <row r="70" spans="4:7" x14ac:dyDescent="0.25">
      <c r="D70" s="58"/>
    </row>
    <row r="71" spans="4:7" x14ac:dyDescent="0.25">
      <c r="D71" s="58" t="s">
        <v>185</v>
      </c>
      <c r="E71" s="20">
        <f>J4*(J2-1)*N60</f>
        <v>17492.178078736462</v>
      </c>
    </row>
    <row r="72" spans="4:7" ht="15.75" thickBot="1" x14ac:dyDescent="0.3">
      <c r="D72" s="58"/>
    </row>
    <row r="73" spans="4:7" ht="15.75" thickBot="1" x14ac:dyDescent="0.3">
      <c r="D73" s="56" t="s">
        <v>186</v>
      </c>
      <c r="E73" s="20">
        <f>E69/E71</f>
        <v>94.915547307042743</v>
      </c>
      <c r="F73" s="61" t="s">
        <v>122</v>
      </c>
      <c r="G73" s="80" t="s">
        <v>188</v>
      </c>
    </row>
    <row r="74" spans="4:7" ht="15.75" thickBot="1" x14ac:dyDescent="0.3">
      <c r="E74" s="20">
        <f>_xlfn.F.INV.RT(0.05,9,6)</f>
        <v>4.099015541716521</v>
      </c>
      <c r="F74" s="61" t="s">
        <v>123</v>
      </c>
      <c r="G74" s="80" t="s">
        <v>189</v>
      </c>
    </row>
    <row r="76" spans="4:7" x14ac:dyDescent="0.25">
      <c r="E76" s="81" t="s">
        <v>190</v>
      </c>
    </row>
  </sheetData>
  <mergeCells count="4">
    <mergeCell ref="C2:F2"/>
    <mergeCell ref="B14:B15"/>
    <mergeCell ref="C14:G14"/>
    <mergeCell ref="H14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Chaurasia</dc:creator>
  <cp:lastModifiedBy>Julie Chaurasia</cp:lastModifiedBy>
  <dcterms:created xsi:type="dcterms:W3CDTF">2015-06-05T18:17:20Z</dcterms:created>
  <dcterms:modified xsi:type="dcterms:W3CDTF">2026-09-23T16:56:54Z</dcterms:modified>
</cp:coreProperties>
</file>