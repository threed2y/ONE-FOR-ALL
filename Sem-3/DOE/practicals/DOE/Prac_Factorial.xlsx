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OneDrive\Desktop\PRACTICALS\DOE\"/>
    </mc:Choice>
  </mc:AlternateContent>
  <xr:revisionPtr revIDLastSave="0" documentId="13_ncr:1_{AD345E31-E4AE-4721-9928-39B78B05115F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3" i="1" l="1"/>
  <c r="I24" i="1"/>
  <c r="I25" i="1"/>
  <c r="I26" i="1"/>
  <c r="I27" i="1"/>
  <c r="I28" i="1"/>
  <c r="I29" i="1"/>
  <c r="I30" i="1"/>
  <c r="I22" i="1"/>
  <c r="G23" i="1"/>
  <c r="G24" i="1"/>
  <c r="G25" i="1"/>
  <c r="G26" i="1"/>
  <c r="G27" i="1"/>
  <c r="G28" i="1"/>
  <c r="G29" i="1"/>
  <c r="G30" i="1"/>
  <c r="G22" i="1"/>
  <c r="F31" i="1"/>
  <c r="G31" i="1" s="1"/>
  <c r="J13" i="1"/>
  <c r="H13" i="1"/>
  <c r="F13" i="1"/>
  <c r="D13" i="1"/>
  <c r="N12" i="1"/>
  <c r="O12" i="1" s="1"/>
  <c r="N11" i="1"/>
  <c r="N10" i="1"/>
  <c r="N9" i="1"/>
  <c r="O7" i="1" s="1"/>
  <c r="N8" i="1"/>
  <c r="N7" i="1"/>
  <c r="N6" i="1"/>
  <c r="N5" i="1"/>
  <c r="O5" i="1" s="1"/>
  <c r="H23" i="1" l="1"/>
  <c r="H27" i="1"/>
  <c r="H30" i="1"/>
  <c r="H26" i="1"/>
  <c r="H29" i="1"/>
  <c r="H28" i="1"/>
  <c r="H22" i="1"/>
  <c r="H25" i="1"/>
  <c r="H24" i="1"/>
  <c r="O11" i="1"/>
  <c r="O6" i="1"/>
  <c r="P9" i="1" s="1"/>
  <c r="P5" i="1"/>
  <c r="O10" i="1"/>
  <c r="O9" i="1"/>
  <c r="P7" i="1" s="1"/>
  <c r="Q6" i="1" s="1"/>
  <c r="S6" i="1" s="1"/>
  <c r="P8" i="1"/>
  <c r="O8" i="1"/>
  <c r="P6" i="1" s="1"/>
  <c r="Q9" i="1" s="1"/>
  <c r="S9" i="1" s="1"/>
  <c r="P11" i="1"/>
  <c r="P12" i="1"/>
  <c r="Q12" i="1" s="1"/>
  <c r="S12" i="1" s="1"/>
  <c r="Q8" i="1" l="1"/>
  <c r="S8" i="1" s="1"/>
  <c r="P10" i="1"/>
  <c r="Q7" i="1" s="1"/>
  <c r="S7" i="1" s="1"/>
  <c r="Q10" i="1"/>
  <c r="S10" i="1" s="1"/>
  <c r="Q5" i="1"/>
  <c r="Q15" i="1" s="1"/>
  <c r="Q11" i="1" l="1"/>
  <c r="S11" i="1" s="1"/>
  <c r="Q19" i="1"/>
  <c r="Q17" i="1"/>
  <c r="Q18" i="1"/>
</calcChain>
</file>

<file path=xl/sharedStrings.xml><?xml version="1.0" encoding="utf-8"?>
<sst xmlns="http://schemas.openxmlformats.org/spreadsheetml/2006/main" count="105" uniqueCount="63">
  <si>
    <t>FULL FACTORIAL</t>
  </si>
  <si>
    <t>n</t>
  </si>
  <si>
    <t>pk</t>
  </si>
  <si>
    <t>npk</t>
  </si>
  <si>
    <t>k</t>
  </si>
  <si>
    <t>nk</t>
  </si>
  <si>
    <t>p</t>
  </si>
  <si>
    <t>np</t>
  </si>
  <si>
    <t>BLOCK 1</t>
  </si>
  <si>
    <t>BLOCK 2</t>
  </si>
  <si>
    <t>BLOCK 3</t>
  </si>
  <si>
    <t>BLOCK 4</t>
  </si>
  <si>
    <t>Q.1.</t>
  </si>
  <si>
    <t>I</t>
  </si>
  <si>
    <t>YATE'S TABLE</t>
  </si>
  <si>
    <t>0th</t>
  </si>
  <si>
    <t>1st</t>
  </si>
  <si>
    <t>2nd</t>
  </si>
  <si>
    <t>3rd</t>
  </si>
  <si>
    <t>G</t>
  </si>
  <si>
    <t>N</t>
  </si>
  <si>
    <t>P</t>
  </si>
  <si>
    <t>NP</t>
  </si>
  <si>
    <t>K</t>
  </si>
  <si>
    <t>NK</t>
  </si>
  <si>
    <t>PK</t>
  </si>
  <si>
    <t>NPK</t>
  </si>
  <si>
    <t>S.S</t>
  </si>
  <si>
    <t>M.S.S</t>
  </si>
  <si>
    <t>(.)</t>
  </si>
  <si>
    <t>no.of factors(m)</t>
  </si>
  <si>
    <t>no.of blocks (b)</t>
  </si>
  <si>
    <t>no.of treatments (v)</t>
  </si>
  <si>
    <t>(df=1)</t>
  </si>
  <si>
    <t>no.of replication (r)</t>
  </si>
  <si>
    <t>correction factor(CF)</t>
  </si>
  <si>
    <t>G^2/(r2^3)</t>
  </si>
  <si>
    <t>total sum of square(TSS)</t>
  </si>
  <si>
    <t>sum of square due to treatment(SST)</t>
  </si>
  <si>
    <t>∑yij^2-CF</t>
  </si>
  <si>
    <t>(1/(2^m)-1)∑Bj^2-CF</t>
  </si>
  <si>
    <t>(1/(2^m-1)-1)∑Ti^2-CF</t>
  </si>
  <si>
    <t>HYPOTHESIS</t>
  </si>
  <si>
    <t>SOURCE</t>
  </si>
  <si>
    <t>Blocks</t>
  </si>
  <si>
    <t>treatments</t>
  </si>
  <si>
    <t>Total</t>
  </si>
  <si>
    <t>sum of square due to block(SSB)</t>
  </si>
  <si>
    <r>
      <rPr>
        <b/>
        <sz val="11"/>
        <color theme="1"/>
        <rFont val="Calibri"/>
        <family val="2"/>
        <scheme val="minor"/>
      </rPr>
      <t>H01:</t>
    </r>
    <r>
      <rPr>
        <sz val="11"/>
        <color theme="1"/>
        <rFont val="Calibri"/>
        <family val="2"/>
        <scheme val="minor"/>
      </rPr>
      <t xml:space="preserve"> All blocks are equally effective vs </t>
    </r>
    <r>
      <rPr>
        <b/>
        <sz val="11"/>
        <color theme="1"/>
        <rFont val="Calibri"/>
        <family val="2"/>
        <scheme val="minor"/>
      </rPr>
      <t>H11:</t>
    </r>
    <r>
      <rPr>
        <sz val="11"/>
        <color theme="1"/>
        <rFont val="Calibri"/>
        <family val="2"/>
        <scheme val="minor"/>
      </rPr>
      <t xml:space="preserve"> Atleast one is diffrent</t>
    </r>
  </si>
  <si>
    <r>
      <rPr>
        <b/>
        <sz val="11"/>
        <color theme="1"/>
        <rFont val="Calibri"/>
        <family val="2"/>
        <scheme val="minor"/>
      </rPr>
      <t xml:space="preserve">H02: </t>
    </r>
    <r>
      <rPr>
        <sz val="11"/>
        <color theme="1"/>
        <rFont val="Calibri"/>
        <family val="2"/>
        <scheme val="minor"/>
      </rPr>
      <t xml:space="preserve">All treatment are equally effective vs </t>
    </r>
    <r>
      <rPr>
        <b/>
        <sz val="11"/>
        <color theme="1"/>
        <rFont val="Calibri"/>
        <family val="2"/>
        <scheme val="minor"/>
      </rPr>
      <t>H12:</t>
    </r>
    <r>
      <rPr>
        <sz val="11"/>
        <color theme="1"/>
        <rFont val="Calibri"/>
        <family val="2"/>
        <scheme val="minor"/>
      </rPr>
      <t xml:space="preserve"> Atleast one is diffrent</t>
    </r>
  </si>
  <si>
    <r>
      <rPr>
        <b/>
        <sz val="11"/>
        <color theme="1"/>
        <rFont val="Calibri"/>
        <family val="2"/>
        <scheme val="minor"/>
      </rPr>
      <t>H03:</t>
    </r>
    <r>
      <rPr>
        <sz val="11"/>
        <color theme="1"/>
        <rFont val="Calibri"/>
        <family val="2"/>
        <scheme val="minor"/>
      </rPr>
      <t xml:space="preserve"> All maximum effects are equally effective vs </t>
    </r>
    <r>
      <rPr>
        <b/>
        <sz val="11"/>
        <color theme="1"/>
        <rFont val="Calibri"/>
        <family val="2"/>
        <scheme val="minor"/>
      </rPr>
      <t xml:space="preserve">H13: </t>
    </r>
    <r>
      <rPr>
        <sz val="11"/>
        <color theme="1"/>
        <rFont val="Calibri"/>
        <family val="2"/>
        <scheme val="minor"/>
      </rPr>
      <t>Atleast one is diffrent</t>
    </r>
  </si>
  <si>
    <r>
      <rPr>
        <b/>
        <sz val="11"/>
        <color theme="1"/>
        <rFont val="Calibri"/>
        <family val="2"/>
        <scheme val="minor"/>
      </rPr>
      <t>H04:</t>
    </r>
    <r>
      <rPr>
        <sz val="11"/>
        <color theme="1"/>
        <rFont val="Calibri"/>
        <family val="2"/>
        <scheme val="minor"/>
      </rPr>
      <t xml:space="preserve"> All interaction effects are equally effective vs </t>
    </r>
    <r>
      <rPr>
        <b/>
        <sz val="11"/>
        <color theme="1"/>
        <rFont val="Calibri"/>
        <family val="2"/>
        <scheme val="minor"/>
      </rPr>
      <t xml:space="preserve">H14: </t>
    </r>
    <r>
      <rPr>
        <sz val="11"/>
        <color theme="1"/>
        <rFont val="Calibri"/>
        <family val="2"/>
        <scheme val="minor"/>
      </rPr>
      <t>Atleast one is diffrent</t>
    </r>
  </si>
  <si>
    <t>Main Effect</t>
  </si>
  <si>
    <t>Interactive Effect</t>
  </si>
  <si>
    <t>df</t>
  </si>
  <si>
    <t>Fcal</t>
  </si>
  <si>
    <t>Ftab</t>
  </si>
  <si>
    <t>Error</t>
  </si>
  <si>
    <t>CONCLUSION</t>
  </si>
  <si>
    <t>1. Do not reject all blocks are equally effective.</t>
  </si>
  <si>
    <t>2. Reject all treatments are not equally effective.</t>
  </si>
  <si>
    <t>3. Reject all main effects are not equally effective.</t>
  </si>
  <si>
    <t>4. Reject for ac interaction effect of ac is not effective but that of ab,bc,abc are effective.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</si>
</sst>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4ECBA"/>
        <bgColor indexed="64"/>
      </patternFill>
    </fill>
    <fill>
      <patternFill patternType="solid">
        <fgColor rgb="FFC9F1FF"/>
        <bgColor indexed="64"/>
      </patternFill>
    </fill>
    <fill>
      <patternFill patternType="solid">
        <fgColor rgb="FFFFC5C5"/>
        <bgColor indexed="64"/>
      </patternFill>
    </fill>
    <fill>
      <patternFill patternType="solid">
        <fgColor rgb="FFFFFFB3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2" xfId="0" applyBorder="1" applyAlignment="1"/>
    <xf numFmtId="0" fontId="0" fillId="0" borderId="4" xfId="0" applyBorder="1" applyAlignment="1"/>
    <xf numFmtId="0" fontId="0" fillId="0" borderId="0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0" fillId="0" borderId="1" xfId="0" applyBorder="1"/>
    <xf numFmtId="0" fontId="0" fillId="0" borderId="4" xfId="0" applyBorder="1"/>
    <xf numFmtId="0" fontId="0" fillId="0" borderId="6" xfId="0" applyBorder="1"/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" xfId="0" applyBorder="1"/>
    <xf numFmtId="0" fontId="0" fillId="0" borderId="0" xfId="0" applyBorder="1"/>
    <xf numFmtId="0" fontId="0" fillId="0" borderId="7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 applyAlignment="1"/>
    <xf numFmtId="0" fontId="0" fillId="0" borderId="23" xfId="0" applyBorder="1" applyAlignment="1"/>
    <xf numFmtId="0" fontId="3" fillId="0" borderId="23" xfId="0" applyFont="1" applyBorder="1" applyAlignment="1"/>
    <xf numFmtId="0" fontId="0" fillId="0" borderId="24" xfId="0" applyBorder="1" applyAlignment="1"/>
    <xf numFmtId="0" fontId="1" fillId="0" borderId="2" xfId="0" applyFont="1" applyBorder="1" applyAlignment="1">
      <alignment horizontal="right"/>
    </xf>
    <xf numFmtId="0" fontId="1" fillId="0" borderId="0" xfId="0" applyFont="1" applyBorder="1"/>
    <xf numFmtId="0" fontId="1" fillId="0" borderId="0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0" fillId="0" borderId="0" xfId="0" applyAlignment="1">
      <alignment horizontal="center" vertical="center" wrapText="1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15" xfId="0" applyFont="1" applyBorder="1"/>
    <xf numFmtId="0" fontId="1" fillId="0" borderId="26" xfId="0" applyFont="1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1" fillId="0" borderId="30" xfId="0" applyFont="1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1" fillId="0" borderId="33" xfId="0" applyFont="1" applyBorder="1"/>
    <xf numFmtId="0" fontId="1" fillId="0" borderId="34" xfId="0" applyFont="1" applyBorder="1"/>
    <xf numFmtId="0" fontId="1" fillId="0" borderId="36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3" borderId="4" xfId="0" applyFill="1" applyBorder="1"/>
    <xf numFmtId="0" fontId="0" fillId="3" borderId="0" xfId="0" applyFill="1" applyBorder="1"/>
    <xf numFmtId="0" fontId="0" fillId="3" borderId="5" xfId="0" applyFill="1" applyBorder="1"/>
    <xf numFmtId="0" fontId="0" fillId="4" borderId="33" xfId="0" applyFill="1" applyBorder="1"/>
    <xf numFmtId="0" fontId="0" fillId="4" borderId="34" xfId="0" applyFill="1" applyBorder="1"/>
    <xf numFmtId="0" fontId="0" fillId="4" borderId="35" xfId="0" applyFill="1" applyBorder="1"/>
    <xf numFmtId="0" fontId="0" fillId="4" borderId="4" xfId="0" applyFill="1" applyBorder="1"/>
    <xf numFmtId="0" fontId="0" fillId="4" borderId="0" xfId="0" applyFill="1" applyBorder="1"/>
    <xf numFmtId="0" fontId="0" fillId="4" borderId="5" xfId="0" applyFill="1" applyBorder="1"/>
    <xf numFmtId="0" fontId="0" fillId="5" borderId="33" xfId="0" applyFill="1" applyBorder="1"/>
    <xf numFmtId="0" fontId="0" fillId="5" borderId="34" xfId="0" applyFill="1" applyBorder="1"/>
    <xf numFmtId="0" fontId="0" fillId="5" borderId="35" xfId="0" applyFill="1" applyBorder="1"/>
    <xf numFmtId="0" fontId="0" fillId="5" borderId="4" xfId="0" applyFill="1" applyBorder="1"/>
    <xf numFmtId="0" fontId="0" fillId="5" borderId="0" xfId="0" applyFill="1" applyBorder="1"/>
    <xf numFmtId="0" fontId="0" fillId="5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B3"/>
      <color rgb="FFFFC5C5"/>
      <color rgb="FFC9F1FF"/>
      <color rgb="FFD4ECBA"/>
      <color rgb="FFFFFF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"/>
  <sheetViews>
    <sheetView tabSelected="1" topLeftCell="B1" workbookViewId="0">
      <selection activeCell="K6" sqref="K6"/>
    </sheetView>
  </sheetViews>
  <sheetFormatPr defaultRowHeight="15" x14ac:dyDescent="0.25"/>
  <cols>
    <col min="3" max="3" width="11.140625" customWidth="1"/>
    <col min="11" max="11" width="14.85546875" customWidth="1"/>
    <col min="12" max="12" width="17" customWidth="1"/>
    <col min="13" max="13" width="9.85546875" customWidth="1"/>
    <col min="15" max="15" width="12.28515625" customWidth="1"/>
    <col min="16" max="16" width="11.7109375" customWidth="1"/>
    <col min="19" max="19" width="10.85546875" customWidth="1"/>
  </cols>
  <sheetData>
    <row r="1" spans="1:21" ht="21.75" thickBot="1" x14ac:dyDescent="0.4">
      <c r="J1" s="18" t="s">
        <v>0</v>
      </c>
      <c r="K1" s="19"/>
      <c r="L1" s="20"/>
    </row>
    <row r="3" spans="1:21" x14ac:dyDescent="0.25">
      <c r="M3" s="1" t="s">
        <v>14</v>
      </c>
      <c r="T3" t="s">
        <v>33</v>
      </c>
    </row>
    <row r="4" spans="1:21" ht="15.75" thickBot="1" x14ac:dyDescent="0.3">
      <c r="A4" s="1" t="s">
        <v>12</v>
      </c>
      <c r="B4" s="1"/>
      <c r="C4" s="2"/>
      <c r="D4" s="3" t="s">
        <v>8</v>
      </c>
      <c r="E4" s="3"/>
      <c r="F4" s="3" t="s">
        <v>9</v>
      </c>
      <c r="G4" s="3"/>
      <c r="H4" s="3" t="s">
        <v>10</v>
      </c>
      <c r="I4" s="3"/>
      <c r="J4" s="3" t="s">
        <v>11</v>
      </c>
      <c r="K4" s="3"/>
      <c r="N4" s="3" t="s">
        <v>15</v>
      </c>
      <c r="O4" s="3" t="s">
        <v>16</v>
      </c>
      <c r="P4" s="3" t="s">
        <v>17</v>
      </c>
      <c r="Q4" s="3" t="s">
        <v>18</v>
      </c>
      <c r="S4" s="3" t="s">
        <v>27</v>
      </c>
      <c r="T4" s="3" t="s">
        <v>28</v>
      </c>
    </row>
    <row r="5" spans="1:21" x14ac:dyDescent="0.25">
      <c r="C5" s="4" t="s">
        <v>13</v>
      </c>
      <c r="D5" s="5">
        <v>29</v>
      </c>
      <c r="E5" s="6" t="s">
        <v>1</v>
      </c>
      <c r="F5" s="5">
        <v>62</v>
      </c>
      <c r="G5" s="6" t="s">
        <v>6</v>
      </c>
      <c r="H5" s="5">
        <v>17</v>
      </c>
      <c r="I5" s="6" t="s">
        <v>7</v>
      </c>
      <c r="J5" s="7">
        <v>43</v>
      </c>
      <c r="K5" s="2"/>
      <c r="M5" s="3" t="s">
        <v>13</v>
      </c>
      <c r="N5" s="4">
        <f>D5+F10+H11+J12</f>
        <v>102</v>
      </c>
      <c r="O5" s="6">
        <f>SUM(N5,N6)</f>
        <v>263</v>
      </c>
      <c r="P5" s="6">
        <f>SUM(O5,O6)</f>
        <v>562</v>
      </c>
      <c r="Q5" s="6">
        <f>SUM(P5,P6)</f>
        <v>1894</v>
      </c>
      <c r="R5" s="15" t="s">
        <v>19</v>
      </c>
      <c r="S5" s="6" t="s">
        <v>29</v>
      </c>
      <c r="T5" s="7" t="s">
        <v>29</v>
      </c>
    </row>
    <row r="6" spans="1:21" x14ac:dyDescent="0.25">
      <c r="C6" s="8" t="s">
        <v>1</v>
      </c>
      <c r="D6" s="9">
        <v>37</v>
      </c>
      <c r="E6" s="2" t="s">
        <v>6</v>
      </c>
      <c r="F6" s="9">
        <v>23</v>
      </c>
      <c r="G6" s="2" t="s">
        <v>2</v>
      </c>
      <c r="H6" s="9">
        <v>78</v>
      </c>
      <c r="I6" s="2" t="s">
        <v>5</v>
      </c>
      <c r="J6" s="10">
        <v>83</v>
      </c>
      <c r="K6" s="2"/>
      <c r="M6" s="3" t="s">
        <v>1</v>
      </c>
      <c r="N6" s="8">
        <f>SUM(D6,F5,H7,J8)</f>
        <v>161</v>
      </c>
      <c r="O6" s="2">
        <f>SUM(N7,N8)</f>
        <v>299</v>
      </c>
      <c r="P6" s="2">
        <f>SUM(O7,O8)</f>
        <v>1332</v>
      </c>
      <c r="Q6" s="2">
        <f>SUM(P7,P8)</f>
        <v>682</v>
      </c>
      <c r="R6" s="16" t="s">
        <v>20</v>
      </c>
      <c r="S6" s="2">
        <f>SUMSQ(Q6)/32</f>
        <v>14535.125</v>
      </c>
      <c r="T6" s="10">
        <v>14535.125</v>
      </c>
    </row>
    <row r="7" spans="1:21" x14ac:dyDescent="0.25">
      <c r="C7" s="8" t="s">
        <v>2</v>
      </c>
      <c r="D7" s="9">
        <v>54</v>
      </c>
      <c r="E7" s="2" t="s">
        <v>2</v>
      </c>
      <c r="F7" s="9">
        <v>33</v>
      </c>
      <c r="G7" s="2" t="s">
        <v>1</v>
      </c>
      <c r="H7" s="9">
        <v>30</v>
      </c>
      <c r="I7" s="2" t="s">
        <v>6</v>
      </c>
      <c r="J7" s="10">
        <v>26</v>
      </c>
      <c r="K7" s="2"/>
      <c r="M7" s="3" t="s">
        <v>6</v>
      </c>
      <c r="N7" s="8">
        <f>SUM(D9,F6,H5,J7)</f>
        <v>96</v>
      </c>
      <c r="O7" s="2">
        <f>SUM(N9,N10)</f>
        <v>596</v>
      </c>
      <c r="P7" s="2">
        <f>SUM(O9,O10)</f>
        <v>166</v>
      </c>
      <c r="Q7" s="2">
        <f>SUM(P9,P10)</f>
        <v>176</v>
      </c>
      <c r="R7" s="16" t="s">
        <v>21</v>
      </c>
      <c r="S7" s="2">
        <f t="shared" ref="S7:S12" si="0">SUMSQ(Q7)/32</f>
        <v>968</v>
      </c>
      <c r="T7" s="10">
        <v>968</v>
      </c>
    </row>
    <row r="8" spans="1:21" x14ac:dyDescent="0.25">
      <c r="C8" s="8" t="s">
        <v>3</v>
      </c>
      <c r="D8" s="9">
        <v>145</v>
      </c>
      <c r="E8" s="2" t="s">
        <v>5</v>
      </c>
      <c r="F8" s="9">
        <v>86</v>
      </c>
      <c r="G8" s="2" t="s">
        <v>4</v>
      </c>
      <c r="H8" s="9">
        <v>66</v>
      </c>
      <c r="I8" s="2" t="s">
        <v>1</v>
      </c>
      <c r="J8" s="10">
        <v>32</v>
      </c>
      <c r="K8" s="2"/>
      <c r="M8" s="3" t="s">
        <v>7</v>
      </c>
      <c r="N8" s="8">
        <f>SUM(D12,F9,H12,J5)</f>
        <v>203</v>
      </c>
      <c r="O8" s="2">
        <f>SUM(N11,N12)</f>
        <v>736</v>
      </c>
      <c r="P8" s="2">
        <f>SUM(O11,O12)</f>
        <v>516</v>
      </c>
      <c r="Q8" s="2">
        <f>SUM(P11,P12)</f>
        <v>112</v>
      </c>
      <c r="R8" s="16" t="s">
        <v>22</v>
      </c>
      <c r="S8" s="2">
        <f t="shared" si="0"/>
        <v>392</v>
      </c>
      <c r="T8" s="10">
        <v>392</v>
      </c>
    </row>
    <row r="9" spans="1:21" x14ac:dyDescent="0.25">
      <c r="C9" s="8" t="s">
        <v>6</v>
      </c>
      <c r="D9" s="9">
        <v>30</v>
      </c>
      <c r="E9" s="2" t="s">
        <v>7</v>
      </c>
      <c r="F9" s="9">
        <v>46</v>
      </c>
      <c r="G9" s="2" t="s">
        <v>5</v>
      </c>
      <c r="H9" s="9">
        <v>112</v>
      </c>
      <c r="I9" s="2" t="s">
        <v>3</v>
      </c>
      <c r="J9" s="10">
        <v>124</v>
      </c>
      <c r="K9" s="2"/>
      <c r="M9" s="3" t="s">
        <v>4</v>
      </c>
      <c r="N9" s="8">
        <f>SUM(D10,F12,H8,J10)</f>
        <v>185</v>
      </c>
      <c r="O9" s="2">
        <f>N6-N5</f>
        <v>59</v>
      </c>
      <c r="P9" s="2">
        <f>O6-O5</f>
        <v>36</v>
      </c>
      <c r="Q9" s="2">
        <f>P6-P5</f>
        <v>770</v>
      </c>
      <c r="R9" s="16" t="s">
        <v>23</v>
      </c>
      <c r="S9" s="2">
        <f t="shared" si="0"/>
        <v>18528.125</v>
      </c>
      <c r="T9" s="10">
        <v>18528.125</v>
      </c>
    </row>
    <row r="10" spans="1:21" x14ac:dyDescent="0.25">
      <c r="C10" s="8" t="s">
        <v>4</v>
      </c>
      <c r="D10" s="9">
        <v>48</v>
      </c>
      <c r="E10" s="2" t="s">
        <v>13</v>
      </c>
      <c r="F10" s="9">
        <v>34</v>
      </c>
      <c r="G10" s="2" t="s">
        <v>3</v>
      </c>
      <c r="H10" s="9">
        <v>113</v>
      </c>
      <c r="I10" s="2" t="s">
        <v>4</v>
      </c>
      <c r="J10" s="10">
        <v>38</v>
      </c>
      <c r="K10" s="2"/>
      <c r="M10" s="3" t="s">
        <v>5</v>
      </c>
      <c r="N10" s="8">
        <f>SUM(D11,F8,H9,J6)</f>
        <v>411</v>
      </c>
      <c r="O10" s="2">
        <f>N8-N7</f>
        <v>107</v>
      </c>
      <c r="P10" s="2">
        <f>O8-O7</f>
        <v>140</v>
      </c>
      <c r="Q10" s="2">
        <f>P8-P7</f>
        <v>350</v>
      </c>
      <c r="R10" s="16" t="s">
        <v>24</v>
      </c>
      <c r="S10" s="2">
        <f t="shared" si="0"/>
        <v>3828.125</v>
      </c>
      <c r="T10" s="10">
        <v>3828.125</v>
      </c>
    </row>
    <row r="11" spans="1:21" x14ac:dyDescent="0.25">
      <c r="C11" s="8" t="s">
        <v>5</v>
      </c>
      <c r="D11" s="9">
        <v>130</v>
      </c>
      <c r="E11" s="2" t="s">
        <v>3</v>
      </c>
      <c r="F11" s="9">
        <v>131</v>
      </c>
      <c r="G11" s="2" t="s">
        <v>13</v>
      </c>
      <c r="H11" s="9">
        <v>25</v>
      </c>
      <c r="I11" s="2" t="s">
        <v>2</v>
      </c>
      <c r="J11" s="10">
        <v>58</v>
      </c>
      <c r="K11" s="2"/>
      <c r="M11" s="3" t="s">
        <v>2</v>
      </c>
      <c r="N11" s="8">
        <f>SUM(D7,F7,H6,J11)</f>
        <v>223</v>
      </c>
      <c r="O11" s="2">
        <f>N10-N9</f>
        <v>226</v>
      </c>
      <c r="P11" s="2">
        <f>O10-O9</f>
        <v>48</v>
      </c>
      <c r="Q11" s="2">
        <f>P10-P9</f>
        <v>104</v>
      </c>
      <c r="R11" s="16" t="s">
        <v>25</v>
      </c>
      <c r="S11" s="2">
        <f t="shared" si="0"/>
        <v>338</v>
      </c>
      <c r="T11" s="10">
        <v>338</v>
      </c>
    </row>
    <row r="12" spans="1:21" ht="15.75" thickBot="1" x14ac:dyDescent="0.3">
      <c r="C12" s="11" t="s">
        <v>7</v>
      </c>
      <c r="D12" s="12">
        <v>62</v>
      </c>
      <c r="E12" s="13" t="s">
        <v>4</v>
      </c>
      <c r="F12" s="12">
        <v>33</v>
      </c>
      <c r="G12" s="13" t="s">
        <v>7</v>
      </c>
      <c r="H12" s="12">
        <v>52</v>
      </c>
      <c r="I12" s="13" t="s">
        <v>13</v>
      </c>
      <c r="J12" s="14">
        <v>14</v>
      </c>
      <c r="K12" s="2"/>
      <c r="M12" s="3" t="s">
        <v>3</v>
      </c>
      <c r="N12" s="11">
        <f>SUM(D8,F11,H10,J9)</f>
        <v>513</v>
      </c>
      <c r="O12" s="13">
        <f>N12-N11</f>
        <v>290</v>
      </c>
      <c r="P12" s="13">
        <f>O12-O11</f>
        <v>64</v>
      </c>
      <c r="Q12" s="13">
        <f>P12-P11</f>
        <v>16</v>
      </c>
      <c r="R12" s="17" t="s">
        <v>26</v>
      </c>
      <c r="S12" s="13">
        <f t="shared" si="0"/>
        <v>8</v>
      </c>
      <c r="T12" s="14">
        <v>8</v>
      </c>
    </row>
    <row r="13" spans="1:21" ht="15.75" thickBot="1" x14ac:dyDescent="0.3">
      <c r="C13" s="21"/>
      <c r="D13" s="22">
        <f>SUM(D5:D12)</f>
        <v>535</v>
      </c>
      <c r="E13" s="22"/>
      <c r="F13" s="22">
        <f>SUM(F5:F12)</f>
        <v>448</v>
      </c>
      <c r="G13" s="22"/>
      <c r="H13" s="22">
        <f>SUM(H5:H12)</f>
        <v>493</v>
      </c>
      <c r="I13" s="22"/>
      <c r="J13" s="23">
        <f>SUM(J5:J12)</f>
        <v>418</v>
      </c>
    </row>
    <row r="14" spans="1:21" ht="15.75" thickBot="1" x14ac:dyDescent="0.3"/>
    <row r="15" spans="1:21" ht="15.75" thickBot="1" x14ac:dyDescent="0.3">
      <c r="C15" s="31" t="s">
        <v>42</v>
      </c>
      <c r="D15" s="32"/>
      <c r="E15" s="32"/>
      <c r="F15" s="32"/>
      <c r="G15" s="32"/>
      <c r="H15" s="32"/>
      <c r="I15" s="32"/>
      <c r="J15" s="33"/>
      <c r="L15" s="34"/>
      <c r="M15" s="40"/>
      <c r="N15" s="50" t="s">
        <v>35</v>
      </c>
      <c r="O15" s="46" t="s">
        <v>36</v>
      </c>
      <c r="P15" s="24"/>
      <c r="Q15" s="43">
        <f>Q5^2/(U16*8)</f>
        <v>112101.125</v>
      </c>
      <c r="S15" s="34"/>
      <c r="T15" s="50" t="s">
        <v>30</v>
      </c>
      <c r="U15" s="37">
        <v>3</v>
      </c>
    </row>
    <row r="16" spans="1:21" x14ac:dyDescent="0.25">
      <c r="C16" s="25" t="s">
        <v>48</v>
      </c>
      <c r="D16" s="26"/>
      <c r="E16" s="26"/>
      <c r="F16" s="26"/>
      <c r="G16" s="26"/>
      <c r="H16" s="26"/>
      <c r="I16" s="26"/>
      <c r="J16" s="27"/>
      <c r="L16" s="35"/>
      <c r="M16" s="41"/>
      <c r="N16" s="51"/>
      <c r="O16" s="47"/>
      <c r="P16" s="26"/>
      <c r="Q16" s="44"/>
      <c r="S16" s="35"/>
      <c r="T16" s="52" t="s">
        <v>34</v>
      </c>
      <c r="U16" s="38">
        <v>4</v>
      </c>
    </row>
    <row r="17" spans="3:21" x14ac:dyDescent="0.25">
      <c r="C17" s="25" t="s">
        <v>49</v>
      </c>
      <c r="D17" s="26"/>
      <c r="E17" s="26"/>
      <c r="F17" s="26"/>
      <c r="G17" s="26"/>
      <c r="H17" s="26"/>
      <c r="I17" s="26"/>
      <c r="J17" s="27"/>
      <c r="L17" s="35"/>
      <c r="M17" s="41"/>
      <c r="N17" s="52" t="s">
        <v>37</v>
      </c>
      <c r="O17" s="48" t="s">
        <v>39</v>
      </c>
      <c r="P17" s="26"/>
      <c r="Q17" s="44">
        <f>SUMSQ(D5:D12,F5:F12,H5:H12,J5:J12)-Q15</f>
        <v>43466.875</v>
      </c>
      <c r="S17" s="35"/>
      <c r="T17" s="52" t="s">
        <v>31</v>
      </c>
      <c r="U17" s="38">
        <v>4</v>
      </c>
    </row>
    <row r="18" spans="3:21" ht="15.75" thickBot="1" x14ac:dyDescent="0.3">
      <c r="C18" s="25" t="s">
        <v>50</v>
      </c>
      <c r="D18" s="26"/>
      <c r="E18" s="26"/>
      <c r="F18" s="26"/>
      <c r="G18" s="26"/>
      <c r="H18" s="26"/>
      <c r="I18" s="26"/>
      <c r="J18" s="27"/>
      <c r="L18" s="35"/>
      <c r="M18" s="41"/>
      <c r="N18" s="52" t="s">
        <v>38</v>
      </c>
      <c r="O18" s="47" t="s">
        <v>41</v>
      </c>
      <c r="P18" s="26"/>
      <c r="Q18" s="44">
        <f>((1/4)*SUMSQ(N5:N12))-Q15</f>
        <v>38597.375</v>
      </c>
      <c r="S18" s="36"/>
      <c r="T18" s="53" t="s">
        <v>32</v>
      </c>
      <c r="U18" s="39">
        <v>8</v>
      </c>
    </row>
    <row r="19" spans="3:21" ht="15.75" thickBot="1" x14ac:dyDescent="0.3">
      <c r="C19" s="28" t="s">
        <v>51</v>
      </c>
      <c r="D19" s="29"/>
      <c r="E19" s="29"/>
      <c r="F19" s="29"/>
      <c r="G19" s="29"/>
      <c r="H19" s="29"/>
      <c r="I19" s="29"/>
      <c r="J19" s="30"/>
      <c r="L19" s="36"/>
      <c r="M19" s="42"/>
      <c r="N19" s="53" t="s">
        <v>47</v>
      </c>
      <c r="O19" s="49" t="s">
        <v>40</v>
      </c>
      <c r="P19" s="29"/>
      <c r="Q19" s="45">
        <f>((1/8)*SUMSQ(D13,F13,H13,J13))-Q15</f>
        <v>986.625</v>
      </c>
    </row>
    <row r="20" spans="3:21" ht="15.75" thickBot="1" x14ac:dyDescent="0.3"/>
    <row r="21" spans="3:21" ht="15.75" thickBot="1" x14ac:dyDescent="0.3">
      <c r="D21" s="58" t="s">
        <v>43</v>
      </c>
      <c r="E21" s="55" t="s">
        <v>54</v>
      </c>
      <c r="F21" s="55" t="s">
        <v>27</v>
      </c>
      <c r="G21" s="55" t="s">
        <v>28</v>
      </c>
      <c r="H21" s="55" t="s">
        <v>55</v>
      </c>
      <c r="I21" s="56" t="s">
        <v>56</v>
      </c>
    </row>
    <row r="22" spans="3:21" x14ac:dyDescent="0.25">
      <c r="D22" s="57" t="s">
        <v>44</v>
      </c>
      <c r="E22" s="79">
        <v>3</v>
      </c>
      <c r="F22" s="80">
        <v>986.625</v>
      </c>
      <c r="G22" s="80">
        <f>F22/E22</f>
        <v>328.875</v>
      </c>
      <c r="H22" s="80">
        <f>G22/$G$31</f>
        <v>1.778675594759038</v>
      </c>
      <c r="I22" s="81">
        <f>_xlfn.F.INV.RT(0.05,E22,$E$31)</f>
        <v>3.0724669863968779</v>
      </c>
    </row>
    <row r="23" spans="3:21" ht="15.75" thickBot="1" x14ac:dyDescent="0.3">
      <c r="D23" s="57" t="s">
        <v>45</v>
      </c>
      <c r="E23" s="82">
        <v>7</v>
      </c>
      <c r="F23" s="83">
        <v>38597.375</v>
      </c>
      <c r="G23" s="83">
        <f t="shared" ref="G23:G31" si="1">F23/E23</f>
        <v>5513.9107142857147</v>
      </c>
      <c r="H23" s="83">
        <f t="shared" ref="H23:H30" si="2">G23/$G$31</f>
        <v>29.821234265846829</v>
      </c>
      <c r="I23" s="84">
        <f t="shared" ref="I23:I30" si="3">_xlfn.F.INV.RT(0.05,E23,$E$31)</f>
        <v>2.487577703722041</v>
      </c>
      <c r="K23" s="1" t="s">
        <v>58</v>
      </c>
    </row>
    <row r="24" spans="3:21" x14ac:dyDescent="0.25">
      <c r="C24" s="69" t="s">
        <v>52</v>
      </c>
      <c r="D24" s="68" t="s">
        <v>20</v>
      </c>
      <c r="E24" s="85">
        <v>1</v>
      </c>
      <c r="F24" s="86">
        <v>14535.125</v>
      </c>
      <c r="G24" s="86">
        <f t="shared" si="1"/>
        <v>14535.125</v>
      </c>
      <c r="H24" s="86">
        <f t="shared" si="2"/>
        <v>78.6112416701542</v>
      </c>
      <c r="I24" s="87">
        <f t="shared" si="3"/>
        <v>4.3247937431830454</v>
      </c>
      <c r="K24" s="75" t="s">
        <v>59</v>
      </c>
      <c r="L24" s="75"/>
      <c r="M24" s="75"/>
    </row>
    <row r="25" spans="3:21" x14ac:dyDescent="0.25">
      <c r="C25" s="70"/>
      <c r="D25" s="51" t="s">
        <v>21</v>
      </c>
      <c r="E25" s="88">
        <v>1</v>
      </c>
      <c r="F25" s="89">
        <v>968</v>
      </c>
      <c r="G25" s="89">
        <f t="shared" si="1"/>
        <v>968</v>
      </c>
      <c r="H25" s="89">
        <f t="shared" si="2"/>
        <v>5.2352960113318101</v>
      </c>
      <c r="I25" s="90">
        <f t="shared" si="3"/>
        <v>4.3247937431830454</v>
      </c>
      <c r="K25" s="76" t="s">
        <v>60</v>
      </c>
      <c r="L25" s="76"/>
      <c r="M25" s="76"/>
      <c r="N25" s="76"/>
    </row>
    <row r="26" spans="3:21" ht="15.75" thickBot="1" x14ac:dyDescent="0.3">
      <c r="C26" s="71"/>
      <c r="D26" s="51" t="s">
        <v>23</v>
      </c>
      <c r="E26" s="88">
        <v>1</v>
      </c>
      <c r="F26" s="89">
        <v>392</v>
      </c>
      <c r="G26" s="89">
        <f t="shared" si="1"/>
        <v>392</v>
      </c>
      <c r="H26" s="89">
        <f t="shared" si="2"/>
        <v>2.12007855004346</v>
      </c>
      <c r="I26" s="90">
        <f t="shared" si="3"/>
        <v>4.3247937431830454</v>
      </c>
      <c r="K26" s="77" t="s">
        <v>61</v>
      </c>
      <c r="L26" s="77"/>
      <c r="M26" s="77"/>
      <c r="N26" s="77"/>
    </row>
    <row r="27" spans="3:21" x14ac:dyDescent="0.25">
      <c r="C27" s="72" t="s">
        <v>53</v>
      </c>
      <c r="D27" s="67" t="s">
        <v>22</v>
      </c>
      <c r="E27" s="91">
        <v>1</v>
      </c>
      <c r="F27" s="92">
        <v>18528.125</v>
      </c>
      <c r="G27" s="92">
        <f t="shared" si="1"/>
        <v>18528.125</v>
      </c>
      <c r="H27" s="92">
        <f t="shared" si="2"/>
        <v>100.20683771689792</v>
      </c>
      <c r="I27" s="93">
        <f t="shared" si="3"/>
        <v>4.3247937431830454</v>
      </c>
      <c r="K27" s="78" t="s">
        <v>62</v>
      </c>
      <c r="L27" s="78"/>
      <c r="M27" s="78"/>
      <c r="N27" s="78"/>
      <c r="O27" s="78"/>
      <c r="P27" s="78"/>
      <c r="Q27" s="78"/>
    </row>
    <row r="28" spans="3:21" x14ac:dyDescent="0.25">
      <c r="C28" s="73"/>
      <c r="D28" s="57" t="s">
        <v>24</v>
      </c>
      <c r="E28" s="94">
        <v>1</v>
      </c>
      <c r="F28" s="95">
        <v>3828.125</v>
      </c>
      <c r="G28" s="95">
        <f t="shared" si="1"/>
        <v>3828.125</v>
      </c>
      <c r="H28" s="95">
        <f t="shared" si="2"/>
        <v>20.703892090268166</v>
      </c>
      <c r="I28" s="96">
        <f t="shared" si="3"/>
        <v>4.3247937431830454</v>
      </c>
    </row>
    <row r="29" spans="3:21" x14ac:dyDescent="0.25">
      <c r="C29" s="73"/>
      <c r="D29" s="57" t="s">
        <v>25</v>
      </c>
      <c r="E29" s="94">
        <v>1</v>
      </c>
      <c r="F29" s="95">
        <v>338</v>
      </c>
      <c r="G29" s="95">
        <f t="shared" si="1"/>
        <v>338</v>
      </c>
      <c r="H29" s="95">
        <f t="shared" si="2"/>
        <v>1.8280269130476774</v>
      </c>
      <c r="I29" s="96">
        <f t="shared" si="3"/>
        <v>4.3247937431830454</v>
      </c>
    </row>
    <row r="30" spans="3:21" ht="15.75" thickBot="1" x14ac:dyDescent="0.3">
      <c r="C30" s="74"/>
      <c r="D30" s="57" t="s">
        <v>26</v>
      </c>
      <c r="E30" s="94">
        <v>1</v>
      </c>
      <c r="F30" s="95">
        <v>8</v>
      </c>
      <c r="G30" s="95">
        <f t="shared" si="1"/>
        <v>8</v>
      </c>
      <c r="H30" s="95">
        <f t="shared" si="2"/>
        <v>4.3266909184560408E-2</v>
      </c>
      <c r="I30" s="96">
        <f t="shared" si="3"/>
        <v>4.3247937431830454</v>
      </c>
    </row>
    <row r="31" spans="3:21" x14ac:dyDescent="0.25">
      <c r="C31" s="54"/>
      <c r="D31" s="63" t="s">
        <v>57</v>
      </c>
      <c r="E31" s="64">
        <v>21</v>
      </c>
      <c r="F31" s="65">
        <f>F32-(F22+F23)</f>
        <v>3882.875</v>
      </c>
      <c r="G31" s="65">
        <f t="shared" si="1"/>
        <v>184.89880952380952</v>
      </c>
      <c r="H31" s="65"/>
      <c r="I31" s="66"/>
    </row>
    <row r="32" spans="3:21" ht="15.75" thickBot="1" x14ac:dyDescent="0.3">
      <c r="D32" s="59" t="s">
        <v>46</v>
      </c>
      <c r="E32" s="60">
        <v>31</v>
      </c>
      <c r="F32" s="61">
        <v>43466.875</v>
      </c>
      <c r="G32" s="61"/>
      <c r="H32" s="61"/>
      <c r="I32" s="62"/>
    </row>
  </sheetData>
  <mergeCells count="4">
    <mergeCell ref="J1:L1"/>
    <mergeCell ref="C15:J15"/>
    <mergeCell ref="C24:C26"/>
    <mergeCell ref="C27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Chaurasia</dc:creator>
  <cp:lastModifiedBy>Julie Chaurasia</cp:lastModifiedBy>
  <dcterms:created xsi:type="dcterms:W3CDTF">2015-06-05T18:17:20Z</dcterms:created>
  <dcterms:modified xsi:type="dcterms:W3CDTF">2026-09-20T21:15:07Z</dcterms:modified>
</cp:coreProperties>
</file>