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PRACTICALS\DOE\"/>
    </mc:Choice>
  </mc:AlternateContent>
  <xr:revisionPtr revIDLastSave="0" documentId="8_{961B9CAF-AF72-4A40-91B9-94AF7A529DB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3" sheetId="3" state="hidden" r:id="rId2"/>
    <sheet name="Sheet4" sheetId="4" state="hidden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" l="1"/>
  <c r="F7" i="1"/>
  <c r="F8" i="1"/>
  <c r="F9" i="1"/>
  <c r="F10" i="1"/>
  <c r="F11" i="1"/>
  <c r="F12" i="1"/>
  <c r="F13" i="1"/>
  <c r="F6" i="1"/>
  <c r="E14" i="1"/>
  <c r="D14" i="1"/>
  <c r="C14" i="1"/>
  <c r="F19" i="1"/>
  <c r="F21" i="1" s="1"/>
  <c r="E27" i="1" s="1"/>
  <c r="E40" i="1" s="1"/>
  <c r="F40" i="1" s="1"/>
  <c r="E30" i="1" l="1"/>
  <c r="E38" i="1" s="1"/>
  <c r="F38" i="1" s="1"/>
  <c r="E28" i="1"/>
  <c r="E36" i="1" s="1"/>
  <c r="F36" i="1" s="1"/>
  <c r="E29" i="1"/>
  <c r="E37" i="1" s="1"/>
  <c r="F37" i="1" s="1"/>
  <c r="E31" i="1" l="1"/>
  <c r="E39" i="1" s="1"/>
  <c r="F39" i="1" s="1"/>
  <c r="G36" i="1"/>
</calcChain>
</file>

<file path=xl/sharedStrings.xml><?xml version="1.0" encoding="utf-8"?>
<sst xmlns="http://schemas.openxmlformats.org/spreadsheetml/2006/main" count="40" uniqueCount="40">
  <si>
    <t>Q1.</t>
  </si>
  <si>
    <t>SUBJECTS</t>
  </si>
  <si>
    <t>TIME</t>
  </si>
  <si>
    <t>BASELINE</t>
  </si>
  <si>
    <t>DAY 3</t>
  </si>
  <si>
    <t>DAY 7</t>
  </si>
  <si>
    <t>Treatment</t>
  </si>
  <si>
    <t>N=a*n</t>
  </si>
  <si>
    <t>Treatment: Time taken (a)</t>
  </si>
  <si>
    <t>Blocks: Every Subject (n)</t>
  </si>
  <si>
    <t>N: Total no.of observations</t>
  </si>
  <si>
    <t>n=</t>
  </si>
  <si>
    <t>a=</t>
  </si>
  <si>
    <t>Correction Factor=(y..)^2/na</t>
  </si>
  <si>
    <t>Within SS=</t>
  </si>
  <si>
    <t>Error=</t>
  </si>
  <si>
    <t>TREATMENT</t>
  </si>
  <si>
    <t>Total SS= ∑∑yij^2-CF</t>
  </si>
  <si>
    <t>Treat SS=∑yi.^2/n-CF</t>
  </si>
  <si>
    <t>Between SS=∑y.j^2/n-CF</t>
  </si>
  <si>
    <t>H0: Diet plan causes constant effect across all days.</t>
  </si>
  <si>
    <t>H1: Diet plan causes different effect across all days.</t>
  </si>
  <si>
    <t>ANOVA</t>
  </si>
  <si>
    <t>Source</t>
  </si>
  <si>
    <t>d.f</t>
  </si>
  <si>
    <t>S.S</t>
  </si>
  <si>
    <t>M.S.S</t>
  </si>
  <si>
    <t>Fcal</t>
  </si>
  <si>
    <t>Between</t>
  </si>
  <si>
    <t>Within</t>
  </si>
  <si>
    <t>Total</t>
  </si>
  <si>
    <t>Error</t>
  </si>
  <si>
    <t>na-1=23</t>
  </si>
  <si>
    <t>n-1=7</t>
  </si>
  <si>
    <t>n(a-1)=16</t>
  </si>
  <si>
    <t>(n-1)(a-1)=14</t>
  </si>
  <si>
    <t>a-1=2</t>
  </si>
  <si>
    <t>Ftab</t>
  </si>
  <si>
    <t>REPEATED MEASURE DESIGN</t>
  </si>
  <si>
    <t>CONCLUSION: We do not reject null hypothesis at 0.05 level of significance. Thus all treatments are equally 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</si>
</sst>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1" fillId="0" borderId="5" xfId="0" applyFont="1" applyBorder="1"/>
    <xf numFmtId="0" fontId="0" fillId="0" borderId="7" xfId="0" applyBorder="1"/>
    <xf numFmtId="0" fontId="0" fillId="0" borderId="8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5105DBB-4467-4ABA-85D1-B505DCBC380F}">
  <we:reference id="wa200002503" version="1.0.0.0" store="en-US" storeType="OMEX"/>
  <we:alternateReferences>
    <we:reference id="wa200002503" version="1.0.0.0" store="wa200002503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50DC22A-A1F6-4C7E-B5BE-AC676B85424E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962C569F-75D9-4596-8CD1-9EE78C4C244A}"/>
    <we:binding id="InputY" type="matrix" appref="{BB904929-8170-4D85-9BF4-76FE859F1EB3}"/>
    <we:binding id="InputX" type="matrix" appref="{2F4138E4-1FA1-4F11-B591-9AF873D95FF2}"/>
    <we:binding id="Output" type="matrix" appref="{E0BEA80F-607E-447D-A2EF-D37AD2FCC9C8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G31" sqref="G31"/>
    </sheetView>
  </sheetViews>
  <sheetFormatPr defaultRowHeight="15" x14ac:dyDescent="0.25"/>
  <cols>
    <col min="2" max="2" width="25.140625" customWidth="1"/>
    <col min="3" max="3" width="10.28515625" bestFit="1" customWidth="1"/>
    <col min="4" max="4" width="23" bestFit="1" customWidth="1"/>
  </cols>
  <sheetData>
    <row r="1" spans="1:9" ht="15.75" thickBot="1" x14ac:dyDescent="0.3"/>
    <row r="2" spans="1:9" ht="24" thickBot="1" x14ac:dyDescent="0.4">
      <c r="E2" s="33" t="s">
        <v>38</v>
      </c>
      <c r="F2" s="34"/>
      <c r="G2" s="35"/>
      <c r="H2" s="36"/>
      <c r="I2" s="37"/>
    </row>
    <row r="3" spans="1:9" ht="19.5" thickBot="1" x14ac:dyDescent="0.35">
      <c r="A3" s="31" t="s">
        <v>0</v>
      </c>
      <c r="B3" s="12"/>
      <c r="C3" s="12"/>
      <c r="D3" s="12"/>
      <c r="E3" s="12"/>
      <c r="F3" s="12"/>
    </row>
    <row r="4" spans="1:9" x14ac:dyDescent="0.25">
      <c r="A4" s="12"/>
      <c r="B4" s="1" t="s">
        <v>2</v>
      </c>
      <c r="C4" s="2" t="s">
        <v>3</v>
      </c>
      <c r="D4" s="2" t="s">
        <v>4</v>
      </c>
      <c r="E4" s="3" t="s">
        <v>5</v>
      </c>
      <c r="F4" s="12"/>
    </row>
    <row r="5" spans="1:9" ht="15.75" thickBot="1" x14ac:dyDescent="0.3">
      <c r="A5" s="12"/>
      <c r="B5" s="4" t="s">
        <v>1</v>
      </c>
      <c r="C5" s="12"/>
      <c r="D5" s="12"/>
      <c r="E5" s="25"/>
      <c r="F5" s="12"/>
    </row>
    <row r="6" spans="1:9" x14ac:dyDescent="0.25">
      <c r="A6" s="12"/>
      <c r="B6" s="4">
        <v>1</v>
      </c>
      <c r="C6" s="12">
        <v>0.8</v>
      </c>
      <c r="D6" s="12">
        <v>0.80900000000000005</v>
      </c>
      <c r="E6" s="25">
        <v>0.83199999999999996</v>
      </c>
      <c r="F6" s="32">
        <f>SUM(C6:E6)</f>
        <v>2.4409999999999998</v>
      </c>
    </row>
    <row r="7" spans="1:9" x14ac:dyDescent="0.25">
      <c r="A7" s="12"/>
      <c r="B7" s="4">
        <v>2</v>
      </c>
      <c r="C7" s="12">
        <v>0.81899999999999995</v>
      </c>
      <c r="D7" s="12">
        <v>0.85799999999999998</v>
      </c>
      <c r="E7" s="25">
        <v>0.83499999999999996</v>
      </c>
      <c r="F7" s="27">
        <f t="shared" ref="F7:F13" si="0">SUM(C7:E7)</f>
        <v>2.512</v>
      </c>
    </row>
    <row r="8" spans="1:9" x14ac:dyDescent="0.25">
      <c r="A8" s="12"/>
      <c r="B8" s="4">
        <v>3</v>
      </c>
      <c r="C8" s="12">
        <v>0.88600000000000001</v>
      </c>
      <c r="D8" s="12">
        <v>0.86499999999999999</v>
      </c>
      <c r="E8" s="25">
        <v>0.83699999999999997</v>
      </c>
      <c r="F8" s="27">
        <f t="shared" si="0"/>
        <v>2.5880000000000001</v>
      </c>
    </row>
    <row r="9" spans="1:9" x14ac:dyDescent="0.25">
      <c r="A9" s="12"/>
      <c r="B9" s="4">
        <v>4</v>
      </c>
      <c r="C9" s="12">
        <v>0.82399999999999995</v>
      </c>
      <c r="D9" s="12">
        <v>0.876</v>
      </c>
      <c r="E9" s="25">
        <v>0.9</v>
      </c>
      <c r="F9" s="27">
        <f t="shared" si="0"/>
        <v>2.6</v>
      </c>
    </row>
    <row r="10" spans="1:9" x14ac:dyDescent="0.25">
      <c r="A10" s="12"/>
      <c r="B10" s="4">
        <v>5</v>
      </c>
      <c r="C10" s="12">
        <v>0.82</v>
      </c>
      <c r="D10" s="12">
        <v>0.90300000000000002</v>
      </c>
      <c r="E10" s="25">
        <v>0.877</v>
      </c>
      <c r="F10" s="27">
        <f t="shared" si="0"/>
        <v>2.5999999999999996</v>
      </c>
    </row>
    <row r="11" spans="1:9" x14ac:dyDescent="0.25">
      <c r="A11" s="12"/>
      <c r="B11" s="4">
        <v>6</v>
      </c>
      <c r="C11" s="12">
        <v>0.90600000000000003</v>
      </c>
      <c r="D11" s="12">
        <v>0.82</v>
      </c>
      <c r="E11" s="25">
        <v>0.86499999999999999</v>
      </c>
      <c r="F11" s="27">
        <f t="shared" si="0"/>
        <v>2.5910000000000002</v>
      </c>
    </row>
    <row r="12" spans="1:9" x14ac:dyDescent="0.25">
      <c r="A12" s="12"/>
      <c r="B12" s="4">
        <v>7</v>
      </c>
      <c r="C12" s="12">
        <v>0.8</v>
      </c>
      <c r="D12" s="12">
        <v>0.86699999999999999</v>
      </c>
      <c r="E12" s="25">
        <v>0.85699999999999998</v>
      </c>
      <c r="F12" s="27">
        <f t="shared" si="0"/>
        <v>2.524</v>
      </c>
    </row>
    <row r="13" spans="1:9" ht="15.75" thickBot="1" x14ac:dyDescent="0.3">
      <c r="A13" s="12"/>
      <c r="B13" s="6">
        <v>8</v>
      </c>
      <c r="C13" s="13">
        <v>0.83699999999999997</v>
      </c>
      <c r="D13" s="13">
        <v>0.85199999999999998</v>
      </c>
      <c r="E13" s="26">
        <v>0.84699999999999998</v>
      </c>
      <c r="F13" s="28">
        <f t="shared" si="0"/>
        <v>2.536</v>
      </c>
    </row>
    <row r="14" spans="1:9" ht="15.75" thickBot="1" x14ac:dyDescent="0.3">
      <c r="A14" s="12"/>
      <c r="B14" s="14"/>
      <c r="C14" s="29">
        <f>SUM(C6:C13)</f>
        <v>6.6919999999999993</v>
      </c>
      <c r="D14" s="29">
        <f>SUM(D6:D13)</f>
        <v>6.8500000000000005</v>
      </c>
      <c r="E14" s="30">
        <f>SUM(E6:E13)</f>
        <v>6.85</v>
      </c>
      <c r="F14" s="12"/>
    </row>
    <row r="15" spans="1:9" x14ac:dyDescent="0.25">
      <c r="B15" s="10"/>
    </row>
    <row r="16" spans="1:9" ht="15.75" thickBot="1" x14ac:dyDescent="0.3"/>
    <row r="17" spans="2:6" x14ac:dyDescent="0.25">
      <c r="B17" s="15" t="s">
        <v>8</v>
      </c>
      <c r="C17" s="16"/>
      <c r="D17" s="16"/>
      <c r="E17" s="17" t="s">
        <v>12</v>
      </c>
      <c r="F17" s="18">
        <v>3</v>
      </c>
    </row>
    <row r="18" spans="2:6" x14ac:dyDescent="0.25">
      <c r="B18" s="19" t="s">
        <v>9</v>
      </c>
      <c r="E18" s="9" t="s">
        <v>11</v>
      </c>
      <c r="F18" s="5">
        <v>8</v>
      </c>
    </row>
    <row r="19" spans="2:6" ht="15.75" thickBot="1" x14ac:dyDescent="0.3">
      <c r="B19" s="20" t="s">
        <v>10</v>
      </c>
      <c r="C19" s="7"/>
      <c r="D19" s="7"/>
      <c r="E19" s="21" t="s">
        <v>7</v>
      </c>
      <c r="F19" s="8">
        <f>F17*F18</f>
        <v>24</v>
      </c>
    </row>
    <row r="21" spans="2:6" x14ac:dyDescent="0.25">
      <c r="E21" s="9" t="s">
        <v>13</v>
      </c>
      <c r="F21">
        <f>((SUM(C6:E13))^2)/F19</f>
        <v>17.32640266666667</v>
      </c>
    </row>
    <row r="22" spans="2:6" ht="15.75" thickBot="1" x14ac:dyDescent="0.3">
      <c r="E22" s="9"/>
    </row>
    <row r="23" spans="2:6" ht="15.75" thickBot="1" x14ac:dyDescent="0.3">
      <c r="B23" s="11" t="s">
        <v>16</v>
      </c>
    </row>
    <row r="24" spans="2:6" x14ac:dyDescent="0.25">
      <c r="B24" t="s">
        <v>20</v>
      </c>
    </row>
    <row r="25" spans="2:6" x14ac:dyDescent="0.25">
      <c r="B25" t="s">
        <v>21</v>
      </c>
    </row>
    <row r="26" spans="2:6" ht="15.75" thickBot="1" x14ac:dyDescent="0.3"/>
    <row r="27" spans="2:6" x14ac:dyDescent="0.25">
      <c r="D27" s="22" t="s">
        <v>17</v>
      </c>
      <c r="E27" s="18">
        <f>SUMSQ(C6:E13)-F21</f>
        <v>2.3013333333331332E-2</v>
      </c>
    </row>
    <row r="28" spans="2:6" x14ac:dyDescent="0.25">
      <c r="D28" s="23" t="s">
        <v>18</v>
      </c>
      <c r="E28" s="5">
        <f>(SUMSQ(C14:E14)/F18)-F21</f>
        <v>2.0803333333283547E-3</v>
      </c>
    </row>
    <row r="29" spans="2:6" x14ac:dyDescent="0.25">
      <c r="D29" s="23" t="s">
        <v>19</v>
      </c>
      <c r="E29" s="5">
        <f>(SUMSQ(F6:F13)/F17)-F21</f>
        <v>7.4379999999969471E-3</v>
      </c>
    </row>
    <row r="30" spans="2:6" x14ac:dyDescent="0.25">
      <c r="D30" s="23" t="s">
        <v>14</v>
      </c>
      <c r="E30" s="5">
        <f>SUMSQ(C6:E13)-(SUMSQ(F6:F13)/F17)</f>
        <v>1.5575333333334385E-2</v>
      </c>
    </row>
    <row r="31" spans="2:6" ht="15.75" thickBot="1" x14ac:dyDescent="0.3">
      <c r="D31" s="24" t="s">
        <v>15</v>
      </c>
      <c r="E31" s="8">
        <f>E30-E28</f>
        <v>1.349500000000603E-2</v>
      </c>
    </row>
    <row r="32" spans="2:6" ht="15.75" thickBot="1" x14ac:dyDescent="0.3"/>
    <row r="33" spans="2:8" ht="15.75" thickBot="1" x14ac:dyDescent="0.3">
      <c r="B33" s="11" t="s">
        <v>22</v>
      </c>
    </row>
    <row r="34" spans="2:8" ht="15.75" thickBot="1" x14ac:dyDescent="0.3"/>
    <row r="35" spans="2:8" x14ac:dyDescent="0.25">
      <c r="C35" s="1" t="s">
        <v>23</v>
      </c>
      <c r="D35" s="2" t="s">
        <v>24</v>
      </c>
      <c r="E35" s="2" t="s">
        <v>25</v>
      </c>
      <c r="F35" s="2" t="s">
        <v>26</v>
      </c>
      <c r="G35" s="2" t="s">
        <v>27</v>
      </c>
      <c r="H35" s="3" t="s">
        <v>37</v>
      </c>
    </row>
    <row r="36" spans="2:8" x14ac:dyDescent="0.25">
      <c r="C36" s="4" t="s">
        <v>6</v>
      </c>
      <c r="D36" s="12" t="s">
        <v>36</v>
      </c>
      <c r="E36">
        <f>E28</f>
        <v>2.0803333333283547E-3</v>
      </c>
      <c r="F36">
        <f>E36/2</f>
        <v>1.0401666666641773E-3</v>
      </c>
      <c r="G36">
        <f>F36/F39</f>
        <v>1.0790910213628733</v>
      </c>
      <c r="H36" s="5">
        <f>_xlfn.F.INV.RT(0.05,2,14)</f>
        <v>3.7388918324407361</v>
      </c>
    </row>
    <row r="37" spans="2:8" x14ac:dyDescent="0.25">
      <c r="C37" s="4" t="s">
        <v>28</v>
      </c>
      <c r="D37" s="12" t="s">
        <v>33</v>
      </c>
      <c r="E37">
        <f>E29</f>
        <v>7.4379999999969471E-3</v>
      </c>
      <c r="F37">
        <f>E37/7</f>
        <v>1.0625714285709925E-3</v>
      </c>
      <c r="H37" s="5"/>
    </row>
    <row r="38" spans="2:8" x14ac:dyDescent="0.25">
      <c r="C38" s="4" t="s">
        <v>29</v>
      </c>
      <c r="D38" s="12" t="s">
        <v>34</v>
      </c>
      <c r="E38">
        <f>E30</f>
        <v>1.5575333333334385E-2</v>
      </c>
      <c r="F38">
        <f>E38/16</f>
        <v>9.7345833333339904E-4</v>
      </c>
      <c r="H38" s="5"/>
    </row>
    <row r="39" spans="2:8" x14ac:dyDescent="0.25">
      <c r="C39" s="4" t="s">
        <v>31</v>
      </c>
      <c r="D39" s="12" t="s">
        <v>35</v>
      </c>
      <c r="E39">
        <f>E31</f>
        <v>1.349500000000603E-2</v>
      </c>
      <c r="F39">
        <f>E39/14</f>
        <v>9.6392857142900217E-4</v>
      </c>
      <c r="H39" s="5"/>
    </row>
    <row r="40" spans="2:8" ht="15.75" thickBot="1" x14ac:dyDescent="0.3">
      <c r="C40" s="6" t="s">
        <v>30</v>
      </c>
      <c r="D40" s="13" t="s">
        <v>32</v>
      </c>
      <c r="E40" s="7">
        <f>E27</f>
        <v>2.3013333333331332E-2</v>
      </c>
      <c r="F40" s="7">
        <f>E40/23</f>
        <v>1.0005797101448404E-3</v>
      </c>
      <c r="G40" s="7"/>
      <c r="H40" s="8"/>
    </row>
    <row r="42" spans="2:8" x14ac:dyDescent="0.25">
      <c r="B42" t="s">
        <v>39</v>
      </c>
    </row>
  </sheetData>
  <pageMargins left="0.7" right="0.7" top="0.75" bottom="0.75" header="0.3" footer="0.3"/>
  <pageSetup paperSize="9" orientation="portrait" horizontalDpi="4294967293" verticalDpi="0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962C569F-75D9-4596-8CD1-9EE78C4C244A}">
          <xm:f>#REF!</xm:f>
        </x15:webExtension>
        <x15:webExtension appRef="{BB904929-8170-4D85-9BF4-76FE859F1EB3}">
          <xm:f>#REF!</xm:f>
        </x15:webExtension>
        <x15:webExtension appRef="{2F4138E4-1FA1-4F11-B591-9AF873D95FF2}">
          <xm:f>#REF!</xm:f>
        </x15:webExtension>
        <x15:webExtension appRef="{E0BEA80F-607E-447D-A2EF-D37AD2FCC9C8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910A-F479-457B-BFAD-B37C9331A8EB}">
  <dimension ref="A1:F16"/>
  <sheetViews>
    <sheetView workbookViewId="0"/>
  </sheetViews>
  <sheetFormatPr defaultRowHeight="15" x14ac:dyDescent="0.25"/>
  <sheetData>
    <row r="1" spans="1:6" x14ac:dyDescent="0.25">
      <c r="A1">
        <v>-1</v>
      </c>
      <c r="B1">
        <v>1.3624999999999901</v>
      </c>
      <c r="C1">
        <v>-1</v>
      </c>
      <c r="D1">
        <v>1.3624999999999901</v>
      </c>
      <c r="E1">
        <v>0</v>
      </c>
      <c r="F1">
        <v>0</v>
      </c>
    </row>
    <row r="2" spans="1:6" x14ac:dyDescent="0.25">
      <c r="A2">
        <v>-1</v>
      </c>
      <c r="B2">
        <v>1.9874999999999901</v>
      </c>
      <c r="C2">
        <v>1</v>
      </c>
      <c r="D2">
        <v>1.9874999999999901</v>
      </c>
      <c r="E2">
        <v>0</v>
      </c>
      <c r="F2">
        <v>0</v>
      </c>
    </row>
    <row r="3" spans="1:6" x14ac:dyDescent="0.25">
      <c r="A3">
        <v>1</v>
      </c>
      <c r="B3">
        <v>-2.3625000000000118</v>
      </c>
      <c r="C3">
        <v>-1</v>
      </c>
      <c r="D3">
        <v>-2.3625000000000118</v>
      </c>
      <c r="E3">
        <v>0</v>
      </c>
      <c r="F3">
        <v>0</v>
      </c>
    </row>
    <row r="4" spans="1:6" x14ac:dyDescent="0.25">
      <c r="A4">
        <v>1</v>
      </c>
      <c r="B4">
        <v>-1.8375000000000199</v>
      </c>
      <c r="C4">
        <v>1</v>
      </c>
      <c r="D4">
        <v>-1.8375000000000199</v>
      </c>
      <c r="E4">
        <v>0</v>
      </c>
      <c r="F4">
        <v>0</v>
      </c>
    </row>
    <row r="5" spans="1:6" x14ac:dyDescent="0.25">
      <c r="A5">
        <v>-1</v>
      </c>
      <c r="B5">
        <v>-0.33750000000000568</v>
      </c>
      <c r="C5">
        <v>-1</v>
      </c>
      <c r="D5">
        <v>-0.33750000000000568</v>
      </c>
      <c r="E5">
        <v>0</v>
      </c>
      <c r="F5">
        <v>0</v>
      </c>
    </row>
    <row r="6" spans="1:6" x14ac:dyDescent="0.25">
      <c r="A6">
        <v>-1</v>
      </c>
      <c r="B6">
        <v>-3.0125000000000099</v>
      </c>
      <c r="C6">
        <v>1</v>
      </c>
      <c r="D6">
        <v>-3.0125000000000099</v>
      </c>
      <c r="E6">
        <v>0</v>
      </c>
      <c r="F6">
        <v>0</v>
      </c>
    </row>
    <row r="7" spans="1:6" x14ac:dyDescent="0.25">
      <c r="A7">
        <v>1</v>
      </c>
      <c r="B7">
        <v>1.3374999999999917</v>
      </c>
      <c r="C7">
        <v>-1</v>
      </c>
      <c r="D7">
        <v>1.3374999999999917</v>
      </c>
      <c r="E7">
        <v>0</v>
      </c>
      <c r="F7">
        <v>0</v>
      </c>
    </row>
    <row r="8" spans="1:6" x14ac:dyDescent="0.25">
      <c r="A8">
        <v>1</v>
      </c>
      <c r="B8">
        <v>2.8624999999999829</v>
      </c>
      <c r="C8">
        <v>1</v>
      </c>
      <c r="D8">
        <v>2.8624999999999829</v>
      </c>
      <c r="E8">
        <v>0</v>
      </c>
      <c r="F8">
        <v>0</v>
      </c>
    </row>
    <row r="9" spans="1:6" x14ac:dyDescent="0.25">
      <c r="A9">
        <v>-1</v>
      </c>
      <c r="B9">
        <v>48.437500000000007</v>
      </c>
      <c r="C9">
        <v>49.8</v>
      </c>
      <c r="D9">
        <v>-1</v>
      </c>
      <c r="E9">
        <v>48.437500000000007</v>
      </c>
      <c r="F9">
        <v>49.8</v>
      </c>
    </row>
    <row r="10" spans="1:6" x14ac:dyDescent="0.25">
      <c r="A10">
        <v>-1</v>
      </c>
      <c r="B10">
        <v>55.312500000000007</v>
      </c>
      <c r="C10">
        <v>57.3</v>
      </c>
      <c r="D10">
        <v>1</v>
      </c>
      <c r="E10">
        <v>55.312500000000007</v>
      </c>
      <c r="F10">
        <v>57.3</v>
      </c>
    </row>
    <row r="11" spans="1:6" x14ac:dyDescent="0.25">
      <c r="A11">
        <v>1</v>
      </c>
      <c r="B11">
        <v>68.062500000000014</v>
      </c>
      <c r="C11">
        <v>65.7</v>
      </c>
      <c r="D11">
        <v>-1</v>
      </c>
      <c r="E11">
        <v>68.062500000000014</v>
      </c>
      <c r="F11">
        <v>65.7</v>
      </c>
    </row>
    <row r="12" spans="1:6" x14ac:dyDescent="0.25">
      <c r="A12">
        <v>1</v>
      </c>
      <c r="B12">
        <v>74.937500000000014</v>
      </c>
      <c r="C12">
        <v>73.099999999999994</v>
      </c>
      <c r="D12">
        <v>1</v>
      </c>
      <c r="E12">
        <v>74.937500000000014</v>
      </c>
      <c r="F12">
        <v>73.099999999999994</v>
      </c>
    </row>
    <row r="13" spans="1:6" x14ac:dyDescent="0.25">
      <c r="A13">
        <v>-1</v>
      </c>
      <c r="B13">
        <v>48.437500000000007</v>
      </c>
      <c r="C13">
        <v>48.1</v>
      </c>
      <c r="D13">
        <v>-1</v>
      </c>
      <c r="E13">
        <v>48.437500000000007</v>
      </c>
      <c r="F13">
        <v>48.1</v>
      </c>
    </row>
    <row r="14" spans="1:6" x14ac:dyDescent="0.25">
      <c r="A14">
        <v>-1</v>
      </c>
      <c r="B14">
        <v>55.312500000000007</v>
      </c>
      <c r="C14">
        <v>52.3</v>
      </c>
      <c r="D14">
        <v>1</v>
      </c>
      <c r="E14">
        <v>55.312500000000007</v>
      </c>
      <c r="F14">
        <v>52.3</v>
      </c>
    </row>
    <row r="15" spans="1:6" x14ac:dyDescent="0.25">
      <c r="A15">
        <v>1</v>
      </c>
      <c r="B15">
        <v>68.062500000000014</v>
      </c>
      <c r="C15">
        <v>69.400000000000006</v>
      </c>
      <c r="D15">
        <v>-1</v>
      </c>
      <c r="E15">
        <v>68.062500000000014</v>
      </c>
      <c r="F15">
        <v>69.400000000000006</v>
      </c>
    </row>
    <row r="16" spans="1:6" x14ac:dyDescent="0.25">
      <c r="A16">
        <v>1</v>
      </c>
      <c r="B16">
        <v>74.937500000000014</v>
      </c>
      <c r="C16">
        <v>77.8</v>
      </c>
      <c r="D16">
        <v>1</v>
      </c>
      <c r="E16">
        <v>74.937500000000014</v>
      </c>
      <c r="F16">
        <v>77.8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4728-71FF-4E99-AC8A-C75DD38A68B8}">
  <dimension ref="A1:I16"/>
  <sheetViews>
    <sheetView workbookViewId="0"/>
  </sheetViews>
  <sheetFormatPr defaultRowHeight="15" x14ac:dyDescent="0.25"/>
  <sheetData>
    <row r="1" spans="1:9" x14ac:dyDescent="0.25">
      <c r="A1">
        <v>-1</v>
      </c>
      <c r="B1">
        <v>0.84999999999999432</v>
      </c>
      <c r="C1">
        <v>-1</v>
      </c>
      <c r="D1">
        <v>0.84999999999999432</v>
      </c>
      <c r="E1">
        <v>1</v>
      </c>
      <c r="F1">
        <v>0.84999999999999432</v>
      </c>
      <c r="G1">
        <v>0</v>
      </c>
      <c r="H1">
        <v>0</v>
      </c>
      <c r="I1">
        <v>0</v>
      </c>
    </row>
    <row r="2" spans="1:9" x14ac:dyDescent="0.25">
      <c r="A2">
        <v>-1</v>
      </c>
      <c r="B2">
        <v>2.4999999999999858</v>
      </c>
      <c r="C2">
        <v>1</v>
      </c>
      <c r="D2">
        <v>2.4999999999999858</v>
      </c>
      <c r="E2">
        <v>-1</v>
      </c>
      <c r="F2">
        <v>2.4999999999999858</v>
      </c>
      <c r="G2">
        <v>0</v>
      </c>
      <c r="H2">
        <v>0</v>
      </c>
      <c r="I2">
        <v>0</v>
      </c>
    </row>
    <row r="3" spans="1:9" x14ac:dyDescent="0.25">
      <c r="A3">
        <v>1</v>
      </c>
      <c r="B3">
        <v>-1.8500000000000083</v>
      </c>
      <c r="C3">
        <v>-1</v>
      </c>
      <c r="D3">
        <v>-1.8500000000000083</v>
      </c>
      <c r="E3">
        <v>-1</v>
      </c>
      <c r="F3">
        <v>-1.8500000000000083</v>
      </c>
      <c r="G3">
        <v>0</v>
      </c>
      <c r="H3">
        <v>0</v>
      </c>
      <c r="I3">
        <v>0</v>
      </c>
    </row>
    <row r="4" spans="1:9" x14ac:dyDescent="0.25">
      <c r="A4">
        <v>1</v>
      </c>
      <c r="B4">
        <v>-2.3500000000000227</v>
      </c>
      <c r="C4">
        <v>1</v>
      </c>
      <c r="D4">
        <v>-2.3500000000000227</v>
      </c>
      <c r="E4">
        <v>1</v>
      </c>
      <c r="F4">
        <v>-2.3500000000000227</v>
      </c>
      <c r="G4">
        <v>0</v>
      </c>
      <c r="H4">
        <v>0</v>
      </c>
      <c r="I4">
        <v>0</v>
      </c>
    </row>
    <row r="5" spans="1:9" x14ac:dyDescent="0.25">
      <c r="A5">
        <v>-1</v>
      </c>
      <c r="B5">
        <v>-0.85000000000000142</v>
      </c>
      <c r="C5">
        <v>-1</v>
      </c>
      <c r="D5">
        <v>-0.85000000000000142</v>
      </c>
      <c r="E5">
        <v>1</v>
      </c>
      <c r="F5">
        <v>-0.85000000000000142</v>
      </c>
      <c r="G5">
        <v>0</v>
      </c>
      <c r="H5">
        <v>0</v>
      </c>
      <c r="I5">
        <v>0</v>
      </c>
    </row>
    <row r="6" spans="1:9" x14ac:dyDescent="0.25">
      <c r="A6">
        <v>-1</v>
      </c>
      <c r="B6">
        <v>-2.5000000000000142</v>
      </c>
      <c r="C6">
        <v>1</v>
      </c>
      <c r="D6">
        <v>-2.5000000000000142</v>
      </c>
      <c r="E6">
        <v>-1</v>
      </c>
      <c r="F6">
        <v>-2.5000000000000142</v>
      </c>
      <c r="G6">
        <v>0</v>
      </c>
      <c r="H6">
        <v>0</v>
      </c>
      <c r="I6">
        <v>0</v>
      </c>
    </row>
    <row r="7" spans="1:9" x14ac:dyDescent="0.25">
      <c r="A7">
        <v>1</v>
      </c>
      <c r="B7">
        <v>1.8499999999999943</v>
      </c>
      <c r="C7">
        <v>-1</v>
      </c>
      <c r="D7">
        <v>1.8499999999999943</v>
      </c>
      <c r="E7">
        <v>-1</v>
      </c>
      <c r="F7">
        <v>1.8499999999999943</v>
      </c>
      <c r="G7">
        <v>0</v>
      </c>
      <c r="H7">
        <v>0</v>
      </c>
      <c r="I7">
        <v>0</v>
      </c>
    </row>
    <row r="8" spans="1:9" x14ac:dyDescent="0.25">
      <c r="A8">
        <v>1</v>
      </c>
      <c r="B8">
        <v>2.3499999999999801</v>
      </c>
      <c r="C8">
        <v>1</v>
      </c>
      <c r="D8">
        <v>2.3499999999999801</v>
      </c>
      <c r="E8">
        <v>1</v>
      </c>
      <c r="F8">
        <v>2.3499999999999801</v>
      </c>
      <c r="G8">
        <v>0</v>
      </c>
      <c r="H8">
        <v>0</v>
      </c>
      <c r="I8">
        <v>0</v>
      </c>
    </row>
    <row r="9" spans="1:9" x14ac:dyDescent="0.25">
      <c r="A9">
        <v>-1</v>
      </c>
      <c r="B9">
        <v>48.95</v>
      </c>
      <c r="C9">
        <v>49.8</v>
      </c>
      <c r="D9">
        <v>-1</v>
      </c>
      <c r="E9">
        <v>48.95</v>
      </c>
      <c r="F9">
        <v>49.8</v>
      </c>
      <c r="G9">
        <v>1</v>
      </c>
      <c r="H9">
        <v>48.95</v>
      </c>
      <c r="I9">
        <v>49.8</v>
      </c>
    </row>
    <row r="10" spans="1:9" x14ac:dyDescent="0.25">
      <c r="A10">
        <v>-1</v>
      </c>
      <c r="B10">
        <v>54.800000000000011</v>
      </c>
      <c r="C10">
        <v>57.3</v>
      </c>
      <c r="D10">
        <v>1</v>
      </c>
      <c r="E10">
        <v>54.800000000000011</v>
      </c>
      <c r="F10">
        <v>57.3</v>
      </c>
      <c r="G10">
        <v>-1</v>
      </c>
      <c r="H10">
        <v>54.800000000000011</v>
      </c>
      <c r="I10">
        <v>57.3</v>
      </c>
    </row>
    <row r="11" spans="1:9" x14ac:dyDescent="0.25">
      <c r="A11">
        <v>1</v>
      </c>
      <c r="B11">
        <v>67.550000000000011</v>
      </c>
      <c r="C11">
        <v>65.7</v>
      </c>
      <c r="D11">
        <v>-1</v>
      </c>
      <c r="E11">
        <v>67.550000000000011</v>
      </c>
      <c r="F11">
        <v>65.7</v>
      </c>
      <c r="G11">
        <v>-1</v>
      </c>
      <c r="H11">
        <v>67.550000000000011</v>
      </c>
      <c r="I11">
        <v>65.7</v>
      </c>
    </row>
    <row r="12" spans="1:9" x14ac:dyDescent="0.25">
      <c r="A12">
        <v>1</v>
      </c>
      <c r="B12">
        <v>75.450000000000017</v>
      </c>
      <c r="C12">
        <v>73.099999999999994</v>
      </c>
      <c r="D12">
        <v>1</v>
      </c>
      <c r="E12">
        <v>75.450000000000017</v>
      </c>
      <c r="F12">
        <v>73.099999999999994</v>
      </c>
      <c r="G12">
        <v>1</v>
      </c>
      <c r="H12">
        <v>75.450000000000017</v>
      </c>
      <c r="I12">
        <v>73.099999999999994</v>
      </c>
    </row>
    <row r="13" spans="1:9" x14ac:dyDescent="0.25">
      <c r="A13">
        <v>-1</v>
      </c>
      <c r="B13">
        <v>48.95</v>
      </c>
      <c r="C13">
        <v>48.1</v>
      </c>
      <c r="D13">
        <v>-1</v>
      </c>
      <c r="E13">
        <v>48.95</v>
      </c>
      <c r="F13">
        <v>48.1</v>
      </c>
      <c r="G13">
        <v>1</v>
      </c>
      <c r="H13">
        <v>48.95</v>
      </c>
      <c r="I13">
        <v>48.1</v>
      </c>
    </row>
    <row r="14" spans="1:9" x14ac:dyDescent="0.25">
      <c r="A14">
        <v>-1</v>
      </c>
      <c r="B14">
        <v>54.800000000000011</v>
      </c>
      <c r="C14">
        <v>52.3</v>
      </c>
      <c r="D14">
        <v>1</v>
      </c>
      <c r="E14">
        <v>54.800000000000011</v>
      </c>
      <c r="F14">
        <v>52.3</v>
      </c>
      <c r="G14">
        <v>-1</v>
      </c>
      <c r="H14">
        <v>54.800000000000011</v>
      </c>
      <c r="I14">
        <v>52.3</v>
      </c>
    </row>
    <row r="15" spans="1:9" x14ac:dyDescent="0.25">
      <c r="A15">
        <v>1</v>
      </c>
      <c r="B15">
        <v>67.550000000000011</v>
      </c>
      <c r="C15">
        <v>69.400000000000006</v>
      </c>
      <c r="D15">
        <v>-1</v>
      </c>
      <c r="E15">
        <v>67.550000000000011</v>
      </c>
      <c r="F15">
        <v>69.400000000000006</v>
      </c>
      <c r="G15">
        <v>-1</v>
      </c>
      <c r="H15">
        <v>67.550000000000011</v>
      </c>
      <c r="I15">
        <v>69.400000000000006</v>
      </c>
    </row>
    <row r="16" spans="1:9" x14ac:dyDescent="0.25">
      <c r="A16">
        <v>1</v>
      </c>
      <c r="B16">
        <v>75.450000000000017</v>
      </c>
      <c r="C16">
        <v>77.8</v>
      </c>
      <c r="D16">
        <v>1</v>
      </c>
      <c r="E16">
        <v>75.450000000000017</v>
      </c>
      <c r="F16">
        <v>77.8</v>
      </c>
      <c r="G16">
        <v>1</v>
      </c>
      <c r="H16">
        <v>75.450000000000017</v>
      </c>
      <c r="I16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Chaurasia</dc:creator>
  <cp:lastModifiedBy>Julie Chaurasia</cp:lastModifiedBy>
  <dcterms:created xsi:type="dcterms:W3CDTF">2015-06-05T18:17:20Z</dcterms:created>
  <dcterms:modified xsi:type="dcterms:W3CDTF">2026-09-20T20:51:24Z</dcterms:modified>
</cp:coreProperties>
</file>