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OneDrive\Desktop\PRACTICALS\DOE\"/>
    </mc:Choice>
  </mc:AlternateContent>
  <xr:revisionPtr revIDLastSave="0" documentId="13_ncr:1_{69D656C4-6D57-4915-9B8D-524690FED23F}" xr6:coauthVersionLast="47" xr6:coauthVersionMax="47" xr10:uidLastSave="{00000000-0000-0000-0000-000000000000}"/>
  <bookViews>
    <workbookView xWindow="10245" yWindow="0" windowWidth="10245" windowHeight="115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3" i="1" l="1"/>
  <c r="I63" i="1" l="1"/>
  <c r="E54" i="1"/>
  <c r="F54" i="1"/>
  <c r="G54" i="1"/>
  <c r="H54" i="1"/>
  <c r="D54" i="1"/>
  <c r="L62" i="1" s="1"/>
  <c r="E53" i="1"/>
  <c r="F53" i="1"/>
  <c r="G53" i="1"/>
  <c r="H53" i="1"/>
  <c r="H52" i="1"/>
  <c r="G52" i="1"/>
  <c r="F52" i="1"/>
  <c r="E52" i="1"/>
  <c r="D52" i="1"/>
  <c r="H20" i="1"/>
  <c r="G20" i="1"/>
  <c r="F20" i="1"/>
  <c r="E20" i="1"/>
  <c r="D20" i="1"/>
  <c r="F64" i="1"/>
  <c r="F65" i="1" s="1"/>
  <c r="F61" i="1"/>
  <c r="F62" i="1"/>
  <c r="H50" i="1"/>
  <c r="H51" i="1" s="1"/>
  <c r="G50" i="1"/>
  <c r="G51" i="1" s="1"/>
  <c r="F50" i="1"/>
  <c r="F51" i="1" s="1"/>
  <c r="E50" i="1"/>
  <c r="D50" i="1"/>
  <c r="I49" i="1"/>
  <c r="J49" i="1" s="1"/>
  <c r="I48" i="1"/>
  <c r="J48" i="1" s="1"/>
  <c r="I47" i="1"/>
  <c r="J47" i="1" s="1"/>
  <c r="I46" i="1"/>
  <c r="J46" i="1" s="1"/>
  <c r="I45" i="1"/>
  <c r="K47" i="1" s="1"/>
  <c r="L47" i="1" s="1"/>
  <c r="E28" i="1"/>
  <c r="E27" i="1"/>
  <c r="E26" i="1"/>
  <c r="I27" i="1" s="1"/>
  <c r="E25" i="1"/>
  <c r="I37" i="1" s="1"/>
  <c r="F25" i="1"/>
  <c r="I36" i="1" s="1"/>
  <c r="C27" i="1"/>
  <c r="F36" i="1"/>
  <c r="F32" i="1"/>
  <c r="I14" i="1"/>
  <c r="K13" i="1" s="1"/>
  <c r="L13" i="1" s="1"/>
  <c r="I15" i="1"/>
  <c r="J15" i="1" s="1"/>
  <c r="I16" i="1"/>
  <c r="J16" i="1" s="1"/>
  <c r="I17" i="1"/>
  <c r="J17" i="1" s="1"/>
  <c r="J13" i="1"/>
  <c r="I13" i="1"/>
  <c r="E18" i="1"/>
  <c r="K14" i="1" s="1"/>
  <c r="L14" i="1" s="1"/>
  <c r="F18" i="1"/>
  <c r="G18" i="1"/>
  <c r="H18" i="1"/>
  <c r="K17" i="1" s="1"/>
  <c r="L17" i="1" s="1"/>
  <c r="D18" i="1"/>
  <c r="D19" i="1" s="1"/>
  <c r="S15" i="1"/>
  <c r="S14" i="1"/>
  <c r="S12" i="1"/>
  <c r="S13" i="1"/>
  <c r="M8" i="1"/>
  <c r="M7" i="1"/>
  <c r="M6" i="1"/>
  <c r="M5" i="1"/>
  <c r="I28" i="1" l="1"/>
  <c r="E19" i="1"/>
  <c r="K16" i="1"/>
  <c r="L16" i="1" s="1"/>
  <c r="J18" i="1"/>
  <c r="F19" i="1"/>
  <c r="F34" i="1" s="1"/>
  <c r="J14" i="1"/>
  <c r="F33" i="1" s="1"/>
  <c r="K15" i="1"/>
  <c r="L15" i="1" s="1"/>
  <c r="F35" i="1" s="1"/>
  <c r="H19" i="1"/>
  <c r="G19" i="1"/>
  <c r="J45" i="1"/>
  <c r="J50" i="1" s="1"/>
  <c r="I50" i="1"/>
  <c r="K45" i="1"/>
  <c r="L45" i="1" s="1"/>
  <c r="K46" i="1"/>
  <c r="L46" i="1" s="1"/>
  <c r="K48" i="1"/>
  <c r="L48" i="1" s="1"/>
  <c r="K49" i="1"/>
  <c r="L49" i="1" s="1"/>
  <c r="D51" i="1"/>
  <c r="E51" i="1"/>
  <c r="I18" i="1"/>
</calcChain>
</file>

<file path=xl/sharedStrings.xml><?xml version="1.0" encoding="utf-8"?>
<sst xmlns="http://schemas.openxmlformats.org/spreadsheetml/2006/main" count="133" uniqueCount="98">
  <si>
    <t>BIBD</t>
  </si>
  <si>
    <t>Block/Treatment</t>
  </si>
  <si>
    <t xml:space="preserve">Tr1 </t>
  </si>
  <si>
    <t>Tr2</t>
  </si>
  <si>
    <t>Tr3</t>
  </si>
  <si>
    <t>B1</t>
  </si>
  <si>
    <t>A</t>
  </si>
  <si>
    <t>B</t>
  </si>
  <si>
    <t>D</t>
  </si>
  <si>
    <t>B2</t>
  </si>
  <si>
    <t>C</t>
  </si>
  <si>
    <t>B3</t>
  </si>
  <si>
    <t>B4</t>
  </si>
  <si>
    <t>b ( number of blocks )</t>
  </si>
  <si>
    <t>k (number of plots)</t>
  </si>
  <si>
    <t>v (number of treatments)</t>
  </si>
  <si>
    <t>r (number of times each treatment is replicated)</t>
  </si>
  <si>
    <t>i)</t>
  </si>
  <si>
    <t>bk</t>
  </si>
  <si>
    <t>rv</t>
  </si>
  <si>
    <t>ii )</t>
  </si>
  <si>
    <t>r(k-1)</t>
  </si>
  <si>
    <t>λ(v-1)</t>
  </si>
  <si>
    <t xml:space="preserve">iii ) </t>
  </si>
  <si>
    <t>b &gt;= v</t>
  </si>
  <si>
    <t>λ</t>
  </si>
  <si>
    <t>λ (balancedness)</t>
  </si>
  <si>
    <t>Properties</t>
  </si>
  <si>
    <t>CAR</t>
  </si>
  <si>
    <t>ADDITIVE</t>
  </si>
  <si>
    <t>v</t>
  </si>
  <si>
    <t>b</t>
  </si>
  <si>
    <t>r</t>
  </si>
  <si>
    <t>k</t>
  </si>
  <si>
    <t>5&gt;=5</t>
  </si>
  <si>
    <t>All conditions satisfies thus lambda has one value.</t>
  </si>
  <si>
    <t>Ti</t>
  </si>
  <si>
    <t>Ti^2</t>
  </si>
  <si>
    <t>B(i)</t>
  </si>
  <si>
    <t>Bj</t>
  </si>
  <si>
    <t>Bj^2</t>
  </si>
  <si>
    <t>Qi=kTi-B(i)</t>
  </si>
  <si>
    <t>Qi^2</t>
  </si>
  <si>
    <t>INTRABLOCK ANALYSIS</t>
  </si>
  <si>
    <t>SOURCE</t>
  </si>
  <si>
    <t>Block(unadj)</t>
  </si>
  <si>
    <t>Treat(adj)</t>
  </si>
  <si>
    <t>Error</t>
  </si>
  <si>
    <t>Total</t>
  </si>
  <si>
    <t>df</t>
  </si>
  <si>
    <t>b-1</t>
  </si>
  <si>
    <t>v-1</t>
  </si>
  <si>
    <t>bk-b-k+1</t>
  </si>
  <si>
    <t>bk-1</t>
  </si>
  <si>
    <t>S.S</t>
  </si>
  <si>
    <t>Block(adj)</t>
  </si>
  <si>
    <t>Treat(unadj)</t>
  </si>
  <si>
    <t>FORMULAS</t>
  </si>
  <si>
    <t>CF</t>
  </si>
  <si>
    <t>Block SS(unadj)</t>
  </si>
  <si>
    <t>Treat SS (unadj)</t>
  </si>
  <si>
    <t>Treat SS (adj)</t>
  </si>
  <si>
    <t>Total SS</t>
  </si>
  <si>
    <t>G^2/bk</t>
  </si>
  <si>
    <r>
      <t>(1/k)</t>
    </r>
    <r>
      <rPr>
        <sz val="11"/>
        <color theme="1"/>
        <rFont val="Calibri"/>
        <family val="2"/>
      </rPr>
      <t>∑Bj^2-CF</t>
    </r>
  </si>
  <si>
    <r>
      <t>(1/r)</t>
    </r>
    <r>
      <rPr>
        <sz val="11"/>
        <color theme="1"/>
        <rFont val="Calibri"/>
        <family val="2"/>
      </rPr>
      <t>∑Ti^2-CF</t>
    </r>
  </si>
  <si>
    <t>(1/kvλ)∑Qi^2</t>
  </si>
  <si>
    <t>∑∑Yij^2-CF</t>
  </si>
  <si>
    <t>Hypothesis</t>
  </si>
  <si>
    <t>H0 : there is no significant difference between different types of gasoline.</t>
  </si>
  <si>
    <t>H1: there is significant difference between different types of gasoline.</t>
  </si>
  <si>
    <t>h0 : thereis no significant difference between car</t>
  </si>
  <si>
    <t>h1 : there is significant diference between car</t>
  </si>
  <si>
    <t>treatment</t>
  </si>
  <si>
    <t>block</t>
  </si>
  <si>
    <t>Fcal</t>
  </si>
  <si>
    <t>Ftab</t>
  </si>
  <si>
    <t>Do not reject H0 thus no significant diffrence in gasolines.</t>
  </si>
  <si>
    <t>Do not reject H0 thus no significant diffrence in cars.</t>
  </si>
  <si>
    <t>INTERBLOCK ANALYSIS</t>
  </si>
  <si>
    <t>w1(cap)</t>
  </si>
  <si>
    <t>Formulas</t>
  </si>
  <si>
    <t>w2(cap)</t>
  </si>
  <si>
    <t>1/Ee</t>
  </si>
  <si>
    <t>(bk-v)/(k(b-1)Eb-(v-k)Ee)</t>
  </si>
  <si>
    <t>Ɵ(cap)</t>
  </si>
  <si>
    <t>(w1-w2)/(v(k-1)w1+(v-k)w2)</t>
  </si>
  <si>
    <t>Ee'</t>
  </si>
  <si>
    <t>Ee(1+(v-k)Ɵ(cap))</t>
  </si>
  <si>
    <t>Ee:error mean square</t>
  </si>
  <si>
    <t>Eb: adj block mean SS</t>
  </si>
  <si>
    <t>wi</t>
  </si>
  <si>
    <t>(v-k)Ti-(v-1)B(i)+(k-1)G</t>
  </si>
  <si>
    <t>(Ti+Ɵwi)^2</t>
  </si>
  <si>
    <t>Ho: All the treatments are equally effective.</t>
  </si>
  <si>
    <t>H1: All the treatments are not equally effective.</t>
  </si>
  <si>
    <t>(((1/r)∑(Ti+Ɵwi)^2-CF)/(v-1))/Ee'</t>
  </si>
  <si>
    <t>Hence we reject H0 thus all treatments are not equally effective.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</si>
</sst>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1" fillId="0" borderId="0" xfId="0" applyFont="1"/>
    <xf numFmtId="0" fontId="0" fillId="0" borderId="6" xfId="0" applyBorder="1"/>
    <xf numFmtId="0" fontId="0" fillId="0" borderId="7" xfId="0" applyBorder="1"/>
    <xf numFmtId="0" fontId="1" fillId="0" borderId="7" xfId="0" applyFont="1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/>
    <xf numFmtId="0" fontId="2" fillId="0" borderId="10" xfId="0" applyFont="1" applyBorder="1"/>
    <xf numFmtId="0" fontId="1" fillId="0" borderId="9" xfId="0" applyFont="1" applyBorder="1"/>
    <xf numFmtId="0" fontId="3" fillId="0" borderId="0" xfId="0" applyFont="1"/>
    <xf numFmtId="0" fontId="0" fillId="0" borderId="11" xfId="0" applyBorder="1"/>
    <xf numFmtId="0" fontId="1" fillId="0" borderId="12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1" xfId="0" applyFont="1" applyBorder="1"/>
    <xf numFmtId="0" fontId="0" fillId="0" borderId="13" xfId="0" applyBorder="1"/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1" fillId="0" borderId="6" xfId="0" applyFont="1" applyBorder="1"/>
    <xf numFmtId="0" fontId="0" fillId="0" borderId="10" xfId="0" applyBorder="1"/>
    <xf numFmtId="0" fontId="0" fillId="0" borderId="12" xfId="0" applyBorder="1"/>
    <xf numFmtId="0" fontId="1" fillId="0" borderId="11" xfId="0" applyFont="1" applyBorder="1"/>
    <xf numFmtId="0" fontId="1" fillId="0" borderId="8" xfId="0" applyFont="1" applyBorder="1"/>
    <xf numFmtId="0" fontId="1" fillId="0" borderId="13" xfId="0" applyFont="1" applyBorder="1"/>
    <xf numFmtId="0" fontId="6" fillId="0" borderId="0" xfId="0" applyFont="1"/>
    <xf numFmtId="0" fontId="0" fillId="0" borderId="0" xfId="0" applyAlignment="1">
      <alignment horizontal="right"/>
    </xf>
    <xf numFmtId="0" fontId="7" fillId="0" borderId="0" xfId="0" applyFont="1"/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65"/>
  <sheetViews>
    <sheetView tabSelected="1" topLeftCell="A15" workbookViewId="0">
      <selection activeCell="E27" sqref="E27"/>
    </sheetView>
  </sheetViews>
  <sheetFormatPr defaultRowHeight="15" x14ac:dyDescent="0.25"/>
  <cols>
    <col min="2" max="2" width="12" customWidth="1"/>
    <col min="3" max="3" width="10.42578125" customWidth="1"/>
    <col min="7" max="7" width="12.85546875" customWidth="1"/>
    <col min="8" max="8" width="19.5703125" customWidth="1"/>
    <col min="9" max="9" width="10.7109375" customWidth="1"/>
  </cols>
  <sheetData>
    <row r="2" spans="2:20" x14ac:dyDescent="0.25">
      <c r="C2" t="s">
        <v>0</v>
      </c>
    </row>
    <row r="3" spans="2:20" ht="15.75" thickBot="1" x14ac:dyDescent="0.3"/>
    <row r="4" spans="2:20" ht="15.75" thickBot="1" x14ac:dyDescent="0.3">
      <c r="C4" s="1" t="s">
        <v>1</v>
      </c>
      <c r="D4" s="2" t="s">
        <v>2</v>
      </c>
      <c r="E4" s="2" t="s">
        <v>3</v>
      </c>
      <c r="F4" s="2" t="s">
        <v>4</v>
      </c>
      <c r="H4" s="11" t="s">
        <v>13</v>
      </c>
      <c r="I4" s="11">
        <v>4</v>
      </c>
      <c r="K4" t="s">
        <v>27</v>
      </c>
    </row>
    <row r="5" spans="2:20" ht="15.75" thickBot="1" x14ac:dyDescent="0.3">
      <c r="C5" s="2" t="s">
        <v>5</v>
      </c>
      <c r="D5" s="3" t="s">
        <v>6</v>
      </c>
      <c r="E5" s="4" t="s">
        <v>7</v>
      </c>
      <c r="F5" s="5" t="s">
        <v>8</v>
      </c>
      <c r="H5" s="11" t="s">
        <v>14</v>
      </c>
      <c r="I5" s="11">
        <v>3</v>
      </c>
      <c r="K5" s="11" t="s">
        <v>17</v>
      </c>
      <c r="L5" s="11" t="s">
        <v>18</v>
      </c>
      <c r="M5" s="11">
        <f>I4*I5</f>
        <v>12</v>
      </c>
    </row>
    <row r="6" spans="2:20" ht="15.75" thickBot="1" x14ac:dyDescent="0.3">
      <c r="C6" s="2" t="s">
        <v>9</v>
      </c>
      <c r="D6" s="6" t="s">
        <v>8</v>
      </c>
      <c r="E6" s="7" t="s">
        <v>7</v>
      </c>
      <c r="F6" s="8" t="s">
        <v>10</v>
      </c>
      <c r="H6" s="11" t="s">
        <v>15</v>
      </c>
      <c r="I6" s="11">
        <v>4</v>
      </c>
      <c r="L6" s="11" t="s">
        <v>19</v>
      </c>
      <c r="M6" s="11">
        <f>I6*I7</f>
        <v>12</v>
      </c>
    </row>
    <row r="7" spans="2:20" ht="15.75" customHeight="1" thickBot="1" x14ac:dyDescent="0.3">
      <c r="C7" s="2" t="s">
        <v>11</v>
      </c>
      <c r="D7" s="9" t="s">
        <v>6</v>
      </c>
      <c r="E7" s="7" t="s">
        <v>7</v>
      </c>
      <c r="F7" s="8" t="s">
        <v>10</v>
      </c>
      <c r="H7" s="48" t="s">
        <v>16</v>
      </c>
      <c r="I7" s="11">
        <v>3</v>
      </c>
      <c r="K7" s="11" t="s">
        <v>20</v>
      </c>
      <c r="L7" s="11" t="s">
        <v>21</v>
      </c>
      <c r="M7" s="11">
        <f>I7*(I5-1)</f>
        <v>6</v>
      </c>
    </row>
    <row r="8" spans="2:20" ht="15.75" thickBot="1" x14ac:dyDescent="0.3">
      <c r="C8" s="2" t="s">
        <v>12</v>
      </c>
      <c r="D8" s="9" t="s">
        <v>6</v>
      </c>
      <c r="E8" s="10" t="s">
        <v>8</v>
      </c>
      <c r="F8" s="8" t="s">
        <v>10</v>
      </c>
      <c r="H8" s="48"/>
      <c r="L8" s="11" t="s">
        <v>22</v>
      </c>
      <c r="M8" s="11">
        <f>I9*(I6-1)</f>
        <v>6</v>
      </c>
    </row>
    <row r="9" spans="2:20" x14ac:dyDescent="0.25">
      <c r="H9" s="12" t="s">
        <v>26</v>
      </c>
      <c r="I9" s="11">
        <v>2</v>
      </c>
      <c r="K9" s="11" t="s">
        <v>23</v>
      </c>
      <c r="L9" s="11" t="s">
        <v>24</v>
      </c>
    </row>
    <row r="10" spans="2:20" ht="15.75" thickBot="1" x14ac:dyDescent="0.3">
      <c r="C10" s="11"/>
    </row>
    <row r="11" spans="2:20" x14ac:dyDescent="0.25">
      <c r="B11" s="14"/>
      <c r="C11" s="17"/>
      <c r="D11" s="15"/>
      <c r="E11" s="15"/>
      <c r="F11" s="16" t="s">
        <v>29</v>
      </c>
      <c r="G11" s="15"/>
      <c r="H11" s="17"/>
      <c r="N11" s="36" t="s">
        <v>30</v>
      </c>
      <c r="O11" s="33">
        <v>5</v>
      </c>
      <c r="Q11" s="39" t="s">
        <v>27</v>
      </c>
      <c r="R11" s="15"/>
      <c r="S11" s="15"/>
      <c r="T11" s="17"/>
    </row>
    <row r="12" spans="2:20" ht="15.75" thickBot="1" x14ac:dyDescent="0.3">
      <c r="B12" s="23"/>
      <c r="C12" s="32"/>
      <c r="D12" s="13">
        <v>1</v>
      </c>
      <c r="E12" s="13">
        <v>2</v>
      </c>
      <c r="F12" s="13">
        <v>3</v>
      </c>
      <c r="G12" s="13">
        <v>4</v>
      </c>
      <c r="H12" s="19">
        <v>5</v>
      </c>
      <c r="I12" t="s">
        <v>39</v>
      </c>
      <c r="J12" t="s">
        <v>40</v>
      </c>
      <c r="K12" t="s">
        <v>41</v>
      </c>
      <c r="L12" s="11" t="s">
        <v>42</v>
      </c>
      <c r="N12" s="37" t="s">
        <v>31</v>
      </c>
      <c r="O12" s="34">
        <v>5</v>
      </c>
      <c r="Q12" s="30" t="s">
        <v>17</v>
      </c>
      <c r="R12" s="11" t="s">
        <v>18</v>
      </c>
      <c r="S12" s="11">
        <f>O14*O12</f>
        <v>20</v>
      </c>
      <c r="T12" s="40"/>
    </row>
    <row r="13" spans="2:20" x14ac:dyDescent="0.25">
      <c r="B13" s="18"/>
      <c r="C13" s="13">
        <v>1</v>
      </c>
      <c r="D13" s="27">
        <v>0</v>
      </c>
      <c r="E13" s="28">
        <v>14</v>
      </c>
      <c r="F13" s="28">
        <v>12</v>
      </c>
      <c r="G13" s="28">
        <v>13</v>
      </c>
      <c r="H13" s="29">
        <v>11</v>
      </c>
      <c r="I13">
        <f>SUM(D13:H13)</f>
        <v>50</v>
      </c>
      <c r="J13">
        <f>I13^2</f>
        <v>2500</v>
      </c>
      <c r="K13">
        <f>D18-AVERAGE(I14:I17)</f>
        <v>8.25</v>
      </c>
      <c r="L13">
        <f>K13^2</f>
        <v>68.0625</v>
      </c>
      <c r="N13" s="37" t="s">
        <v>32</v>
      </c>
      <c r="O13" s="34">
        <v>4</v>
      </c>
      <c r="Q13" s="18"/>
      <c r="R13" s="11" t="s">
        <v>19</v>
      </c>
      <c r="S13" s="11">
        <f>O13*O11</f>
        <v>20</v>
      </c>
      <c r="T13" s="40"/>
    </row>
    <row r="14" spans="2:20" x14ac:dyDescent="0.25">
      <c r="B14" s="18"/>
      <c r="C14" s="13">
        <v>2</v>
      </c>
      <c r="D14" s="30">
        <v>17</v>
      </c>
      <c r="E14" s="11">
        <v>14</v>
      </c>
      <c r="F14" s="11">
        <v>0</v>
      </c>
      <c r="G14" s="11">
        <v>11</v>
      </c>
      <c r="H14" s="20">
        <v>12</v>
      </c>
      <c r="I14">
        <f t="shared" ref="I14:I17" si="0">SUM(D14:H14)</f>
        <v>54</v>
      </c>
      <c r="J14">
        <f t="shared" ref="J14:J17" si="1">I14^2</f>
        <v>2916</v>
      </c>
      <c r="K14">
        <f>E18-AVERAGE(I13:I14,I16:I17)</f>
        <v>2.75</v>
      </c>
      <c r="L14">
        <f t="shared" ref="L14:L17" si="2">K14^2</f>
        <v>7.5625</v>
      </c>
      <c r="N14" s="37" t="s">
        <v>33</v>
      </c>
      <c r="O14" s="34">
        <v>4</v>
      </c>
      <c r="Q14" s="30" t="s">
        <v>20</v>
      </c>
      <c r="R14" s="11" t="s">
        <v>21</v>
      </c>
      <c r="S14" s="11">
        <f>O13*(O14-1)</f>
        <v>12</v>
      </c>
      <c r="T14" s="40"/>
    </row>
    <row r="15" spans="2:20" ht="15.75" thickBot="1" x14ac:dyDescent="0.3">
      <c r="B15" s="21" t="s">
        <v>28</v>
      </c>
      <c r="C15" s="13">
        <v>3</v>
      </c>
      <c r="D15" s="30">
        <v>14</v>
      </c>
      <c r="E15" s="11">
        <v>0</v>
      </c>
      <c r="F15" s="11">
        <v>13</v>
      </c>
      <c r="G15" s="11">
        <v>11</v>
      </c>
      <c r="H15" s="20">
        <v>10</v>
      </c>
      <c r="I15">
        <f t="shared" si="0"/>
        <v>48</v>
      </c>
      <c r="J15">
        <f t="shared" si="1"/>
        <v>2304</v>
      </c>
      <c r="K15">
        <f>F18-AVERAGE(I13,I15:I17)</f>
        <v>-0.75</v>
      </c>
      <c r="L15">
        <f t="shared" si="2"/>
        <v>0.5625</v>
      </c>
      <c r="N15" s="38" t="s">
        <v>25</v>
      </c>
      <c r="O15" s="35">
        <v>3</v>
      </c>
      <c r="Q15" s="18"/>
      <c r="R15" s="11" t="s">
        <v>22</v>
      </c>
      <c r="S15" s="11">
        <f>O15*(O11-1)</f>
        <v>12</v>
      </c>
      <c r="T15" s="40"/>
    </row>
    <row r="16" spans="2:20" x14ac:dyDescent="0.25">
      <c r="B16" s="18"/>
      <c r="C16" s="22">
        <v>4</v>
      </c>
      <c r="D16" s="30">
        <v>13</v>
      </c>
      <c r="E16" s="11">
        <v>13</v>
      </c>
      <c r="F16" s="11">
        <v>12</v>
      </c>
      <c r="G16" s="11">
        <v>12</v>
      </c>
      <c r="H16" s="20">
        <v>0</v>
      </c>
      <c r="I16">
        <f t="shared" si="0"/>
        <v>50</v>
      </c>
      <c r="J16">
        <f t="shared" si="1"/>
        <v>2500</v>
      </c>
      <c r="K16">
        <f>G18-AVERAGE(I13:I16)</f>
        <v>-3.5</v>
      </c>
      <c r="L16">
        <f t="shared" si="2"/>
        <v>12.25</v>
      </c>
      <c r="Q16" s="30" t="s">
        <v>23</v>
      </c>
      <c r="R16" s="11" t="s">
        <v>24</v>
      </c>
      <c r="S16" t="s">
        <v>34</v>
      </c>
      <c r="T16" s="40"/>
    </row>
    <row r="17" spans="2:20" ht="15.75" thickBot="1" x14ac:dyDescent="0.3">
      <c r="B17" s="23"/>
      <c r="C17" s="24">
        <v>5</v>
      </c>
      <c r="D17" s="31">
        <v>12</v>
      </c>
      <c r="E17" s="25">
        <v>10</v>
      </c>
      <c r="F17" s="25">
        <v>9</v>
      </c>
      <c r="G17" s="25">
        <v>0</v>
      </c>
      <c r="H17" s="26">
        <v>8</v>
      </c>
      <c r="I17">
        <f t="shared" si="0"/>
        <v>39</v>
      </c>
      <c r="J17">
        <f t="shared" si="1"/>
        <v>1521</v>
      </c>
      <c r="K17">
        <f>H18-AVERAGE(I13:I15,I17)</f>
        <v>-6.75</v>
      </c>
      <c r="L17">
        <f t="shared" si="2"/>
        <v>45.5625</v>
      </c>
      <c r="Q17" s="18"/>
      <c r="T17" s="40"/>
    </row>
    <row r="18" spans="2:20" ht="15.75" thickBot="1" x14ac:dyDescent="0.3">
      <c r="C18" t="s">
        <v>36</v>
      </c>
      <c r="D18">
        <f>SUM(D13:D17)</f>
        <v>56</v>
      </c>
      <c r="E18">
        <f t="shared" ref="E18:J18" si="3">SUM(E13:E17)</f>
        <v>51</v>
      </c>
      <c r="F18">
        <f t="shared" si="3"/>
        <v>46</v>
      </c>
      <c r="G18">
        <f t="shared" si="3"/>
        <v>47</v>
      </c>
      <c r="H18">
        <f t="shared" si="3"/>
        <v>41</v>
      </c>
      <c r="I18">
        <f t="shared" si="3"/>
        <v>241</v>
      </c>
      <c r="J18">
        <f t="shared" si="3"/>
        <v>11741</v>
      </c>
      <c r="Q18" s="23" t="s">
        <v>35</v>
      </c>
      <c r="R18" s="41"/>
      <c r="S18" s="41"/>
      <c r="T18" s="32"/>
    </row>
    <row r="19" spans="2:20" x14ac:dyDescent="0.25">
      <c r="C19" t="s">
        <v>37</v>
      </c>
      <c r="D19">
        <f>D18^2</f>
        <v>3136</v>
      </c>
      <c r="E19">
        <f t="shared" ref="E19:H19" si="4">E18^2</f>
        <v>2601</v>
      </c>
      <c r="F19">
        <f t="shared" si="4"/>
        <v>2116</v>
      </c>
      <c r="G19">
        <f t="shared" si="4"/>
        <v>2209</v>
      </c>
      <c r="H19">
        <f t="shared" si="4"/>
        <v>1681</v>
      </c>
    </row>
    <row r="20" spans="2:20" x14ac:dyDescent="0.25">
      <c r="C20" t="s">
        <v>38</v>
      </c>
      <c r="D20">
        <f>SUM(I14:I17)</f>
        <v>191</v>
      </c>
      <c r="E20">
        <f>SUM(I13:I14,I16:I17)</f>
        <v>193</v>
      </c>
      <c r="F20">
        <f>SUM(I13,I15:I17)</f>
        <v>187</v>
      </c>
      <c r="G20">
        <f>SUM(I13:I16)</f>
        <v>202</v>
      </c>
      <c r="H20">
        <f>SUM(I13:I15,I17)</f>
        <v>191</v>
      </c>
    </row>
    <row r="22" spans="2:20" x14ac:dyDescent="0.25">
      <c r="B22" s="13" t="s">
        <v>43</v>
      </c>
      <c r="H22" t="s">
        <v>68</v>
      </c>
    </row>
    <row r="23" spans="2:20" ht="15.75" thickBot="1" x14ac:dyDescent="0.3">
      <c r="H23" t="s">
        <v>73</v>
      </c>
    </row>
    <row r="24" spans="2:20" x14ac:dyDescent="0.25">
      <c r="B24" s="39" t="s">
        <v>44</v>
      </c>
      <c r="C24" s="16" t="s">
        <v>54</v>
      </c>
      <c r="D24" s="16" t="s">
        <v>49</v>
      </c>
      <c r="E24" s="16" t="s">
        <v>49</v>
      </c>
      <c r="F24" s="16"/>
      <c r="G24" s="43" t="s">
        <v>44</v>
      </c>
      <c r="H24" t="s">
        <v>69</v>
      </c>
    </row>
    <row r="25" spans="2:20" x14ac:dyDescent="0.25">
      <c r="B25" s="21" t="s">
        <v>45</v>
      </c>
      <c r="C25">
        <v>31.199999999999818</v>
      </c>
      <c r="D25" t="s">
        <v>50</v>
      </c>
      <c r="E25">
        <f>O12-1</f>
        <v>4</v>
      </c>
      <c r="F25">
        <f>F28-F27-F26</f>
        <v>1.7333333333333343</v>
      </c>
      <c r="G25" s="19" t="s">
        <v>55</v>
      </c>
      <c r="H25" t="s">
        <v>70</v>
      </c>
    </row>
    <row r="26" spans="2:20" x14ac:dyDescent="0.25">
      <c r="B26" s="21" t="s">
        <v>46</v>
      </c>
      <c r="C26">
        <v>2.2333333333333334</v>
      </c>
      <c r="D26" t="s">
        <v>51</v>
      </c>
      <c r="E26">
        <f>O11-1</f>
        <v>4</v>
      </c>
      <c r="F26">
        <v>31.699999999999818</v>
      </c>
      <c r="G26" s="19" t="s">
        <v>56</v>
      </c>
    </row>
    <row r="27" spans="2:20" x14ac:dyDescent="0.25">
      <c r="B27" s="21" t="s">
        <v>47</v>
      </c>
      <c r="C27">
        <f>C28-C26-C25</f>
        <v>43.516666666666666</v>
      </c>
      <c r="D27" t="s">
        <v>52</v>
      </c>
      <c r="E27">
        <f>(O12*O14)-O12-O14+1</f>
        <v>12</v>
      </c>
      <c r="F27">
        <v>43.516666666666666</v>
      </c>
      <c r="G27" s="19" t="s">
        <v>47</v>
      </c>
      <c r="H27" t="s">
        <v>75</v>
      </c>
      <c r="I27">
        <f>(C26/E26)/(C27/E27)</f>
        <v>0.15396399846801992</v>
      </c>
    </row>
    <row r="28" spans="2:20" ht="15.75" thickBot="1" x14ac:dyDescent="0.3">
      <c r="B28" s="42" t="s">
        <v>48</v>
      </c>
      <c r="C28" s="41">
        <v>76.949999999999818</v>
      </c>
      <c r="D28" s="41" t="s">
        <v>53</v>
      </c>
      <c r="E28" s="41">
        <f>(O12*O14)-1</f>
        <v>19</v>
      </c>
      <c r="F28" s="41">
        <v>76.949999999999818</v>
      </c>
      <c r="G28" s="44" t="s">
        <v>48</v>
      </c>
      <c r="H28" t="s">
        <v>76</v>
      </c>
      <c r="I28">
        <f>_xlfn.F.INV.RT(0.05,E26,E27)</f>
        <v>3.2591667269012499</v>
      </c>
    </row>
    <row r="30" spans="2:20" x14ac:dyDescent="0.25">
      <c r="B30" s="13" t="s">
        <v>57</v>
      </c>
      <c r="H30" t="s">
        <v>77</v>
      </c>
    </row>
    <row r="32" spans="2:20" x14ac:dyDescent="0.25">
      <c r="B32" s="13" t="s">
        <v>58</v>
      </c>
      <c r="D32" t="s">
        <v>63</v>
      </c>
      <c r="F32">
        <f>SUM(D13:H17)^2/(O12*O14)</f>
        <v>2904.05</v>
      </c>
      <c r="H32" t="s">
        <v>74</v>
      </c>
    </row>
    <row r="33" spans="2:12" x14ac:dyDescent="0.25">
      <c r="B33" s="13" t="s">
        <v>59</v>
      </c>
      <c r="D33" t="s">
        <v>64</v>
      </c>
      <c r="F33">
        <f>((1/O14)*SUM(J13:J17))-F32</f>
        <v>31.199999999999818</v>
      </c>
      <c r="H33" t="s">
        <v>71</v>
      </c>
    </row>
    <row r="34" spans="2:12" x14ac:dyDescent="0.25">
      <c r="B34" s="13" t="s">
        <v>60</v>
      </c>
      <c r="D34" t="s">
        <v>65</v>
      </c>
      <c r="F34">
        <f>((1/O13)*SUM(D19:H19))-F32</f>
        <v>31.699999999999818</v>
      </c>
      <c r="H34" t="s">
        <v>72</v>
      </c>
    </row>
    <row r="35" spans="2:12" x14ac:dyDescent="0.25">
      <c r="B35" s="13" t="s">
        <v>61</v>
      </c>
      <c r="D35" t="s">
        <v>66</v>
      </c>
      <c r="F35">
        <f>(1/(O14*O11*O15))*SUM(L13:L17)</f>
        <v>2.2333333333333334</v>
      </c>
    </row>
    <row r="36" spans="2:12" x14ac:dyDescent="0.25">
      <c r="B36" s="13" t="s">
        <v>62</v>
      </c>
      <c r="D36" t="s">
        <v>67</v>
      </c>
      <c r="F36">
        <f>SUMSQ(D13:H17)-F32</f>
        <v>76.949999999999818</v>
      </c>
      <c r="H36" t="s">
        <v>75</v>
      </c>
      <c r="I36">
        <f>(F25/E25)/(F27/E27)</f>
        <v>0.11949444657219463</v>
      </c>
    </row>
    <row r="37" spans="2:12" x14ac:dyDescent="0.25">
      <c r="H37" t="s">
        <v>76</v>
      </c>
      <c r="I37">
        <f>_xlfn.F.INV.RT(0.05,E25,E27)</f>
        <v>3.2591667269012499</v>
      </c>
    </row>
    <row r="39" spans="2:12" x14ac:dyDescent="0.25">
      <c r="H39" t="s">
        <v>78</v>
      </c>
    </row>
    <row r="41" spans="2:12" x14ac:dyDescent="0.25">
      <c r="B41" s="13" t="s">
        <v>79</v>
      </c>
    </row>
    <row r="42" spans="2:12" ht="15.75" thickBot="1" x14ac:dyDescent="0.3"/>
    <row r="43" spans="2:12" x14ac:dyDescent="0.25">
      <c r="B43" s="14"/>
      <c r="C43" s="17"/>
      <c r="D43" s="15"/>
      <c r="E43" s="15"/>
      <c r="F43" s="16" t="s">
        <v>29</v>
      </c>
      <c r="G43" s="15"/>
      <c r="H43" s="17"/>
    </row>
    <row r="44" spans="2:12" ht="15.75" thickBot="1" x14ac:dyDescent="0.3">
      <c r="B44" s="23"/>
      <c r="C44" s="32"/>
      <c r="D44" s="13">
        <v>1</v>
      </c>
      <c r="E44" s="13">
        <v>2</v>
      </c>
      <c r="F44" s="13">
        <v>3</v>
      </c>
      <c r="G44" s="13">
        <v>4</v>
      </c>
      <c r="H44" s="19">
        <v>5</v>
      </c>
      <c r="I44" t="s">
        <v>39</v>
      </c>
      <c r="J44" t="s">
        <v>40</v>
      </c>
      <c r="K44" t="s">
        <v>41</v>
      </c>
      <c r="L44" s="11" t="s">
        <v>42</v>
      </c>
    </row>
    <row r="45" spans="2:12" x14ac:dyDescent="0.25">
      <c r="B45" s="18"/>
      <c r="C45" s="13">
        <v>1</v>
      </c>
      <c r="D45" s="27">
        <v>0</v>
      </c>
      <c r="E45" s="28">
        <v>14</v>
      </c>
      <c r="F45" s="28">
        <v>12</v>
      </c>
      <c r="G45" s="28">
        <v>13</v>
      </c>
      <c r="H45" s="29">
        <v>11</v>
      </c>
      <c r="I45">
        <f>SUM(D45:H45)</f>
        <v>50</v>
      </c>
      <c r="J45">
        <f>I45^2</f>
        <v>2500</v>
      </c>
      <c r="K45">
        <f>D50-AVERAGE(I46:I49)</f>
        <v>8.25</v>
      </c>
      <c r="L45">
        <f>K45^2</f>
        <v>68.0625</v>
      </c>
    </row>
    <row r="46" spans="2:12" x14ac:dyDescent="0.25">
      <c r="B46" s="18"/>
      <c r="C46" s="13">
        <v>2</v>
      </c>
      <c r="D46" s="30">
        <v>17</v>
      </c>
      <c r="E46" s="11">
        <v>14</v>
      </c>
      <c r="F46" s="11">
        <v>0</v>
      </c>
      <c r="G46" s="11">
        <v>11</v>
      </c>
      <c r="H46" s="20">
        <v>12</v>
      </c>
      <c r="I46">
        <f t="shared" ref="I46:I49" si="5">SUM(D46:H46)</f>
        <v>54</v>
      </c>
      <c r="J46">
        <f t="shared" ref="J46:J49" si="6">I46^2</f>
        <v>2916</v>
      </c>
      <c r="K46">
        <f>E50-AVERAGE(I45:I46,I48:I49)</f>
        <v>2.75</v>
      </c>
      <c r="L46">
        <f t="shared" ref="L46:L49" si="7">K46^2</f>
        <v>7.5625</v>
      </c>
    </row>
    <row r="47" spans="2:12" x14ac:dyDescent="0.25">
      <c r="B47" s="21" t="s">
        <v>28</v>
      </c>
      <c r="C47" s="13">
        <v>3</v>
      </c>
      <c r="D47" s="30">
        <v>14</v>
      </c>
      <c r="E47" s="11">
        <v>0</v>
      </c>
      <c r="F47" s="11">
        <v>13</v>
      </c>
      <c r="G47" s="11">
        <v>11</v>
      </c>
      <c r="H47" s="20">
        <v>10</v>
      </c>
      <c r="I47">
        <f t="shared" si="5"/>
        <v>48</v>
      </c>
      <c r="J47">
        <f t="shared" si="6"/>
        <v>2304</v>
      </c>
      <c r="K47">
        <f>F50-AVERAGE(I45,I47:I49)</f>
        <v>-0.75</v>
      </c>
      <c r="L47">
        <f t="shared" si="7"/>
        <v>0.5625</v>
      </c>
    </row>
    <row r="48" spans="2:12" x14ac:dyDescent="0.25">
      <c r="B48" s="18"/>
      <c r="C48" s="22">
        <v>4</v>
      </c>
      <c r="D48" s="30">
        <v>13</v>
      </c>
      <c r="E48" s="11">
        <v>13</v>
      </c>
      <c r="F48" s="11">
        <v>12</v>
      </c>
      <c r="G48" s="11">
        <v>12</v>
      </c>
      <c r="H48" s="20">
        <v>0</v>
      </c>
      <c r="I48">
        <f t="shared" si="5"/>
        <v>50</v>
      </c>
      <c r="J48">
        <f t="shared" si="6"/>
        <v>2500</v>
      </c>
      <c r="K48">
        <f>G50-AVERAGE(I45:I48)</f>
        <v>-3.5</v>
      </c>
      <c r="L48">
        <f t="shared" si="7"/>
        <v>12.25</v>
      </c>
    </row>
    <row r="49" spans="2:12" ht="15.75" thickBot="1" x14ac:dyDescent="0.3">
      <c r="B49" s="23"/>
      <c r="C49" s="24">
        <v>5</v>
      </c>
      <c r="D49" s="31">
        <v>12</v>
      </c>
      <c r="E49" s="25">
        <v>10</v>
      </c>
      <c r="F49" s="25">
        <v>9</v>
      </c>
      <c r="G49" s="25">
        <v>0</v>
      </c>
      <c r="H49" s="26">
        <v>8</v>
      </c>
      <c r="I49">
        <f t="shared" si="5"/>
        <v>39</v>
      </c>
      <c r="J49">
        <f t="shared" si="6"/>
        <v>1521</v>
      </c>
      <c r="K49">
        <f>H50-AVERAGE(I45:I47,I49)</f>
        <v>-6.75</v>
      </c>
      <c r="L49">
        <f t="shared" si="7"/>
        <v>45.5625</v>
      </c>
    </row>
    <row r="50" spans="2:12" x14ac:dyDescent="0.25">
      <c r="C50" t="s">
        <v>36</v>
      </c>
      <c r="D50">
        <f>SUM(D45:D49)</f>
        <v>56</v>
      </c>
      <c r="E50">
        <f t="shared" ref="E50" si="8">SUM(E45:E49)</f>
        <v>51</v>
      </c>
      <c r="F50">
        <f t="shared" ref="F50" si="9">SUM(F45:F49)</f>
        <v>46</v>
      </c>
      <c r="G50">
        <f t="shared" ref="G50" si="10">SUM(G45:G49)</f>
        <v>47</v>
      </c>
      <c r="H50">
        <f t="shared" ref="H50" si="11">SUM(H45:H49)</f>
        <v>41</v>
      </c>
      <c r="I50">
        <f t="shared" ref="I50" si="12">SUM(I45:I49)</f>
        <v>241</v>
      </c>
      <c r="J50">
        <f t="shared" ref="J50" si="13">SUM(J45:J49)</f>
        <v>11741</v>
      </c>
    </row>
    <row r="51" spans="2:12" x14ac:dyDescent="0.25">
      <c r="C51" t="s">
        <v>37</v>
      </c>
      <c r="D51">
        <f>D50^2</f>
        <v>3136</v>
      </c>
      <c r="E51">
        <f t="shared" ref="E51" si="14">E50^2</f>
        <v>2601</v>
      </c>
      <c r="F51">
        <f t="shared" ref="F51" si="15">F50^2</f>
        <v>2116</v>
      </c>
      <c r="G51">
        <f t="shared" ref="G51" si="16">G50^2</f>
        <v>2209</v>
      </c>
      <c r="H51">
        <f t="shared" ref="H51" si="17">H50^2</f>
        <v>1681</v>
      </c>
    </row>
    <row r="52" spans="2:12" x14ac:dyDescent="0.25">
      <c r="C52" t="s">
        <v>38</v>
      </c>
      <c r="D52">
        <f>SUM(I46:I49)</f>
        <v>191</v>
      </c>
      <c r="E52">
        <f>SUM(I45:I46,I48:I49)</f>
        <v>193</v>
      </c>
      <c r="F52">
        <f>SUM(I45,I47:I49)</f>
        <v>187</v>
      </c>
      <c r="G52">
        <f>SUM(I45:I48)</f>
        <v>202</v>
      </c>
      <c r="H52">
        <f>SUM(I45:I47,I49)</f>
        <v>191</v>
      </c>
    </row>
    <row r="53" spans="2:12" x14ac:dyDescent="0.25">
      <c r="B53" s="46" t="s">
        <v>92</v>
      </c>
      <c r="C53" t="s">
        <v>91</v>
      </c>
      <c r="D53">
        <f>(($O$11-$O$14)*D50)-(($O$11-1)*D52)+(($O$14-1)*SUM($D$45:$H$49))</f>
        <v>15</v>
      </c>
      <c r="E53">
        <f>(($O$11-$O$14)*E50)-(($O$11-1)*E52)+(($O$14-1)*SUM($D$45:$H$49))</f>
        <v>2</v>
      </c>
      <c r="F53">
        <f t="shared" ref="F53:H53" si="18">(($O$11-$O$14)*F50)-(($O$11-1)*F52)+(($O$14-1)*SUM($D$45:$H$49))</f>
        <v>21</v>
      </c>
      <c r="G53">
        <f t="shared" si="18"/>
        <v>-38</v>
      </c>
      <c r="H53">
        <f t="shared" si="18"/>
        <v>0</v>
      </c>
    </row>
    <row r="54" spans="2:12" x14ac:dyDescent="0.25">
      <c r="C54" t="s">
        <v>93</v>
      </c>
      <c r="D54">
        <f>(D50+($F$64*D53))^2</f>
        <v>2365.0140635272851</v>
      </c>
      <c r="E54">
        <f t="shared" ref="E54:H54" si="19">(E50+($F$64*E53))^2</f>
        <v>2501.7524437504567</v>
      </c>
      <c r="F54">
        <f t="shared" si="19"/>
        <v>1273.34602605194</v>
      </c>
      <c r="G54">
        <f t="shared" si="19"/>
        <v>4312.1672366498624</v>
      </c>
      <c r="H54">
        <f t="shared" si="19"/>
        <v>1681</v>
      </c>
    </row>
    <row r="57" spans="2:12" x14ac:dyDescent="0.25">
      <c r="H57" t="s">
        <v>68</v>
      </c>
    </row>
    <row r="58" spans="2:12" x14ac:dyDescent="0.25">
      <c r="B58" s="13" t="s">
        <v>81</v>
      </c>
    </row>
    <row r="59" spans="2:12" ht="15.75" x14ac:dyDescent="0.25">
      <c r="B59" t="s">
        <v>89</v>
      </c>
      <c r="D59" t="s">
        <v>90</v>
      </c>
      <c r="H59" s="47" t="s">
        <v>94</v>
      </c>
    </row>
    <row r="60" spans="2:12" ht="15.75" x14ac:dyDescent="0.25">
      <c r="H60" s="47" t="s">
        <v>95</v>
      </c>
    </row>
    <row r="61" spans="2:12" x14ac:dyDescent="0.25">
      <c r="B61" s="13" t="s">
        <v>80</v>
      </c>
      <c r="C61" t="s">
        <v>83</v>
      </c>
      <c r="F61">
        <f>1/(C27/E27)</f>
        <v>0.27575641516660288</v>
      </c>
    </row>
    <row r="62" spans="2:12" x14ac:dyDescent="0.25">
      <c r="B62" s="13" t="s">
        <v>82</v>
      </c>
      <c r="C62" t="s">
        <v>84</v>
      </c>
      <c r="F62">
        <f>((O12*O14)-O11)/((O14*(O12-1)*(F25/E25))-((O11-O14)*(C27/E27)))</f>
        <v>4.5359092818143578</v>
      </c>
      <c r="H62" t="s">
        <v>75</v>
      </c>
      <c r="I62" t="s">
        <v>96</v>
      </c>
      <c r="L62">
        <f>((((1/$O$13)*SUM(D54:H54))-F32)/($O$11-1))/F65</f>
        <v>17.516593296717208</v>
      </c>
    </row>
    <row r="63" spans="2:12" x14ac:dyDescent="0.25">
      <c r="B63" s="13"/>
      <c r="H63" t="s">
        <v>76</v>
      </c>
      <c r="I63">
        <f>_xlfn.F.INV.RT(0.05,E26,E27)</f>
        <v>3.2591667269012499</v>
      </c>
    </row>
    <row r="64" spans="2:12" x14ac:dyDescent="0.25">
      <c r="B64" s="45" t="s">
        <v>85</v>
      </c>
      <c r="C64" t="s">
        <v>86</v>
      </c>
      <c r="F64">
        <f>(F61-F62)/((O11*(O14-1)*F61)+((O11-O14)*F62))</f>
        <v>-0.49123931623931583</v>
      </c>
    </row>
    <row r="65" spans="2:8" x14ac:dyDescent="0.25">
      <c r="B65" s="45" t="s">
        <v>87</v>
      </c>
      <c r="C65" t="s">
        <v>88</v>
      </c>
      <c r="F65">
        <f>(C27/E27)*(1+(O11-O14)*F64)</f>
        <v>1.8449640906932587</v>
      </c>
      <c r="H65" t="s">
        <v>97</v>
      </c>
    </row>
  </sheetData>
  <mergeCells count="1">
    <mergeCell ref="H7:H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Chaurasia</dc:creator>
  <cp:lastModifiedBy>Julie Chaurasia</cp:lastModifiedBy>
  <dcterms:created xsi:type="dcterms:W3CDTF">2015-06-05T18:17:20Z</dcterms:created>
  <dcterms:modified xsi:type="dcterms:W3CDTF">2026-09-25T05:45:29Z</dcterms:modified>
</cp:coreProperties>
</file>