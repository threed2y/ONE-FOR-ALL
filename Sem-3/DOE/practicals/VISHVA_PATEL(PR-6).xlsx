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patel\Desktop\Msc sem3\DOE\practicals\"/>
    </mc:Choice>
  </mc:AlternateContent>
  <xr:revisionPtr revIDLastSave="0" documentId="13_ncr:1_{E73AE7D1-09A4-4125-9498-0FF63452071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-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7" i="1" l="1" a="1"/>
  <c r="F77" i="1" s="1"/>
  <c r="G61" i="1" a="1"/>
  <c r="G61" i="1" s="1"/>
  <c r="F61" i="1" a="1"/>
  <c r="F61" i="1" s="1"/>
  <c r="G62" i="1" a="1"/>
  <c r="G62" i="1" s="1"/>
  <c r="C81" i="1" l="1" a="1"/>
  <c r="C81" i="1" s="1"/>
  <c r="D79" i="1"/>
  <c r="D76" i="1"/>
  <c r="E76" i="1" s="1"/>
  <c r="D75" i="1"/>
  <c r="E75" i="1" s="1"/>
  <c r="E79" i="1"/>
  <c r="F64" i="1"/>
  <c r="G64" i="1" s="1"/>
  <c r="F63" i="1"/>
  <c r="G63" i="1" s="1"/>
  <c r="F62" i="1"/>
  <c r="G65" i="1" l="1"/>
  <c r="D67" i="1" s="1"/>
  <c r="E69" i="1" s="1"/>
  <c r="D77" i="1" l="1"/>
  <c r="E77" i="1" s="1"/>
  <c r="D78" i="1"/>
  <c r="E78" i="1" s="1"/>
</calcChain>
</file>

<file path=xl/sharedStrings.xml><?xml version="1.0" encoding="utf-8"?>
<sst xmlns="http://schemas.openxmlformats.org/spreadsheetml/2006/main" count="123" uniqueCount="91">
  <si>
    <t>VISHVA PATEL</t>
  </si>
  <si>
    <t>2017033800132746</t>
  </si>
  <si>
    <t>Practical -6 : - RESPONSE SURFACE DESIGN</t>
  </si>
  <si>
    <r>
      <t>In a particular chemical reaction setting the temperature of X</t>
    </r>
    <r>
      <rPr>
        <b/>
        <vertAlign val="subscript"/>
        <sz val="14"/>
        <color theme="1"/>
        <rFont val="Times New Roman"/>
        <family val="1"/>
      </rPr>
      <t>1</t>
    </r>
    <r>
      <rPr>
        <b/>
        <sz val="14"/>
        <color theme="1"/>
        <rFont val="Times New Roman"/>
        <family val="1"/>
      </rPr>
      <t xml:space="preserve"> of the reaction time and length of time X</t>
    </r>
    <r>
      <rPr>
        <b/>
        <vertAlign val="subscript"/>
        <sz val="14"/>
        <color theme="1"/>
        <rFont val="Times New Roman"/>
        <family val="1"/>
      </rPr>
      <t>2</t>
    </r>
    <r>
      <rPr>
        <b/>
        <sz val="14"/>
        <color theme="1"/>
        <rFont val="Times New Roman"/>
        <family val="1"/>
      </rPr>
      <t xml:space="preserve"> of the reaction are known to affect the teaction rate and thus the percent yield. </t>
    </r>
  </si>
  <si>
    <t xml:space="preserve"> An experimenter interested in determining if an percent increase is possible decides to perform a set of experiments by varying the reaction temperature and reaction time while holding all other factors fixed.</t>
  </si>
  <si>
    <t>The measure yield values associated with each temperature time combination are listed in the table.</t>
  </si>
  <si>
    <t>Original variables</t>
  </si>
  <si>
    <t>Percent yield</t>
  </si>
  <si>
    <r>
      <t>Temp(</t>
    </r>
    <r>
      <rPr>
        <b/>
        <vertAlign val="superscript"/>
        <sz val="14"/>
        <color theme="1"/>
        <rFont val="Times New Roman"/>
        <family val="1"/>
      </rPr>
      <t>0</t>
    </r>
    <r>
      <rPr>
        <b/>
        <sz val="14"/>
        <color theme="1"/>
        <rFont val="Times New Roman"/>
        <family val="1"/>
      </rPr>
      <t>C)                        Time (sec)</t>
    </r>
  </si>
  <si>
    <t>Y</t>
  </si>
  <si>
    <t>70                                     30</t>
  </si>
  <si>
    <t>49.8,48.1</t>
  </si>
  <si>
    <t>90                                     30</t>
  </si>
  <si>
    <t>57.3, 52.3</t>
  </si>
  <si>
    <t>70                                     90</t>
  </si>
  <si>
    <t>65.7, 69.4</t>
  </si>
  <si>
    <t>90                                     90</t>
  </si>
  <si>
    <t>73.1, 77.8</t>
  </si>
  <si>
    <t>Q-1</t>
  </si>
  <si>
    <t>SOL:</t>
  </si>
  <si>
    <t>Time and Temperature are coded as follows :</t>
  </si>
  <si>
    <t>Time</t>
  </si>
  <si>
    <t>Coded value</t>
  </si>
  <si>
    <t xml:space="preserve">Temperature </t>
  </si>
  <si>
    <t>Minimum</t>
  </si>
  <si>
    <t>Maximum</t>
  </si>
  <si>
    <r>
      <t>x</t>
    </r>
    <r>
      <rPr>
        <b/>
        <vertAlign val="subscript"/>
        <sz val="14"/>
        <color theme="1"/>
        <rFont val="Calibri"/>
        <family val="2"/>
        <scheme val="minor"/>
      </rPr>
      <t>1</t>
    </r>
  </si>
  <si>
    <r>
      <t>x</t>
    </r>
    <r>
      <rPr>
        <b/>
        <vertAlign val="subscript"/>
        <sz val="14"/>
        <color theme="1"/>
        <rFont val="Calibri"/>
        <family val="2"/>
        <scheme val="minor"/>
      </rPr>
      <t>2</t>
    </r>
  </si>
  <si>
    <t>y</t>
  </si>
  <si>
    <r>
      <t>ξ</t>
    </r>
    <r>
      <rPr>
        <b/>
        <vertAlign val="subscript"/>
        <sz val="14"/>
        <color theme="1"/>
        <rFont val="Calibri"/>
        <family val="2"/>
      </rPr>
      <t>1</t>
    </r>
  </si>
  <si>
    <r>
      <t>ξ</t>
    </r>
    <r>
      <rPr>
        <b/>
        <vertAlign val="subscript"/>
        <sz val="14"/>
        <color theme="1"/>
        <rFont val="Calibri"/>
        <family val="2"/>
      </rPr>
      <t>2</t>
    </r>
  </si>
  <si>
    <t>The regression model ,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</si>
  <si>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</si>
  <si>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</si>
  <si>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</si>
  <si>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</si>
  <si>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</si>
  <si>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</si>
  <si>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</si>
  <si>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</si>
  <si>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</si>
  <si>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</si>
  <si>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</si>
  <si>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</si>
  <si>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</si>
  <si>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</si>
  <si>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</si>
  <si>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</si>
  <si>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</si>
  <si>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</si>
  <si>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</si>
  <si>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</si>
  <si>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</si>
  <si>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</si>
  <si>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</si>
  <si>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</si>
  <si>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x1</t>
  </si>
  <si>
    <t>x2</t>
  </si>
  <si>
    <t>The fitted regression model ,</t>
  </si>
  <si>
    <t>From the values obtained the fitted model is ,</t>
  </si>
  <si>
    <t xml:space="preserve">Pure Error S.S = </t>
  </si>
  <si>
    <t>Lack of Fit    = Residual Error S.S - Pure Error S.S  =</t>
  </si>
  <si>
    <t xml:space="preserve">Hypothesis : </t>
  </si>
  <si>
    <t>Anova  :</t>
  </si>
  <si>
    <t>Source</t>
  </si>
  <si>
    <t>d.f</t>
  </si>
  <si>
    <t>S.S</t>
  </si>
  <si>
    <t>MSS</t>
  </si>
  <si>
    <r>
      <t>F</t>
    </r>
    <r>
      <rPr>
        <b/>
        <vertAlign val="subscript"/>
        <sz val="14"/>
        <color theme="1"/>
        <rFont val="Calibri"/>
        <family val="2"/>
        <scheme val="minor"/>
      </rPr>
      <t xml:space="preserve">cal </t>
    </r>
  </si>
  <si>
    <t>Residual Error</t>
  </si>
  <si>
    <t>Lack of fit</t>
  </si>
  <si>
    <t>Pure Error</t>
  </si>
  <si>
    <r>
      <t>H0 :</t>
    </r>
    <r>
      <rPr>
        <sz val="14"/>
        <color theme="1"/>
        <rFont val="Calibri"/>
        <family val="2"/>
        <scheme val="minor"/>
      </rPr>
      <t xml:space="preserve"> There is no lack of fit , Model is linear.  </t>
    </r>
    <r>
      <rPr>
        <b/>
        <sz val="14"/>
        <color theme="1"/>
        <rFont val="Calibri"/>
        <family val="2"/>
        <scheme val="minor"/>
      </rPr>
      <t xml:space="preserve">     Vs.       H1 : </t>
    </r>
    <r>
      <rPr>
        <sz val="14"/>
        <color theme="1"/>
        <rFont val="Calibri"/>
        <family val="2"/>
        <scheme val="minor"/>
      </rPr>
      <t xml:space="preserve">There is lack of fit , Model is not linear. </t>
    </r>
  </si>
  <si>
    <r>
      <t>F</t>
    </r>
    <r>
      <rPr>
        <b/>
        <vertAlign val="subscript"/>
        <sz val="14"/>
        <color theme="1"/>
        <rFont val="Calibri"/>
        <family val="2"/>
        <scheme val="minor"/>
      </rPr>
      <t>tab</t>
    </r>
    <r>
      <rPr>
        <b/>
        <sz val="14"/>
        <color theme="1"/>
        <rFont val="Calibri"/>
        <family val="2"/>
        <scheme val="minor"/>
      </rPr>
      <t xml:space="preserve"> =</t>
    </r>
  </si>
  <si>
    <t>Conclusion :</t>
  </si>
  <si>
    <t>Hence, there is no lack of fit. Thus, model is linear.</t>
  </si>
  <si>
    <r>
      <t>Here, F</t>
    </r>
    <r>
      <rPr>
        <vertAlign val="subscript"/>
        <sz val="14"/>
        <color theme="1"/>
        <rFont val="Calibri"/>
        <family val="2"/>
        <scheme val="minor"/>
      </rPr>
      <t xml:space="preserve">cal </t>
    </r>
    <r>
      <rPr>
        <sz val="14"/>
        <color theme="1"/>
        <rFont val="Calibri"/>
        <family val="2"/>
        <scheme val="minor"/>
      </rPr>
      <t xml:space="preserve"> &lt;  F</t>
    </r>
    <r>
      <rPr>
        <vertAlign val="subscript"/>
        <sz val="14"/>
        <color theme="1"/>
        <rFont val="Calibri"/>
        <family val="2"/>
        <scheme val="minor"/>
      </rPr>
      <t>tab</t>
    </r>
    <r>
      <rPr>
        <sz val="14"/>
        <color theme="1"/>
        <rFont val="Calibri"/>
        <family val="2"/>
        <scheme val="minor"/>
      </rPr>
      <t xml:space="preserve"> .</t>
    </r>
  </si>
  <si>
    <r>
      <t>So , we do not reject H</t>
    </r>
    <r>
      <rPr>
        <vertAlign val="subscript"/>
        <sz val="14"/>
        <color theme="1"/>
        <rFont val="Calibri"/>
        <family val="2"/>
        <scheme val="minor"/>
      </rPr>
      <t>0</t>
    </r>
    <r>
      <rPr>
        <sz val="14"/>
        <color theme="1"/>
        <rFont val="Calibri"/>
        <family val="2"/>
        <scheme val="minor"/>
      </rPr>
      <t xml:space="preserve"> at 5 % level of significance.</t>
    </r>
  </si>
  <si>
    <t>Model with interaction;  Y =  β0 + β1X1 + β2X2 + β12 (X1X2)</t>
  </si>
  <si>
    <t>CODED VALUE</t>
  </si>
  <si>
    <t>Yij</t>
  </si>
  <si>
    <r>
      <t>X</t>
    </r>
    <r>
      <rPr>
        <vertAlign val="subscript"/>
        <sz val="14"/>
        <color theme="1"/>
        <rFont val="Calibri"/>
        <family val="2"/>
        <scheme val="minor"/>
      </rPr>
      <t>1</t>
    </r>
  </si>
  <si>
    <r>
      <t>X</t>
    </r>
    <r>
      <rPr>
        <vertAlign val="subscript"/>
        <sz val="14"/>
        <color theme="1"/>
        <rFont val="Calibri"/>
        <family val="2"/>
        <scheme val="minor"/>
      </rPr>
      <t>2</t>
    </r>
  </si>
  <si>
    <r>
      <t>X</t>
    </r>
    <r>
      <rPr>
        <vertAlign val="subscript"/>
        <sz val="14"/>
        <color theme="1"/>
        <rFont val="Calibri"/>
        <family val="2"/>
        <scheme val="minor"/>
      </rPr>
      <t>1</t>
    </r>
    <r>
      <rPr>
        <sz val="14"/>
        <color theme="1"/>
        <rFont val="Calibri"/>
        <family val="2"/>
        <scheme val="minor"/>
      </rPr>
      <t>* X</t>
    </r>
    <r>
      <rPr>
        <vertAlign val="subscript"/>
        <sz val="14"/>
        <color theme="1"/>
        <rFont val="Calibri"/>
        <family val="2"/>
        <scheme val="minor"/>
      </rPr>
      <t>2</t>
    </r>
  </si>
  <si>
    <t>X1</t>
  </si>
  <si>
    <t>X2</t>
  </si>
  <si>
    <t>X1* X2</t>
  </si>
  <si>
    <t>Conclusion:</t>
  </si>
  <si>
    <t>So the model is:</t>
  </si>
  <si>
    <r>
      <t>α &lt; p-value.β</t>
    </r>
    <r>
      <rPr>
        <vertAlign val="subscript"/>
        <sz val="14"/>
        <rFont val="Calibri"/>
        <family val="2"/>
        <scheme val="minor"/>
      </rPr>
      <t>12</t>
    </r>
    <r>
      <rPr>
        <sz val="14"/>
        <rFont val="Calibri"/>
        <family val="2"/>
        <scheme val="minor"/>
      </rPr>
      <t xml:space="preserve"> = 0. So, we do not reject H</t>
    </r>
    <r>
      <rPr>
        <vertAlign val="subscript"/>
        <sz val="14"/>
        <rFont val="Calibri"/>
        <family val="2"/>
        <scheme val="minor"/>
      </rPr>
      <t xml:space="preserve">0 </t>
    </r>
    <r>
      <rPr>
        <sz val="14"/>
        <rFont val="Calibri"/>
        <family val="2"/>
        <scheme val="minor"/>
      </rPr>
      <t>and conclude that the interaction part is not needed in this fitted model.</t>
    </r>
  </si>
  <si>
    <r>
      <t>Y:  β</t>
    </r>
    <r>
      <rPr>
        <vertAlign val="subscript"/>
        <sz val="14"/>
        <rFont val="Calibri"/>
        <family val="2"/>
        <scheme val="minor"/>
      </rPr>
      <t>0</t>
    </r>
    <r>
      <rPr>
        <sz val="14"/>
        <rFont val="Calibri"/>
        <family val="2"/>
        <scheme val="minor"/>
      </rPr>
      <t xml:space="preserve"> + β</t>
    </r>
    <r>
      <rPr>
        <vertAlign val="subscript"/>
        <sz val="14"/>
        <rFont val="Calibri"/>
        <family val="2"/>
        <scheme val="minor"/>
      </rPr>
      <t>1</t>
    </r>
    <r>
      <rPr>
        <sz val="14"/>
        <rFont val="Calibri"/>
        <family val="2"/>
        <scheme val="minor"/>
      </rPr>
      <t>X</t>
    </r>
    <r>
      <rPr>
        <vertAlign val="subscript"/>
        <sz val="14"/>
        <rFont val="Calibri"/>
        <family val="2"/>
        <scheme val="minor"/>
      </rPr>
      <t>1</t>
    </r>
    <r>
      <rPr>
        <sz val="14"/>
        <rFont val="Calibri"/>
        <family val="2"/>
        <scheme val="minor"/>
      </rPr>
      <t xml:space="preserve"> + β</t>
    </r>
    <r>
      <rPr>
        <vertAlign val="subscript"/>
        <sz val="14"/>
        <rFont val="Calibri"/>
        <family val="2"/>
        <scheme val="minor"/>
      </rPr>
      <t>2</t>
    </r>
    <r>
      <rPr>
        <sz val="14"/>
        <rFont val="Calibri"/>
        <family val="2"/>
        <scheme val="minor"/>
      </rPr>
      <t>X</t>
    </r>
    <r>
      <rPr>
        <vertAlign val="subscript"/>
        <sz val="14"/>
        <rFont val="Calibri"/>
        <family val="2"/>
        <scheme val="minor"/>
      </rPr>
      <t xml:space="preserve">2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</si>
</sst>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bscript"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sz val="14"/>
      <color theme="1"/>
      <name val="Times New Roman"/>
      <family val="1"/>
    </font>
    <font>
      <b/>
      <vertAlign val="subscript"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vertAlign val="subscript"/>
      <sz val="14"/>
      <color theme="1"/>
      <name val="Calibri"/>
      <family val="2"/>
    </font>
    <font>
      <i/>
      <sz val="11"/>
      <color theme="1"/>
      <name val="Calibri"/>
      <family val="2"/>
      <scheme val="minor"/>
    </font>
    <font>
      <vertAlign val="subscript"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vertAlign val="subscript"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14" fontId="4" fillId="0" borderId="1" xfId="0" applyNumberFormat="1" applyFont="1" applyBorder="1"/>
    <xf numFmtId="0" fontId="4" fillId="0" borderId="0" xfId="0" applyFont="1"/>
    <xf numFmtId="0" fontId="6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15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0" xfId="0" applyFill="1" applyBorder="1" applyAlignment="1"/>
    <xf numFmtId="0" fontId="0" fillId="0" borderId="16" xfId="0" applyFill="1" applyBorder="1" applyAlignment="1"/>
    <xf numFmtId="0" fontId="13" fillId="0" borderId="20" xfId="0" applyFont="1" applyFill="1" applyBorder="1" applyAlignment="1">
      <alignment horizontal="center"/>
    </xf>
    <xf numFmtId="0" fontId="13" fillId="0" borderId="20" xfId="0" applyFont="1" applyFill="1" applyBorder="1" applyAlignment="1">
      <alignment horizontal="centerContinuous"/>
    </xf>
    <xf numFmtId="0" fontId="2" fillId="0" borderId="17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3" fillId="0" borderId="18" xfId="0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2" fillId="0" borderId="0" xfId="0" applyFont="1" applyFill="1" applyBorder="1"/>
    <xf numFmtId="0" fontId="9" fillId="0" borderId="10" xfId="0" applyFont="1" applyBorder="1" applyAlignment="1">
      <alignment horizontal="center" vertical="center" wrapText="1"/>
    </xf>
    <xf numFmtId="0" fontId="15" fillId="0" borderId="16" xfId="0" applyFont="1" applyFill="1" applyBorder="1" applyAlignment="1"/>
    <xf numFmtId="0" fontId="16" fillId="0" borderId="0" xfId="0" applyFont="1"/>
    <xf numFmtId="0" fontId="17" fillId="0" borderId="0" xfId="0" applyFont="1"/>
    <xf numFmtId="0" fontId="17" fillId="0" borderId="0" xfId="0" applyFont="1" applyAlignment="1">
      <alignment horizontal="right"/>
    </xf>
    <xf numFmtId="0" fontId="3" fillId="0" borderId="1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'Q-1'!$B$23:$B$30</c:f>
              <c:numCache>
                <c:formatCode>General</c:formatCode>
                <c:ptCount val="8"/>
                <c:pt idx="0">
                  <c:v>-1</c:v>
                </c:pt>
                <c:pt idx="1">
                  <c:v>-1</c:v>
                </c:pt>
                <c:pt idx="2">
                  <c:v>1</c:v>
                </c:pt>
                <c:pt idx="3">
                  <c:v>1</c:v>
                </c:pt>
                <c:pt idx="4">
                  <c:v>-1</c:v>
                </c:pt>
                <c:pt idx="5">
                  <c:v>-1</c:v>
                </c:pt>
                <c:pt idx="6">
                  <c:v>1</c:v>
                </c:pt>
                <c:pt idx="7">
                  <c:v>1</c:v>
                </c:pt>
              </c:numCache>
            </c:num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FF-4710-B421-99D0C9B50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9994047"/>
        <c:axId val="659999455"/>
      </c:scatterChart>
      <c:valAx>
        <c:axId val="6599940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59999455"/>
        <c:crosses val="autoZero"/>
        <c:crossBetween val="midCat"/>
      </c:valAx>
      <c:valAx>
        <c:axId val="65999945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5999404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'Q-1'!$C$23:$C$30</c:f>
              <c:numCache>
                <c:formatCode>General</c:formatCode>
                <c:ptCount val="8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EB-492B-B44C-A155515CD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9995711"/>
        <c:axId val="660006111"/>
      </c:scatterChart>
      <c:valAx>
        <c:axId val="6599957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60006111"/>
        <c:crosses val="autoZero"/>
        <c:crossBetween val="midCat"/>
      </c:valAx>
      <c:valAx>
        <c:axId val="66000611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5999571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1619250</xdr:colOff>
      <xdr:row>8</xdr:row>
      <xdr:rowOff>9525</xdr:rowOff>
    </xdr:from>
    <xdr:to>
      <xdr:col>2</xdr:col>
      <xdr:colOff>1619250</xdr:colOff>
      <xdr:row>13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9F360F9-42BD-4020-89FE-7386ADC131DD}"/>
            </a:ext>
          </a:extLst>
        </xdr:cNvPr>
        <xdr:cNvCxnSpPr/>
      </xdr:nvCxnSpPr>
      <xdr:spPr>
        <a:xfrm>
          <a:off x="3009900" y="1819275"/>
          <a:ext cx="0" cy="12763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</xdr:col>
      <xdr:colOff>977348</xdr:colOff>
      <xdr:row>31</xdr:row>
      <xdr:rowOff>39342</xdr:rowOff>
    </xdr:from>
    <xdr:ext cx="195124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289DDFA8-F031-4C5D-A675-E4278224036C}"/>
                </a:ext>
              </a:extLst>
            </xdr:cNvPr>
            <xdr:cNvSpPr txBox="1"/>
          </xdr:nvSpPr>
          <xdr:spPr>
            <a:xfrm>
              <a:off x="2729948" y="7392642"/>
              <a:ext cx="195124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N" sz="120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𝒀</m:t>
                    </m:r>
                    <m:r>
                      <a:rPr lang="en-IN" sz="120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r>
                      <a:rPr lang="en-IN" sz="120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𝜷</m:t>
                    </m:r>
                    <m:r>
                      <a:rPr lang="en-IN" sz="1200" b="1" i="1" baseline="-2500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𝟎</m:t>
                    </m:r>
                    <m:r>
                      <a:rPr lang="en-IN" sz="120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 </m:t>
                    </m:r>
                    <m:r>
                      <a:rPr lang="en-IN" sz="120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𝜷</m:t>
                    </m:r>
                    <m:r>
                      <a:rPr lang="en-IN" sz="1200" b="1" i="1" baseline="-2500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IN" sz="1200" b="1" i="1" baseline="-2500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n-IN" sz="120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𝒙</m:t>
                    </m:r>
                    <m:r>
                      <a:rPr lang="en-IN" sz="1200" b="1" i="1" baseline="-2500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IN" sz="120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 </m:t>
                    </m:r>
                    <m:r>
                      <a:rPr lang="en-IN" sz="120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𝜷</m:t>
                    </m:r>
                    <m:r>
                      <a:rPr lang="en-IN" sz="1200" b="1" i="1" baseline="-2500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𝟐</m:t>
                    </m:r>
                    <m:r>
                      <a:rPr lang="en-IN" sz="120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n-IN" sz="120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𝒙</m:t>
                    </m:r>
                    <m:r>
                      <a:rPr lang="en-IN" sz="1200" b="1" i="1" baseline="-2500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𝟐</m:t>
                    </m:r>
                    <m:r>
                      <a:rPr lang="en-IN" sz="120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 </m:t>
                    </m:r>
                    <m:r>
                      <a:rPr lang="en-IN" sz="120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𝜺</m:t>
                    </m:r>
                  </m:oMath>
                </m:oMathPara>
              </a14:m>
              <a:endParaRPr lang="en-IN" sz="1200" b="1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289DDFA8-F031-4C5D-A675-E4278224036C}"/>
                </a:ext>
              </a:extLst>
            </xdr:cNvPr>
            <xdr:cNvSpPr txBox="1"/>
          </xdr:nvSpPr>
          <xdr:spPr>
            <a:xfrm>
              <a:off x="2729948" y="7392642"/>
              <a:ext cx="195124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IN" sz="12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𝒀= </a:t>
              </a:r>
              <a:r>
                <a:rPr lang="en-IN" sz="120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𝜷</a:t>
              </a:r>
              <a:r>
                <a:rPr lang="en-IN" sz="1200" b="1" i="0" baseline="-2500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𝟎</a:t>
              </a:r>
              <a:r>
                <a:rPr lang="en-IN" sz="120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+ 𝜷</a:t>
              </a:r>
              <a:r>
                <a:rPr lang="en-IN" sz="1200" b="1" i="0" baseline="-2500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𝟏 </a:t>
              </a:r>
              <a:r>
                <a:rPr lang="en-IN" sz="120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𝒙</a:t>
              </a:r>
              <a:r>
                <a:rPr lang="en-IN" sz="1200" b="1" i="0" baseline="-2500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𝟏</a:t>
              </a:r>
              <a:r>
                <a:rPr lang="en-IN" sz="120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+ 𝜷</a:t>
              </a:r>
              <a:r>
                <a:rPr lang="en-IN" sz="1200" b="1" i="0" baseline="-2500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r>
                <a:rPr lang="en-IN" sz="120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 𝒙</a:t>
              </a:r>
              <a:r>
                <a:rPr lang="en-IN" sz="1200" b="1" i="0" baseline="-2500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r>
                <a:rPr lang="en-IN" sz="120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+ 𝜺</a:t>
              </a:r>
              <a:endParaRPr lang="en-IN" sz="1200" b="1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2</xdr:col>
      <xdr:colOff>1461050</xdr:colOff>
      <xdr:row>53</xdr:row>
      <xdr:rowOff>4553</xdr:rowOff>
    </xdr:from>
    <xdr:ext cx="1620572" cy="20165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97A6F442-2F8B-4D6D-A096-F087A0B4B6C9}"/>
                </a:ext>
              </a:extLst>
            </xdr:cNvPr>
            <xdr:cNvSpPr txBox="1"/>
          </xdr:nvSpPr>
          <xdr:spPr>
            <a:xfrm>
              <a:off x="3213650" y="11653628"/>
              <a:ext cx="1620572" cy="2016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IN" sz="12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IN" sz="12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𝒀</m:t>
                        </m:r>
                      </m:e>
                    </m:acc>
                    <m:r>
                      <a:rPr lang="en-IN" sz="120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acc>
                      <m:accPr>
                        <m:chr m:val="̂"/>
                        <m:ctrlPr>
                          <a:rPr lang="en-IN" sz="12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IN" sz="12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𝜷</m:t>
                        </m:r>
                        <m:r>
                          <a:rPr lang="en-IN" sz="1200" b="1" i="1" baseline="-2500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𝟎</m:t>
                        </m:r>
                      </m:e>
                    </m:acc>
                    <m:r>
                      <a:rPr lang="en-IN" sz="120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+ </m:t>
                    </m:r>
                    <m:acc>
                      <m:accPr>
                        <m:chr m:val="̂"/>
                        <m:ctrlPr>
                          <a:rPr lang="en-IN" sz="12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IN" sz="12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𝜷</m:t>
                        </m:r>
                        <m:r>
                          <a:rPr lang="en-IN" sz="1200" b="1" i="1" baseline="-2500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e>
                    </m:acc>
                    <m:r>
                      <a:rPr lang="en-IN" sz="120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en-IN" sz="120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𝒙</m:t>
                    </m:r>
                    <m:r>
                      <a:rPr lang="en-IN" sz="1200" b="1" i="1" baseline="-2500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</m:t>
                    </m:r>
                    <m:r>
                      <a:rPr lang="en-IN" sz="120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+</m:t>
                    </m:r>
                    <m:acc>
                      <m:accPr>
                        <m:chr m:val="̂"/>
                        <m:ctrlPr>
                          <a:rPr lang="en-IN" sz="12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IN" sz="12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𝜷</m:t>
                        </m:r>
                        <m:r>
                          <a:rPr lang="en-IN" sz="1200" b="1" i="1" baseline="-2500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e>
                    </m:acc>
                    <m:r>
                      <a:rPr lang="en-IN" sz="120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en-IN" sz="120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𝒙</m:t>
                    </m:r>
                    <m:r>
                      <a:rPr lang="en-IN" sz="1200" b="1" i="1" baseline="-2500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𝟐</m:t>
                    </m:r>
                  </m:oMath>
                </m:oMathPara>
              </a14:m>
              <a:endParaRPr lang="en-IN" sz="1100" b="1" baseline="-250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97A6F442-2F8B-4D6D-A096-F087A0B4B6C9}"/>
                </a:ext>
              </a:extLst>
            </xdr:cNvPr>
            <xdr:cNvSpPr txBox="1"/>
          </xdr:nvSpPr>
          <xdr:spPr>
            <a:xfrm>
              <a:off x="3213650" y="11653628"/>
              <a:ext cx="1620572" cy="2016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IN" sz="12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𝒀 ̂= (</a:t>
              </a:r>
              <a:r>
                <a:rPr lang="en-IN" sz="120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𝜷</a:t>
              </a:r>
              <a:r>
                <a:rPr lang="en-IN" sz="1200" b="1" i="0" baseline="-2500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𝟎) ̂</a:t>
              </a:r>
              <a:r>
                <a:rPr lang="en-IN" sz="12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+ (</a:t>
              </a:r>
              <a:r>
                <a:rPr lang="en-IN" sz="120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𝜷</a:t>
              </a:r>
              <a:r>
                <a:rPr lang="en-IN" sz="1200" b="1" i="0" baseline="-2500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𝟏) ̂ </a:t>
              </a:r>
              <a:r>
                <a:rPr lang="en-IN" sz="12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 𝒙</a:t>
              </a:r>
              <a:r>
                <a:rPr lang="en-IN" sz="1200" b="1" i="0" baseline="-2500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𝟏</a:t>
              </a:r>
              <a:r>
                <a:rPr lang="en-IN" sz="12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+(</a:t>
              </a:r>
              <a:r>
                <a:rPr lang="en-IN" sz="120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𝜷</a:t>
              </a:r>
              <a:r>
                <a:rPr lang="en-IN" sz="1200" b="1" i="0" baseline="-2500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𝟐) ̂ </a:t>
              </a:r>
              <a:r>
                <a:rPr lang="en-IN" sz="12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 𝒙</a:t>
              </a:r>
              <a:r>
                <a:rPr lang="en-IN" sz="1200" b="1" i="0" baseline="-2500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𝟐</a:t>
              </a:r>
              <a:endParaRPr lang="en-IN" sz="1100" b="1" baseline="-25000"/>
            </a:p>
          </xdr:txBody>
        </xdr:sp>
      </mc:Fallback>
    </mc:AlternateContent>
    <xdr:clientData/>
  </xdr:oneCellAnchor>
  <xdr:oneCellAnchor>
    <xdr:from>
      <xdr:col>3</xdr:col>
      <xdr:colOff>710234</xdr:colOff>
      <xdr:row>55</xdr:row>
      <xdr:rowOff>16563</xdr:rowOff>
    </xdr:from>
    <xdr:ext cx="2148409" cy="19684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54FB298-92BC-44BA-8864-10904465F7D2}"/>
                </a:ext>
              </a:extLst>
            </xdr:cNvPr>
            <xdr:cNvSpPr txBox="1"/>
          </xdr:nvSpPr>
          <xdr:spPr>
            <a:xfrm>
              <a:off x="5787059" y="12141888"/>
              <a:ext cx="2148409" cy="1968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IN" sz="12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IN" sz="1200" b="1" i="1">
                            <a:latin typeface="Cambria Math" panose="02040503050406030204" pitchFamily="18" charset="0"/>
                          </a:rPr>
                          <m:t>𝒀</m:t>
                        </m:r>
                      </m:e>
                    </m:acc>
                    <m:r>
                      <a:rPr lang="en-IN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IN" sz="1200" b="1" i="1">
                        <a:latin typeface="Cambria Math" panose="02040503050406030204" pitchFamily="18" charset="0"/>
                      </a:rPr>
                      <m:t>𝟔𝟏</m:t>
                    </m:r>
                    <m:r>
                      <a:rPr lang="en-IN" sz="1200" b="1" i="1">
                        <a:latin typeface="Cambria Math" panose="02040503050406030204" pitchFamily="18" charset="0"/>
                      </a:rPr>
                      <m:t>.</m:t>
                    </m:r>
                    <m:r>
                      <a:rPr lang="en-IN" sz="1200" b="1" i="1">
                        <a:latin typeface="Cambria Math" panose="02040503050406030204" pitchFamily="18" charset="0"/>
                      </a:rPr>
                      <m:t>𝟔𝟖</m:t>
                    </m:r>
                    <m:r>
                      <a:rPr lang="en-IN" sz="1200" b="1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IN" sz="12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n-IN" sz="1200" b="1" i="1">
                        <a:latin typeface="Cambria Math" panose="02040503050406030204" pitchFamily="18" charset="0"/>
                      </a:rPr>
                      <m:t>.</m:t>
                    </m:r>
                    <m:r>
                      <a:rPr lang="en-IN" sz="1200" b="1" i="1">
                        <a:latin typeface="Cambria Math" panose="02040503050406030204" pitchFamily="18" charset="0"/>
                      </a:rPr>
                      <m:t>𝟒𝟑</m:t>
                    </m:r>
                    <m:r>
                      <a:rPr lang="en-IN" sz="12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IN" sz="1200" b="1" i="1">
                        <a:latin typeface="Cambria Math" panose="02040503050406030204" pitchFamily="18" charset="0"/>
                      </a:rPr>
                      <m:t>𝒙</m:t>
                    </m:r>
                    <m:r>
                      <a:rPr lang="en-IN" sz="1200" b="1" i="1" baseline="-25000">
                        <a:latin typeface="Cambria Math" panose="02040503050406030204" pitchFamily="18" charset="0"/>
                      </a:rPr>
                      <m:t>𝟏</m:t>
                    </m:r>
                    <m:r>
                      <a:rPr lang="en-IN" sz="1200" b="1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IN" sz="1200" b="1" i="1">
                        <a:latin typeface="Cambria Math" panose="02040503050406030204" pitchFamily="18" charset="0"/>
                      </a:rPr>
                      <m:t>𝟗</m:t>
                    </m:r>
                    <m:r>
                      <a:rPr lang="en-IN" sz="1200" b="1" i="1">
                        <a:latin typeface="Cambria Math" panose="02040503050406030204" pitchFamily="18" charset="0"/>
                      </a:rPr>
                      <m:t>.</m:t>
                    </m:r>
                    <m:r>
                      <a:rPr lang="en-IN" sz="1200" b="1" i="1">
                        <a:latin typeface="Cambria Math" panose="02040503050406030204" pitchFamily="18" charset="0"/>
                      </a:rPr>
                      <m:t>𝟖𝟏</m:t>
                    </m:r>
                    <m:r>
                      <a:rPr lang="en-IN" sz="12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IN" sz="1200" b="1" i="1">
                        <a:latin typeface="Cambria Math" panose="02040503050406030204" pitchFamily="18" charset="0"/>
                      </a:rPr>
                      <m:t>𝒙</m:t>
                    </m:r>
                    <m:r>
                      <a:rPr lang="en-IN" sz="1200" b="1" i="1" baseline="-25000">
                        <a:latin typeface="Cambria Math" panose="02040503050406030204" pitchFamily="18" charset="0"/>
                      </a:rPr>
                      <m:t>𝟐</m:t>
                    </m:r>
                  </m:oMath>
                </m:oMathPara>
              </a14:m>
              <a:endParaRPr lang="en-IN" sz="1100" b="1" baseline="-250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54FB298-92BC-44BA-8864-10904465F7D2}"/>
                </a:ext>
              </a:extLst>
            </xdr:cNvPr>
            <xdr:cNvSpPr txBox="1"/>
          </xdr:nvSpPr>
          <xdr:spPr>
            <a:xfrm>
              <a:off x="5787059" y="12141888"/>
              <a:ext cx="2148409" cy="1968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IN" sz="1200" b="1" i="0">
                  <a:latin typeface="Cambria Math" panose="02040503050406030204" pitchFamily="18" charset="0"/>
                </a:rPr>
                <a:t>𝒀 ̂=𝟔𝟏.𝟔𝟖+𝟑.𝟒𝟑 𝒙</a:t>
              </a:r>
              <a:r>
                <a:rPr lang="en-IN" sz="1200" b="1" i="0" baseline="-25000">
                  <a:latin typeface="Cambria Math" panose="02040503050406030204" pitchFamily="18" charset="0"/>
                </a:rPr>
                <a:t>𝟏</a:t>
              </a:r>
              <a:r>
                <a:rPr lang="en-IN" sz="1200" b="1" i="0">
                  <a:latin typeface="Cambria Math" panose="02040503050406030204" pitchFamily="18" charset="0"/>
                </a:rPr>
                <a:t>+𝟗.𝟖𝟏 𝒙</a:t>
              </a:r>
              <a:r>
                <a:rPr lang="en-IN" sz="1200" b="1" i="0" baseline="-25000">
                  <a:latin typeface="Cambria Math" panose="02040503050406030204" pitchFamily="18" charset="0"/>
                </a:rPr>
                <a:t>𝟐</a:t>
              </a:r>
              <a:endParaRPr lang="en-IN" sz="1100" b="1" baseline="-25000"/>
            </a:p>
          </xdr:txBody>
        </xdr:sp>
      </mc:Fallback>
    </mc:AlternateContent>
    <xdr:clientData/>
  </xdr:oneCellAnchor>
  <xdr:twoCellAnchor>
    <xdr:from>
      <xdr:col>10</xdr:col>
      <xdr:colOff>238125</xdr:colOff>
      <xdr:row>17</xdr:row>
      <xdr:rowOff>180975</xdr:rowOff>
    </xdr:from>
    <xdr:to>
      <xdr:col>16</xdr:col>
      <xdr:colOff>238125</xdr:colOff>
      <xdr:row>25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3C2B784-265E-4FB4-8D2C-6A6026C296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238125</xdr:colOff>
      <xdr:row>19</xdr:row>
      <xdr:rowOff>85725</xdr:rowOff>
    </xdr:from>
    <xdr:to>
      <xdr:col>17</xdr:col>
      <xdr:colOff>238125</xdr:colOff>
      <xdr:row>27</xdr:row>
      <xdr:rowOff>57150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933174A-8F31-472D-817E-A4E0F248E9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5</xdr:col>
      <xdr:colOff>443947</xdr:colOff>
      <xdr:row>59</xdr:row>
      <xdr:rowOff>9938</xdr:rowOff>
    </xdr:from>
    <xdr:ext cx="198772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DAEBB475-F4D0-472F-B8FA-D1E021AAB63B}"/>
                </a:ext>
              </a:extLst>
            </xdr:cNvPr>
            <xdr:cNvSpPr txBox="1"/>
          </xdr:nvSpPr>
          <xdr:spPr>
            <a:xfrm>
              <a:off x="7263847" y="23936738"/>
              <a:ext cx="19877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IN" sz="12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IN" sz="12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</m:acc>
                    <m:r>
                      <a:rPr lang="en-IN" sz="1200" b="1" i="1" baseline="-25000">
                        <a:latin typeface="Cambria Math" panose="02040503050406030204" pitchFamily="18" charset="0"/>
                      </a:rPr>
                      <m:t>𝒊</m:t>
                    </m:r>
                    <m:r>
                      <a:rPr lang="en-IN" sz="1200" b="1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IN" sz="1100" b="1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DAEBB475-F4D0-472F-B8FA-D1E021AAB63B}"/>
                </a:ext>
              </a:extLst>
            </xdr:cNvPr>
            <xdr:cNvSpPr txBox="1"/>
          </xdr:nvSpPr>
          <xdr:spPr>
            <a:xfrm>
              <a:off x="7263847" y="23936738"/>
              <a:ext cx="19877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IN" sz="1200" b="1" i="0">
                  <a:latin typeface="Cambria Math" panose="02040503050406030204" pitchFamily="18" charset="0"/>
                </a:rPr>
                <a:t>𝒚 ̅</a:t>
              </a:r>
              <a:r>
                <a:rPr lang="en-IN" sz="1200" b="1" i="0" baseline="-25000">
                  <a:latin typeface="Cambria Math" panose="02040503050406030204" pitchFamily="18" charset="0"/>
                </a:rPr>
                <a:t>𝒊</a:t>
              </a:r>
              <a:r>
                <a:rPr lang="en-IN" sz="1200" b="1" i="0">
                  <a:latin typeface="Cambria Math" panose="02040503050406030204" pitchFamily="18" charset="0"/>
                </a:rPr>
                <a:t> </a:t>
              </a:r>
              <a:endParaRPr lang="en-IN" sz="1100" b="1"/>
            </a:p>
          </xdr:txBody>
        </xdr:sp>
      </mc:Fallback>
    </mc:AlternateContent>
    <xdr:clientData/>
  </xdr:oneCellAnchor>
  <xdr:oneCellAnchor>
    <xdr:from>
      <xdr:col>6</xdr:col>
      <xdr:colOff>145774</xdr:colOff>
      <xdr:row>59</xdr:row>
      <xdr:rowOff>43069</xdr:rowOff>
    </xdr:from>
    <xdr:ext cx="901144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F9CE376E-2ED9-4DE9-A95B-EBE3FE253006}"/>
                </a:ext>
              </a:extLst>
            </xdr:cNvPr>
            <xdr:cNvSpPr txBox="1"/>
          </xdr:nvSpPr>
          <xdr:spPr>
            <a:xfrm>
              <a:off x="7975324" y="23969869"/>
              <a:ext cx="901144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l-GR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𝜮𝜮</m:t>
                    </m:r>
                    <m:sSup>
                      <m:sSupPr>
                        <m:ctrlPr>
                          <a:rPr lang="en-IN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IN" sz="11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IN" sz="11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𝒚</m:t>
                            </m:r>
                            <m:r>
                              <a:rPr lang="en-IN" sz="1100" b="1" i="1" baseline="-250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𝒊𝒋</m:t>
                            </m:r>
                            <m:r>
                              <a:rPr lang="en-IN" sz="11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 − </m:t>
                            </m:r>
                            <m:acc>
                              <m:accPr>
                                <m:chr m:val="̅"/>
                                <m:ctrlPr>
                                  <a:rPr lang="en-IN" sz="11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IN" sz="11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𝒚</m:t>
                                </m:r>
                              </m:e>
                            </m:acc>
                            <m:r>
                              <a:rPr lang="en-IN" sz="1100" b="1" i="1" baseline="-250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</m:e>
                        </m:d>
                      </m:e>
                      <m:sup>
                        <m:r>
                          <a:rPr lang="en-IN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p>
                    </m:sSup>
                  </m:oMath>
                </m:oMathPara>
              </a14:m>
              <a:endParaRPr lang="en-IN" sz="1100" b="1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F9CE376E-2ED9-4DE9-A95B-EBE3FE253006}"/>
                </a:ext>
              </a:extLst>
            </xdr:cNvPr>
            <xdr:cNvSpPr txBox="1"/>
          </xdr:nvSpPr>
          <xdr:spPr>
            <a:xfrm>
              <a:off x="7975324" y="23969869"/>
              <a:ext cx="901144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1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𝜮𝜮</a:t>
              </a:r>
              <a:r>
                <a:rPr lang="en-IN" sz="11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(𝒚</a:t>
              </a:r>
              <a:r>
                <a:rPr lang="en-IN" sz="1100" b="1" i="0" baseline="-25000">
                  <a:latin typeface="Cambria Math" panose="02040503050406030204" pitchFamily="18" charset="0"/>
                  <a:ea typeface="Cambria Math" panose="02040503050406030204" pitchFamily="18" charset="0"/>
                </a:rPr>
                <a:t>𝒊𝒋</a:t>
              </a:r>
              <a:r>
                <a:rPr lang="en-IN" sz="11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 − 𝒚 ̅</a:t>
              </a:r>
              <a:r>
                <a:rPr lang="en-IN" sz="1100" b="1" i="0" baseline="-25000">
                  <a:latin typeface="Cambria Math" panose="02040503050406030204" pitchFamily="18" charset="0"/>
                  <a:ea typeface="Cambria Math" panose="02040503050406030204" pitchFamily="18" charset="0"/>
                </a:rPr>
                <a:t>𝒊)^</a:t>
              </a:r>
              <a:r>
                <a:rPr lang="en-IN" sz="11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IN" sz="1100" b="1"/>
            </a:p>
          </xdr:txBody>
        </xdr:sp>
      </mc:Fallback>
    </mc:AlternateContent>
    <xdr:clientData/>
  </xdr:oneCellAnchor>
  <xdr:oneCellAnchor>
    <xdr:from>
      <xdr:col>2</xdr:col>
      <xdr:colOff>805484</xdr:colOff>
      <xdr:row>65</xdr:row>
      <xdr:rowOff>180146</xdr:rowOff>
    </xdr:from>
    <xdr:ext cx="1330942" cy="22858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63A8C910-DA49-47CA-863C-3E609D3FE325}"/>
                </a:ext>
              </a:extLst>
            </xdr:cNvPr>
            <xdr:cNvSpPr txBox="1"/>
          </xdr:nvSpPr>
          <xdr:spPr>
            <a:xfrm>
              <a:off x="2558084" y="14600996"/>
              <a:ext cx="1330942" cy="22858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l-GR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𝜮𝜮</m:t>
                    </m:r>
                    <m:sSup>
                      <m:sSupPr>
                        <m:ctrlPr>
                          <a:rPr lang="en-IN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IN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IN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𝒚</m:t>
                            </m:r>
                            <m:r>
                              <a:rPr lang="en-IN" sz="1400" b="1" i="1" baseline="-250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𝒊𝒋</m:t>
                            </m:r>
                            <m:r>
                              <a:rPr lang="en-IN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 − </m:t>
                            </m:r>
                            <m:acc>
                              <m:accPr>
                                <m:chr m:val="̅"/>
                                <m:ctrlPr>
                                  <a:rPr lang="en-IN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IN" sz="14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𝒚</m:t>
                                </m:r>
                              </m:e>
                            </m:acc>
                            <m:r>
                              <a:rPr lang="en-IN" sz="1400" b="1" i="1" baseline="-250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</m:e>
                        </m:d>
                      </m:e>
                      <m:sup>
                        <m:r>
                          <a:rPr lang="en-IN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p>
                    </m:sSup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IN" sz="1400" b="1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63A8C910-DA49-47CA-863C-3E609D3FE325}"/>
                </a:ext>
              </a:extLst>
            </xdr:cNvPr>
            <xdr:cNvSpPr txBox="1"/>
          </xdr:nvSpPr>
          <xdr:spPr>
            <a:xfrm>
              <a:off x="2558084" y="14600996"/>
              <a:ext cx="1330942" cy="22858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𝜮𝜮</a:t>
              </a:r>
              <a:r>
                <a:rPr lang="en-IN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(𝒚</a:t>
              </a:r>
              <a:r>
                <a:rPr lang="en-IN" sz="1400" b="1" i="0" baseline="-25000">
                  <a:latin typeface="Cambria Math" panose="02040503050406030204" pitchFamily="18" charset="0"/>
                  <a:ea typeface="Cambria Math" panose="02040503050406030204" pitchFamily="18" charset="0"/>
                </a:rPr>
                <a:t>𝒊𝒋</a:t>
              </a:r>
              <a:r>
                <a:rPr lang="en-IN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 − 𝒚 ̅</a:t>
              </a:r>
              <a:r>
                <a:rPr lang="en-IN" sz="1400" b="1" i="0" baseline="-25000">
                  <a:latin typeface="Cambria Math" panose="02040503050406030204" pitchFamily="18" charset="0"/>
                  <a:ea typeface="Cambria Math" panose="02040503050406030204" pitchFamily="18" charset="0"/>
                </a:rPr>
                <a:t>𝒊)^</a:t>
              </a:r>
              <a:r>
                <a:rPr lang="en-IN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endParaRPr lang="en-IN" sz="1400" b="1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6"/>
  <sheetViews>
    <sheetView tabSelected="1" zoomScaleNormal="100" workbookViewId="0">
      <selection activeCell="B86" sqref="B86"/>
    </sheetView>
  </sheetViews>
  <sheetFormatPr defaultRowHeight="15" x14ac:dyDescent="0.25"/>
  <cols>
    <col min="1" max="1" width="15.28515625" customWidth="1"/>
    <col min="2" max="2" width="20.28515625" customWidth="1"/>
    <col min="3" max="3" width="49.85546875" customWidth="1"/>
    <col min="4" max="4" width="20" customWidth="1"/>
    <col min="5" max="5" width="18.5703125" customWidth="1"/>
    <col min="6" max="6" width="19.140625" customWidth="1"/>
    <col min="7" max="7" width="17.28515625" customWidth="1"/>
    <col min="8" max="8" width="12.42578125" customWidth="1"/>
    <col min="9" max="9" width="12.85546875" customWidth="1"/>
    <col min="10" max="10" width="12.28515625" customWidth="1"/>
    <col min="11" max="11" width="13.42578125" customWidth="1"/>
    <col min="18" max="18" width="12.5703125" customWidth="1"/>
  </cols>
  <sheetData>
    <row r="1" spans="1:18" s="2" customFormat="1" ht="15.75" customHeight="1" x14ac:dyDescent="0.25">
      <c r="A1" s="1">
        <v>44461</v>
      </c>
      <c r="E1" s="57" t="s">
        <v>2</v>
      </c>
      <c r="F1" s="57"/>
      <c r="G1" s="57"/>
      <c r="H1" s="57"/>
      <c r="I1" s="57"/>
      <c r="J1" s="57"/>
      <c r="K1" s="57"/>
      <c r="Q1" s="58" t="s">
        <v>0</v>
      </c>
      <c r="R1" s="59"/>
    </row>
    <row r="2" spans="1:18" s="2" customFormat="1" ht="15.75" x14ac:dyDescent="0.25">
      <c r="E2" s="57"/>
      <c r="F2" s="57"/>
      <c r="G2" s="57"/>
      <c r="H2" s="57"/>
      <c r="I2" s="57"/>
      <c r="J2" s="57"/>
      <c r="K2" s="57"/>
      <c r="Q2" s="60" t="s">
        <v>1</v>
      </c>
      <c r="R2" s="60"/>
    </row>
    <row r="4" spans="1:18" s="4" customFormat="1" ht="20.25" x14ac:dyDescent="0.3">
      <c r="A4" s="8" t="s">
        <v>18</v>
      </c>
      <c r="B4" s="3" t="s">
        <v>3</v>
      </c>
    </row>
    <row r="5" spans="1:18" s="4" customFormat="1" ht="18.75" x14ac:dyDescent="0.3">
      <c r="A5" s="5"/>
      <c r="B5" s="6" t="s">
        <v>4</v>
      </c>
    </row>
    <row r="6" spans="1:18" s="4" customFormat="1" ht="18.75" x14ac:dyDescent="0.3">
      <c r="A6" s="5"/>
      <c r="B6" s="6" t="s">
        <v>5</v>
      </c>
    </row>
    <row r="7" spans="1:18" s="4" customFormat="1" ht="19.5" thickBot="1" x14ac:dyDescent="0.35"/>
    <row r="8" spans="1:18" s="4" customFormat="1" ht="18.75" x14ac:dyDescent="0.3">
      <c r="C8" s="9" t="s">
        <v>6</v>
      </c>
      <c r="D8" s="10" t="s">
        <v>7</v>
      </c>
    </row>
    <row r="9" spans="1:18" s="4" customFormat="1" ht="22.5" thickBot="1" x14ac:dyDescent="0.35">
      <c r="C9" s="11" t="s">
        <v>8</v>
      </c>
      <c r="D9" s="12" t="s">
        <v>9</v>
      </c>
    </row>
    <row r="10" spans="1:18" s="4" customFormat="1" ht="19.5" thickBot="1" x14ac:dyDescent="0.35">
      <c r="C10" s="13" t="s">
        <v>10</v>
      </c>
      <c r="D10" s="14" t="s">
        <v>11</v>
      </c>
    </row>
    <row r="11" spans="1:18" s="4" customFormat="1" ht="19.5" thickBot="1" x14ac:dyDescent="0.35">
      <c r="C11" s="13" t="s">
        <v>12</v>
      </c>
      <c r="D11" s="14" t="s">
        <v>13</v>
      </c>
    </row>
    <row r="12" spans="1:18" s="4" customFormat="1" ht="19.5" thickBot="1" x14ac:dyDescent="0.35">
      <c r="C12" s="13" t="s">
        <v>14</v>
      </c>
      <c r="D12" s="14" t="s">
        <v>15</v>
      </c>
    </row>
    <row r="13" spans="1:18" s="4" customFormat="1" ht="19.5" thickBot="1" x14ac:dyDescent="0.35">
      <c r="C13" s="13" t="s">
        <v>16</v>
      </c>
      <c r="D13" s="14" t="s">
        <v>17</v>
      </c>
    </row>
    <row r="14" spans="1:18" s="4" customFormat="1" ht="18.75" x14ac:dyDescent="0.3">
      <c r="A14" s="4" t="s">
        <v>19</v>
      </c>
    </row>
    <row r="16" spans="1:18" ht="18.75" x14ac:dyDescent="0.3">
      <c r="B16" s="4" t="s">
        <v>20</v>
      </c>
      <c r="C16" s="4"/>
      <c r="D16" s="4"/>
      <c r="E16" s="4"/>
      <c r="F16" s="4"/>
    </row>
    <row r="17" spans="2:6" ht="19.5" thickBot="1" x14ac:dyDescent="0.35">
      <c r="B17" s="4"/>
      <c r="C17" s="4"/>
      <c r="D17" s="4"/>
      <c r="E17" s="4"/>
      <c r="F17" s="4"/>
    </row>
    <row r="18" spans="2:6" ht="19.5" thickBot="1" x14ac:dyDescent="0.35">
      <c r="B18" s="15"/>
      <c r="C18" s="15" t="s">
        <v>21</v>
      </c>
      <c r="D18" s="16" t="s">
        <v>22</v>
      </c>
      <c r="E18" s="17" t="s">
        <v>23</v>
      </c>
      <c r="F18" s="16" t="s">
        <v>22</v>
      </c>
    </row>
    <row r="19" spans="2:6" ht="18.75" x14ac:dyDescent="0.3">
      <c r="B19" s="18" t="s">
        <v>24</v>
      </c>
      <c r="C19" s="19">
        <v>30</v>
      </c>
      <c r="D19" s="20">
        <v>-1</v>
      </c>
      <c r="E19" s="21">
        <v>70</v>
      </c>
      <c r="F19" s="20">
        <v>-1</v>
      </c>
    </row>
    <row r="20" spans="2:6" ht="19.5" thickBot="1" x14ac:dyDescent="0.35">
      <c r="B20" s="22" t="s">
        <v>25</v>
      </c>
      <c r="C20" s="23">
        <v>90</v>
      </c>
      <c r="D20" s="24">
        <v>1</v>
      </c>
      <c r="E20" s="25">
        <v>90</v>
      </c>
      <c r="F20" s="24">
        <v>1</v>
      </c>
    </row>
    <row r="21" spans="2:6" ht="19.5" thickBot="1" x14ac:dyDescent="0.35">
      <c r="B21" s="4"/>
      <c r="C21" s="4"/>
      <c r="D21" s="4"/>
      <c r="E21" s="4"/>
      <c r="F21" s="4"/>
    </row>
    <row r="22" spans="2:6" ht="21" thickBot="1" x14ac:dyDescent="0.4">
      <c r="B22" s="15" t="s">
        <v>26</v>
      </c>
      <c r="C22" s="26" t="s">
        <v>27</v>
      </c>
      <c r="D22" s="27" t="s">
        <v>28</v>
      </c>
      <c r="E22" s="28" t="s">
        <v>29</v>
      </c>
      <c r="F22" s="29" t="s">
        <v>30</v>
      </c>
    </row>
    <row r="23" spans="2:6" ht="18.75" x14ac:dyDescent="0.3">
      <c r="B23" s="19">
        <v>-1</v>
      </c>
      <c r="C23" s="30">
        <v>-1</v>
      </c>
      <c r="D23" s="21">
        <v>49.8</v>
      </c>
      <c r="E23" s="30">
        <v>70</v>
      </c>
      <c r="F23" s="20">
        <v>30</v>
      </c>
    </row>
    <row r="24" spans="2:6" ht="18.75" x14ac:dyDescent="0.3">
      <c r="B24" s="19">
        <v>-1</v>
      </c>
      <c r="C24" s="30">
        <v>-1</v>
      </c>
      <c r="D24" s="21">
        <v>48.1</v>
      </c>
      <c r="E24" s="30">
        <v>70</v>
      </c>
      <c r="F24" s="20">
        <v>30</v>
      </c>
    </row>
    <row r="25" spans="2:6" ht="18.75" x14ac:dyDescent="0.3">
      <c r="B25" s="19">
        <v>1</v>
      </c>
      <c r="C25" s="30">
        <v>-1</v>
      </c>
      <c r="D25" s="21">
        <v>57.3</v>
      </c>
      <c r="E25" s="30">
        <v>90</v>
      </c>
      <c r="F25" s="20">
        <v>30</v>
      </c>
    </row>
    <row r="26" spans="2:6" ht="18.75" x14ac:dyDescent="0.3">
      <c r="B26" s="19">
        <v>1</v>
      </c>
      <c r="C26" s="30">
        <v>-1</v>
      </c>
      <c r="D26" s="21">
        <v>52.3</v>
      </c>
      <c r="E26" s="30">
        <v>90</v>
      </c>
      <c r="F26" s="20">
        <v>30</v>
      </c>
    </row>
    <row r="27" spans="2:6" ht="18.75" x14ac:dyDescent="0.3">
      <c r="B27" s="19">
        <v>-1</v>
      </c>
      <c r="C27" s="30">
        <v>1</v>
      </c>
      <c r="D27" s="21">
        <v>65.7</v>
      </c>
      <c r="E27" s="30">
        <v>70</v>
      </c>
      <c r="F27" s="20">
        <v>90</v>
      </c>
    </row>
    <row r="28" spans="2:6" ht="18.75" x14ac:dyDescent="0.3">
      <c r="B28" s="19">
        <v>-1</v>
      </c>
      <c r="C28" s="30">
        <v>1</v>
      </c>
      <c r="D28" s="21">
        <v>69.400000000000006</v>
      </c>
      <c r="E28" s="30">
        <v>70</v>
      </c>
      <c r="F28" s="20">
        <v>90</v>
      </c>
    </row>
    <row r="29" spans="2:6" ht="18.75" x14ac:dyDescent="0.3">
      <c r="B29" s="19">
        <v>1</v>
      </c>
      <c r="C29" s="30">
        <v>1</v>
      </c>
      <c r="D29" s="21">
        <v>73.099999999999994</v>
      </c>
      <c r="E29" s="30">
        <v>90</v>
      </c>
      <c r="F29" s="20">
        <v>90</v>
      </c>
    </row>
    <row r="30" spans="2:6" ht="19.5" thickBot="1" x14ac:dyDescent="0.35">
      <c r="B30" s="23">
        <v>1</v>
      </c>
      <c r="C30" s="31">
        <v>1</v>
      </c>
      <c r="D30" s="25">
        <v>77.8</v>
      </c>
      <c r="E30" s="31">
        <v>90</v>
      </c>
      <c r="F30" s="24">
        <v>90</v>
      </c>
    </row>
    <row r="32" spans="2:6" ht="18.75" x14ac:dyDescent="0.3">
      <c r="B32" s="5" t="s">
        <v>31</v>
      </c>
      <c r="C32" s="5"/>
      <c r="D32" s="4"/>
      <c r="E32" s="5"/>
    </row>
    <row r="34" spans="2:7" x14ac:dyDescent="0.25">
      <c r="B34" t="s">
        <v>32</v>
      </c>
    </row>
    <row r="35" spans="2:7" ht="15.75" thickBot="1" x14ac:dyDescent="0.3"/>
    <row r="36" spans="2:7" x14ac:dyDescent="0.25">
      <c r="B36" s="35" t="s">
        <v>33</v>
      </c>
      <c r="C36" s="35"/>
    </row>
    <row r="37" spans="2:7" x14ac:dyDescent="0.25">
      <c r="B37" s="32" t="s">
        <v>34</v>
      </c>
      <c r="C37" s="32">
        <v>0.98093861145560468</v>
      </c>
    </row>
    <row r="38" spans="2:7" x14ac:dyDescent="0.25">
      <c r="B38" s="32" t="s">
        <v>35</v>
      </c>
      <c r="C38" s="32">
        <v>0.96224055944444986</v>
      </c>
    </row>
    <row r="39" spans="2:7" x14ac:dyDescent="0.25">
      <c r="B39" s="32" t="s">
        <v>36</v>
      </c>
      <c r="C39" s="32">
        <v>0.94713678322222994</v>
      </c>
    </row>
    <row r="40" spans="2:7" x14ac:dyDescent="0.25">
      <c r="B40" s="32" t="s">
        <v>37</v>
      </c>
      <c r="C40" s="32">
        <v>2.6052351141499681</v>
      </c>
    </row>
    <row r="41" spans="2:7" ht="15.75" thickBot="1" x14ac:dyDescent="0.3">
      <c r="B41" s="33" t="s">
        <v>38</v>
      </c>
      <c r="C41" s="33">
        <v>8</v>
      </c>
    </row>
    <row r="43" spans="2:7" ht="15.75" thickBot="1" x14ac:dyDescent="0.3">
      <c r="B43" t="s">
        <v>39</v>
      </c>
    </row>
    <row r="44" spans="2:7" x14ac:dyDescent="0.25">
      <c r="B44" s="34"/>
      <c r="C44" s="34" t="s">
        <v>44</v>
      </c>
      <c r="D44" s="34" t="s">
        <v>45</v>
      </c>
      <c r="E44" s="34" t="s">
        <v>46</v>
      </c>
      <c r="F44" s="34" t="s">
        <v>47</v>
      </c>
      <c r="G44" s="34" t="s">
        <v>48</v>
      </c>
    </row>
    <row r="45" spans="2:7" x14ac:dyDescent="0.25">
      <c r="B45" s="32" t="s">
        <v>40</v>
      </c>
      <c r="C45" s="32">
        <v>2</v>
      </c>
      <c r="D45" s="32">
        <v>864.8125</v>
      </c>
      <c r="E45" s="32">
        <v>432.40625</v>
      </c>
      <c r="F45" s="32">
        <v>63.708608051861972</v>
      </c>
      <c r="G45" s="32">
        <v>2.7705365116208864E-4</v>
      </c>
    </row>
    <row r="46" spans="2:7" x14ac:dyDescent="0.25">
      <c r="B46" s="32" t="s">
        <v>41</v>
      </c>
      <c r="C46" s="32">
        <v>5</v>
      </c>
      <c r="D46" s="32">
        <v>33.936249999999987</v>
      </c>
      <c r="E46" s="32">
        <v>6.7872499999999976</v>
      </c>
      <c r="F46" s="32"/>
      <c r="G46" s="32"/>
    </row>
    <row r="47" spans="2:7" ht="15.75" thickBot="1" x14ac:dyDescent="0.3">
      <c r="B47" s="33" t="s">
        <v>42</v>
      </c>
      <c r="C47" s="33">
        <v>7</v>
      </c>
      <c r="D47" s="33">
        <v>898.74874999999997</v>
      </c>
      <c r="E47" s="33"/>
      <c r="F47" s="33"/>
      <c r="G47" s="33"/>
    </row>
    <row r="48" spans="2:7" ht="15.75" thickBot="1" x14ac:dyDescent="0.3"/>
    <row r="49" spans="2:10" x14ac:dyDescent="0.25">
      <c r="B49" s="34"/>
      <c r="C49" s="34" t="s">
        <v>49</v>
      </c>
      <c r="D49" s="34" t="s">
        <v>37</v>
      </c>
      <c r="E49" s="34" t="s">
        <v>50</v>
      </c>
      <c r="F49" s="34" t="s">
        <v>51</v>
      </c>
      <c r="G49" s="34" t="s">
        <v>52</v>
      </c>
      <c r="H49" s="34" t="s">
        <v>53</v>
      </c>
      <c r="I49" s="34" t="s">
        <v>54</v>
      </c>
      <c r="J49" s="34" t="s">
        <v>55</v>
      </c>
    </row>
    <row r="50" spans="2:10" x14ac:dyDescent="0.25">
      <c r="B50" s="32" t="s">
        <v>43</v>
      </c>
      <c r="C50" s="32">
        <v>61.687500000000007</v>
      </c>
      <c r="D50" s="32">
        <v>0.9210897079003757</v>
      </c>
      <c r="E50" s="32">
        <v>66.972304077326712</v>
      </c>
      <c r="F50" s="32">
        <v>1.4053703713882228E-8</v>
      </c>
      <c r="G50" s="32">
        <v>59.319763527879743</v>
      </c>
      <c r="H50" s="32">
        <v>64.055236472120271</v>
      </c>
      <c r="I50" s="32">
        <v>59.319763527879743</v>
      </c>
      <c r="J50" s="32">
        <v>64.055236472120271</v>
      </c>
    </row>
    <row r="51" spans="2:10" x14ac:dyDescent="0.25">
      <c r="B51" s="32" t="s">
        <v>56</v>
      </c>
      <c r="C51" s="32">
        <v>3.4374999999999987</v>
      </c>
      <c r="D51" s="32">
        <v>0.92108970790037592</v>
      </c>
      <c r="E51" s="32">
        <v>3.7319926284224589</v>
      </c>
      <c r="F51" s="32">
        <v>1.3543074698682744E-2</v>
      </c>
      <c r="G51" s="32">
        <v>1.0697635278797333</v>
      </c>
      <c r="H51" s="32">
        <v>5.8052364721202636</v>
      </c>
      <c r="I51" s="32">
        <v>1.0697635278797333</v>
      </c>
      <c r="J51" s="32">
        <v>5.8052364721202636</v>
      </c>
    </row>
    <row r="52" spans="2:10" ht="15.75" thickBot="1" x14ac:dyDescent="0.3">
      <c r="B52" s="33" t="s">
        <v>57</v>
      </c>
      <c r="C52" s="33">
        <v>9.8125</v>
      </c>
      <c r="D52" s="33">
        <v>0.9210897079003757</v>
      </c>
      <c r="E52" s="33">
        <v>10.65314259386048</v>
      </c>
      <c r="F52" s="33">
        <v>1.2611430655873687E-4</v>
      </c>
      <c r="G52" s="33">
        <v>7.4447635278797346</v>
      </c>
      <c r="H52" s="33">
        <v>12.180236472120265</v>
      </c>
      <c r="I52" s="33">
        <v>7.4447635278797346</v>
      </c>
      <c r="J52" s="33">
        <v>12.180236472120265</v>
      </c>
    </row>
    <row r="54" spans="2:10" ht="18.75" x14ac:dyDescent="0.3">
      <c r="B54" s="5" t="s">
        <v>58</v>
      </c>
      <c r="C54" s="4"/>
      <c r="D54" s="61"/>
      <c r="E54" s="61"/>
      <c r="F54" s="4"/>
    </row>
    <row r="55" spans="2:10" ht="18.75" x14ac:dyDescent="0.3">
      <c r="B55" s="4"/>
      <c r="C55" s="4"/>
      <c r="D55" s="4"/>
      <c r="E55" s="4"/>
      <c r="F55" s="4"/>
    </row>
    <row r="56" spans="2:10" ht="18.75" x14ac:dyDescent="0.3">
      <c r="B56" s="4" t="s">
        <v>59</v>
      </c>
      <c r="C56" s="4"/>
      <c r="D56" s="62"/>
      <c r="E56" s="62"/>
      <c r="F56" s="62"/>
    </row>
    <row r="59" spans="2:10" ht="15.75" thickBot="1" x14ac:dyDescent="0.3"/>
    <row r="60" spans="2:10" ht="21" thickBot="1" x14ac:dyDescent="0.4">
      <c r="B60" s="15" t="s">
        <v>26</v>
      </c>
      <c r="C60" s="26" t="s">
        <v>27</v>
      </c>
      <c r="D60" s="51" t="s">
        <v>28</v>
      </c>
      <c r="E60" s="51"/>
      <c r="F60" s="36"/>
      <c r="G60" s="37"/>
    </row>
    <row r="61" spans="2:10" ht="18.75" x14ac:dyDescent="0.3">
      <c r="B61" s="19">
        <v>-1</v>
      </c>
      <c r="C61" s="30">
        <v>-1</v>
      </c>
      <c r="D61" s="38">
        <v>49.8</v>
      </c>
      <c r="E61" s="21">
        <v>48.1</v>
      </c>
      <c r="F61" s="30">
        <f t="array" ref="F61">AVERAGE(D61,E61)</f>
        <v>48.95</v>
      </c>
      <c r="G61" s="20">
        <f t="array" ref="G61">SUM((D61-F61)^2,(E61-F61)^2)</f>
        <v>1.4449999999999927</v>
      </c>
    </row>
    <row r="62" spans="2:10" ht="18.75" x14ac:dyDescent="0.3">
      <c r="B62" s="19">
        <v>1</v>
      </c>
      <c r="C62" s="30">
        <v>-1</v>
      </c>
      <c r="D62" s="30">
        <v>57.3</v>
      </c>
      <c r="E62" s="21">
        <v>52.3</v>
      </c>
      <c r="F62" s="30">
        <f t="shared" ref="F62:F64" si="0">AVERAGE(D62,E62)</f>
        <v>54.8</v>
      </c>
      <c r="G62" s="20">
        <f t="array" ref="G62">SUM((D62-F62)^2,(E62-F62)^2)</f>
        <v>12.5</v>
      </c>
    </row>
    <row r="63" spans="2:10" ht="18.75" x14ac:dyDescent="0.3">
      <c r="B63" s="19">
        <v>-1</v>
      </c>
      <c r="C63" s="30">
        <v>1</v>
      </c>
      <c r="D63" s="30">
        <v>65.7</v>
      </c>
      <c r="E63" s="21">
        <v>69.400000000000006</v>
      </c>
      <c r="F63" s="30">
        <f t="shared" si="0"/>
        <v>67.550000000000011</v>
      </c>
      <c r="G63" s="20">
        <f t="shared" ref="G63" si="1">SUM((D63-F63)^2,(E63-F63)^2)</f>
        <v>6.8450000000000104</v>
      </c>
    </row>
    <row r="64" spans="2:10" ht="19.5" thickBot="1" x14ac:dyDescent="0.35">
      <c r="B64" s="19">
        <v>1</v>
      </c>
      <c r="C64" s="30">
        <v>1</v>
      </c>
      <c r="D64" s="30">
        <v>73.099999999999994</v>
      </c>
      <c r="E64" s="21">
        <v>77.8</v>
      </c>
      <c r="F64" s="30">
        <f t="shared" si="0"/>
        <v>75.449999999999989</v>
      </c>
      <c r="G64" s="20">
        <f>SUM((D64-F64)^2,(E64-F64)^2)</f>
        <v>11.045000000000012</v>
      </c>
    </row>
    <row r="65" spans="1:7" ht="19.5" thickBot="1" x14ac:dyDescent="0.35">
      <c r="B65" s="39"/>
      <c r="C65" s="36"/>
      <c r="D65" s="40"/>
      <c r="E65" s="36"/>
      <c r="F65" s="37"/>
      <c r="G65" s="16">
        <f>SUM(G61:G64)</f>
        <v>31.835000000000015</v>
      </c>
    </row>
    <row r="67" spans="1:7" ht="18.75" x14ac:dyDescent="0.3">
      <c r="B67" s="41" t="s">
        <v>60</v>
      </c>
      <c r="C67" s="21"/>
      <c r="D67" s="7">
        <f>G65</f>
        <v>31.835000000000015</v>
      </c>
      <c r="E67" s="4"/>
    </row>
    <row r="68" spans="1:7" ht="18.75" x14ac:dyDescent="0.3">
      <c r="B68" s="41"/>
      <c r="C68" s="4"/>
      <c r="D68" s="4"/>
      <c r="E68" s="4"/>
    </row>
    <row r="69" spans="1:7" ht="18.75" x14ac:dyDescent="0.3">
      <c r="B69" s="41" t="s">
        <v>61</v>
      </c>
      <c r="C69" s="5"/>
      <c r="D69" s="5"/>
      <c r="E69" s="42">
        <f>D46-D67</f>
        <v>2.1012499999999719</v>
      </c>
    </row>
    <row r="70" spans="1:7" ht="18.75" x14ac:dyDescent="0.3">
      <c r="B70" s="41"/>
      <c r="C70" s="5"/>
      <c r="D70" s="5"/>
      <c r="E70" s="42"/>
    </row>
    <row r="72" spans="1:7" ht="18.75" x14ac:dyDescent="0.3">
      <c r="A72" s="7" t="s">
        <v>62</v>
      </c>
      <c r="B72" s="5" t="s">
        <v>72</v>
      </c>
      <c r="C72" s="4"/>
      <c r="D72" s="5"/>
      <c r="E72" s="4"/>
      <c r="F72" s="4"/>
    </row>
    <row r="73" spans="1:7" ht="19.5" thickBot="1" x14ac:dyDescent="0.35">
      <c r="A73" s="21"/>
      <c r="B73" s="4"/>
      <c r="C73" s="4"/>
      <c r="D73" s="4"/>
      <c r="E73" s="4"/>
      <c r="F73" s="4"/>
    </row>
    <row r="74" spans="1:7" ht="21" thickBot="1" x14ac:dyDescent="0.4">
      <c r="A74" s="7" t="s">
        <v>63</v>
      </c>
      <c r="B74" s="15" t="s">
        <v>64</v>
      </c>
      <c r="C74" s="26" t="s">
        <v>65</v>
      </c>
      <c r="D74" s="26" t="s">
        <v>66</v>
      </c>
      <c r="E74" s="17" t="s">
        <v>67</v>
      </c>
      <c r="F74" s="26" t="s">
        <v>68</v>
      </c>
    </row>
    <row r="75" spans="1:7" ht="18.75" x14ac:dyDescent="0.3">
      <c r="A75" s="4"/>
      <c r="B75" s="18" t="s">
        <v>40</v>
      </c>
      <c r="C75" s="30">
        <v>2</v>
      </c>
      <c r="D75" s="30">
        <f>D45</f>
        <v>864.8125</v>
      </c>
      <c r="E75" s="21">
        <f>D75/C75</f>
        <v>432.40625</v>
      </c>
      <c r="F75" s="30"/>
    </row>
    <row r="76" spans="1:7" ht="18.75" x14ac:dyDescent="0.3">
      <c r="A76" s="4"/>
      <c r="B76" s="18" t="s">
        <v>69</v>
      </c>
      <c r="C76" s="30">
        <v>5</v>
      </c>
      <c r="D76" s="30">
        <f>D46</f>
        <v>33.936249999999987</v>
      </c>
      <c r="E76" s="21">
        <f t="shared" ref="E76:E79" si="2">D76/C76</f>
        <v>6.7872499999999976</v>
      </c>
      <c r="F76" s="30"/>
    </row>
    <row r="77" spans="1:7" ht="18.75" x14ac:dyDescent="0.3">
      <c r="A77" s="4"/>
      <c r="B77" s="18" t="s">
        <v>70</v>
      </c>
      <c r="C77" s="30">
        <v>1</v>
      </c>
      <c r="D77" s="30">
        <f>E69</f>
        <v>2.1012499999999719</v>
      </c>
      <c r="E77" s="21">
        <f t="shared" si="2"/>
        <v>2.1012499999999719</v>
      </c>
      <c r="F77" s="43">
        <f t="array" ref="F77">E77/E78</f>
        <v>0.26401759070205383</v>
      </c>
    </row>
    <row r="78" spans="1:7" ht="18.75" x14ac:dyDescent="0.3">
      <c r="A78" s="4"/>
      <c r="B78" s="18" t="s">
        <v>71</v>
      </c>
      <c r="C78" s="30">
        <v>4</v>
      </c>
      <c r="D78" s="30">
        <f>D67</f>
        <v>31.835000000000015</v>
      </c>
      <c r="E78" s="21">
        <f t="shared" si="2"/>
        <v>7.9587500000000038</v>
      </c>
      <c r="F78" s="30"/>
    </row>
    <row r="79" spans="1:7" ht="19.5" thickBot="1" x14ac:dyDescent="0.35">
      <c r="A79" s="4"/>
      <c r="B79" s="22" t="s">
        <v>42</v>
      </c>
      <c r="C79" s="31">
        <v>7</v>
      </c>
      <c r="D79" s="31">
        <f>D47</f>
        <v>898.74874999999997</v>
      </c>
      <c r="E79" s="25">
        <f t="shared" si="2"/>
        <v>128.39267857142858</v>
      </c>
      <c r="F79" s="31"/>
    </row>
    <row r="80" spans="1:7" ht="19.5" thickBot="1" x14ac:dyDescent="0.35">
      <c r="A80" s="4"/>
      <c r="B80" s="4"/>
      <c r="C80" s="4"/>
      <c r="D80" s="4"/>
      <c r="E80" s="4"/>
      <c r="F80" s="4"/>
    </row>
    <row r="81" spans="2:5" ht="21" thickBot="1" x14ac:dyDescent="0.4">
      <c r="B81" s="15" t="s">
        <v>73</v>
      </c>
      <c r="C81" s="16">
        <f t="array" ref="C81">_xlfn.F.INV.RT(0.05,C77,C78)</f>
        <v>7.708647422176786</v>
      </c>
    </row>
    <row r="83" spans="2:5" ht="20.25" x14ac:dyDescent="0.35">
      <c r="B83" s="44" t="s">
        <v>74</v>
      </c>
      <c r="C83" s="45" t="s">
        <v>76</v>
      </c>
      <c r="D83" s="45"/>
      <c r="E83" s="45"/>
    </row>
    <row r="84" spans="2:5" ht="20.25" x14ac:dyDescent="0.35">
      <c r="B84" s="45"/>
      <c r="C84" s="45" t="s">
        <v>77</v>
      </c>
      <c r="D84" s="45"/>
      <c r="E84" s="45"/>
    </row>
    <row r="85" spans="2:5" ht="18.75" x14ac:dyDescent="0.3">
      <c r="B85" s="45"/>
      <c r="C85" s="45" t="s">
        <v>75</v>
      </c>
      <c r="D85" s="45"/>
      <c r="E85" s="45"/>
    </row>
    <row r="87" spans="2:5" ht="18.75" x14ac:dyDescent="0.3">
      <c r="B87" s="54" t="s">
        <v>78</v>
      </c>
      <c r="C87" s="55"/>
      <c r="D87" s="56"/>
      <c r="E87" s="4"/>
    </row>
    <row r="88" spans="2:5" ht="15.75" thickBot="1" x14ac:dyDescent="0.3"/>
    <row r="89" spans="2:5" ht="19.5" thickBot="1" x14ac:dyDescent="0.35">
      <c r="B89" s="4"/>
      <c r="C89" s="52" t="s">
        <v>79</v>
      </c>
      <c r="D89" s="53"/>
      <c r="E89" s="4"/>
    </row>
    <row r="90" spans="2:5" ht="21" thickBot="1" x14ac:dyDescent="0.4">
      <c r="B90" s="46" t="s">
        <v>80</v>
      </c>
      <c r="C90" s="36" t="s">
        <v>81</v>
      </c>
      <c r="D90" s="37" t="s">
        <v>82</v>
      </c>
      <c r="E90" s="36" t="s">
        <v>83</v>
      </c>
    </row>
    <row r="91" spans="2:5" ht="18.75" x14ac:dyDescent="0.3">
      <c r="B91" s="19">
        <v>49.8</v>
      </c>
      <c r="C91" s="30">
        <v>-1</v>
      </c>
      <c r="D91" s="20">
        <v>-1</v>
      </c>
      <c r="E91" s="30">
        <v>1</v>
      </c>
    </row>
    <row r="92" spans="2:5" ht="18.75" x14ac:dyDescent="0.3">
      <c r="B92" s="19">
        <v>48.1</v>
      </c>
      <c r="C92" s="30">
        <v>-1</v>
      </c>
      <c r="D92" s="20">
        <v>-1</v>
      </c>
      <c r="E92" s="30">
        <v>1</v>
      </c>
    </row>
    <row r="93" spans="2:5" ht="18.75" x14ac:dyDescent="0.3">
      <c r="B93" s="19">
        <v>57.3</v>
      </c>
      <c r="C93" s="30">
        <v>1</v>
      </c>
      <c r="D93" s="20">
        <v>-1</v>
      </c>
      <c r="E93" s="30">
        <v>-1</v>
      </c>
    </row>
    <row r="94" spans="2:5" ht="18.75" x14ac:dyDescent="0.3">
      <c r="B94" s="19">
        <v>52.3</v>
      </c>
      <c r="C94" s="30">
        <v>1</v>
      </c>
      <c r="D94" s="20">
        <v>-1</v>
      </c>
      <c r="E94" s="30">
        <v>-1</v>
      </c>
    </row>
    <row r="95" spans="2:5" ht="18.75" x14ac:dyDescent="0.3">
      <c r="B95" s="19">
        <v>65.7</v>
      </c>
      <c r="C95" s="30">
        <v>-1</v>
      </c>
      <c r="D95" s="20">
        <v>1</v>
      </c>
      <c r="E95" s="30">
        <v>-1</v>
      </c>
    </row>
    <row r="96" spans="2:5" ht="18.75" x14ac:dyDescent="0.3">
      <c r="B96" s="19">
        <v>69.400000000000006</v>
      </c>
      <c r="C96" s="30">
        <v>-1</v>
      </c>
      <c r="D96" s="20">
        <v>1</v>
      </c>
      <c r="E96" s="30">
        <v>-1</v>
      </c>
    </row>
    <row r="97" spans="2:5" ht="18.75" x14ac:dyDescent="0.3">
      <c r="B97" s="19">
        <v>73.099999999999994</v>
      </c>
      <c r="C97" s="30">
        <v>1</v>
      </c>
      <c r="D97" s="20">
        <v>1</v>
      </c>
      <c r="E97" s="30">
        <v>1</v>
      </c>
    </row>
    <row r="98" spans="2:5" ht="19.5" thickBot="1" x14ac:dyDescent="0.35">
      <c r="B98" s="23">
        <v>77.8</v>
      </c>
      <c r="C98" s="31">
        <v>1</v>
      </c>
      <c r="D98" s="24">
        <v>1</v>
      </c>
      <c r="E98" s="31">
        <v>1</v>
      </c>
    </row>
    <row r="103" spans="2:5" x14ac:dyDescent="0.25">
      <c r="B103" t="s">
        <v>32</v>
      </c>
    </row>
    <row r="104" spans="2:5" ht="15.75" thickBot="1" x14ac:dyDescent="0.3"/>
    <row r="105" spans="2:5" x14ac:dyDescent="0.25">
      <c r="B105" s="35" t="s">
        <v>33</v>
      </c>
      <c r="C105" s="35"/>
    </row>
    <row r="106" spans="2:5" x14ac:dyDescent="0.25">
      <c r="B106" s="32" t="s">
        <v>34</v>
      </c>
      <c r="C106" s="32">
        <v>0.98212959027721869</v>
      </c>
    </row>
    <row r="107" spans="2:5" x14ac:dyDescent="0.25">
      <c r="B107" s="32" t="s">
        <v>35</v>
      </c>
      <c r="C107" s="32">
        <v>0.96457853209809741</v>
      </c>
    </row>
    <row r="108" spans="2:5" x14ac:dyDescent="0.25">
      <c r="B108" s="32" t="s">
        <v>36</v>
      </c>
      <c r="C108" s="32">
        <v>0.93801243117167044</v>
      </c>
    </row>
    <row r="109" spans="2:5" x14ac:dyDescent="0.25">
      <c r="B109" s="32" t="s">
        <v>37</v>
      </c>
      <c r="C109" s="32">
        <v>2.8211256618591101</v>
      </c>
    </row>
    <row r="110" spans="2:5" ht="15.75" thickBot="1" x14ac:dyDescent="0.3">
      <c r="B110" s="33" t="s">
        <v>38</v>
      </c>
      <c r="C110" s="33">
        <v>8</v>
      </c>
    </row>
    <row r="112" spans="2:5" ht="15.75" thickBot="1" x14ac:dyDescent="0.3">
      <c r="B112" t="s">
        <v>39</v>
      </c>
    </row>
    <row r="113" spans="2:10" x14ac:dyDescent="0.25">
      <c r="B113" s="34"/>
      <c r="C113" s="34" t="s">
        <v>44</v>
      </c>
      <c r="D113" s="34" t="s">
        <v>45</v>
      </c>
      <c r="E113" s="34" t="s">
        <v>46</v>
      </c>
      <c r="F113" s="34" t="s">
        <v>47</v>
      </c>
      <c r="G113" s="34" t="s">
        <v>48</v>
      </c>
    </row>
    <row r="114" spans="2:10" x14ac:dyDescent="0.25">
      <c r="B114" s="32" t="s">
        <v>40</v>
      </c>
      <c r="C114" s="32">
        <v>3</v>
      </c>
      <c r="D114" s="32">
        <v>866.91374999999994</v>
      </c>
      <c r="E114" s="32">
        <v>288.97125</v>
      </c>
      <c r="F114" s="32">
        <v>36.308622585204951</v>
      </c>
      <c r="G114" s="32">
        <v>2.3245619475972023E-3</v>
      </c>
    </row>
    <row r="115" spans="2:10" x14ac:dyDescent="0.25">
      <c r="B115" s="32" t="s">
        <v>41</v>
      </c>
      <c r="C115" s="32">
        <v>4</v>
      </c>
      <c r="D115" s="32">
        <v>31.835000000000008</v>
      </c>
      <c r="E115" s="32">
        <v>7.958750000000002</v>
      </c>
      <c r="F115" s="32"/>
      <c r="G115" s="32"/>
    </row>
    <row r="116" spans="2:10" ht="15.75" thickBot="1" x14ac:dyDescent="0.3">
      <c r="B116" s="33" t="s">
        <v>42</v>
      </c>
      <c r="C116" s="33">
        <v>7</v>
      </c>
      <c r="D116" s="33">
        <v>898.74874999999997</v>
      </c>
      <c r="E116" s="33"/>
      <c r="F116" s="33"/>
      <c r="G116" s="33"/>
    </row>
    <row r="117" spans="2:10" ht="15.75" thickBot="1" x14ac:dyDescent="0.3"/>
    <row r="118" spans="2:10" x14ac:dyDescent="0.25">
      <c r="B118" s="34"/>
      <c r="C118" s="34" t="s">
        <v>49</v>
      </c>
      <c r="D118" s="34" t="s">
        <v>37</v>
      </c>
      <c r="E118" s="34" t="s">
        <v>50</v>
      </c>
      <c r="F118" s="34" t="s">
        <v>51</v>
      </c>
      <c r="G118" s="34" t="s">
        <v>52</v>
      </c>
      <c r="H118" s="34" t="s">
        <v>53</v>
      </c>
      <c r="I118" s="34" t="s">
        <v>54</v>
      </c>
      <c r="J118" s="34" t="s">
        <v>55</v>
      </c>
    </row>
    <row r="119" spans="2:10" x14ac:dyDescent="0.25">
      <c r="B119" s="32" t="s">
        <v>43</v>
      </c>
      <c r="C119" s="32">
        <v>61.687500000000007</v>
      </c>
      <c r="D119" s="32">
        <v>0.99741854303998179</v>
      </c>
      <c r="E119" s="32">
        <v>61.84715577072167</v>
      </c>
      <c r="F119" s="32">
        <v>4.0936977554546984E-7</v>
      </c>
      <c r="G119" s="32">
        <v>58.918222168343135</v>
      </c>
      <c r="H119" s="32">
        <v>64.456777831656879</v>
      </c>
      <c r="I119" s="32">
        <v>58.918222168343135</v>
      </c>
      <c r="J119" s="32">
        <v>64.456777831656879</v>
      </c>
    </row>
    <row r="120" spans="2:10" x14ac:dyDescent="0.25">
      <c r="B120" s="32" t="s">
        <v>84</v>
      </c>
      <c r="C120" s="32">
        <v>3.4374999999999978</v>
      </c>
      <c r="D120" s="32">
        <v>0.99741854303998201</v>
      </c>
      <c r="E120" s="32">
        <v>3.4463967248122476</v>
      </c>
      <c r="F120" s="32">
        <v>2.6140384641257699E-2</v>
      </c>
      <c r="G120" s="32">
        <v>0.66822216834312531</v>
      </c>
      <c r="H120" s="32">
        <v>6.2067778316568702</v>
      </c>
      <c r="I120" s="32">
        <v>0.66822216834312531</v>
      </c>
      <c r="J120" s="32">
        <v>6.2067778316568702</v>
      </c>
    </row>
    <row r="121" spans="2:10" x14ac:dyDescent="0.25">
      <c r="B121" s="32" t="s">
        <v>85</v>
      </c>
      <c r="C121" s="32">
        <v>9.8125</v>
      </c>
      <c r="D121" s="32">
        <v>0.99741854303998179</v>
      </c>
      <c r="E121" s="32">
        <v>9.8378961053731508</v>
      </c>
      <c r="F121" s="32">
        <v>5.9869307340211096E-4</v>
      </c>
      <c r="G121" s="32">
        <v>7.043222168343128</v>
      </c>
      <c r="H121" s="32">
        <v>12.581777831656872</v>
      </c>
      <c r="I121" s="32">
        <v>7.043222168343128</v>
      </c>
      <c r="J121" s="32">
        <v>12.581777831656872</v>
      </c>
    </row>
    <row r="122" spans="2:10" ht="15.75" thickBot="1" x14ac:dyDescent="0.3">
      <c r="B122" s="33" t="s">
        <v>86</v>
      </c>
      <c r="C122" s="33">
        <v>0.51249999999999785</v>
      </c>
      <c r="D122" s="33">
        <v>0.99741854303998201</v>
      </c>
      <c r="E122" s="33">
        <v>0.51382642079018781</v>
      </c>
      <c r="F122" s="47">
        <v>0.63445494020533677</v>
      </c>
      <c r="G122" s="33">
        <v>-2.2567778316568745</v>
      </c>
      <c r="H122" s="33">
        <v>3.2817778316568704</v>
      </c>
      <c r="I122" s="33">
        <v>-2.2567778316568745</v>
      </c>
      <c r="J122" s="33">
        <v>3.2817778316568704</v>
      </c>
    </row>
    <row r="125" spans="2:10" ht="20.25" x14ac:dyDescent="0.35">
      <c r="B125" s="48" t="s">
        <v>87</v>
      </c>
      <c r="C125" s="49" t="s">
        <v>89</v>
      </c>
      <c r="D125" s="49"/>
      <c r="E125" s="49"/>
      <c r="F125" s="49"/>
      <c r="G125" s="49"/>
      <c r="H125" s="49"/>
      <c r="I125" s="49"/>
    </row>
    <row r="126" spans="2:10" ht="20.25" x14ac:dyDescent="0.35">
      <c r="B126" s="49"/>
      <c r="C126" s="50" t="s">
        <v>88</v>
      </c>
      <c r="D126" s="49" t="s">
        <v>90</v>
      </c>
      <c r="E126" s="49"/>
      <c r="F126" s="49"/>
      <c r="G126" s="49"/>
      <c r="H126" s="49"/>
      <c r="I126" s="49"/>
    </row>
  </sheetData>
  <mergeCells count="8">
    <mergeCell ref="D60:E60"/>
    <mergeCell ref="C89:D89"/>
    <mergeCell ref="B87:D87"/>
    <mergeCell ref="E1:K2"/>
    <mergeCell ref="Q1:R1"/>
    <mergeCell ref="Q2:R2"/>
    <mergeCell ref="D54:E54"/>
    <mergeCell ref="D56:F5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 patel</dc:creator>
  <cp:lastModifiedBy>pateldaksh3120@gmail.com</cp:lastModifiedBy>
  <dcterms:created xsi:type="dcterms:W3CDTF">2015-06-05T18:17:20Z</dcterms:created>
  <dcterms:modified xsi:type="dcterms:W3CDTF">2021-10-19T17:37:31Z</dcterms:modified>
</cp:coreProperties>
</file>