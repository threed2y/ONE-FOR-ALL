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LENOVO\Desktop\Final\Sem 1\DOE\Practical\"/>
    </mc:Choice>
  </mc:AlternateContent>
  <xr:revisionPtr revIDLastSave="0" documentId="13_ncr:1_{9C09414E-6BA0-4DAB-A0D5-ED071B1F232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8" i="1" l="1"/>
  <c r="D65" i="1" l="1"/>
  <c r="F61" i="1" l="1"/>
  <c r="F62" i="1"/>
  <c r="F60" i="1"/>
  <c r="G62" i="1"/>
  <c r="G61" i="1"/>
  <c r="G60" i="1"/>
  <c r="K55" i="1"/>
  <c r="K54" i="1"/>
  <c r="K53" i="1"/>
  <c r="K52" i="1"/>
  <c r="K51" i="1"/>
  <c r="K50" i="1"/>
  <c r="K49" i="1"/>
  <c r="K48" i="1"/>
  <c r="C55" i="1"/>
  <c r="C54" i="1"/>
  <c r="C53" i="1"/>
  <c r="C52" i="1"/>
  <c r="C51" i="1"/>
  <c r="C50" i="1"/>
  <c r="C49" i="1"/>
  <c r="C48" i="1"/>
  <c r="K43" i="1"/>
  <c r="K42" i="1"/>
  <c r="K41" i="1"/>
  <c r="K40" i="1"/>
  <c r="K39" i="1"/>
  <c r="K38" i="1"/>
  <c r="K37" i="1"/>
  <c r="K36" i="1"/>
  <c r="L55" i="1"/>
  <c r="L51" i="1"/>
  <c r="L50" i="1"/>
  <c r="L53" i="1"/>
  <c r="L49" i="1"/>
  <c r="L48" i="1"/>
  <c r="M48" i="1" s="1"/>
  <c r="D55" i="1"/>
  <c r="D51" i="1"/>
  <c r="D54" i="1"/>
  <c r="E51" i="1" s="1"/>
  <c r="D50" i="1"/>
  <c r="E49" i="1" s="1"/>
  <c r="D53" i="1"/>
  <c r="D49" i="1"/>
  <c r="D52" i="1"/>
  <c r="E50" i="1" s="1"/>
  <c r="F49" i="1" s="1"/>
  <c r="D48" i="1"/>
  <c r="E48" i="1" s="1"/>
  <c r="F48" i="1" s="1"/>
  <c r="L43" i="1"/>
  <c r="L39" i="1"/>
  <c r="L42" i="1"/>
  <c r="M39" i="1" s="1"/>
  <c r="L38" i="1"/>
  <c r="M37" i="1" s="1"/>
  <c r="L41" i="1"/>
  <c r="L37" i="1"/>
  <c r="L40" i="1"/>
  <c r="M38" i="1" s="1"/>
  <c r="N37" i="1" s="1"/>
  <c r="L36" i="1"/>
  <c r="M36" i="1" s="1"/>
  <c r="N36" i="1" s="1"/>
  <c r="F36" i="1"/>
  <c r="D36" i="1"/>
  <c r="C36" i="1"/>
  <c r="C43" i="1"/>
  <c r="C42" i="1"/>
  <c r="C41" i="1"/>
  <c r="D38" i="1" s="1"/>
  <c r="C40" i="1"/>
  <c r="C39" i="1"/>
  <c r="C38" i="1"/>
  <c r="C37" i="1"/>
  <c r="D43" i="1"/>
  <c r="D39" i="1"/>
  <c r="D42" i="1"/>
  <c r="E39" i="1" s="1"/>
  <c r="D41" i="1"/>
  <c r="D37" i="1"/>
  <c r="D40" i="1"/>
  <c r="E38" i="1" s="1"/>
  <c r="E36" i="1"/>
  <c r="G31" i="1"/>
  <c r="F31" i="1"/>
  <c r="E31" i="1"/>
  <c r="D31" i="1"/>
  <c r="C31" i="1"/>
  <c r="B31" i="1"/>
  <c r="M49" i="1" l="1"/>
  <c r="N48" i="1" s="1"/>
  <c r="L54" i="1"/>
  <c r="M51" i="1" s="1"/>
  <c r="L52" i="1"/>
  <c r="M50" i="1" s="1"/>
  <c r="M52" i="1"/>
  <c r="N52" i="1"/>
  <c r="M53" i="1"/>
  <c r="N54" i="1" s="1"/>
  <c r="M54" i="1"/>
  <c r="N53" i="1"/>
  <c r="E52" i="1"/>
  <c r="F52" i="1"/>
  <c r="E53" i="1"/>
  <c r="F54" i="1" s="1"/>
  <c r="E54" i="1"/>
  <c r="F53" i="1"/>
  <c r="E55" i="1"/>
  <c r="F55" i="1" s="1"/>
  <c r="M40" i="1"/>
  <c r="N40" i="1"/>
  <c r="M41" i="1"/>
  <c r="N42" i="1" s="1"/>
  <c r="M42" i="1"/>
  <c r="N41" i="1"/>
  <c r="M43" i="1"/>
  <c r="N43" i="1" s="1"/>
  <c r="E37" i="1"/>
  <c r="F37" i="1"/>
  <c r="E40" i="1"/>
  <c r="F40" i="1"/>
  <c r="E41" i="1"/>
  <c r="F42" i="1" s="1"/>
  <c r="E42" i="1"/>
  <c r="F41" i="1"/>
  <c r="E43" i="1"/>
  <c r="F43" i="1" s="1"/>
  <c r="M55" i="1" l="1"/>
  <c r="N55" i="1" s="1"/>
  <c r="N49" i="1"/>
  <c r="N51" i="1"/>
  <c r="N50" i="1"/>
  <c r="F51" i="1"/>
  <c r="F50" i="1"/>
  <c r="N39" i="1"/>
  <c r="N38" i="1"/>
  <c r="F39" i="1"/>
  <c r="F38" i="1"/>
</calcChain>
</file>

<file path=xl/sharedStrings.xml><?xml version="1.0" encoding="utf-8"?>
<sst xmlns="http://schemas.openxmlformats.org/spreadsheetml/2006/main" count="173" uniqueCount="106">
  <si>
    <t>Replication 1 </t>
  </si>
  <si>
    <t>Replication 2 </t>
  </si>
  <si>
    <t>Replication 3 </t>
  </si>
  <si>
    <t>Block 1 </t>
  </si>
  <si>
    <t>Block 2 </t>
  </si>
  <si>
    <t>Block 3 </t>
  </si>
  <si>
    <t>Block 4 </t>
  </si>
  <si>
    <t>Block 5 </t>
  </si>
  <si>
    <t>Block 6 </t>
  </si>
  <si>
    <t>1. 54 </t>
  </si>
  <si>
    <t>(npk) 201 </t>
  </si>
  <si>
    <t>(k)65 </t>
  </si>
  <si>
    <t>(p) 156 </t>
  </si>
  <si>
    <t>(p) 68 </t>
  </si>
  <si>
    <t>(n) 109 </t>
  </si>
  <si>
    <t>(np) 136 </t>
  </si>
  <si>
    <t>(n) 65 </t>
  </si>
  <si>
    <t>(1) 122 </t>
  </si>
  <si>
    <t>(nk)210 </t>
  </si>
  <si>
    <t>(npk) 73 </t>
  </si>
  <si>
    <t>(pk) 142 </t>
  </si>
  <si>
    <t>(nk) 188 </t>
  </si>
  <si>
    <t>(k) 98 </t>
  </si>
  <si>
    <t>(npk) 145 </t>
  </si>
  <si>
    <t>(pk) 143 </t>
  </si>
  <si>
    <t>(1)70 </t>
  </si>
  <si>
    <t>(k) 93 </t>
  </si>
  <si>
    <t>(pk) 90 </t>
  </si>
  <si>
    <t>(p) 182 </t>
  </si>
  <si>
    <t>(np)88 </t>
  </si>
  <si>
    <t>(n)187 </t>
  </si>
  <si>
    <t>(nk)103 </t>
  </si>
  <si>
    <t>(np)154 </t>
  </si>
  <si>
    <r>
      <t>14. The following table gives the plan and the yields of a 2</t>
    </r>
    <r>
      <rPr>
        <vertAlign val="superscript"/>
        <sz val="14"/>
        <rFont val="Times New Roman"/>
        <family val="1"/>
      </rPr>
      <t>3</t>
    </r>
    <r>
      <rPr>
        <sz val="14"/>
        <rFont val="Times New Roman"/>
        <family val="1"/>
      </rPr>
      <t> experiment involving three factors N,P,K in block size of 4 plots each. Analyze the data and give your comments. </t>
    </r>
  </si>
  <si>
    <t xml:space="preserve">This is a 2^3 factorial design. Here layout of the replications is not same . </t>
  </si>
  <si>
    <t>It is partially confounded factorial design.</t>
  </si>
  <si>
    <t>To find confounded elements;</t>
  </si>
  <si>
    <t xml:space="preserve"> = np(k-1) -n(k-1)-p(k-1)+(k-1)</t>
  </si>
  <si>
    <t>= (k-1) [ np-n-p+1] =(k-1) [ n(p-1)-(p-1)]</t>
  </si>
  <si>
    <t>= (k-1) (p-1) (n-1)</t>
  </si>
  <si>
    <t xml:space="preserve">Block 2 - Block 1 =   (npk+n+k+p)-(1+np+nk+pk) </t>
  </si>
  <si>
    <t xml:space="preserve"> npk-np-nk-pk+n+k+p-1   </t>
  </si>
  <si>
    <t>Replication 1</t>
  </si>
  <si>
    <t>Replication 2</t>
  </si>
  <si>
    <t>Replication 3</t>
  </si>
  <si>
    <t>Block 3 - Block 4</t>
  </si>
  <si>
    <t xml:space="preserve">Block 2 - Block 1 =   </t>
  </si>
  <si>
    <t xml:space="preserve"> npk+np-nk-pk-n+k-p+1   </t>
  </si>
  <si>
    <t>npk is confounded.</t>
  </si>
  <si>
    <t xml:space="preserve"> = np(k+1) -n(k+1)-p(k+1)+(k+1)</t>
  </si>
  <si>
    <t xml:space="preserve">(k+1) [ np-n-p+1] </t>
  </si>
  <si>
    <t>(k+1) [ n(p-1)-(p-1)]</t>
  </si>
  <si>
    <t xml:space="preserve"> (k+1) (p-1) (n-1)</t>
  </si>
  <si>
    <t>np is confounded.</t>
  </si>
  <si>
    <t xml:space="preserve"> npk-np+nk-pk-n-k+p+1   </t>
  </si>
  <si>
    <t>np(k-1) +n(k-1)-p(k-1)-(k-1)</t>
  </si>
  <si>
    <t xml:space="preserve">(k-1) [ np+n-p-1] </t>
  </si>
  <si>
    <t>(k-1) [ n(p+1)-(p+1)]</t>
  </si>
  <si>
    <t>(k-1) (p+1) (n-1)</t>
  </si>
  <si>
    <t>nk is confounded.</t>
  </si>
  <si>
    <t>B1</t>
  </si>
  <si>
    <t>B2</t>
  </si>
  <si>
    <t>B3</t>
  </si>
  <si>
    <t>B4</t>
  </si>
  <si>
    <t>B5</t>
  </si>
  <si>
    <t>B6</t>
  </si>
  <si>
    <t>Treatment</t>
  </si>
  <si>
    <t>0 th</t>
  </si>
  <si>
    <t>1st</t>
  </si>
  <si>
    <t>2nd</t>
  </si>
  <si>
    <t>3rd</t>
  </si>
  <si>
    <t>(1)</t>
  </si>
  <si>
    <t>G</t>
  </si>
  <si>
    <t>n</t>
  </si>
  <si>
    <t>[N]</t>
  </si>
  <si>
    <t>p</t>
  </si>
  <si>
    <t>[P]</t>
  </si>
  <si>
    <t>np</t>
  </si>
  <si>
    <t>[NP]</t>
  </si>
  <si>
    <t>k</t>
  </si>
  <si>
    <t>nk</t>
  </si>
  <si>
    <t>npk</t>
  </si>
  <si>
    <t>pk</t>
  </si>
  <si>
    <t>For npk;</t>
  </si>
  <si>
    <t xml:space="preserve">For All; </t>
  </si>
  <si>
    <t xml:space="preserve">For nk; </t>
  </si>
  <si>
    <t>For np;</t>
  </si>
  <si>
    <t xml:space="preserve">Interaction </t>
  </si>
  <si>
    <t xml:space="preserve">Replications </t>
  </si>
  <si>
    <t>(Total unconfounded)</t>
  </si>
  <si>
    <t>Divisior</t>
  </si>
  <si>
    <t>S.S</t>
  </si>
  <si>
    <t>III</t>
  </si>
  <si>
    <t>I</t>
  </si>
  <si>
    <t>[K]</t>
  </si>
  <si>
    <t>[NK]</t>
  </si>
  <si>
    <t>[PK]</t>
  </si>
  <si>
    <t>[NPK]</t>
  </si>
  <si>
    <t xml:space="preserve">n = </t>
  </si>
  <si>
    <t xml:space="preserve">r = </t>
  </si>
  <si>
    <t>b =</t>
  </si>
  <si>
    <t>k =</t>
  </si>
  <si>
    <t>G (Grand Total) =</t>
  </si>
  <si>
    <t>Block with replication S.S = Blocks S.S - Replication S.S =</t>
  </si>
  <si>
    <t>Treatment S.S  =</t>
  </si>
  <si>
    <t>(add all the treatment s.s. from anova)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</si>
</sst>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</font>
    <font>
      <sz val="14"/>
      <name val="Times New Roman"/>
      <family val="1"/>
    </font>
    <font>
      <vertAlign val="superscript"/>
      <sz val="14"/>
      <name val="Times New Roman"/>
      <family val="1"/>
    </font>
    <font>
      <b/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0" borderId="1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" fillId="0" borderId="23" xfId="0" applyFont="1" applyBorder="1"/>
    <xf numFmtId="0" fontId="1" fillId="0" borderId="15" xfId="0" applyFont="1" applyBorder="1"/>
    <xf numFmtId="0" fontId="7" fillId="0" borderId="12" xfId="0" applyFont="1" applyBorder="1"/>
    <xf numFmtId="0" fontId="7" fillId="0" borderId="0" xfId="0" applyFont="1"/>
    <xf numFmtId="0" fontId="1" fillId="0" borderId="21" xfId="0" applyFont="1" applyBorder="1"/>
    <xf numFmtId="0" fontId="1" fillId="0" borderId="12" xfId="0" applyFont="1" applyBorder="1"/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9" xfId="0" applyFont="1" applyBorder="1"/>
    <xf numFmtId="0" fontId="1" fillId="0" borderId="17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8" xfId="0" applyFont="1" applyBorder="1" applyAlignment="1">
      <alignment horizontal="right"/>
    </xf>
    <xf numFmtId="0" fontId="7" fillId="0" borderId="19" xfId="0" applyFont="1" applyBorder="1" applyAlignment="1">
      <alignment horizontal="right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67</xdr:row>
      <xdr:rowOff>72390</xdr:rowOff>
    </xdr:from>
    <xdr:ext cx="814517" cy="4377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436B046-9B6A-44A2-84ED-5C1A7EEBB4BA}"/>
                </a:ext>
              </a:extLst>
            </xdr:cNvPr>
            <xdr:cNvSpPr txBox="1"/>
          </xdr:nvSpPr>
          <xdr:spPr>
            <a:xfrm>
              <a:off x="657225" y="17226915"/>
              <a:ext cx="814517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400" b="1" i="1">
                        <a:latin typeface="Cambria Math" panose="02040503050406030204" pitchFamily="18" charset="0"/>
                      </a:rPr>
                      <m:t>𝑪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𝑭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N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𝑮</m:t>
                            </m:r>
                          </m:e>
                          <m:sup>
                            <m:r>
                              <a:rPr lang="en-IN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num>
                      <m:den>
                        <m:r>
                          <a:rPr lang="en-IN" sz="1400" b="1" i="1">
                            <a:latin typeface="Cambria Math" panose="02040503050406030204" pitchFamily="18" charset="0"/>
                          </a:rPr>
                          <m:t>𝒏</m:t>
                        </m:r>
                      </m:den>
                    </m:f>
                    <m:r>
                      <a:rPr lang="en-IN" sz="1400" b="1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436B046-9B6A-44A2-84ED-5C1A7EEBB4BA}"/>
                </a:ext>
              </a:extLst>
            </xdr:cNvPr>
            <xdr:cNvSpPr txBox="1"/>
          </xdr:nvSpPr>
          <xdr:spPr>
            <a:xfrm>
              <a:off x="657225" y="17226915"/>
              <a:ext cx="814517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400" b="1" i="0">
                  <a:latin typeface="Cambria Math" panose="02040503050406030204" pitchFamily="18" charset="0"/>
                </a:rPr>
                <a:t>𝑪.𝑭=𝑮^𝟐/𝒏  </a:t>
              </a:r>
              <a:endParaRPr lang="en-IN" sz="1400" b="1"/>
            </a:p>
          </xdr:txBody>
        </xdr:sp>
      </mc:Fallback>
    </mc:AlternateContent>
    <xdr:clientData/>
  </xdr:oneCellAnchor>
  <xdr:oneCellAnchor>
    <xdr:from>
      <xdr:col>1</xdr:col>
      <xdr:colOff>85725</xdr:colOff>
      <xdr:row>69</xdr:row>
      <xdr:rowOff>198120</xdr:rowOff>
    </xdr:from>
    <xdr:ext cx="1992661" cy="4390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9C18BFE-0FC2-43B7-9CA5-9E6E185B7EB6}"/>
                </a:ext>
              </a:extLst>
            </xdr:cNvPr>
            <xdr:cNvSpPr txBox="1"/>
          </xdr:nvSpPr>
          <xdr:spPr>
            <a:xfrm>
              <a:off x="695325" y="17828895"/>
              <a:ext cx="1992661" cy="4390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400" b="1" i="1">
                        <a:latin typeface="Cambria Math" panose="02040503050406030204" pitchFamily="18" charset="0"/>
                      </a:rPr>
                      <m:t>𝑩𝒍𝒐𝒄𝒌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𝑺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𝑺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𝜮</m:t>
                        </m:r>
                        <m: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𝑩</m:t>
                        </m:r>
                        <m:sSup>
                          <m:sSupPr>
                            <m:ctrlP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e>
                          <m:sup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e>
                          <m:sup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𝒌</m:t>
                            </m:r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p>
                        </m:sSup>
                      </m:den>
                    </m:f>
                    <m:r>
                      <a:rPr lang="en-IN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IN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𝑪</m:t>
                    </m:r>
                    <m:r>
                      <a:rPr lang="en-IN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IN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𝑭</m:t>
                    </m:r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9C18BFE-0FC2-43B7-9CA5-9E6E185B7EB6}"/>
                </a:ext>
              </a:extLst>
            </xdr:cNvPr>
            <xdr:cNvSpPr txBox="1"/>
          </xdr:nvSpPr>
          <xdr:spPr>
            <a:xfrm>
              <a:off x="695325" y="17828895"/>
              <a:ext cx="1992661" cy="4390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400" b="1" i="0">
                  <a:latin typeface="Cambria Math" panose="02040503050406030204" pitchFamily="18" charset="0"/>
                </a:rPr>
                <a:t>𝑩𝒍𝒐𝒄𝒌 𝑺.𝑺=</a:t>
              </a:r>
              <a:r>
                <a:rPr lang="en-IN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𝜮</a:t>
              </a:r>
              <a:r>
                <a:rPr lang="en-IN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𝑩𝒋^𝟐)/𝟐^(𝒌−𝟏) −𝑪.𝑭</a:t>
              </a:r>
              <a:endParaRPr lang="en-IN" sz="1400" b="1"/>
            </a:p>
          </xdr:txBody>
        </xdr:sp>
      </mc:Fallback>
    </mc:AlternateContent>
    <xdr:clientData/>
  </xdr:oneCellAnchor>
  <xdr:oneCellAnchor>
    <xdr:from>
      <xdr:col>1</xdr:col>
      <xdr:colOff>93345</xdr:colOff>
      <xdr:row>72</xdr:row>
      <xdr:rowOff>207645</xdr:rowOff>
    </xdr:from>
    <xdr:ext cx="2683427" cy="4390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B0271E0-3903-43B8-A664-80B4C29D2E00}"/>
                </a:ext>
              </a:extLst>
            </xdr:cNvPr>
            <xdr:cNvSpPr txBox="1"/>
          </xdr:nvSpPr>
          <xdr:spPr>
            <a:xfrm>
              <a:off x="702945" y="18552795"/>
              <a:ext cx="2683427" cy="4390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400" b="1" i="1">
                        <a:latin typeface="Cambria Math" panose="02040503050406030204" pitchFamily="18" charset="0"/>
                      </a:rPr>
                      <m:t>𝑹𝒆𝒑𝒍𝒊𝒄𝒂𝒕𝒊𝒐𝒏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𝑺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𝑺</m:t>
                    </m:r>
                    <m:r>
                      <a:rPr lang="en-IN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𝜮</m:t>
                        </m:r>
                        <m: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𝑹</m:t>
                        </m:r>
                        <m:sSup>
                          <m:sSupPr>
                            <m:ctrlP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e>
                          <m:sup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e>
                          <m:sup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𝒌</m:t>
                            </m:r>
                          </m:sup>
                        </m:sSup>
                      </m:den>
                    </m:f>
                    <m:r>
                      <a:rPr lang="en-IN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𝑮</m:t>
                            </m:r>
                          </m:e>
                          <m:sup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num>
                      <m:den>
                        <m: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𝒓</m:t>
                        </m:r>
                        <m:r>
                          <a:rPr lang="en-IN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  <m:sSup>
                          <m:sSupPr>
                            <m:ctrlP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𝟐</m:t>
                            </m:r>
                          </m:e>
                          <m:sup>
                            <m:r>
                              <a:rPr lang="en-IN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𝒌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IN" sz="14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B0271E0-3903-43B8-A664-80B4C29D2E00}"/>
                </a:ext>
              </a:extLst>
            </xdr:cNvPr>
            <xdr:cNvSpPr txBox="1"/>
          </xdr:nvSpPr>
          <xdr:spPr>
            <a:xfrm>
              <a:off x="702945" y="18552795"/>
              <a:ext cx="2683427" cy="4390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400" b="1" i="0">
                  <a:latin typeface="Cambria Math" panose="02040503050406030204" pitchFamily="18" charset="0"/>
                </a:rPr>
                <a:t>𝑹𝒆𝒑𝒍𝒊𝒄𝒂𝒕𝒊𝒐𝒏 𝑺.𝑺=</a:t>
              </a:r>
              <a:r>
                <a:rPr lang="en-IN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𝜮</a:t>
              </a:r>
              <a:r>
                <a:rPr lang="en-IN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𝑹𝒋^𝟐)/𝟐^𝒌 −𝑮^𝟐/(𝒓∗𝟐^𝒌 )</a:t>
              </a:r>
              <a:endParaRPr lang="en-IN" sz="14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79"/>
  <sheetViews>
    <sheetView tabSelected="1" topLeftCell="A37" workbookViewId="0">
      <selection activeCell="E71" sqref="E71"/>
    </sheetView>
  </sheetViews>
  <sheetFormatPr defaultRowHeight="18.75" x14ac:dyDescent="0.3"/>
  <cols>
    <col min="1" max="3" width="9.140625" style="1"/>
    <col min="4" max="4" width="12.7109375" style="1" bestFit="1" customWidth="1"/>
    <col min="5" max="9" width="9.140625" style="1"/>
    <col min="10" max="10" width="9.85546875" style="1" customWidth="1"/>
    <col min="11" max="16384" width="9.140625" style="1"/>
  </cols>
  <sheetData>
    <row r="2" spans="1:16" ht="22.5" x14ac:dyDescent="0.3">
      <c r="B2" s="7" t="s">
        <v>33</v>
      </c>
      <c r="C2"/>
      <c r="D2"/>
      <c r="E2"/>
      <c r="F2"/>
      <c r="G2"/>
    </row>
    <row r="3" spans="1:16" ht="19.5" customHeight="1" thickBot="1" x14ac:dyDescent="0.35">
      <c r="B3" s="49" t="s">
        <v>0</v>
      </c>
      <c r="C3" s="50"/>
      <c r="D3" s="51" t="s">
        <v>1</v>
      </c>
      <c r="E3" s="50"/>
      <c r="F3" s="51" t="s">
        <v>2</v>
      </c>
      <c r="G3" s="52"/>
    </row>
    <row r="4" spans="1:16" ht="19.5" thickBot="1" x14ac:dyDescent="0.35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16" ht="32.25" thickBot="1" x14ac:dyDescent="0.35">
      <c r="B5" s="8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3" t="s">
        <v>14</v>
      </c>
    </row>
    <row r="6" spans="1:16" ht="32.25" thickBot="1" x14ac:dyDescent="0.35"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3" t="s">
        <v>20</v>
      </c>
    </row>
    <row r="7" spans="1:16" ht="32.25" thickBot="1" x14ac:dyDescent="0.35"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3" t="s">
        <v>26</v>
      </c>
    </row>
    <row r="8" spans="1:16" x14ac:dyDescent="0.3"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  <c r="G8" s="5" t="s">
        <v>32</v>
      </c>
    </row>
    <row r="9" spans="1:16" x14ac:dyDescent="0.3">
      <c r="B9" s="6"/>
      <c r="C9"/>
      <c r="D9"/>
      <c r="E9"/>
      <c r="F9"/>
      <c r="G9"/>
    </row>
    <row r="11" spans="1:16" x14ac:dyDescent="0.3">
      <c r="A11" s="1" t="s">
        <v>34</v>
      </c>
    </row>
    <row r="12" spans="1:16" x14ac:dyDescent="0.3">
      <c r="B12" s="1" t="s">
        <v>35</v>
      </c>
    </row>
    <row r="14" spans="1:16" x14ac:dyDescent="0.3">
      <c r="A14" s="1" t="s">
        <v>36</v>
      </c>
    </row>
    <row r="16" spans="1:16" x14ac:dyDescent="0.3">
      <c r="A16" s="1" t="s">
        <v>42</v>
      </c>
      <c r="I16" s="1" t="s">
        <v>43</v>
      </c>
      <c r="P16" s="1" t="s">
        <v>44</v>
      </c>
    </row>
    <row r="17" spans="1:18" x14ac:dyDescent="0.3">
      <c r="A17" s="1" t="s">
        <v>40</v>
      </c>
      <c r="I17" s="1" t="s">
        <v>45</v>
      </c>
      <c r="K17" s="1" t="s">
        <v>47</v>
      </c>
      <c r="P17" s="1" t="s">
        <v>46</v>
      </c>
      <c r="R17" s="1" t="s">
        <v>54</v>
      </c>
    </row>
    <row r="18" spans="1:18" x14ac:dyDescent="0.3">
      <c r="C18" s="1" t="s">
        <v>41</v>
      </c>
      <c r="K18" s="1" t="s">
        <v>49</v>
      </c>
      <c r="R18" s="1" t="s">
        <v>55</v>
      </c>
    </row>
    <row r="19" spans="1:18" x14ac:dyDescent="0.3">
      <c r="C19" s="1" t="s">
        <v>37</v>
      </c>
      <c r="K19" s="1" t="s">
        <v>50</v>
      </c>
      <c r="R19" s="1" t="s">
        <v>56</v>
      </c>
    </row>
    <row r="20" spans="1:18" x14ac:dyDescent="0.3">
      <c r="C20" s="1" t="s">
        <v>38</v>
      </c>
      <c r="K20" s="1" t="s">
        <v>51</v>
      </c>
      <c r="R20" s="1" t="s">
        <v>57</v>
      </c>
    </row>
    <row r="21" spans="1:18" x14ac:dyDescent="0.3">
      <c r="C21" s="1" t="s">
        <v>39</v>
      </c>
      <c r="K21" s="1" t="s">
        <v>52</v>
      </c>
      <c r="R21" s="1" t="s">
        <v>58</v>
      </c>
    </row>
    <row r="23" spans="1:18" x14ac:dyDescent="0.3">
      <c r="B23" s="1" t="s">
        <v>48</v>
      </c>
      <c r="I23" s="1" t="s">
        <v>53</v>
      </c>
      <c r="P23" s="1" t="s">
        <v>59</v>
      </c>
    </row>
    <row r="25" spans="1:18" ht="19.5" thickBot="1" x14ac:dyDescent="0.35"/>
    <row r="26" spans="1:18" ht="19.5" thickBot="1" x14ac:dyDescent="0.35">
      <c r="B26" s="9" t="s">
        <v>60</v>
      </c>
      <c r="C26" s="10" t="s">
        <v>61</v>
      </c>
      <c r="D26" s="11" t="s">
        <v>62</v>
      </c>
      <c r="E26" s="10" t="s">
        <v>63</v>
      </c>
      <c r="F26" s="11" t="s">
        <v>64</v>
      </c>
      <c r="G26" s="10" t="s">
        <v>65</v>
      </c>
      <c r="H26" s="18"/>
      <c r="I26" s="18"/>
    </row>
    <row r="27" spans="1:18" x14ac:dyDescent="0.3">
      <c r="B27" s="12">
        <v>54</v>
      </c>
      <c r="C27" s="13">
        <v>201</v>
      </c>
      <c r="D27" s="14">
        <v>65</v>
      </c>
      <c r="E27" s="13">
        <v>156</v>
      </c>
      <c r="F27" s="14">
        <v>68</v>
      </c>
      <c r="G27" s="13">
        <v>109</v>
      </c>
      <c r="H27" s="19"/>
      <c r="I27" s="19"/>
    </row>
    <row r="28" spans="1:18" x14ac:dyDescent="0.3">
      <c r="B28" s="12">
        <v>136</v>
      </c>
      <c r="C28" s="13">
        <v>65</v>
      </c>
      <c r="D28" s="14">
        <v>122</v>
      </c>
      <c r="E28" s="13">
        <v>210</v>
      </c>
      <c r="F28" s="14">
        <v>73</v>
      </c>
      <c r="G28" s="13">
        <v>142</v>
      </c>
      <c r="H28" s="19"/>
      <c r="I28" s="19"/>
    </row>
    <row r="29" spans="1:18" x14ac:dyDescent="0.3">
      <c r="B29" s="12">
        <v>188</v>
      </c>
      <c r="C29" s="13">
        <v>98</v>
      </c>
      <c r="D29" s="14">
        <v>145</v>
      </c>
      <c r="E29" s="13">
        <v>143</v>
      </c>
      <c r="F29" s="14">
        <v>70</v>
      </c>
      <c r="G29" s="13">
        <v>93</v>
      </c>
      <c r="H29" s="19"/>
      <c r="I29" s="19"/>
    </row>
    <row r="30" spans="1:18" ht="19.5" thickBot="1" x14ac:dyDescent="0.35">
      <c r="B30" s="12">
        <v>90</v>
      </c>
      <c r="C30" s="13">
        <v>182</v>
      </c>
      <c r="D30" s="14">
        <v>88</v>
      </c>
      <c r="E30" s="13">
        <v>187</v>
      </c>
      <c r="F30" s="14">
        <v>103</v>
      </c>
      <c r="G30" s="13">
        <v>154</v>
      </c>
      <c r="H30" s="19"/>
      <c r="I30" s="19"/>
    </row>
    <row r="31" spans="1:18" ht="19.5" thickBot="1" x14ac:dyDescent="0.35">
      <c r="B31" s="15">
        <f>SUM(B27:B30)</f>
        <v>468</v>
      </c>
      <c r="C31" s="16">
        <f t="shared" ref="C31:G31" si="0">SUM(C27:C30)</f>
        <v>546</v>
      </c>
      <c r="D31" s="17">
        <f t="shared" si="0"/>
        <v>420</v>
      </c>
      <c r="E31" s="16">
        <f t="shared" si="0"/>
        <v>696</v>
      </c>
      <c r="F31" s="17">
        <f t="shared" si="0"/>
        <v>314</v>
      </c>
      <c r="G31" s="16">
        <f t="shared" si="0"/>
        <v>498</v>
      </c>
      <c r="H31" s="20"/>
      <c r="I31" s="20"/>
    </row>
    <row r="33" spans="2:15" ht="19.5" thickBot="1" x14ac:dyDescent="0.35">
      <c r="B33" s="1" t="s">
        <v>84</v>
      </c>
      <c r="J33" s="1" t="s">
        <v>83</v>
      </c>
    </row>
    <row r="34" spans="2:15" ht="37.5" x14ac:dyDescent="0.3">
      <c r="B34" s="30" t="s">
        <v>66</v>
      </c>
      <c r="C34" s="53" t="s">
        <v>67</v>
      </c>
      <c r="D34" s="53" t="s">
        <v>68</v>
      </c>
      <c r="E34" s="53" t="s">
        <v>69</v>
      </c>
      <c r="F34" s="53" t="s">
        <v>70</v>
      </c>
      <c r="G34" s="21"/>
      <c r="J34" s="30" t="s">
        <v>66</v>
      </c>
      <c r="K34" s="53" t="s">
        <v>67</v>
      </c>
      <c r="L34" s="53" t="s">
        <v>68</v>
      </c>
      <c r="M34" s="53" t="s">
        <v>69</v>
      </c>
      <c r="N34" s="53" t="s">
        <v>70</v>
      </c>
      <c r="O34" s="21"/>
    </row>
    <row r="35" spans="2:15" ht="19.5" thickBot="1" x14ac:dyDescent="0.35">
      <c r="B35" s="31"/>
      <c r="C35" s="54"/>
      <c r="D35" s="54"/>
      <c r="E35" s="54"/>
      <c r="F35" s="54"/>
      <c r="G35" s="22"/>
      <c r="J35" s="31"/>
      <c r="K35" s="54"/>
      <c r="L35" s="54"/>
      <c r="M35" s="54"/>
      <c r="N35" s="54"/>
      <c r="O35" s="22"/>
    </row>
    <row r="36" spans="2:15" x14ac:dyDescent="0.3">
      <c r="B36" s="23" t="s">
        <v>71</v>
      </c>
      <c r="C36" s="13">
        <f>54+122+70</f>
        <v>246</v>
      </c>
      <c r="D36" s="14">
        <f>C36+C37</f>
        <v>607</v>
      </c>
      <c r="E36" s="13">
        <f>D36+D37</f>
        <v>1391</v>
      </c>
      <c r="F36" s="13">
        <f>E36+E37</f>
        <v>2942</v>
      </c>
      <c r="G36" s="24" t="s">
        <v>72</v>
      </c>
      <c r="J36" s="23" t="s">
        <v>71</v>
      </c>
      <c r="K36" s="13">
        <f>122+70</f>
        <v>192</v>
      </c>
      <c r="L36" s="14">
        <f>K36+K37</f>
        <v>488</v>
      </c>
      <c r="M36" s="13">
        <f>L36+L37</f>
        <v>954</v>
      </c>
      <c r="N36" s="13">
        <f>M36+M37</f>
        <v>1928</v>
      </c>
      <c r="O36" s="24" t="s">
        <v>72</v>
      </c>
    </row>
    <row r="37" spans="2:15" x14ac:dyDescent="0.3">
      <c r="B37" s="12" t="s">
        <v>73</v>
      </c>
      <c r="C37" s="13">
        <f>65+187+109</f>
        <v>361</v>
      </c>
      <c r="D37" s="14">
        <f>C38+C39</f>
        <v>784</v>
      </c>
      <c r="E37" s="13">
        <f>D38+D39</f>
        <v>1551</v>
      </c>
      <c r="F37" s="13">
        <f>E38+E39</f>
        <v>376</v>
      </c>
      <c r="G37" s="25" t="s">
        <v>74</v>
      </c>
      <c r="J37" s="12" t="s">
        <v>73</v>
      </c>
      <c r="K37" s="13">
        <f>187+109</f>
        <v>296</v>
      </c>
      <c r="L37" s="14">
        <f>K38+K39</f>
        <v>466</v>
      </c>
      <c r="M37" s="13">
        <f>L38+L39</f>
        <v>974</v>
      </c>
      <c r="N37" s="13">
        <f>M38+M39</f>
        <v>210</v>
      </c>
      <c r="O37" s="25" t="s">
        <v>74</v>
      </c>
    </row>
    <row r="38" spans="2:15" x14ac:dyDescent="0.3">
      <c r="B38" s="12" t="s">
        <v>75</v>
      </c>
      <c r="C38" s="13">
        <f>182+156+68</f>
        <v>406</v>
      </c>
      <c r="D38" s="14">
        <f>C40+C41</f>
        <v>757</v>
      </c>
      <c r="E38" s="13">
        <f>D40+D41</f>
        <v>87</v>
      </c>
      <c r="F38" s="13">
        <f>E40+E41</f>
        <v>214</v>
      </c>
      <c r="G38" s="25" t="s">
        <v>76</v>
      </c>
      <c r="J38" s="12" t="s">
        <v>75</v>
      </c>
      <c r="K38" s="13">
        <f>156+68</f>
        <v>224</v>
      </c>
      <c r="L38" s="14">
        <f>K40+K41</f>
        <v>471</v>
      </c>
      <c r="M38" s="13">
        <f>L40+L41</f>
        <v>122</v>
      </c>
      <c r="N38" s="13">
        <f>M40+M41</f>
        <v>10</v>
      </c>
      <c r="O38" s="25" t="s">
        <v>76</v>
      </c>
    </row>
    <row r="39" spans="2:15" x14ac:dyDescent="0.3">
      <c r="B39" s="12" t="s">
        <v>77</v>
      </c>
      <c r="C39" s="13">
        <f>136+88+154</f>
        <v>378</v>
      </c>
      <c r="D39" s="14">
        <f>C42+C43</f>
        <v>794</v>
      </c>
      <c r="E39" s="13">
        <f>D42+D43</f>
        <v>289</v>
      </c>
      <c r="F39" s="13">
        <f>E42+E43</f>
        <v>-344</v>
      </c>
      <c r="G39" s="25" t="s">
        <v>78</v>
      </c>
      <c r="J39" s="12" t="s">
        <v>77</v>
      </c>
      <c r="K39" s="13">
        <f>88+154</f>
        <v>242</v>
      </c>
      <c r="L39" s="14">
        <f>K42+K43</f>
        <v>503</v>
      </c>
      <c r="M39" s="13">
        <f>L42+L43</f>
        <v>88</v>
      </c>
      <c r="N39" s="13">
        <f>M42+M43</f>
        <v>-308</v>
      </c>
      <c r="O39" s="25" t="s">
        <v>78</v>
      </c>
    </row>
    <row r="40" spans="2:15" x14ac:dyDescent="0.3">
      <c r="B40" s="12" t="s">
        <v>79</v>
      </c>
      <c r="C40" s="13">
        <f>98+65+93</f>
        <v>256</v>
      </c>
      <c r="D40" s="14">
        <f>C37-C36</f>
        <v>115</v>
      </c>
      <c r="E40" s="13">
        <f>D37-D36</f>
        <v>177</v>
      </c>
      <c r="F40" s="13">
        <f>E37-E36</f>
        <v>160</v>
      </c>
      <c r="G40" s="25" t="s">
        <v>94</v>
      </c>
      <c r="J40" s="12" t="s">
        <v>79</v>
      </c>
      <c r="K40" s="13">
        <f>65+93</f>
        <v>158</v>
      </c>
      <c r="L40" s="14">
        <f>K37-K36</f>
        <v>104</v>
      </c>
      <c r="M40" s="13">
        <f>L37-L36</f>
        <v>-22</v>
      </c>
      <c r="N40" s="13">
        <f>M37-M36</f>
        <v>20</v>
      </c>
      <c r="O40" s="25" t="s">
        <v>94</v>
      </c>
    </row>
    <row r="41" spans="2:15" x14ac:dyDescent="0.3">
      <c r="B41" s="12" t="s">
        <v>80</v>
      </c>
      <c r="C41" s="13">
        <f>188+210+103</f>
        <v>501</v>
      </c>
      <c r="D41" s="14">
        <f>C39-C38</f>
        <v>-28</v>
      </c>
      <c r="E41" s="13">
        <f>D39-D38</f>
        <v>37</v>
      </c>
      <c r="F41" s="13">
        <f>E39-E38</f>
        <v>202</v>
      </c>
      <c r="G41" s="25" t="s">
        <v>95</v>
      </c>
      <c r="J41" s="12" t="s">
        <v>80</v>
      </c>
      <c r="K41" s="13">
        <f>210+103</f>
        <v>313</v>
      </c>
      <c r="L41" s="14">
        <f>K39-K38</f>
        <v>18</v>
      </c>
      <c r="M41" s="13">
        <f>L39-L38</f>
        <v>32</v>
      </c>
      <c r="N41" s="13">
        <f>M39-M38</f>
        <v>-34</v>
      </c>
      <c r="O41" s="25" t="s">
        <v>95</v>
      </c>
    </row>
    <row r="42" spans="2:15" x14ac:dyDescent="0.3">
      <c r="B42" s="12" t="s">
        <v>82</v>
      </c>
      <c r="C42" s="13">
        <f>90+143+142</f>
        <v>375</v>
      </c>
      <c r="D42" s="14">
        <f>C41-C40</f>
        <v>245</v>
      </c>
      <c r="E42" s="13">
        <f>D41-D40</f>
        <v>-143</v>
      </c>
      <c r="F42" s="13">
        <f>E41-E40</f>
        <v>-140</v>
      </c>
      <c r="G42" s="25" t="s">
        <v>96</v>
      </c>
      <c r="J42" s="12" t="s">
        <v>82</v>
      </c>
      <c r="K42" s="13">
        <f>143+142</f>
        <v>285</v>
      </c>
      <c r="L42" s="14">
        <f>K41-K40</f>
        <v>155</v>
      </c>
      <c r="M42" s="13">
        <f>L41-L40</f>
        <v>-86</v>
      </c>
      <c r="N42" s="13">
        <f>M41-M40</f>
        <v>54</v>
      </c>
      <c r="O42" s="25" t="s">
        <v>96</v>
      </c>
    </row>
    <row r="43" spans="2:15" ht="19.5" thickBot="1" x14ac:dyDescent="0.35">
      <c r="B43" s="26" t="s">
        <v>81</v>
      </c>
      <c r="C43" s="27">
        <f>201+145+73</f>
        <v>419</v>
      </c>
      <c r="D43" s="28">
        <f>C43-C42</f>
        <v>44</v>
      </c>
      <c r="E43" s="27">
        <f>D43-D42</f>
        <v>-201</v>
      </c>
      <c r="F43" s="27">
        <f>E43-E42</f>
        <v>-58</v>
      </c>
      <c r="G43" s="29" t="s">
        <v>97</v>
      </c>
      <c r="J43" s="26" t="s">
        <v>81</v>
      </c>
      <c r="K43" s="27">
        <f>145+73</f>
        <v>218</v>
      </c>
      <c r="L43" s="28">
        <f>K43-K42</f>
        <v>-67</v>
      </c>
      <c r="M43" s="27">
        <f>L43-L42</f>
        <v>-222</v>
      </c>
      <c r="N43" s="27">
        <f>M43-M42</f>
        <v>-136</v>
      </c>
      <c r="O43" s="29" t="s">
        <v>97</v>
      </c>
    </row>
    <row r="45" spans="2:15" ht="19.5" thickBot="1" x14ac:dyDescent="0.35">
      <c r="B45" s="1" t="s">
        <v>85</v>
      </c>
      <c r="J45" s="1" t="s">
        <v>86</v>
      </c>
    </row>
    <row r="46" spans="2:15" ht="37.5" x14ac:dyDescent="0.3">
      <c r="B46" s="30" t="s">
        <v>66</v>
      </c>
      <c r="C46" s="53" t="s">
        <v>67</v>
      </c>
      <c r="D46" s="53" t="s">
        <v>68</v>
      </c>
      <c r="E46" s="53" t="s">
        <v>69</v>
      </c>
      <c r="F46" s="53" t="s">
        <v>70</v>
      </c>
      <c r="G46" s="21"/>
      <c r="J46" s="30" t="s">
        <v>66</v>
      </c>
      <c r="K46" s="53" t="s">
        <v>67</v>
      </c>
      <c r="L46" s="53" t="s">
        <v>68</v>
      </c>
      <c r="M46" s="53" t="s">
        <v>69</v>
      </c>
      <c r="N46" s="53" t="s">
        <v>70</v>
      </c>
      <c r="O46" s="21"/>
    </row>
    <row r="47" spans="2:15" ht="19.5" thickBot="1" x14ac:dyDescent="0.35">
      <c r="B47" s="31"/>
      <c r="C47" s="54"/>
      <c r="D47" s="54"/>
      <c r="E47" s="54"/>
      <c r="F47" s="54"/>
      <c r="G47" s="22"/>
      <c r="J47" s="31"/>
      <c r="K47" s="54"/>
      <c r="L47" s="54"/>
      <c r="M47" s="54"/>
      <c r="N47" s="54"/>
      <c r="O47" s="22"/>
    </row>
    <row r="48" spans="2:15" x14ac:dyDescent="0.3">
      <c r="B48" s="23" t="s">
        <v>71</v>
      </c>
      <c r="C48" s="13">
        <f>54+122</f>
        <v>176</v>
      </c>
      <c r="D48" s="14">
        <f>C48+C49</f>
        <v>428</v>
      </c>
      <c r="E48" s="13">
        <f>D48+D49</f>
        <v>990</v>
      </c>
      <c r="F48" s="13">
        <f>E48+E49</f>
        <v>2130</v>
      </c>
      <c r="G48" s="24" t="s">
        <v>72</v>
      </c>
      <c r="J48" s="23" t="s">
        <v>71</v>
      </c>
      <c r="K48" s="13">
        <f>54+70</f>
        <v>124</v>
      </c>
      <c r="L48" s="14">
        <f>K48+K49</f>
        <v>298</v>
      </c>
      <c r="M48" s="13">
        <f>L48+L49</f>
        <v>838</v>
      </c>
      <c r="N48" s="13">
        <f>M48+M49</f>
        <v>1826</v>
      </c>
      <c r="O48" s="24" t="s">
        <v>72</v>
      </c>
    </row>
    <row r="49" spans="2:15" x14ac:dyDescent="0.3">
      <c r="B49" s="12" t="s">
        <v>73</v>
      </c>
      <c r="C49" s="13">
        <f>65+187</f>
        <v>252</v>
      </c>
      <c r="D49" s="14">
        <f>C50+C51</f>
        <v>562</v>
      </c>
      <c r="E49" s="13">
        <f>D50+D51</f>
        <v>1140</v>
      </c>
      <c r="F49" s="13">
        <f>E50+E51</f>
        <v>310</v>
      </c>
      <c r="G49" s="25" t="s">
        <v>74</v>
      </c>
      <c r="J49" s="12" t="s">
        <v>73</v>
      </c>
      <c r="K49" s="13">
        <f>65+109</f>
        <v>174</v>
      </c>
      <c r="L49" s="14">
        <f>K50+K51</f>
        <v>540</v>
      </c>
      <c r="M49" s="13">
        <f>L50+L51</f>
        <v>988</v>
      </c>
      <c r="N49" s="13">
        <f>M50+M51</f>
        <v>232</v>
      </c>
      <c r="O49" s="25" t="s">
        <v>74</v>
      </c>
    </row>
    <row r="50" spans="2:15" x14ac:dyDescent="0.3">
      <c r="B50" s="12" t="s">
        <v>75</v>
      </c>
      <c r="C50" s="13">
        <f>182+156</f>
        <v>338</v>
      </c>
      <c r="D50" s="14">
        <f>C52+C53</f>
        <v>561</v>
      </c>
      <c r="E50" s="13">
        <f>D52+D53</f>
        <v>-38</v>
      </c>
      <c r="F50" s="13">
        <f>E52+E53</f>
        <v>152</v>
      </c>
      <c r="G50" s="25" t="s">
        <v>76</v>
      </c>
      <c r="J50" s="12" t="s">
        <v>75</v>
      </c>
      <c r="K50" s="13">
        <f>182+68</f>
        <v>250</v>
      </c>
      <c r="L50" s="14">
        <f>K52+K53</f>
        <v>482</v>
      </c>
      <c r="M50" s="13">
        <f>L52+L53</f>
        <v>90</v>
      </c>
      <c r="N50" s="13">
        <f>M52+M53</f>
        <v>266</v>
      </c>
      <c r="O50" s="25" t="s">
        <v>76</v>
      </c>
    </row>
    <row r="51" spans="2:15" x14ac:dyDescent="0.3">
      <c r="B51" s="12" t="s">
        <v>77</v>
      </c>
      <c r="C51" s="13">
        <f>136+88</f>
        <v>224</v>
      </c>
      <c r="D51" s="14">
        <f>C54+C55</f>
        <v>579</v>
      </c>
      <c r="E51" s="13">
        <f>D54+D55</f>
        <v>348</v>
      </c>
      <c r="F51" s="13">
        <f>E54+E55</f>
        <v>-312</v>
      </c>
      <c r="G51" s="25" t="s">
        <v>78</v>
      </c>
      <c r="J51" s="12" t="s">
        <v>77</v>
      </c>
      <c r="K51" s="13">
        <f>136+154</f>
        <v>290</v>
      </c>
      <c r="L51" s="14">
        <f>K54+K55</f>
        <v>506</v>
      </c>
      <c r="M51" s="13">
        <f>L54+L55</f>
        <v>142</v>
      </c>
      <c r="N51" s="13">
        <f>M54+M55</f>
        <v>-68</v>
      </c>
      <c r="O51" s="25" t="s">
        <v>78</v>
      </c>
    </row>
    <row r="52" spans="2:15" x14ac:dyDescent="0.3">
      <c r="B52" s="12" t="s">
        <v>79</v>
      </c>
      <c r="C52" s="13">
        <f>98+65</f>
        <v>163</v>
      </c>
      <c r="D52" s="14">
        <f>C49-C48</f>
        <v>76</v>
      </c>
      <c r="E52" s="13">
        <f>D49-D48</f>
        <v>134</v>
      </c>
      <c r="F52" s="13">
        <f>E49-E48</f>
        <v>150</v>
      </c>
      <c r="G52" s="25" t="s">
        <v>94</v>
      </c>
      <c r="J52" s="12" t="s">
        <v>79</v>
      </c>
      <c r="K52" s="13">
        <f>98+93</f>
        <v>191</v>
      </c>
      <c r="L52" s="14">
        <f>K49-K48</f>
        <v>50</v>
      </c>
      <c r="M52" s="13">
        <f>L49-L48</f>
        <v>242</v>
      </c>
      <c r="N52" s="13">
        <f>M49-M48</f>
        <v>150</v>
      </c>
      <c r="O52" s="25" t="s">
        <v>94</v>
      </c>
    </row>
    <row r="53" spans="2:15" x14ac:dyDescent="0.3">
      <c r="B53" s="12" t="s">
        <v>80</v>
      </c>
      <c r="C53" s="13">
        <f>188+210</f>
        <v>398</v>
      </c>
      <c r="D53" s="14">
        <f>C51-C50</f>
        <v>-114</v>
      </c>
      <c r="E53" s="13">
        <f>D51-D50</f>
        <v>18</v>
      </c>
      <c r="F53" s="13">
        <f>E51-E50</f>
        <v>386</v>
      </c>
      <c r="G53" s="25" t="s">
        <v>95</v>
      </c>
      <c r="J53" s="12" t="s">
        <v>80</v>
      </c>
      <c r="K53" s="13">
        <f>188+103</f>
        <v>291</v>
      </c>
      <c r="L53" s="14">
        <f>K51-K50</f>
        <v>40</v>
      </c>
      <c r="M53" s="13">
        <f>L51-L50</f>
        <v>24</v>
      </c>
      <c r="N53" s="13">
        <f>M51-M50</f>
        <v>52</v>
      </c>
      <c r="O53" s="25" t="s">
        <v>95</v>
      </c>
    </row>
    <row r="54" spans="2:15" x14ac:dyDescent="0.3">
      <c r="B54" s="12" t="s">
        <v>82</v>
      </c>
      <c r="C54" s="13">
        <f>90+143</f>
        <v>233</v>
      </c>
      <c r="D54" s="14">
        <f>C53-C52</f>
        <v>235</v>
      </c>
      <c r="E54" s="13">
        <f>D53-D52</f>
        <v>-190</v>
      </c>
      <c r="F54" s="13">
        <f>E53-E52</f>
        <v>-116</v>
      </c>
      <c r="G54" s="25" t="s">
        <v>96</v>
      </c>
      <c r="J54" s="12" t="s">
        <v>82</v>
      </c>
      <c r="K54" s="13">
        <f>90+142</f>
        <v>232</v>
      </c>
      <c r="L54" s="14">
        <f>K53-K52</f>
        <v>100</v>
      </c>
      <c r="M54" s="13">
        <f>L53-L52</f>
        <v>-10</v>
      </c>
      <c r="N54" s="13">
        <f>M53-M52</f>
        <v>-218</v>
      </c>
      <c r="O54" s="25" t="s">
        <v>96</v>
      </c>
    </row>
    <row r="55" spans="2:15" ht="19.5" thickBot="1" x14ac:dyDescent="0.35">
      <c r="B55" s="26" t="s">
        <v>81</v>
      </c>
      <c r="C55" s="27">
        <f>201+145</f>
        <v>346</v>
      </c>
      <c r="D55" s="28">
        <f>C55-C54</f>
        <v>113</v>
      </c>
      <c r="E55" s="27">
        <f>D55-D54</f>
        <v>-122</v>
      </c>
      <c r="F55" s="27">
        <f>E55-E54</f>
        <v>68</v>
      </c>
      <c r="G55" s="29" t="s">
        <v>97</v>
      </c>
      <c r="J55" s="26" t="s">
        <v>81</v>
      </c>
      <c r="K55" s="27">
        <f>201+73</f>
        <v>274</v>
      </c>
      <c r="L55" s="28">
        <f>K55-K54</f>
        <v>42</v>
      </c>
      <c r="M55" s="27">
        <f>L55-L54</f>
        <v>-58</v>
      </c>
      <c r="N55" s="27">
        <f>M55-M54</f>
        <v>-48</v>
      </c>
      <c r="O55" s="29" t="s">
        <v>97</v>
      </c>
    </row>
    <row r="57" spans="2:15" ht="19.5" thickBot="1" x14ac:dyDescent="0.35"/>
    <row r="58" spans="2:15" ht="19.5" thickBot="1" x14ac:dyDescent="0.35">
      <c r="B58" s="32" t="s">
        <v>87</v>
      </c>
      <c r="C58" s="32" t="s">
        <v>88</v>
      </c>
      <c r="D58" s="57" t="s">
        <v>89</v>
      </c>
      <c r="E58" s="58"/>
      <c r="F58" s="33" t="s">
        <v>90</v>
      </c>
      <c r="G58" s="34" t="s">
        <v>91</v>
      </c>
      <c r="J58" s="36" t="s">
        <v>98</v>
      </c>
      <c r="K58" s="21">
        <v>24</v>
      </c>
    </row>
    <row r="59" spans="2:15" x14ac:dyDescent="0.3">
      <c r="B59" s="12"/>
      <c r="C59" s="13"/>
      <c r="D59" s="55"/>
      <c r="E59" s="56"/>
      <c r="F59" s="13"/>
      <c r="G59" s="35"/>
      <c r="J59" s="12" t="s">
        <v>99</v>
      </c>
      <c r="K59" s="35">
        <v>3</v>
      </c>
    </row>
    <row r="60" spans="2:15" x14ac:dyDescent="0.3">
      <c r="B60" s="12" t="s">
        <v>81</v>
      </c>
      <c r="C60" s="13" t="s">
        <v>93</v>
      </c>
      <c r="D60" s="55">
        <v>-136</v>
      </c>
      <c r="E60" s="56"/>
      <c r="F60" s="13">
        <f>(2^3)*2</f>
        <v>16</v>
      </c>
      <c r="G60" s="35">
        <f>(D60^2)/F60</f>
        <v>1156</v>
      </c>
      <c r="J60" s="12" t="s">
        <v>100</v>
      </c>
      <c r="K60" s="35">
        <v>6</v>
      </c>
    </row>
    <row r="61" spans="2:15" ht="19.5" thickBot="1" x14ac:dyDescent="0.35">
      <c r="B61" s="12" t="s">
        <v>80</v>
      </c>
      <c r="C61" s="13" t="s">
        <v>92</v>
      </c>
      <c r="D61" s="55">
        <v>386</v>
      </c>
      <c r="E61" s="56"/>
      <c r="F61" s="13">
        <f t="shared" ref="F61:F62" si="1">(2^3)*2</f>
        <v>16</v>
      </c>
      <c r="G61" s="35">
        <f>(D61^2)/F61</f>
        <v>9312.25</v>
      </c>
      <c r="J61" s="26" t="s">
        <v>101</v>
      </c>
      <c r="K61" s="22">
        <v>3</v>
      </c>
    </row>
    <row r="62" spans="2:15" ht="19.5" thickBot="1" x14ac:dyDescent="0.35">
      <c r="B62" s="26" t="s">
        <v>77</v>
      </c>
      <c r="C62" s="27" t="s">
        <v>92</v>
      </c>
      <c r="D62" s="64">
        <v>-68</v>
      </c>
      <c r="E62" s="65"/>
      <c r="F62" s="13">
        <f t="shared" si="1"/>
        <v>16</v>
      </c>
      <c r="G62" s="22">
        <f>(D62^2)/F62</f>
        <v>289</v>
      </c>
    </row>
    <row r="64" spans="2:15" ht="19.5" thickBot="1" x14ac:dyDescent="0.35"/>
    <row r="65" spans="2:8" x14ac:dyDescent="0.3">
      <c r="B65" s="66" t="s">
        <v>102</v>
      </c>
      <c r="C65" s="67"/>
      <c r="D65" s="37">
        <f>F36</f>
        <v>2942</v>
      </c>
      <c r="E65" s="38"/>
      <c r="F65" s="38"/>
      <c r="G65" s="38"/>
      <c r="H65" s="39"/>
    </row>
    <row r="66" spans="2:8" x14ac:dyDescent="0.3">
      <c r="B66" s="40"/>
      <c r="C66" s="41"/>
      <c r="H66" s="42"/>
    </row>
    <row r="67" spans="2:8" x14ac:dyDescent="0.3">
      <c r="B67" s="43"/>
      <c r="H67" s="42"/>
    </row>
    <row r="68" spans="2:8" x14ac:dyDescent="0.3">
      <c r="B68" s="68"/>
      <c r="C68" s="59"/>
      <c r="D68" s="1">
        <f>(D65^2)/K58</f>
        <v>360640.16666666669</v>
      </c>
      <c r="H68" s="42"/>
    </row>
    <row r="69" spans="2:8" x14ac:dyDescent="0.3">
      <c r="B69" s="68"/>
      <c r="C69" s="59"/>
      <c r="H69" s="42"/>
    </row>
    <row r="70" spans="2:8" x14ac:dyDescent="0.3">
      <c r="B70" s="40"/>
      <c r="C70" s="41"/>
      <c r="H70" s="42"/>
    </row>
    <row r="71" spans="2:8" x14ac:dyDescent="0.3">
      <c r="B71" s="68"/>
      <c r="D71" s="59"/>
      <c r="H71" s="42"/>
    </row>
    <row r="72" spans="2:8" x14ac:dyDescent="0.3">
      <c r="B72" s="68"/>
      <c r="D72" s="59"/>
      <c r="H72" s="42"/>
    </row>
    <row r="73" spans="2:8" x14ac:dyDescent="0.3">
      <c r="B73" s="44"/>
      <c r="C73" s="45"/>
      <c r="H73" s="42"/>
    </row>
    <row r="74" spans="2:8" x14ac:dyDescent="0.3">
      <c r="B74" s="55"/>
      <c r="E74" s="59"/>
      <c r="H74" s="42"/>
    </row>
    <row r="75" spans="2:8" x14ac:dyDescent="0.3">
      <c r="B75" s="55"/>
      <c r="E75" s="59"/>
      <c r="H75" s="42"/>
    </row>
    <row r="76" spans="2:8" x14ac:dyDescent="0.3">
      <c r="B76" s="43"/>
      <c r="H76" s="42"/>
    </row>
    <row r="77" spans="2:8" x14ac:dyDescent="0.3">
      <c r="B77" s="60" t="s">
        <v>103</v>
      </c>
      <c r="C77" s="61"/>
      <c r="D77" s="61"/>
      <c r="E77" s="61"/>
      <c r="F77" s="61"/>
      <c r="G77" s="46"/>
      <c r="H77" s="42"/>
    </row>
    <row r="78" spans="2:8" ht="19.5" thickBot="1" x14ac:dyDescent="0.35">
      <c r="B78" s="44"/>
      <c r="C78" s="41"/>
      <c r="H78" s="42"/>
    </row>
    <row r="79" spans="2:8" ht="19.5" thickBot="1" x14ac:dyDescent="0.35">
      <c r="B79" s="62" t="s">
        <v>104</v>
      </c>
      <c r="C79" s="63"/>
      <c r="D79" s="16"/>
      <c r="E79" s="47" t="s">
        <v>105</v>
      </c>
      <c r="F79" s="47"/>
      <c r="G79" s="47"/>
      <c r="H79" s="48"/>
    </row>
  </sheetData>
  <mergeCells count="33">
    <mergeCell ref="B74:B75"/>
    <mergeCell ref="E74:E75"/>
    <mergeCell ref="B77:F77"/>
    <mergeCell ref="B79:C79"/>
    <mergeCell ref="D62:E62"/>
    <mergeCell ref="B65:C65"/>
    <mergeCell ref="B68:B69"/>
    <mergeCell ref="C68:C69"/>
    <mergeCell ref="B71:B72"/>
    <mergeCell ref="D71:D72"/>
    <mergeCell ref="D61:E61"/>
    <mergeCell ref="K34:K35"/>
    <mergeCell ref="L34:L35"/>
    <mergeCell ref="M34:M35"/>
    <mergeCell ref="N34:N35"/>
    <mergeCell ref="L46:L47"/>
    <mergeCell ref="M46:M47"/>
    <mergeCell ref="N46:N47"/>
    <mergeCell ref="D58:E58"/>
    <mergeCell ref="D59:E59"/>
    <mergeCell ref="D60:E60"/>
    <mergeCell ref="C46:C47"/>
    <mergeCell ref="D46:D47"/>
    <mergeCell ref="E46:E47"/>
    <mergeCell ref="F46:F47"/>
    <mergeCell ref="K46:K47"/>
    <mergeCell ref="B3:C3"/>
    <mergeCell ref="D3:E3"/>
    <mergeCell ref="F3:G3"/>
    <mergeCell ref="C34:C35"/>
    <mergeCell ref="D34:D35"/>
    <mergeCell ref="E34:E35"/>
    <mergeCell ref="F34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 Tailor</dc:creator>
  <cp:lastModifiedBy>LENOVO</cp:lastModifiedBy>
  <dcterms:created xsi:type="dcterms:W3CDTF">2015-06-05T18:17:20Z</dcterms:created>
  <dcterms:modified xsi:type="dcterms:W3CDTF">2020-12-17T09:34:35Z</dcterms:modified>
</cp:coreProperties>
</file>