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D:\msc statistics\sem 3\DOE\practicals\"/>
    </mc:Choice>
  </mc:AlternateContent>
  <xr:revisionPtr revIDLastSave="0" documentId="13_ncr:1_{A747A459-7E7C-4572-91D8-3C1086D1831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Q-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7" i="1" l="1"/>
  <c r="E100" i="1"/>
  <c r="E98" i="1"/>
  <c r="C46" i="1"/>
  <c r="C47" i="1"/>
  <c r="F44" i="1"/>
  <c r="K58" i="1"/>
  <c r="F62" i="1"/>
  <c r="F58" i="1"/>
  <c r="F54" i="1"/>
  <c r="E50" i="1"/>
  <c r="K29" i="1"/>
  <c r="J29" i="1"/>
  <c r="H29" i="1"/>
  <c r="D33" i="1" a="1"/>
  <c r="D33" i="1" s="1"/>
  <c r="I29" i="1" a="1"/>
  <c r="H107" i="1"/>
  <c r="E121" i="1"/>
  <c r="E112" i="1"/>
  <c r="F111" i="1"/>
  <c r="F112" i="1" s="1"/>
  <c r="E111" i="1"/>
  <c r="D111" i="1"/>
  <c r="D112" i="1" s="1"/>
  <c r="C111" i="1"/>
  <c r="C112" i="1" s="1"/>
  <c r="I110" i="1"/>
  <c r="G110" i="1"/>
  <c r="H110" i="1" s="1"/>
  <c r="G109" i="1"/>
  <c r="I108" i="1"/>
  <c r="G108" i="1"/>
  <c r="G107" i="1"/>
  <c r="G111" i="1" s="1"/>
  <c r="C88" i="1"/>
  <c r="C74" i="1"/>
  <c r="E47" i="1"/>
  <c r="E46" i="1"/>
  <c r="E45" i="1"/>
  <c r="E44" i="1"/>
  <c r="I29" i="1" l="1"/>
  <c r="H109" i="1"/>
  <c r="I109" i="1"/>
  <c r="G23" i="1"/>
  <c r="F23" i="1"/>
  <c r="G22" i="1"/>
  <c r="G21" i="1"/>
  <c r="F21" i="1"/>
  <c r="F22" i="1"/>
  <c r="G33" i="1" l="1"/>
  <c r="G34" i="1" s="1"/>
  <c r="F33" i="1"/>
  <c r="F34" i="1" s="1"/>
  <c r="E33" i="1"/>
  <c r="E34" i="1" s="1"/>
  <c r="H32" i="1"/>
  <c r="K32" i="1" s="1"/>
  <c r="H31" i="1"/>
  <c r="K31" i="1" s="1"/>
  <c r="H30" i="1"/>
  <c r="K30" i="1" s="1"/>
  <c r="D34" i="1" l="1"/>
  <c r="I31" i="1"/>
  <c r="J31" i="1" s="1"/>
  <c r="L31" i="1" s="1"/>
  <c r="I30" i="1"/>
  <c r="J30" i="1" s="1"/>
  <c r="L30" i="1" s="1"/>
  <c r="H33" i="1"/>
  <c r="L29" i="1"/>
  <c r="I32" i="1"/>
  <c r="J32" i="1" s="1"/>
  <c r="L32" i="1" s="1"/>
  <c r="J110" i="1" l="1"/>
  <c r="J107" i="1"/>
  <c r="J109" i="1"/>
  <c r="J108" i="1"/>
  <c r="F45" i="1"/>
  <c r="C44" i="1" a="1"/>
  <c r="C44" i="1" s="1"/>
  <c r="C45" i="1"/>
  <c r="J33" i="1"/>
  <c r="F47" i="1"/>
  <c r="F46" i="1" l="1"/>
  <c r="E70" i="1"/>
  <c r="E84" i="1" l="1"/>
  <c r="E103" i="1"/>
  <c r="K108" i="1" l="1"/>
  <c r="L108" i="1" s="1"/>
  <c r="K109" i="1"/>
  <c r="L109" i="1" s="1"/>
  <c r="K110" i="1"/>
  <c r="L110" i="1" s="1"/>
  <c r="K107" i="1"/>
  <c r="L107" i="1" s="1"/>
  <c r="L111" i="1" s="1"/>
  <c r="F118" i="1" s="1"/>
  <c r="F115" i="1"/>
</calcChain>
</file>

<file path=xl/sharedStrings.xml><?xml version="1.0" encoding="utf-8"?>
<sst xmlns="http://schemas.openxmlformats.org/spreadsheetml/2006/main" count="129" uniqueCount="94">
  <si>
    <t xml:space="preserve">Blocks </t>
  </si>
  <si>
    <t xml:space="preserve">Treatment and yields </t>
  </si>
  <si>
    <t>A</t>
  </si>
  <si>
    <t>B</t>
  </si>
  <si>
    <t>C</t>
  </si>
  <si>
    <t>D</t>
  </si>
  <si>
    <t>I</t>
  </si>
  <si>
    <t xml:space="preserve"> -</t>
  </si>
  <si>
    <t>II</t>
  </si>
  <si>
    <t>III</t>
  </si>
  <si>
    <t>IV</t>
  </si>
  <si>
    <t>The Above Design is Balanced Incomplete block Design (BIBD )</t>
  </si>
  <si>
    <t>TI</t>
  </si>
  <si>
    <t>B(I)</t>
  </si>
  <si>
    <t>Qi</t>
  </si>
  <si>
    <t>Intrablock ANOVA for BIBD</t>
  </si>
  <si>
    <t>Source</t>
  </si>
  <si>
    <t>S.S</t>
  </si>
  <si>
    <t>df</t>
  </si>
  <si>
    <t>Block (UnAdj)</t>
  </si>
  <si>
    <t xml:space="preserve">b-1 </t>
  </si>
  <si>
    <t>Block (Adj)</t>
  </si>
  <si>
    <t>Treatments (Adj)</t>
  </si>
  <si>
    <t xml:space="preserve">v-1 </t>
  </si>
  <si>
    <t>Treatments (UnAdj)</t>
  </si>
  <si>
    <t>Error (Intrablock)</t>
  </si>
  <si>
    <t>bk-b-v+1</t>
  </si>
  <si>
    <t>Total</t>
  </si>
  <si>
    <t>bk-1</t>
  </si>
  <si>
    <t xml:space="preserve">A test for H0 : T1 = T2 = … = Tv is based on the statistics </t>
  </si>
  <si>
    <t xml:space="preserve">A test for H0 : B1 = B2 = … = Bb is based on the statistics </t>
  </si>
  <si>
    <t xml:space="preserve">Fcal = </t>
  </si>
  <si>
    <t xml:space="preserve">Ftab = </t>
  </si>
  <si>
    <t>v :</t>
  </si>
  <si>
    <t xml:space="preserve">Number of varieties of treatments </t>
  </si>
  <si>
    <t xml:space="preserve">b : </t>
  </si>
  <si>
    <t xml:space="preserve">Number of blocks </t>
  </si>
  <si>
    <t xml:space="preserve">r : </t>
  </si>
  <si>
    <t xml:space="preserve">Number of replicates of each treatement </t>
  </si>
  <si>
    <t xml:space="preserve">k : </t>
  </si>
  <si>
    <t>Number of block size</t>
  </si>
  <si>
    <t xml:space="preserve">ƛ : </t>
  </si>
  <si>
    <t>Number of block in which any pair of treatment occurs together.</t>
  </si>
  <si>
    <t>Identify the following design and perform the intrablock analysis:</t>
  </si>
  <si>
    <t>Q-1</t>
  </si>
  <si>
    <t>VISHVA PATEL</t>
  </si>
  <si>
    <t>2017033800132740</t>
  </si>
  <si>
    <t>PRACTICAL - 1</t>
  </si>
  <si>
    <t>ANS  :</t>
  </si>
  <si>
    <t>Let's identify the parameters;</t>
  </si>
  <si>
    <t>b=</t>
  </si>
  <si>
    <t>r=</t>
  </si>
  <si>
    <t>* Each tretament is equally replicated 3 times in one block.</t>
  </si>
  <si>
    <t>v=</t>
  </si>
  <si>
    <t>λ=</t>
  </si>
  <si>
    <t>* Each pair of tretment is accuring in 2 blocks.</t>
  </si>
  <si>
    <t>k=</t>
  </si>
  <si>
    <t>* It is incomplete block design as k&lt;v.</t>
  </si>
  <si>
    <t>Neccesary conditions,</t>
  </si>
  <si>
    <t>bk=vr</t>
  </si>
  <si>
    <r>
      <t>r(k-1)=</t>
    </r>
    <r>
      <rPr>
        <sz val="14"/>
        <color theme="1"/>
        <rFont val="Calibri"/>
        <family val="2"/>
      </rPr>
      <t>λ</t>
    </r>
    <r>
      <rPr>
        <sz val="14"/>
        <color theme="1"/>
        <rFont val="Calibri"/>
        <family val="2"/>
        <scheme val="minor"/>
      </rPr>
      <t>(v-1)</t>
    </r>
  </si>
  <si>
    <t>b&gt;=v</t>
  </si>
  <si>
    <t>*B(i) = is sum of all block in which ith treatment is accuring</t>
  </si>
  <si>
    <t>*Q(i) = k*Ti - B(i)</t>
  </si>
  <si>
    <t>Since, all the neccessary conditions are satisfying, we can say that above design is BIBD(4,4,3,3,2).</t>
  </si>
  <si>
    <t>Bj</t>
  </si>
  <si>
    <t>Bj^2</t>
  </si>
  <si>
    <t>Ti^2</t>
  </si>
  <si>
    <t>Qi^2</t>
  </si>
  <si>
    <t>For treatments :</t>
  </si>
  <si>
    <t>Ho :  All  the treatments are equally effective</t>
  </si>
  <si>
    <t>H1 :  All the treatments are not equally effective</t>
  </si>
  <si>
    <t>Here, since Fcal&gt; Ftab, we reject our Ho at 5% los and 3,5 df. Hence, All the treatments are not equally effective.</t>
  </si>
  <si>
    <t>For Blocks :</t>
  </si>
  <si>
    <t xml:space="preserve">      Ho :  All  the blocks are equally effective</t>
  </si>
  <si>
    <t xml:space="preserve">      H1 :  All the blocks are not equally effective</t>
  </si>
  <si>
    <t>Here, since Fcal&gt; Ftab, we reject our Ho at 5% los and 3,5 df. Hence, All the blocks are not equally effective.</t>
  </si>
  <si>
    <t>Interblock analysis:</t>
  </si>
  <si>
    <t>Ho: All the treatments are equally effective.</t>
  </si>
  <si>
    <t>Treat/Blocks</t>
  </si>
  <si>
    <t>Ti</t>
  </si>
  <si>
    <t>B(i)</t>
  </si>
  <si>
    <t xml:space="preserve">wi=(v-k)Ti - (v-1)B(i) +(k-1)G </t>
  </si>
  <si>
    <t>Ftab =</t>
  </si>
  <si>
    <t>P-2</t>
  </si>
  <si>
    <t xml:space="preserve"> </t>
  </si>
  <si>
    <t>r1</t>
  </si>
  <si>
    <t>r2</t>
  </si>
  <si>
    <t>r3</t>
  </si>
  <si>
    <t>r4</t>
  </si>
  <si>
    <t>k1</t>
  </si>
  <si>
    <t>k2</t>
  </si>
  <si>
    <t>k3</t>
  </si>
  <si>
    <t>k4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</si>
</sst>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 Rounded MT Bold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Bahnschrift"/>
      <family val="2"/>
    </font>
    <font>
      <sz val="10.5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2"/>
      <color theme="1"/>
      <name val="Calibri"/>
      <family val="2"/>
      <scheme val="minor"/>
    </font>
    <font>
      <sz val="16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2"/>
      <color theme="1"/>
      <name val="Arial"/>
      <family val="2"/>
    </font>
    <font>
      <sz val="14"/>
      <color theme="1"/>
      <name val="Calibri"/>
      <family val="2"/>
    </font>
    <font>
      <sz val="14"/>
      <color theme="1"/>
      <name val="Times New Roman"/>
      <family val="1"/>
    </font>
    <font>
      <sz val="10.5"/>
      <color theme="1"/>
      <name val="Arial Narrow"/>
      <family val="2"/>
    </font>
    <font>
      <b/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7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0" borderId="0" xfId="0" applyFont="1"/>
    <xf numFmtId="0" fontId="0" fillId="0" borderId="2" xfId="0" applyBorder="1"/>
    <xf numFmtId="0" fontId="0" fillId="0" borderId="3" xfId="0" applyBorder="1"/>
    <xf numFmtId="0" fontId="0" fillId="0" borderId="10" xfId="0" applyBorder="1"/>
    <xf numFmtId="0" fontId="0" fillId="0" borderId="27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/>
    </xf>
    <xf numFmtId="0" fontId="12" fillId="0" borderId="0" xfId="0" applyFont="1" applyAlignment="1">
      <alignment vertical="center"/>
    </xf>
    <xf numFmtId="0" fontId="13" fillId="0" borderId="15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6" fillId="0" borderId="28" xfId="0" applyFont="1" applyBorder="1" applyAlignment="1">
      <alignment horizontal="center"/>
    </xf>
    <xf numFmtId="0" fontId="2" fillId="0" borderId="0" xfId="0" applyFont="1"/>
    <xf numFmtId="0" fontId="2" fillId="0" borderId="28" xfId="0" applyFont="1" applyBorder="1" applyAlignment="1">
      <alignment horizontal="center"/>
    </xf>
    <xf numFmtId="0" fontId="15" fillId="0" borderId="28" xfId="0" applyFont="1" applyBorder="1" applyAlignment="1">
      <alignment horizontal="center"/>
    </xf>
    <xf numFmtId="0" fontId="2" fillId="0" borderId="29" xfId="0" applyFont="1" applyBorder="1"/>
    <xf numFmtId="0" fontId="2" fillId="0" borderId="30" xfId="0" applyFont="1" applyBorder="1"/>
    <xf numFmtId="0" fontId="2" fillId="0" borderId="31" xfId="0" applyFont="1" applyBorder="1"/>
    <xf numFmtId="0" fontId="2" fillId="0" borderId="32" xfId="0" applyFont="1" applyBorder="1"/>
    <xf numFmtId="0" fontId="2" fillId="0" borderId="33" xfId="0" applyFont="1" applyBorder="1"/>
    <xf numFmtId="0" fontId="16" fillId="0" borderId="34" xfId="0" applyFont="1" applyBorder="1" applyAlignment="1">
      <alignment horizontal="left" vertical="center"/>
    </xf>
    <xf numFmtId="0" fontId="2" fillId="0" borderId="35" xfId="0" applyFont="1" applyBorder="1"/>
    <xf numFmtId="0" fontId="2" fillId="0" borderId="36" xfId="0" applyFont="1" applyBorder="1"/>
    <xf numFmtId="0" fontId="6" fillId="0" borderId="2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9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0" fillId="0" borderId="28" xfId="0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10" xfId="0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1" fillId="0" borderId="18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8" xfId="0" applyFont="1" applyBorder="1" applyAlignment="1">
      <alignment vertical="center"/>
    </xf>
    <xf numFmtId="0" fontId="0" fillId="0" borderId="28" xfId="0" applyBorder="1"/>
    <xf numFmtId="0" fontId="18" fillId="0" borderId="0" xfId="0" applyFont="1"/>
    <xf numFmtId="0" fontId="6" fillId="0" borderId="0" xfId="0" applyFont="1" applyAlignment="1">
      <alignment horizontal="center"/>
    </xf>
    <xf numFmtId="0" fontId="6" fillId="2" borderId="1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28" xfId="0" applyFont="1" applyBorder="1" applyAlignment="1">
      <alignment horizontal="center"/>
    </xf>
    <xf numFmtId="0" fontId="7" fillId="0" borderId="42" xfId="0" applyFont="1" applyBorder="1" applyAlignment="1">
      <alignment horizontal="center"/>
    </xf>
    <xf numFmtId="0" fontId="6" fillId="0" borderId="28" xfId="0" applyFont="1" applyBorder="1" applyAlignment="1">
      <alignment horizontal="center" vertical="center" wrapText="1"/>
    </xf>
    <xf numFmtId="0" fontId="0" fillId="0" borderId="28" xfId="0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7" fillId="0" borderId="28" xfId="0" applyFont="1" applyBorder="1" applyAlignment="1">
      <alignment horizontal="center"/>
    </xf>
    <xf numFmtId="49" fontId="14" fillId="0" borderId="28" xfId="0" applyNumberFormat="1" applyFont="1" applyBorder="1" applyAlignment="1">
      <alignment horizontal="center"/>
    </xf>
    <xf numFmtId="0" fontId="13" fillId="0" borderId="28" xfId="0" applyFont="1" applyBorder="1" applyAlignment="1">
      <alignment horizont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7" xfId="0" applyFont="1" applyFill="1" applyBorder="1" applyAlignment="1">
      <alignment horizontal="center" vertical="center"/>
    </xf>
    <xf numFmtId="0" fontId="0" fillId="0" borderId="4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342900</xdr:colOff>
      <xdr:row>68</xdr:row>
      <xdr:rowOff>285750</xdr:rowOff>
    </xdr:from>
    <xdr:ext cx="1219200" cy="79057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CB96B7DA-AB61-420E-8574-FE581E0047A0}"/>
                </a:ext>
              </a:extLst>
            </xdr:cNvPr>
            <xdr:cNvSpPr txBox="1"/>
          </xdr:nvSpPr>
          <xdr:spPr>
            <a:xfrm>
              <a:off x="2362200" y="10220325"/>
              <a:ext cx="1219200" cy="7905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IN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f>
                          <m:fPr>
                            <m:ctrlPr>
                              <a:rPr lang="en-IN" sz="11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IN" sz="1100" b="0" i="1">
                                <a:latin typeface="Cambria Math" panose="02040503050406030204" pitchFamily="18" charset="0"/>
                              </a:rPr>
                              <m:t>𝐴𝑑𝑗</m:t>
                            </m:r>
                            <m:r>
                              <a:rPr lang="en-IN" sz="11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en-IN" sz="1100" b="0" i="1">
                                <a:latin typeface="Cambria Math" panose="02040503050406030204" pitchFamily="18" charset="0"/>
                              </a:rPr>
                              <m:t>𝑡𝑟𝑒𝑎𝑡</m:t>
                            </m:r>
                            <m:r>
                              <a:rPr lang="en-IN" sz="11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en-IN" sz="1100" b="0" i="1">
                                <a:latin typeface="Cambria Math" panose="02040503050406030204" pitchFamily="18" charset="0"/>
                              </a:rPr>
                              <m:t>𝑠𝑠</m:t>
                            </m:r>
                          </m:num>
                          <m:den>
                            <m:r>
                              <a:rPr lang="en-IN" sz="1100" b="0" i="1">
                                <a:latin typeface="Cambria Math" panose="02040503050406030204" pitchFamily="18" charset="0"/>
                              </a:rPr>
                              <m:t>(</m:t>
                            </m:r>
                            <m:r>
                              <a:rPr lang="en-IN" sz="1100" b="0" i="1">
                                <a:latin typeface="Cambria Math" panose="02040503050406030204" pitchFamily="18" charset="0"/>
                              </a:rPr>
                              <m:t>𝑣</m:t>
                            </m:r>
                            <m:r>
                              <a:rPr lang="en-IN" sz="1100" b="0" i="1">
                                <a:latin typeface="Cambria Math" panose="02040503050406030204" pitchFamily="18" charset="0"/>
                              </a:rPr>
                              <m:t>−1)</m:t>
                            </m:r>
                          </m:den>
                        </m:f>
                      </m:num>
                      <m:den>
                        <m:f>
                          <m:fPr>
                            <m:ctrlPr>
                              <a:rPr lang="en-IN" sz="11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IN" sz="1100" b="0" i="1">
                                <a:latin typeface="Cambria Math" panose="02040503050406030204" pitchFamily="18" charset="0"/>
                              </a:rPr>
                              <m:t>𝑆𝑆𝐸</m:t>
                            </m:r>
                          </m:num>
                          <m:den>
                            <m:r>
                              <a:rPr lang="en-IN" sz="1100" b="0" i="1">
                                <a:latin typeface="Cambria Math" panose="02040503050406030204" pitchFamily="18" charset="0"/>
                              </a:rPr>
                              <m:t>(</m:t>
                            </m:r>
                            <m:r>
                              <a:rPr lang="en-IN" sz="1100" b="0" i="1">
                                <a:latin typeface="Cambria Math" panose="02040503050406030204" pitchFamily="18" charset="0"/>
                              </a:rPr>
                              <m:t>𝑏𝑘</m:t>
                            </m:r>
                            <m:r>
                              <a:rPr lang="en-IN" sz="11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IN" sz="1100" b="0" i="1">
                                <a:latin typeface="Cambria Math" panose="02040503050406030204" pitchFamily="18" charset="0"/>
                              </a:rPr>
                              <m:t>𝑏</m:t>
                            </m:r>
                            <m:r>
                              <a:rPr lang="en-IN" sz="11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IN" sz="1100" b="0" i="1">
                                <a:latin typeface="Cambria Math" panose="02040503050406030204" pitchFamily="18" charset="0"/>
                              </a:rPr>
                              <m:t>𝑣</m:t>
                            </m:r>
                            <m:r>
                              <a:rPr lang="en-IN" sz="1100" b="0" i="1">
                                <a:latin typeface="Cambria Math" panose="02040503050406030204" pitchFamily="18" charset="0"/>
                              </a:rPr>
                              <m:t>+1)</m:t>
                            </m:r>
                          </m:den>
                        </m:f>
                      </m:den>
                    </m:f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CB96B7DA-AB61-420E-8574-FE581E0047A0}"/>
                </a:ext>
              </a:extLst>
            </xdr:cNvPr>
            <xdr:cNvSpPr txBox="1"/>
          </xdr:nvSpPr>
          <xdr:spPr>
            <a:xfrm>
              <a:off x="2362200" y="10220325"/>
              <a:ext cx="1219200" cy="7905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IN" sz="1100" i="0">
                  <a:latin typeface="Cambria Math" panose="02040503050406030204" pitchFamily="18" charset="0"/>
                </a:rPr>
                <a:t>((</a:t>
              </a:r>
              <a:r>
                <a:rPr lang="en-IN" sz="1100" b="0" i="0">
                  <a:latin typeface="Cambria Math" panose="02040503050406030204" pitchFamily="18" charset="0"/>
                </a:rPr>
                <a:t>𝐴𝑑𝑗 𝑡𝑟𝑒𝑎𝑡 𝑠𝑠)/((𝑣−1)))/(𝑆𝑆𝐸/((𝑏𝑘−𝑏−𝑣+1)))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2</xdr:col>
      <xdr:colOff>323850</xdr:colOff>
      <xdr:row>82</xdr:row>
      <xdr:rowOff>76200</xdr:rowOff>
    </xdr:from>
    <xdr:ext cx="1219200" cy="79057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55656394-D206-42B0-94A0-F9BBAADD369A}"/>
                </a:ext>
              </a:extLst>
            </xdr:cNvPr>
            <xdr:cNvSpPr txBox="1"/>
          </xdr:nvSpPr>
          <xdr:spPr>
            <a:xfrm>
              <a:off x="2343150" y="17183100"/>
              <a:ext cx="1219200" cy="7905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IN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f>
                          <m:fPr>
                            <m:ctrlPr>
                              <a:rPr lang="en-IN" sz="11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IN" sz="1100" b="0" i="1">
                                <a:latin typeface="Cambria Math" panose="02040503050406030204" pitchFamily="18" charset="0"/>
                              </a:rPr>
                              <m:t>𝐴𝑑𝑗</m:t>
                            </m:r>
                            <m:r>
                              <a:rPr lang="en-IN" sz="11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en-IN" sz="1100" b="0" i="1">
                                <a:latin typeface="Cambria Math" panose="02040503050406030204" pitchFamily="18" charset="0"/>
                              </a:rPr>
                              <m:t>𝑏𝑙𝑜𝑐𝑘</m:t>
                            </m:r>
                            <m:r>
                              <a:rPr lang="en-IN" sz="11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en-IN" sz="1100" b="0" i="1">
                                <a:latin typeface="Cambria Math" panose="02040503050406030204" pitchFamily="18" charset="0"/>
                              </a:rPr>
                              <m:t>𝑠𝑠</m:t>
                            </m:r>
                          </m:num>
                          <m:den>
                            <m:r>
                              <a:rPr lang="en-IN" sz="1100" b="0" i="1">
                                <a:latin typeface="Cambria Math" panose="02040503050406030204" pitchFamily="18" charset="0"/>
                              </a:rPr>
                              <m:t>(</m:t>
                            </m:r>
                            <m:r>
                              <a:rPr lang="en-IN" sz="1100" b="0" i="1">
                                <a:latin typeface="Cambria Math" panose="02040503050406030204" pitchFamily="18" charset="0"/>
                              </a:rPr>
                              <m:t>𝑏</m:t>
                            </m:r>
                            <m:r>
                              <a:rPr lang="en-IN" sz="1100" b="0" i="1">
                                <a:latin typeface="Cambria Math" panose="02040503050406030204" pitchFamily="18" charset="0"/>
                              </a:rPr>
                              <m:t>−1)</m:t>
                            </m:r>
                          </m:den>
                        </m:f>
                      </m:num>
                      <m:den>
                        <m:f>
                          <m:fPr>
                            <m:ctrlPr>
                              <a:rPr lang="en-IN" sz="11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IN" sz="1100" b="0" i="1">
                                <a:latin typeface="Cambria Math" panose="02040503050406030204" pitchFamily="18" charset="0"/>
                              </a:rPr>
                              <m:t>𝑆𝑆𝐸</m:t>
                            </m:r>
                          </m:num>
                          <m:den>
                            <m:r>
                              <a:rPr lang="en-IN" sz="1100" b="0" i="1">
                                <a:latin typeface="Cambria Math" panose="02040503050406030204" pitchFamily="18" charset="0"/>
                              </a:rPr>
                              <m:t>(</m:t>
                            </m:r>
                            <m:r>
                              <a:rPr lang="en-IN" sz="1100" b="0" i="1">
                                <a:latin typeface="Cambria Math" panose="02040503050406030204" pitchFamily="18" charset="0"/>
                              </a:rPr>
                              <m:t>𝑏𝑘</m:t>
                            </m:r>
                            <m:r>
                              <a:rPr lang="en-IN" sz="11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IN" sz="1100" b="0" i="1">
                                <a:latin typeface="Cambria Math" panose="02040503050406030204" pitchFamily="18" charset="0"/>
                              </a:rPr>
                              <m:t>𝑏</m:t>
                            </m:r>
                            <m:r>
                              <a:rPr lang="en-IN" sz="11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IN" sz="1100" b="0" i="1">
                                <a:latin typeface="Cambria Math" panose="02040503050406030204" pitchFamily="18" charset="0"/>
                              </a:rPr>
                              <m:t>𝑣</m:t>
                            </m:r>
                            <m:r>
                              <a:rPr lang="en-IN" sz="1100" b="0" i="1">
                                <a:latin typeface="Cambria Math" panose="02040503050406030204" pitchFamily="18" charset="0"/>
                              </a:rPr>
                              <m:t>+1)</m:t>
                            </m:r>
                          </m:den>
                        </m:f>
                      </m:den>
                    </m:f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55656394-D206-42B0-94A0-F9BBAADD369A}"/>
                </a:ext>
              </a:extLst>
            </xdr:cNvPr>
            <xdr:cNvSpPr txBox="1"/>
          </xdr:nvSpPr>
          <xdr:spPr>
            <a:xfrm>
              <a:off x="2343150" y="17183100"/>
              <a:ext cx="1219200" cy="7905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IN" sz="1100" i="0">
                  <a:latin typeface="Cambria Math" panose="02040503050406030204" pitchFamily="18" charset="0"/>
                </a:rPr>
                <a:t>((</a:t>
              </a:r>
              <a:r>
                <a:rPr lang="en-IN" sz="1100" b="0" i="0">
                  <a:latin typeface="Cambria Math" panose="02040503050406030204" pitchFamily="18" charset="0"/>
                </a:rPr>
                <a:t>𝐴𝑑𝑗 𝑏𝑙𝑜𝑐𝑘 𝑠𝑠)/((𝑏−1)))/(𝑆𝑆𝐸/((𝑏𝑘−𝑏−𝑣+1)))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2</xdr:col>
      <xdr:colOff>514350</xdr:colOff>
      <xdr:row>52</xdr:row>
      <xdr:rowOff>80962</xdr:rowOff>
    </xdr:from>
    <xdr:ext cx="1782924" cy="4099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D6634D59-E377-46F6-A10B-0516895C99D7}"/>
                </a:ext>
              </a:extLst>
            </xdr:cNvPr>
            <xdr:cNvSpPr txBox="1"/>
          </xdr:nvSpPr>
          <xdr:spPr>
            <a:xfrm>
              <a:off x="2533650" y="10958512"/>
              <a:ext cx="1782924" cy="409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𝐵𝑙𝑜𝑐𝑘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𝑆𝑆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den>
                    </m:f>
                    <m:nary>
                      <m:naryPr>
                        <m:chr m:val="∑"/>
                        <m:subHide m:val="on"/>
                        <m:supHide m:val="on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naryPr>
                      <m:sub/>
                      <m:sup/>
                      <m:e>
                        <m:sSubSup>
                          <m:sSub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𝐵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</m:sub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nary>
                    <m:r>
                      <a:rPr lang="en-US" sz="1100" b="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𝐶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.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𝐹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D6634D59-E377-46F6-A10B-0516895C99D7}"/>
                </a:ext>
              </a:extLst>
            </xdr:cNvPr>
            <xdr:cNvSpPr txBox="1"/>
          </xdr:nvSpPr>
          <xdr:spPr>
            <a:xfrm>
              <a:off x="2533650" y="10958512"/>
              <a:ext cx="1782924" cy="409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𝐵𝑙𝑜𝑐𝑘 𝑆𝑆=1/𝑘 ∑▒𝐵_𝑗^2 −𝐶.𝐹=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381000</xdr:colOff>
      <xdr:row>48</xdr:row>
      <xdr:rowOff>114300</xdr:rowOff>
    </xdr:from>
    <xdr:ext cx="1104405" cy="33970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D742DD6B-EE75-4090-BD8D-B3CDBCF87464}"/>
                </a:ext>
              </a:extLst>
            </xdr:cNvPr>
            <xdr:cNvSpPr txBox="1"/>
          </xdr:nvSpPr>
          <xdr:spPr>
            <a:xfrm>
              <a:off x="2400300" y="10229850"/>
              <a:ext cx="1104405" cy="3397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𝐶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.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𝐹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𝐺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𝐺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𝑏𝑘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D742DD6B-EE75-4090-BD8D-B3CDBCF87464}"/>
                </a:ext>
              </a:extLst>
            </xdr:cNvPr>
            <xdr:cNvSpPr txBox="1"/>
          </xdr:nvSpPr>
          <xdr:spPr>
            <a:xfrm>
              <a:off x="2400300" y="10229850"/>
              <a:ext cx="1104405" cy="3397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𝐶.𝐹=𝐺^2/𝑛=𝐺^2/𝑏𝑘=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400050</xdr:colOff>
      <xdr:row>56</xdr:row>
      <xdr:rowOff>123825</xdr:rowOff>
    </xdr:from>
    <xdr:ext cx="1830181" cy="4099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9559E15E-DA0F-434D-845F-CD1208C1E253}"/>
                </a:ext>
              </a:extLst>
            </xdr:cNvPr>
            <xdr:cNvSpPr txBox="1"/>
          </xdr:nvSpPr>
          <xdr:spPr>
            <a:xfrm>
              <a:off x="2419350" y="11763375"/>
              <a:ext cx="1830181" cy="409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𝑇𝑟𝑒𝑎𝑡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𝑆𝑆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den>
                    </m:f>
                    <m:nary>
                      <m:naryPr>
                        <m:chr m:val="∑"/>
                        <m:subHide m:val="on"/>
                        <m:supHide m:val="on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naryPr>
                      <m:sub/>
                      <m:sup/>
                      <m:e>
                        <m:sSubSup>
                          <m:sSub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nary>
                    <m:r>
                      <a:rPr lang="en-US" sz="1100" b="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𝐶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.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𝐹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9559E15E-DA0F-434D-845F-CD1208C1E253}"/>
                </a:ext>
              </a:extLst>
            </xdr:cNvPr>
            <xdr:cNvSpPr txBox="1"/>
          </xdr:nvSpPr>
          <xdr:spPr>
            <a:xfrm>
              <a:off x="2419350" y="11763375"/>
              <a:ext cx="1830181" cy="409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𝑇𝑟𝑒𝑎𝑡 𝑆𝑆=1/𝑟 ∑▒𝑇_𝑖^2 −𝐶.𝐹=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323850</xdr:colOff>
      <xdr:row>60</xdr:row>
      <xdr:rowOff>161925</xdr:rowOff>
    </xdr:from>
    <xdr:ext cx="1865831" cy="4099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37D7BB29-A196-43FD-A343-00AE123E506C}"/>
                </a:ext>
              </a:extLst>
            </xdr:cNvPr>
            <xdr:cNvSpPr txBox="1"/>
          </xdr:nvSpPr>
          <xdr:spPr>
            <a:xfrm>
              <a:off x="2343150" y="12563475"/>
              <a:ext cx="1865831" cy="409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𝑇𝑜𝑡𝑎𝑙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𝑆𝑆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bHide m:val="on"/>
                        <m:supHide m:val="on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naryPr>
                      <m:sub/>
                      <m:sup/>
                      <m:e>
                        <m:nary>
                          <m:naryPr>
                            <m:chr m:val="∑"/>
                            <m:subHide m:val="on"/>
                            <m:supHide m:val="on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/>
                          <m:sup/>
                          <m:e>
                            <m:sSubSup>
                              <m:sSubSup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𝑌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𝑖𝑗</m:t>
                                </m:r>
                              </m:sub>
                              <m:sup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e>
                        </m:nary>
                      </m:e>
                    </m:nary>
                    <m:r>
                      <a:rPr lang="en-US" sz="1100" b="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𝐶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.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𝐹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37D7BB29-A196-43FD-A343-00AE123E506C}"/>
                </a:ext>
              </a:extLst>
            </xdr:cNvPr>
            <xdr:cNvSpPr txBox="1"/>
          </xdr:nvSpPr>
          <xdr:spPr>
            <a:xfrm>
              <a:off x="2343150" y="12563475"/>
              <a:ext cx="1865831" cy="409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𝑇𝑜𝑡𝑎𝑙 𝑆𝑆=∑▒∑▒𝑌_𝑖𝑗^2 −𝐶.𝐹=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352425</xdr:colOff>
      <xdr:row>56</xdr:row>
      <xdr:rowOff>123825</xdr:rowOff>
    </xdr:from>
    <xdr:ext cx="1778307" cy="4099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97BF485A-31E6-4390-80BC-E03D91BD05D6}"/>
                </a:ext>
              </a:extLst>
            </xdr:cNvPr>
            <xdr:cNvSpPr txBox="1"/>
          </xdr:nvSpPr>
          <xdr:spPr>
            <a:xfrm>
              <a:off x="6229350" y="11763375"/>
              <a:ext cx="1778307" cy="409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𝐴𝑑𝑗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𝑇𝑟𝑒𝑎𝑡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𝑆𝑆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𝑘𝑣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𝜆</m:t>
                        </m:r>
                      </m:den>
                    </m:f>
                    <m:nary>
                      <m:naryPr>
                        <m:chr m:val="∑"/>
                        <m:subHide m:val="on"/>
                        <m:supHide m:val="on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naryPr>
                      <m:sub/>
                      <m:sup/>
                      <m:e>
                        <m:sSubSup>
                          <m:sSub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𝑄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nary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97BF485A-31E6-4390-80BC-E03D91BD05D6}"/>
                </a:ext>
              </a:extLst>
            </xdr:cNvPr>
            <xdr:cNvSpPr txBox="1"/>
          </xdr:nvSpPr>
          <xdr:spPr>
            <a:xfrm>
              <a:off x="6229350" y="11763375"/>
              <a:ext cx="1778307" cy="409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𝐴𝑑𝑗 𝑇𝑟𝑒𝑎𝑡 𝑆𝑆=1/𝑘𝑣𝜆 ∑▒𝑄_𝑖^2 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476250</xdr:colOff>
      <xdr:row>99</xdr:row>
      <xdr:rowOff>33337</xdr:rowOff>
    </xdr:from>
    <xdr:ext cx="1961691" cy="35003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7D2D1C44-BCF5-4F38-AD4B-DB761E194D1B}"/>
                </a:ext>
              </a:extLst>
            </xdr:cNvPr>
            <xdr:cNvSpPr txBox="1"/>
          </xdr:nvSpPr>
          <xdr:spPr>
            <a:xfrm>
              <a:off x="1285875" y="20435887"/>
              <a:ext cx="1961691" cy="3500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̂"/>
                            <m:ctrlPr>
                              <a:rPr lang="en-US" sz="1100" b="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  <m:t>𝑤</m:t>
                            </m:r>
                          </m:e>
                        </m:acc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𝑏𝑘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𝑘</m:t>
                        </m:r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𝑏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−1</m:t>
                            </m:r>
                          </m:e>
                        </m:d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𝐸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𝑏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𝑣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e>
                        </m:d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𝐸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𝑒</m:t>
                            </m:r>
                          </m:sub>
                        </m:sSub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7D2D1C44-BCF5-4F38-AD4B-DB761E194D1B}"/>
                </a:ext>
              </a:extLst>
            </xdr:cNvPr>
            <xdr:cNvSpPr txBox="1"/>
          </xdr:nvSpPr>
          <xdr:spPr>
            <a:xfrm>
              <a:off x="1285875" y="20435887"/>
              <a:ext cx="1961691" cy="3500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rgbClr val="836967"/>
                  </a:solidFill>
                  <a:latin typeface="Cambria Math" panose="02040503050406030204" pitchFamily="18" charset="0"/>
                </a:rPr>
                <a:t>𝑤 ̂_</a:t>
              </a:r>
              <a:r>
                <a:rPr lang="en-US" sz="1100" b="0" i="0">
                  <a:latin typeface="Cambria Math" panose="02040503050406030204" pitchFamily="18" charset="0"/>
                </a:rPr>
                <a:t>2=(𝑏𝑘−𝑣)/(𝑘(𝑏−1) 𝐸_𝑏−(𝑣−𝑘) 𝐸_𝑒 )=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495300</xdr:colOff>
      <xdr:row>102</xdr:row>
      <xdr:rowOff>52387</xdr:rowOff>
    </xdr:from>
    <xdr:ext cx="1986249" cy="31643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076C5A34-F0BB-42E1-B365-FFC31A121046}"/>
                </a:ext>
              </a:extLst>
            </xdr:cNvPr>
            <xdr:cNvSpPr txBox="1"/>
          </xdr:nvSpPr>
          <xdr:spPr>
            <a:xfrm>
              <a:off x="1304925" y="21026437"/>
              <a:ext cx="1986249" cy="3164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b="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𝜃</m:t>
                        </m:r>
                      </m:e>
                    </m:acc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𝑤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𝑤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𝑣</m:t>
                        </m:r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𝑘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−1</m:t>
                            </m:r>
                          </m:e>
                        </m:d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𝑤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</m:t>
                        </m:r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𝑣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𝑘</m:t>
                            </m:r>
                          </m:e>
                        </m:d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𝑤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076C5A34-F0BB-42E1-B365-FFC31A121046}"/>
                </a:ext>
              </a:extLst>
            </xdr:cNvPr>
            <xdr:cNvSpPr txBox="1"/>
          </xdr:nvSpPr>
          <xdr:spPr>
            <a:xfrm>
              <a:off x="1304925" y="21026437"/>
              <a:ext cx="1986249" cy="3164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𝜃</a:t>
              </a:r>
              <a:r>
                <a:rPr lang="en-US" sz="1100" b="0" i="0">
                  <a:solidFill>
                    <a:srgbClr val="836967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 ̂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=(𝑤_1−𝑤_2)/(𝑣(𝑘−1) 𝑤_1+(𝑣−𝑘) 𝑤_2 )=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657225</xdr:colOff>
      <xdr:row>96</xdr:row>
      <xdr:rowOff>23812</xdr:rowOff>
    </xdr:from>
    <xdr:ext cx="667170" cy="3465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E0CAA759-99AF-43C9-8D7B-25D6D6161BBC}"/>
                </a:ext>
              </a:extLst>
            </xdr:cNvPr>
            <xdr:cNvSpPr txBox="1"/>
          </xdr:nvSpPr>
          <xdr:spPr>
            <a:xfrm>
              <a:off x="2676525" y="19854862"/>
              <a:ext cx="667170" cy="3465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̂"/>
                            <m:ctrlPr>
                              <a:rPr lang="en-US" sz="11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𝑤</m:t>
                            </m:r>
                          </m:e>
                        </m:acc>
                      </m:e>
                      <m:sub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sSub>
                          <m:sSubPr>
                            <m:ctrlPr>
                              <a:rPr lang="en-US" sz="11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𝐸</m:t>
                            </m:r>
                          </m:e>
                          <m:sub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𝑒</m:t>
                            </m:r>
                          </m:sub>
                        </m:sSub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E0CAA759-99AF-43C9-8D7B-25D6D6161BBC}"/>
                </a:ext>
              </a:extLst>
            </xdr:cNvPr>
            <xdr:cNvSpPr txBox="1"/>
          </xdr:nvSpPr>
          <xdr:spPr>
            <a:xfrm>
              <a:off x="2676525" y="19854862"/>
              <a:ext cx="667170" cy="3465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𝑤</a:t>
              </a:r>
              <a:r>
                <a:rPr lang="en-US" sz="1100" b="0" i="0">
                  <a:solidFill>
                    <a:srgbClr val="836967"/>
                  </a:solidFill>
                  <a:latin typeface="Cambria Math" panose="02040503050406030204" pitchFamily="18" charset="0"/>
                </a:rPr>
                <a:t> ̂_</a:t>
              </a:r>
              <a:r>
                <a:rPr lang="en-US" sz="1100" i="0">
                  <a:latin typeface="Cambria Math" panose="02040503050406030204" pitchFamily="18" charset="0"/>
                </a:rPr>
                <a:t>1=1</a:t>
              </a:r>
              <a:r>
                <a:rPr lang="en-US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/</a:t>
              </a:r>
              <a:r>
                <a:rPr lang="en-US" sz="1100" i="0">
                  <a:latin typeface="Cambria Math" panose="02040503050406030204" pitchFamily="18" charset="0"/>
                </a:rPr>
                <a:t>𝐸</a:t>
              </a:r>
              <a:r>
                <a:rPr lang="en-US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sz="1100" i="0">
                  <a:latin typeface="Cambria Math" panose="02040503050406030204" pitchFamily="18" charset="0"/>
                </a:rPr>
                <a:t>𝑒 </a:t>
              </a:r>
              <a:r>
                <a:rPr lang="en-US" sz="1100" b="0" i="0">
                  <a:latin typeface="Cambria Math" panose="02040503050406030204" pitchFamily="18" charset="0"/>
                </a:rPr>
                <a:t>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10</xdr:col>
      <xdr:colOff>0</xdr:colOff>
      <xdr:row>105</xdr:row>
      <xdr:rowOff>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361B95C2-92C0-402D-B78D-686AA5F0DDBD}"/>
            </a:ext>
          </a:extLst>
        </xdr:cNvPr>
        <xdr:cNvSpPr txBox="1"/>
      </xdr:nvSpPr>
      <xdr:spPr>
        <a:xfrm>
          <a:off x="8477250" y="14401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9525</xdr:colOff>
      <xdr:row>105</xdr:row>
      <xdr:rowOff>9525</xdr:rowOff>
    </xdr:from>
    <xdr:ext cx="600075" cy="1665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1CD3AA32-D4BC-4055-9B65-05FA3BF2DCAF}"/>
                </a:ext>
              </a:extLst>
            </xdr:cNvPr>
            <xdr:cNvSpPr txBox="1"/>
          </xdr:nvSpPr>
          <xdr:spPr>
            <a:xfrm>
              <a:off x="8486775" y="14411325"/>
              <a:ext cx="600075" cy="1665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000" b="1" i="0">
                        <a:latin typeface="Cambria Math" panose="02040503050406030204" pitchFamily="18" charset="0"/>
                      </a:rPr>
                      <m:t>𝐓𝐢</m:t>
                    </m:r>
                    <m:r>
                      <a:rPr lang="en-US" sz="1000" b="1" i="0">
                        <a:latin typeface="Cambria Math" panose="02040503050406030204" pitchFamily="18" charset="0"/>
                      </a:rPr>
                      <m:t>+</m:t>
                    </m:r>
                    <m:acc>
                      <m:accPr>
                        <m:chr m:val="̂"/>
                        <m:ctrlPr>
                          <a:rPr lang="en-US" sz="1000" b="1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000" b="1" i="0">
                            <a:latin typeface="Cambria Math" panose="02040503050406030204" pitchFamily="18" charset="0"/>
                          </a:rPr>
                          <m:t>𝛉</m:t>
                        </m:r>
                      </m:e>
                    </m:acc>
                    <m:r>
                      <a:rPr lang="en-US" sz="1000" b="1" i="0">
                        <a:latin typeface="Cambria Math" panose="02040503050406030204" pitchFamily="18" charset="0"/>
                      </a:rPr>
                      <m:t>𝐰𝐢</m:t>
                    </m:r>
                  </m:oMath>
                </m:oMathPara>
              </a14:m>
              <a:endParaRPr lang="en-US" sz="1000" b="1" i="0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1CD3AA32-D4BC-4055-9B65-05FA3BF2DCAF}"/>
                </a:ext>
              </a:extLst>
            </xdr:cNvPr>
            <xdr:cNvSpPr txBox="1"/>
          </xdr:nvSpPr>
          <xdr:spPr>
            <a:xfrm>
              <a:off x="8486775" y="14411325"/>
              <a:ext cx="600075" cy="1665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000" b="1" i="0">
                  <a:latin typeface="Cambria Math" panose="02040503050406030204" pitchFamily="18" charset="0"/>
                </a:rPr>
                <a:t>𝐓𝐢+𝛉</a:t>
              </a:r>
              <a:r>
                <a:rPr lang="en-US" sz="1000" b="1" i="0">
                  <a:solidFill>
                    <a:srgbClr val="836967"/>
                  </a:solidFill>
                  <a:latin typeface="Cambria Math" panose="02040503050406030204" pitchFamily="18" charset="0"/>
                </a:rPr>
                <a:t> ̂</a:t>
              </a:r>
              <a:r>
                <a:rPr lang="en-US" sz="1000" b="1" i="0">
                  <a:latin typeface="Cambria Math" panose="02040503050406030204" pitchFamily="18" charset="0"/>
                </a:rPr>
                <a:t>𝐰𝐢</a:t>
              </a:r>
              <a:endParaRPr lang="en-US" sz="1000" b="1" i="0"/>
            </a:p>
          </xdr:txBody>
        </xdr:sp>
      </mc:Fallback>
    </mc:AlternateContent>
    <xdr:clientData/>
  </xdr:oneCellAnchor>
  <xdr:oneCellAnchor>
    <xdr:from>
      <xdr:col>2</xdr:col>
      <xdr:colOff>238125</xdr:colOff>
      <xdr:row>116</xdr:row>
      <xdr:rowOff>4762</xdr:rowOff>
    </xdr:from>
    <xdr:ext cx="2063001" cy="5581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5B5DBF3A-33D5-48FC-B15A-7DF6A5CAA609}"/>
                </a:ext>
              </a:extLst>
            </xdr:cNvPr>
            <xdr:cNvSpPr txBox="1"/>
          </xdr:nvSpPr>
          <xdr:spPr>
            <a:xfrm>
              <a:off x="2257425" y="23645812"/>
              <a:ext cx="2063001" cy="558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Fcal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d>
                              <m:dPr>
                                <m:begChr m:val="["/>
                                <m:endChr m:val="]"/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r>
                                      <a:rPr lang="en-US" sz="1100" b="0" i="0">
                                        <a:latin typeface="Cambria Math" panose="02040503050406030204" pitchFamily="18" charset="0"/>
                                      </a:rPr>
                                      <m:t>1</m:t>
                                    </m:r>
                                  </m:num>
                                  <m:den>
                                    <m:r>
                                      <m:rPr>
                                        <m:sty m:val="p"/>
                                      </m:rPr>
                                      <a:rPr lang="en-US" sz="1100" b="0" i="0">
                                        <a:latin typeface="Cambria Math" panose="02040503050406030204" pitchFamily="18" charset="0"/>
                                      </a:rPr>
                                      <m:t>r</m:t>
                                    </m:r>
                                  </m:den>
                                </m:f>
                                <m:r>
                                  <a:rPr lang="en-US" sz="1100" b="0" i="0">
                                    <a:latin typeface="Cambria Math" panose="02040503050406030204" pitchFamily="18" charset="0"/>
                                  </a:rPr>
                                  <m:t> </m:t>
                                </m:r>
                                <m:nary>
                                  <m:naryPr>
                                    <m:chr m:val="∑"/>
                                    <m:subHide m:val="on"/>
                                    <m:supHide m:val="on"/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naryPr>
                                  <m:sub/>
                                  <m:sup/>
                                  <m:e>
                                    <m:sSup>
                                      <m:sSupPr>
                                        <m:ctrlPr>
                                          <a:rPr lang="en-US" sz="11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pPr>
                                      <m:e>
                                        <m:d>
                                          <m:dPr>
                                            <m:ctrlPr>
                                              <a:rPr lang="en-US" sz="1100" b="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dPr>
                                          <m:e>
                                            <m:r>
                                              <m:rPr>
                                                <m:sty m:val="p"/>
                                              </m:rPr>
                                              <a:rPr lang="en-US" sz="1100" b="0" i="0">
                                                <a:latin typeface="Cambria Math" panose="02040503050406030204" pitchFamily="18" charset="0"/>
                                              </a:rPr>
                                              <m:t>Ti</m:t>
                                            </m:r>
                                            <m:r>
                                              <a:rPr lang="en-US" sz="1100" b="0" i="0">
                                                <a:latin typeface="Cambria Math" panose="02040503050406030204" pitchFamily="18" charset="0"/>
                                              </a:rPr>
                                              <m:t>+</m:t>
                                            </m:r>
                                            <m:acc>
                                              <m:accPr>
                                                <m:chr m:val="̂"/>
                                                <m:ctrlPr>
                                                  <a:rPr lang="en-US" sz="1100" b="0" i="1">
                                                    <a:solidFill>
                                                      <a:srgbClr val="836967"/>
                                                    </a:solidFill>
                                                    <a:latin typeface="Cambria Math" panose="02040503050406030204" pitchFamily="18" charset="0"/>
                                                  </a:rPr>
                                                </m:ctrlPr>
                                              </m:accPr>
                                              <m:e>
                                                <m:r>
                                                  <m:rPr>
                                                    <m:sty m:val="p"/>
                                                  </m:rPr>
                                                  <a:rPr lang="en-US" sz="1100" b="0" i="0">
                                                    <a:latin typeface="Cambria Math" panose="02040503050406030204" pitchFamily="18" charset="0"/>
                                                  </a:rPr>
                                                  <m:t>θ</m:t>
                                                </m:r>
                                              </m:e>
                                            </m:acc>
                                            <m:r>
                                              <m:rPr>
                                                <m:sty m:val="p"/>
                                              </m:rPr>
                                              <a:rPr lang="en-US" sz="1100" b="0" i="0">
                                                <a:latin typeface="Cambria Math" panose="02040503050406030204" pitchFamily="18" charset="0"/>
                                              </a:rPr>
                                              <m:t>wi</m:t>
                                            </m:r>
                                          </m:e>
                                        </m:d>
                                      </m:e>
                                      <m:sup>
                                        <m:r>
                                          <a:rPr lang="en-US" sz="1100" b="0" i="0">
                                            <a:latin typeface="Cambria Math" panose="02040503050406030204" pitchFamily="18" charset="0"/>
                                          </a:rPr>
                                          <m:t>2</m:t>
                                        </m:r>
                                      </m:sup>
                                    </m:sSup>
                                  </m:e>
                                </m:nary>
                                <m:r>
                                  <a:rPr lang="en-US" sz="1100" b="0" i="0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r>
                                  <m:rPr>
                                    <m:sty m:val="p"/>
                                  </m:rPr>
                                  <a:rPr lang="en-US" sz="1100" b="0" i="0">
                                    <a:latin typeface="Cambria Math" panose="02040503050406030204" pitchFamily="18" charset="0"/>
                                  </a:rPr>
                                  <m:t>CF</m:t>
                                </m:r>
                              </m:e>
                            </m:d>
                          </m:num>
                          <m:den>
                            <m:r>
                              <m:rPr>
                                <m:sty m:val="p"/>
                              </m:rPr>
                              <a:rPr lang="en-US" sz="1100" b="0" i="0">
                                <a:latin typeface="Cambria Math" panose="02040503050406030204" pitchFamily="18" charset="0"/>
                              </a:rPr>
                              <m:t>v</m:t>
                            </m:r>
                            <m:r>
                              <a:rPr lang="en-US" sz="1100" b="0" i="0">
                                <a:latin typeface="Cambria Math" panose="02040503050406030204" pitchFamily="18" charset="0"/>
                              </a:rPr>
                              <m:t>−1</m:t>
                            </m:r>
                          </m:den>
                        </m:f>
                      </m:num>
                      <m:den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E</m:t>
                        </m:r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m:rPr>
                                <m:sty m:val="p"/>
                              </m:rPr>
                              <a:rPr lang="en-US" sz="1100" b="0" i="0">
                                <a:latin typeface="Cambria Math" panose="02040503050406030204" pitchFamily="18" charset="0"/>
                              </a:rPr>
                              <m:t>e</m:t>
                            </m:r>
                          </m:e>
                          <m:sup>
                            <m:r>
                              <a:rPr lang="en-US" sz="1100" b="0" i="0">
                                <a:latin typeface="Cambria Math" panose="02040503050406030204" pitchFamily="18" charset="0"/>
                              </a:rPr>
                              <m:t>′</m:t>
                            </m:r>
                          </m:sup>
                        </m:sSup>
                      </m:den>
                    </m:f>
                    <m:r>
                      <a:rPr lang="en-US" sz="1100" b="0" i="0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 i="0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5B5DBF3A-33D5-48FC-B15A-7DF6A5CAA609}"/>
                </a:ext>
              </a:extLst>
            </xdr:cNvPr>
            <xdr:cNvSpPr txBox="1"/>
          </xdr:nvSpPr>
          <xdr:spPr>
            <a:xfrm>
              <a:off x="2257425" y="23645812"/>
              <a:ext cx="2063001" cy="558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Fcal=([1/r  ∑▒(Ti+θ</a:t>
              </a:r>
              <a:r>
                <a:rPr lang="en-US" sz="1100" b="0" i="0">
                  <a:solidFill>
                    <a:srgbClr val="836967"/>
                  </a:solidFill>
                  <a:latin typeface="Cambria Math" panose="02040503050406030204" pitchFamily="18" charset="0"/>
                </a:rPr>
                <a:t> ̂</a:t>
              </a:r>
              <a:r>
                <a:rPr lang="en-US" sz="1100" b="0" i="0">
                  <a:latin typeface="Cambria Math" panose="02040503050406030204" pitchFamily="18" charset="0"/>
                </a:rPr>
                <a:t>wi)^2 −CF]/(v−1))/(Ee^′ )=</a:t>
              </a:r>
              <a:endParaRPr lang="en-US" sz="1100" i="0"/>
            </a:p>
          </xdr:txBody>
        </xdr:sp>
      </mc:Fallback>
    </mc:AlternateContent>
    <xdr:clientData/>
  </xdr:oneCellAnchor>
  <xdr:oneCellAnchor>
    <xdr:from>
      <xdr:col>2</xdr:col>
      <xdr:colOff>657225</xdr:colOff>
      <xdr:row>113</xdr:row>
      <xdr:rowOff>138112</xdr:rowOff>
    </xdr:from>
    <xdr:ext cx="1561325" cy="18293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0747CF94-0C11-48F3-B34A-915354CACEAB}"/>
                </a:ext>
              </a:extLst>
            </xdr:cNvPr>
            <xdr:cNvSpPr txBox="1"/>
          </xdr:nvSpPr>
          <xdr:spPr>
            <a:xfrm>
              <a:off x="2676525" y="23207662"/>
              <a:ext cx="1561325" cy="1829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Ee</m:t>
                        </m:r>
                      </m:e>
                      <m:sup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′</m:t>
                        </m:r>
                      </m:sup>
                    </m:sSup>
                    <m:r>
                      <a:rPr lang="en-US" sz="1100" b="0" i="0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Ee</m:t>
                    </m:r>
                    <m:r>
                      <a:rPr lang="en-US" sz="1100" b="0" i="0">
                        <a:latin typeface="Cambria Math" panose="02040503050406030204" pitchFamily="18" charset="0"/>
                      </a:rPr>
                      <m:t>[1+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v</m:t>
                        </m:r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k</m:t>
                        </m:r>
                      </m:e>
                    </m:d>
                    <m:acc>
                      <m:accPr>
                        <m:chr m:val="̂"/>
                        <m:ctrlPr>
                          <a:rPr lang="en-US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𝜃</m:t>
                        </m:r>
                      </m:e>
                    </m:acc>
                    <m:r>
                      <a:rPr lang="en-US" sz="1100" b="0" i="1">
                        <a:latin typeface="Cambria Math" panose="02040503050406030204" pitchFamily="18" charset="0"/>
                      </a:rPr>
                      <m:t>]=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0747CF94-0C11-48F3-B34A-915354CACEAB}"/>
                </a:ext>
              </a:extLst>
            </xdr:cNvPr>
            <xdr:cNvSpPr txBox="1"/>
          </xdr:nvSpPr>
          <xdr:spPr>
            <a:xfrm>
              <a:off x="2676525" y="23207662"/>
              <a:ext cx="1561325" cy="1829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Ee^′=Ee[1+(v−k)</a:t>
              </a:r>
              <a:r>
                <a:rPr lang="en-US" sz="1100" b="0" i="0">
                  <a:solidFill>
                    <a:srgbClr val="836967"/>
                  </a:solidFill>
                  <a:latin typeface="Cambria Math" panose="02040503050406030204" pitchFamily="18" charset="0"/>
                </a:rPr>
                <a:t> </a:t>
              </a:r>
              <a:r>
                <a:rPr lang="en-US" sz="1100" i="0">
                  <a:latin typeface="Cambria Math" panose="02040503050406030204" pitchFamily="18" charset="0"/>
                </a:rPr>
                <a:t>𝜃</a:t>
              </a:r>
              <a:r>
                <a:rPr lang="en-US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 ̂</a:t>
              </a:r>
              <a:r>
                <a:rPr lang="en-US" sz="1100" b="0" i="0">
                  <a:latin typeface="Cambria Math" panose="02040503050406030204" pitchFamily="18" charset="0"/>
                </a:rPr>
                <a:t>]=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57150</xdr:colOff>
      <xdr:row>104</xdr:row>
      <xdr:rowOff>180974</xdr:rowOff>
    </xdr:from>
    <xdr:ext cx="704850" cy="18097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5855107D-CD03-4659-ADCE-5927839B72C9}"/>
                </a:ext>
              </a:extLst>
            </xdr:cNvPr>
            <xdr:cNvSpPr txBox="1"/>
          </xdr:nvSpPr>
          <xdr:spPr>
            <a:xfrm>
              <a:off x="9144000" y="14392274"/>
              <a:ext cx="704850" cy="1809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0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sz="1000" b="1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000" b="1" i="0">
                                <a:latin typeface="Cambria Math" panose="02040503050406030204" pitchFamily="18" charset="0"/>
                              </a:rPr>
                              <m:t>𝐓𝐢</m:t>
                            </m:r>
                            <m:r>
                              <a:rPr lang="en-US" sz="1000" b="1" i="0">
                                <a:latin typeface="Cambria Math" panose="02040503050406030204" pitchFamily="18" charset="0"/>
                              </a:rPr>
                              <m:t>+</m:t>
                            </m:r>
                            <m:acc>
                              <m:accPr>
                                <m:chr m:val="̂"/>
                                <m:ctrlPr>
                                  <a:rPr lang="en-US" sz="1000" b="1" i="1">
                                    <a:solidFill>
                                      <a:srgbClr val="836967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1000" b="1" i="0">
                                    <a:latin typeface="Cambria Math" panose="02040503050406030204" pitchFamily="18" charset="0"/>
                                  </a:rPr>
                                  <m:t>𝛉</m:t>
                                </m:r>
                              </m:e>
                            </m:acc>
                            <m:r>
                              <a:rPr lang="en-US" sz="1000" b="1" i="0">
                                <a:latin typeface="Cambria Math" panose="02040503050406030204" pitchFamily="18" charset="0"/>
                              </a:rPr>
                              <m:t>𝐰𝐢</m:t>
                            </m:r>
                          </m:e>
                        </m:d>
                      </m:e>
                      <m:sup>
                        <m:r>
                          <a:rPr lang="en-US" sz="1000" b="1" i="0">
                            <a:latin typeface="Cambria Math" panose="02040503050406030204" pitchFamily="18" charset="0"/>
                          </a:rPr>
                          <m:t>𝟐</m:t>
                        </m:r>
                      </m:sup>
                    </m:sSup>
                  </m:oMath>
                </m:oMathPara>
              </a14:m>
              <a:endParaRPr lang="en-US" sz="1000" b="1" i="0"/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5855107D-CD03-4659-ADCE-5927839B72C9}"/>
                </a:ext>
              </a:extLst>
            </xdr:cNvPr>
            <xdr:cNvSpPr txBox="1"/>
          </xdr:nvSpPr>
          <xdr:spPr>
            <a:xfrm>
              <a:off x="9144000" y="14392274"/>
              <a:ext cx="704850" cy="1809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000" b="1" i="0">
                  <a:latin typeface="Cambria Math" panose="02040503050406030204" pitchFamily="18" charset="0"/>
                </a:rPr>
                <a:t>(𝐓𝐢+𝛉</a:t>
              </a:r>
              <a:r>
                <a:rPr lang="en-US" sz="1000" b="1" i="0">
                  <a:solidFill>
                    <a:srgbClr val="836967"/>
                  </a:solidFill>
                  <a:latin typeface="Cambria Math" panose="02040503050406030204" pitchFamily="18" charset="0"/>
                </a:rPr>
                <a:t> ̂</a:t>
              </a:r>
              <a:r>
                <a:rPr lang="en-US" sz="1000" b="1" i="0">
                  <a:latin typeface="Cambria Math" panose="02040503050406030204" pitchFamily="18" charset="0"/>
                </a:rPr>
                <a:t>𝐰𝐢)^𝟐</a:t>
              </a:r>
              <a:endParaRPr lang="en-US" sz="1000" b="1" i="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3"/>
  <sheetViews>
    <sheetView tabSelected="1" topLeftCell="A107" workbookViewId="0">
      <selection activeCell="F118" sqref="F118"/>
    </sheetView>
  </sheetViews>
  <sheetFormatPr defaultRowHeight="15" x14ac:dyDescent="0.25"/>
  <cols>
    <col min="1" max="1" width="12.140625" customWidth="1"/>
    <col min="2" max="2" width="18.140625" customWidth="1"/>
    <col min="3" max="3" width="15.7109375" customWidth="1"/>
    <col min="4" max="4" width="11.7109375" customWidth="1"/>
    <col min="5" max="8" width="10.140625" customWidth="1"/>
    <col min="9" max="9" width="13" customWidth="1"/>
    <col min="10" max="10" width="27.140625" customWidth="1"/>
    <col min="11" max="11" width="12.140625" customWidth="1"/>
    <col min="12" max="12" width="14.28515625" customWidth="1"/>
    <col min="13" max="13" width="10.85546875" customWidth="1"/>
    <col min="14" max="14" width="14.140625" customWidth="1"/>
  </cols>
  <sheetData>
    <row r="1" spans="1:14" ht="18.75" customHeight="1" x14ac:dyDescent="0.35">
      <c r="F1" s="82" t="s">
        <v>47</v>
      </c>
      <c r="G1" s="82"/>
      <c r="L1" s="1"/>
      <c r="M1" s="80" t="s">
        <v>45</v>
      </c>
      <c r="N1" s="80"/>
    </row>
    <row r="2" spans="1:14" ht="16.5" thickBot="1" x14ac:dyDescent="0.3">
      <c r="H2" s="2"/>
      <c r="I2" s="2"/>
      <c r="J2" s="2"/>
      <c r="K2" s="2"/>
      <c r="L2" s="2"/>
      <c r="M2" s="81" t="s">
        <v>46</v>
      </c>
      <c r="N2" s="81"/>
    </row>
    <row r="3" spans="1:14" ht="21.75" thickBot="1" x14ac:dyDescent="0.4">
      <c r="A3" s="26" t="s">
        <v>44</v>
      </c>
      <c r="B3" s="25" t="s">
        <v>43</v>
      </c>
      <c r="H3" s="1"/>
      <c r="I3" s="1"/>
    </row>
    <row r="5" spans="1:14" ht="15.75" thickBot="1" x14ac:dyDescent="0.3">
      <c r="C5" t="s">
        <v>86</v>
      </c>
      <c r="D5" t="s">
        <v>87</v>
      </c>
      <c r="E5" t="s">
        <v>88</v>
      </c>
      <c r="F5" t="s">
        <v>89</v>
      </c>
    </row>
    <row r="6" spans="1:14" ht="19.5" thickBot="1" x14ac:dyDescent="0.35">
      <c r="B6" s="91" t="s">
        <v>0</v>
      </c>
      <c r="C6" s="93" t="s">
        <v>1</v>
      </c>
      <c r="D6" s="94"/>
      <c r="E6" s="94"/>
      <c r="F6" s="95"/>
      <c r="K6" s="29"/>
      <c r="L6" s="29"/>
      <c r="M6" s="29"/>
    </row>
    <row r="7" spans="1:14" ht="19.5" thickBot="1" x14ac:dyDescent="0.35">
      <c r="B7" s="92"/>
      <c r="C7" s="3" t="s">
        <v>2</v>
      </c>
      <c r="D7" s="3" t="s">
        <v>3</v>
      </c>
      <c r="E7" s="3" t="s">
        <v>4</v>
      </c>
      <c r="F7" s="4" t="s">
        <v>5</v>
      </c>
      <c r="H7" s="29"/>
      <c r="I7" s="29"/>
      <c r="J7" s="29"/>
      <c r="K7" s="29"/>
      <c r="L7" s="29"/>
      <c r="M7" s="29"/>
    </row>
    <row r="8" spans="1:14" x14ac:dyDescent="0.25">
      <c r="B8" s="5" t="s">
        <v>6</v>
      </c>
      <c r="C8" s="6">
        <v>148</v>
      </c>
      <c r="D8" s="6">
        <v>169</v>
      </c>
      <c r="E8" s="6" t="s">
        <v>7</v>
      </c>
      <c r="F8" s="6">
        <v>177</v>
      </c>
      <c r="G8" s="97" t="s">
        <v>90</v>
      </c>
    </row>
    <row r="9" spans="1:14" x14ac:dyDescent="0.25">
      <c r="B9" s="7" t="s">
        <v>8</v>
      </c>
      <c r="C9" s="8">
        <v>157</v>
      </c>
      <c r="D9" s="8">
        <v>160</v>
      </c>
      <c r="E9" s="8">
        <v>206</v>
      </c>
      <c r="F9" s="8" t="s">
        <v>7</v>
      </c>
      <c r="G9" t="s">
        <v>91</v>
      </c>
    </row>
    <row r="10" spans="1:14" x14ac:dyDescent="0.25">
      <c r="B10" s="7" t="s">
        <v>9</v>
      </c>
      <c r="C10" s="8" t="s">
        <v>7</v>
      </c>
      <c r="D10" s="8">
        <v>190</v>
      </c>
      <c r="E10" s="8">
        <v>260</v>
      </c>
      <c r="F10" s="8">
        <v>217</v>
      </c>
      <c r="G10" t="s">
        <v>92</v>
      </c>
    </row>
    <row r="11" spans="1:14" ht="15.75" thickBot="1" x14ac:dyDescent="0.3">
      <c r="B11" s="9" t="s">
        <v>10</v>
      </c>
      <c r="C11" s="10">
        <v>204</v>
      </c>
      <c r="D11" s="10" t="s">
        <v>7</v>
      </c>
      <c r="E11" s="10">
        <v>256</v>
      </c>
      <c r="F11" s="10">
        <v>233</v>
      </c>
      <c r="G11" s="98" t="s">
        <v>93</v>
      </c>
    </row>
    <row r="12" spans="1:14" x14ac:dyDescent="0.25">
      <c r="B12" s="13"/>
      <c r="C12" s="27"/>
      <c r="D12" s="27"/>
      <c r="E12" s="27"/>
      <c r="F12" s="27"/>
    </row>
    <row r="13" spans="1:14" x14ac:dyDescent="0.25">
      <c r="A13" s="28" t="s">
        <v>48</v>
      </c>
    </row>
    <row r="14" spans="1:14" ht="18.75" x14ac:dyDescent="0.3">
      <c r="B14" s="29" t="s">
        <v>49</v>
      </c>
      <c r="C14" s="29"/>
      <c r="D14" s="29"/>
      <c r="E14" s="29"/>
      <c r="F14" s="29"/>
      <c r="G14" s="29"/>
      <c r="H14" s="29"/>
      <c r="I14" s="29"/>
      <c r="J14" s="29"/>
      <c r="K14" s="29"/>
    </row>
    <row r="15" spans="1:14" ht="18.75" x14ac:dyDescent="0.3">
      <c r="B15" s="30" t="s">
        <v>50</v>
      </c>
      <c r="C15" s="30">
        <v>4</v>
      </c>
      <c r="D15" s="30" t="s">
        <v>51</v>
      </c>
      <c r="E15" s="30">
        <v>3</v>
      </c>
      <c r="G15" s="32" t="s">
        <v>52</v>
      </c>
      <c r="H15" s="33"/>
      <c r="I15" s="33"/>
      <c r="J15" s="33"/>
      <c r="K15" s="33"/>
      <c r="L15" s="34"/>
    </row>
    <row r="16" spans="1:14" ht="18.75" x14ac:dyDescent="0.3">
      <c r="B16" s="30" t="s">
        <v>53</v>
      </c>
      <c r="C16" s="30">
        <v>4</v>
      </c>
      <c r="D16" s="31" t="s">
        <v>54</v>
      </c>
      <c r="E16" s="30">
        <v>2</v>
      </c>
      <c r="G16" s="35" t="s">
        <v>55</v>
      </c>
      <c r="H16" s="29"/>
      <c r="I16" s="29"/>
      <c r="J16" s="29"/>
      <c r="K16" s="29"/>
      <c r="L16" s="36"/>
    </row>
    <row r="17" spans="1:15" ht="18.75" x14ac:dyDescent="0.3">
      <c r="B17" s="30" t="s">
        <v>56</v>
      </c>
      <c r="C17" s="30">
        <v>3</v>
      </c>
      <c r="D17" s="29"/>
      <c r="E17" s="29"/>
      <c r="G17" s="37" t="s">
        <v>57</v>
      </c>
      <c r="H17" s="38"/>
      <c r="I17" s="38"/>
      <c r="J17" s="38"/>
      <c r="K17" s="38"/>
      <c r="L17" s="39"/>
    </row>
    <row r="19" spans="1:15" ht="18.75" x14ac:dyDescent="0.3">
      <c r="B19" s="29" t="s">
        <v>58</v>
      </c>
      <c r="C19" s="29"/>
      <c r="D19" s="29"/>
    </row>
    <row r="21" spans="1:15" ht="18.75" x14ac:dyDescent="0.3">
      <c r="B21" s="30">
        <v>1</v>
      </c>
      <c r="C21" s="74" t="s">
        <v>59</v>
      </c>
      <c r="D21" s="74"/>
      <c r="E21" s="74"/>
      <c r="F21" s="30">
        <f>C15*C17</f>
        <v>12</v>
      </c>
      <c r="G21" s="30">
        <f>C16*E15</f>
        <v>12</v>
      </c>
    </row>
    <row r="22" spans="1:15" ht="18.75" x14ac:dyDescent="0.3">
      <c r="B22" s="30">
        <v>2</v>
      </c>
      <c r="C22" s="74" t="s">
        <v>60</v>
      </c>
      <c r="D22" s="74"/>
      <c r="E22" s="74"/>
      <c r="F22" s="30">
        <f>E15*(C17-1)</f>
        <v>6</v>
      </c>
      <c r="G22" s="30">
        <f>E16*(C16-1)</f>
        <v>6</v>
      </c>
    </row>
    <row r="23" spans="1:15" ht="18.75" x14ac:dyDescent="0.3">
      <c r="B23" s="30">
        <v>3</v>
      </c>
      <c r="C23" s="74" t="s">
        <v>61</v>
      </c>
      <c r="D23" s="74"/>
      <c r="E23" s="74"/>
      <c r="F23" s="30">
        <f>C15</f>
        <v>4</v>
      </c>
      <c r="G23" s="30">
        <f>C16</f>
        <v>4</v>
      </c>
    </row>
    <row r="24" spans="1:15" ht="18.75" x14ac:dyDescent="0.3">
      <c r="B24" s="43"/>
      <c r="C24" s="43"/>
      <c r="D24" s="43"/>
      <c r="E24" s="43"/>
      <c r="F24" s="43"/>
      <c r="G24" s="43"/>
    </row>
    <row r="25" spans="1:15" x14ac:dyDescent="0.25">
      <c r="A25" s="15"/>
      <c r="B25" t="s">
        <v>64</v>
      </c>
    </row>
    <row r="26" spans="1:15" ht="15.75" x14ac:dyDescent="0.25">
      <c r="B26" s="11" t="s">
        <v>11</v>
      </c>
      <c r="C26" s="11"/>
      <c r="D26" s="11"/>
      <c r="E26" s="11"/>
      <c r="F26" s="11"/>
      <c r="G26" s="11"/>
    </row>
    <row r="28" spans="1:15" x14ac:dyDescent="0.25">
      <c r="B28" s="96" t="s">
        <v>0</v>
      </c>
      <c r="C28" s="96"/>
      <c r="D28" s="63" t="s">
        <v>6</v>
      </c>
      <c r="E28" s="63" t="s">
        <v>8</v>
      </c>
      <c r="F28" s="63" t="s">
        <v>9</v>
      </c>
      <c r="G28" s="63" t="s">
        <v>10</v>
      </c>
      <c r="H28" s="63" t="s">
        <v>12</v>
      </c>
      <c r="I28" s="63" t="s">
        <v>13</v>
      </c>
      <c r="J28" s="63" t="s">
        <v>14</v>
      </c>
      <c r="K28" s="63" t="s">
        <v>67</v>
      </c>
      <c r="L28" s="63" t="s">
        <v>68</v>
      </c>
      <c r="O28" s="12"/>
    </row>
    <row r="29" spans="1:15" ht="15.75" customHeight="1" x14ac:dyDescent="0.25">
      <c r="B29" s="76" t="s">
        <v>1</v>
      </c>
      <c r="C29" s="40" t="s">
        <v>2</v>
      </c>
      <c r="D29" s="64">
        <v>148</v>
      </c>
      <c r="E29" s="64">
        <v>157</v>
      </c>
      <c r="F29" s="64" t="s">
        <v>7</v>
      </c>
      <c r="G29" s="64">
        <v>204</v>
      </c>
      <c r="H29" s="64">
        <f>SUM(D29:G29)</f>
        <v>509</v>
      </c>
      <c r="I29" s="64">
        <f t="array" ref="I29">D33+E33+G33</f>
        <v>1710</v>
      </c>
      <c r="J29" s="64">
        <f>((3*H29)-I29)</f>
        <v>-183</v>
      </c>
      <c r="K29" s="44">
        <f>H29^2</f>
        <v>259081</v>
      </c>
      <c r="L29" s="44">
        <f>J29^2</f>
        <v>33489</v>
      </c>
    </row>
    <row r="30" spans="1:15" ht="14.25" customHeight="1" x14ac:dyDescent="0.25">
      <c r="B30" s="76"/>
      <c r="C30" s="40" t="s">
        <v>3</v>
      </c>
      <c r="D30" s="64">
        <v>169</v>
      </c>
      <c r="E30" s="64">
        <v>160</v>
      </c>
      <c r="F30" s="64">
        <v>190</v>
      </c>
      <c r="G30" s="64" t="s">
        <v>7</v>
      </c>
      <c r="H30" s="64">
        <f>SUM(D30:G30)</f>
        <v>519</v>
      </c>
      <c r="I30" s="64">
        <f>D33+E33+F33</f>
        <v>1684</v>
      </c>
      <c r="J30" s="64">
        <f t="shared" ref="J30:J31" si="0">((3*H30)-I30)</f>
        <v>-127</v>
      </c>
      <c r="K30" s="44">
        <f t="shared" ref="K30:K31" si="1">H30^2</f>
        <v>269361</v>
      </c>
      <c r="L30" s="44">
        <f t="shared" ref="L30:L32" si="2">J30^2</f>
        <v>16129</v>
      </c>
    </row>
    <row r="31" spans="1:15" x14ac:dyDescent="0.25">
      <c r="B31" s="76"/>
      <c r="C31" s="40" t="s">
        <v>4</v>
      </c>
      <c r="D31" s="64" t="s">
        <v>7</v>
      </c>
      <c r="E31" s="64">
        <v>206</v>
      </c>
      <c r="F31" s="64">
        <v>260</v>
      </c>
      <c r="G31" s="64">
        <v>256</v>
      </c>
      <c r="H31" s="64">
        <f>SUM(D31:G31)</f>
        <v>722</v>
      </c>
      <c r="I31" s="64">
        <f>E33+F33+G33</f>
        <v>1883</v>
      </c>
      <c r="J31" s="64">
        <f t="shared" si="0"/>
        <v>283</v>
      </c>
      <c r="K31" s="44">
        <f t="shared" si="1"/>
        <v>521284</v>
      </c>
      <c r="L31" s="44">
        <f t="shared" si="2"/>
        <v>80089</v>
      </c>
    </row>
    <row r="32" spans="1:15" x14ac:dyDescent="0.25">
      <c r="B32" s="76"/>
      <c r="C32" s="40" t="s">
        <v>5</v>
      </c>
      <c r="D32" s="64">
        <v>177</v>
      </c>
      <c r="E32" s="64" t="s">
        <v>7</v>
      </c>
      <c r="F32" s="64">
        <v>217</v>
      </c>
      <c r="G32" s="64">
        <v>233</v>
      </c>
      <c r="H32" s="64">
        <f>SUM(D32:G32)</f>
        <v>627</v>
      </c>
      <c r="I32" s="64">
        <f>D33+F33+G33</f>
        <v>1854</v>
      </c>
      <c r="J32" s="64">
        <f>((3*H32)-I32)</f>
        <v>27</v>
      </c>
      <c r="K32" s="44">
        <f>H32^2</f>
        <v>393129</v>
      </c>
      <c r="L32" s="44">
        <f t="shared" si="2"/>
        <v>729</v>
      </c>
    </row>
    <row r="33" spans="1:13" x14ac:dyDescent="0.25">
      <c r="C33" s="28" t="s">
        <v>65</v>
      </c>
      <c r="D33" s="65">
        <f t="array" ref="D33">SUM(D29:D32)</f>
        <v>494</v>
      </c>
      <c r="E33" s="65">
        <f t="shared" ref="E33:F33" si="3">SUM(E29:E32)</f>
        <v>523</v>
      </c>
      <c r="F33" s="65">
        <f t="shared" si="3"/>
        <v>667</v>
      </c>
      <c r="G33" s="65">
        <f>SUM(G29:G32)</f>
        <v>693</v>
      </c>
      <c r="H33" s="66">
        <f>SUM(H29:H32)</f>
        <v>2377</v>
      </c>
      <c r="I33" s="67"/>
      <c r="J33" s="66">
        <f>SUM(J29:J32)</f>
        <v>0</v>
      </c>
      <c r="K33" s="68"/>
      <c r="L33" s="68"/>
    </row>
    <row r="34" spans="1:13" x14ac:dyDescent="0.25">
      <c r="C34" s="28" t="s">
        <v>66</v>
      </c>
      <c r="D34" s="44">
        <f>D33^2</f>
        <v>244036</v>
      </c>
      <c r="E34" s="44">
        <f>E33^2</f>
        <v>273529</v>
      </c>
      <c r="F34" s="44">
        <f>F33^2</f>
        <v>444889</v>
      </c>
      <c r="G34" s="44">
        <f>G33^2</f>
        <v>480249</v>
      </c>
      <c r="H34" s="45"/>
      <c r="I34" s="42"/>
      <c r="J34" s="45"/>
    </row>
    <row r="35" spans="1:13" x14ac:dyDescent="0.25">
      <c r="H35" s="45"/>
      <c r="I35" s="42"/>
      <c r="J35" s="45"/>
    </row>
    <row r="36" spans="1:13" ht="18.75" x14ac:dyDescent="0.3">
      <c r="B36" s="29" t="s">
        <v>62</v>
      </c>
      <c r="C36" s="29"/>
      <c r="D36" s="29"/>
      <c r="E36" s="29"/>
      <c r="F36" s="14"/>
      <c r="G36" s="13"/>
      <c r="H36" s="42"/>
      <c r="I36" s="42"/>
      <c r="J36" s="42"/>
    </row>
    <row r="37" spans="1:13" ht="18.75" x14ac:dyDescent="0.3">
      <c r="B37" s="29" t="s">
        <v>63</v>
      </c>
      <c r="C37" s="29"/>
      <c r="D37" s="29"/>
      <c r="E37" s="29"/>
      <c r="H37" s="42"/>
      <c r="I37" s="42"/>
    </row>
    <row r="39" spans="1:13" ht="18.75" x14ac:dyDescent="0.3">
      <c r="B39" s="29"/>
      <c r="C39" s="29"/>
      <c r="D39" s="29"/>
      <c r="E39" s="29"/>
      <c r="M39" s="15"/>
    </row>
    <row r="40" spans="1:13" x14ac:dyDescent="0.25">
      <c r="A40" s="13"/>
      <c r="B40" s="13"/>
      <c r="C40" s="13"/>
      <c r="D40" s="13"/>
      <c r="M40" s="15"/>
    </row>
    <row r="41" spans="1:13" ht="16.5" thickBot="1" x14ac:dyDescent="0.3">
      <c r="B41" s="75" t="s">
        <v>15</v>
      </c>
      <c r="C41" s="75"/>
    </row>
    <row r="42" spans="1:13" ht="16.5" thickTop="1" thickBot="1" x14ac:dyDescent="0.3">
      <c r="C42" s="15"/>
      <c r="M42" s="15"/>
    </row>
    <row r="43" spans="1:13" ht="15.75" thickBot="1" x14ac:dyDescent="0.3">
      <c r="B43" s="50" t="s">
        <v>16</v>
      </c>
      <c r="C43" s="51" t="s">
        <v>17</v>
      </c>
      <c r="D43" s="52" t="s">
        <v>18</v>
      </c>
      <c r="E43" s="53"/>
      <c r="F43" s="23" t="s">
        <v>17</v>
      </c>
      <c r="G43" s="89" t="s">
        <v>16</v>
      </c>
      <c r="H43" s="90"/>
      <c r="M43" s="15"/>
    </row>
    <row r="44" spans="1:13" ht="15.75" x14ac:dyDescent="0.25">
      <c r="B44" s="6" t="s">
        <v>19</v>
      </c>
      <c r="C44" s="54">
        <f t="array" ref="C44">((1/3)*(D33^2+E33^2+F33^2+G33^2))-((H33^2)/(12))</f>
        <v>10056.916666666686</v>
      </c>
      <c r="D44" s="55" t="s">
        <v>20</v>
      </c>
      <c r="E44" s="56">
        <f>C15-1</f>
        <v>3</v>
      </c>
      <c r="F44" s="54">
        <f>F47-F46-F45</f>
        <v>5384.1666666667043</v>
      </c>
      <c r="G44" s="83" t="s">
        <v>21</v>
      </c>
      <c r="H44" s="84"/>
    </row>
    <row r="45" spans="1:13" ht="15.75" x14ac:dyDescent="0.25">
      <c r="B45" s="8" t="s">
        <v>22</v>
      </c>
      <c r="C45" s="57">
        <f>(1/(3*2*4))*(J29^2+J30^2+J31^2+J32^2)</f>
        <v>5434.833333333333</v>
      </c>
      <c r="D45" s="58" t="s">
        <v>23</v>
      </c>
      <c r="E45" s="59">
        <f>C16-1</f>
        <v>3</v>
      </c>
      <c r="F45" s="57">
        <f>((1/3)*(H29^2+H30^2+H31^2+H32^2))-((H33^2)/(12))</f>
        <v>10107.583333333314</v>
      </c>
      <c r="G45" s="87" t="s">
        <v>24</v>
      </c>
      <c r="H45" s="88"/>
      <c r="M45" s="15"/>
    </row>
    <row r="46" spans="1:13" ht="15.75" x14ac:dyDescent="0.25">
      <c r="B46" s="8" t="s">
        <v>25</v>
      </c>
      <c r="C46" s="57">
        <f>C47-C45-C44</f>
        <v>373.16666666666788</v>
      </c>
      <c r="D46" s="58" t="s">
        <v>26</v>
      </c>
      <c r="E46" s="59">
        <f>(12-4-4+1)</f>
        <v>5</v>
      </c>
      <c r="F46" s="57">
        <f>C47-C45-C44</f>
        <v>373.16666666666788</v>
      </c>
      <c r="G46" s="87" t="s">
        <v>25</v>
      </c>
      <c r="H46" s="88"/>
      <c r="M46" s="15"/>
    </row>
    <row r="47" spans="1:13" ht="16.5" thickBot="1" x14ac:dyDescent="0.3">
      <c r="B47" s="10" t="s">
        <v>27</v>
      </c>
      <c r="C47" s="60">
        <f>(D29^2+E29^2+F32^2+D30^2+E30^2+D32^2+G29^2+E31^2+F30^2+G31^2+G32^2+F31^2)-((H33^2)/(12))</f>
        <v>15864.916666666686</v>
      </c>
      <c r="D47" s="61" t="s">
        <v>28</v>
      </c>
      <c r="E47" s="62">
        <f>(12-1)</f>
        <v>11</v>
      </c>
      <c r="F47" s="60">
        <f>(D29^2+E29^2+F32^2+D30^2+E30^2+D32^2+G29^2+E31^2+F30^2+G31^2+G32^2+F31^2)-((H33^2)/(12))</f>
        <v>15864.916666666686</v>
      </c>
      <c r="G47" s="85" t="s">
        <v>27</v>
      </c>
      <c r="H47" s="86"/>
    </row>
    <row r="48" spans="1:13" ht="15.75" x14ac:dyDescent="0.25">
      <c r="B48" s="27"/>
      <c r="C48" s="46"/>
      <c r="D48" s="27"/>
      <c r="E48" s="46"/>
      <c r="F48" s="46"/>
      <c r="G48" s="27"/>
      <c r="H48" s="27"/>
      <c r="M48" s="15"/>
    </row>
    <row r="49" spans="3:17" x14ac:dyDescent="0.25">
      <c r="C49" s="77"/>
      <c r="D49" s="77"/>
    </row>
    <row r="50" spans="3:17" x14ac:dyDescent="0.25">
      <c r="C50" s="77"/>
      <c r="D50" s="77"/>
      <c r="E50" s="15">
        <f>(H33^2)/(4*3)</f>
        <v>470844.08333333331</v>
      </c>
    </row>
    <row r="51" spans="3:17" x14ac:dyDescent="0.25">
      <c r="C51" s="77"/>
      <c r="D51" s="77"/>
    </row>
    <row r="52" spans="3:17" x14ac:dyDescent="0.25">
      <c r="C52" s="41"/>
      <c r="D52" s="41"/>
    </row>
    <row r="53" spans="3:17" ht="15.75" thickBot="1" x14ac:dyDescent="0.3">
      <c r="C53" s="77"/>
      <c r="D53" s="77"/>
      <c r="E53" s="77"/>
    </row>
    <row r="54" spans="3:17" x14ac:dyDescent="0.25">
      <c r="C54" s="77"/>
      <c r="D54" s="77"/>
      <c r="E54" s="77"/>
      <c r="F54" s="15">
        <f>(1/3)*SUM(D34:G34)-E50</f>
        <v>10056.916666666686</v>
      </c>
      <c r="M54" s="23" t="s">
        <v>33</v>
      </c>
      <c r="N54" s="16" t="s">
        <v>34</v>
      </c>
      <c r="O54" s="16"/>
      <c r="P54" s="16"/>
      <c r="Q54" s="17"/>
    </row>
    <row r="55" spans="3:17" x14ac:dyDescent="0.25">
      <c r="C55" s="77"/>
      <c r="D55" s="77"/>
      <c r="E55" s="77"/>
      <c r="M55" s="48" t="s">
        <v>35</v>
      </c>
      <c r="N55" s="47" t="s">
        <v>36</v>
      </c>
      <c r="O55" s="47"/>
      <c r="Q55" s="19"/>
    </row>
    <row r="56" spans="3:17" x14ac:dyDescent="0.25">
      <c r="C56" s="41"/>
      <c r="D56" s="41"/>
      <c r="E56" s="41"/>
      <c r="M56" s="24" t="s">
        <v>37</v>
      </c>
      <c r="N56" t="s">
        <v>38</v>
      </c>
      <c r="Q56" s="19"/>
    </row>
    <row r="57" spans="3:17" x14ac:dyDescent="0.25">
      <c r="C57" s="77"/>
      <c r="D57" s="77"/>
      <c r="E57" s="77"/>
      <c r="H57" s="77"/>
      <c r="I57" s="77"/>
      <c r="J57" s="77"/>
      <c r="M57" s="24" t="s">
        <v>39</v>
      </c>
      <c r="N57" t="s">
        <v>40</v>
      </c>
      <c r="Q57" s="19"/>
    </row>
    <row r="58" spans="3:17" x14ac:dyDescent="0.25">
      <c r="C58" s="77"/>
      <c r="D58" s="77"/>
      <c r="E58" s="77"/>
      <c r="F58" s="15">
        <f>(1/3)*SUM(K29:K32)-E50</f>
        <v>10107.583333333314</v>
      </c>
      <c r="H58" s="77"/>
      <c r="I58" s="77"/>
      <c r="J58" s="77"/>
      <c r="K58" s="15">
        <f>(1/(3*4*2))*SUM(L29:L32)</f>
        <v>5434.833333333333</v>
      </c>
      <c r="M58" s="49" t="s">
        <v>41</v>
      </c>
      <c r="N58" s="78" t="s">
        <v>42</v>
      </c>
      <c r="O58" s="78"/>
      <c r="Q58" s="19"/>
    </row>
    <row r="59" spans="3:17" x14ac:dyDescent="0.25">
      <c r="C59" s="77"/>
      <c r="D59" s="77"/>
      <c r="E59" s="77"/>
      <c r="F59" s="15"/>
      <c r="H59" s="77"/>
      <c r="I59" s="77"/>
      <c r="J59" s="77"/>
      <c r="M59" s="18"/>
      <c r="N59" s="78"/>
      <c r="O59" s="78"/>
      <c r="Q59" s="19"/>
    </row>
    <row r="60" spans="3:17" ht="15.75" thickBot="1" x14ac:dyDescent="0.3">
      <c r="C60" s="41"/>
      <c r="D60" s="41"/>
      <c r="E60" s="41"/>
      <c r="F60" s="15"/>
      <c r="M60" s="20"/>
      <c r="N60" s="79"/>
      <c r="O60" s="79"/>
      <c r="P60" s="21"/>
      <c r="Q60" s="22"/>
    </row>
    <row r="61" spans="3:17" x14ac:dyDescent="0.25">
      <c r="C61" s="77"/>
      <c r="D61" s="77"/>
      <c r="E61" s="77"/>
      <c r="F61" s="15"/>
    </row>
    <row r="62" spans="3:17" x14ac:dyDescent="0.25">
      <c r="C62" s="77"/>
      <c r="D62" s="77"/>
      <c r="E62" s="77"/>
      <c r="F62" s="15">
        <f>SUMSQ(D29:G32)-E50</f>
        <v>15864.916666666686</v>
      </c>
    </row>
    <row r="63" spans="3:17" x14ac:dyDescent="0.25">
      <c r="C63" s="77"/>
      <c r="D63" s="77"/>
      <c r="E63" s="77"/>
      <c r="F63" s="15"/>
    </row>
    <row r="64" spans="3:17" x14ac:dyDescent="0.25">
      <c r="C64" s="41"/>
      <c r="D64" s="41"/>
      <c r="E64" s="41"/>
      <c r="F64" s="15"/>
    </row>
    <row r="65" spans="2:12" ht="18" customHeight="1" x14ac:dyDescent="0.25">
      <c r="B65" s="15" t="s">
        <v>69</v>
      </c>
    </row>
    <row r="66" spans="2:12" ht="17.25" customHeight="1" x14ac:dyDescent="0.25">
      <c r="B66" t="s">
        <v>29</v>
      </c>
    </row>
    <row r="67" spans="2:12" ht="17.25" customHeight="1" x14ac:dyDescent="0.25">
      <c r="B67" t="s">
        <v>70</v>
      </c>
    </row>
    <row r="68" spans="2:12" ht="18" customHeight="1" x14ac:dyDescent="0.25">
      <c r="B68" t="s">
        <v>71</v>
      </c>
    </row>
    <row r="69" spans="2:12" ht="29.25" customHeight="1" x14ac:dyDescent="0.25">
      <c r="C69" s="77"/>
      <c r="D69" s="77"/>
    </row>
    <row r="70" spans="2:12" ht="29.25" customHeight="1" x14ac:dyDescent="0.25">
      <c r="B70" s="73" t="s">
        <v>31</v>
      </c>
      <c r="C70" s="77"/>
      <c r="D70" s="77"/>
      <c r="E70" s="73">
        <f>(C45/E45)/(C46/E46)</f>
        <v>24.273485186839281</v>
      </c>
      <c r="F70" s="27"/>
      <c r="L70" s="27"/>
    </row>
    <row r="71" spans="2:12" x14ac:dyDescent="0.25">
      <c r="B71" s="73"/>
      <c r="C71" s="77"/>
      <c r="D71" s="77"/>
      <c r="E71" s="73"/>
      <c r="F71" s="27"/>
      <c r="L71" s="27"/>
    </row>
    <row r="72" spans="2:12" x14ac:dyDescent="0.25">
      <c r="C72" s="77"/>
      <c r="D72" s="77"/>
    </row>
    <row r="74" spans="2:12" x14ac:dyDescent="0.25">
      <c r="B74" s="41" t="s">
        <v>32</v>
      </c>
      <c r="C74" s="41">
        <f>_xlfn.F.INV.RT(0.05,3,5)</f>
        <v>5.4094513180564894</v>
      </c>
    </row>
    <row r="76" spans="2:12" x14ac:dyDescent="0.25">
      <c r="B76" t="s">
        <v>72</v>
      </c>
    </row>
    <row r="79" spans="2:12" x14ac:dyDescent="0.25">
      <c r="B79" s="15" t="s">
        <v>73</v>
      </c>
    </row>
    <row r="80" spans="2:12" x14ac:dyDescent="0.25">
      <c r="B80" t="s">
        <v>30</v>
      </c>
    </row>
    <row r="81" spans="1:6" x14ac:dyDescent="0.25">
      <c r="B81" t="s">
        <v>74</v>
      </c>
    </row>
    <row r="82" spans="1:6" x14ac:dyDescent="0.25">
      <c r="B82" t="s">
        <v>75</v>
      </c>
    </row>
    <row r="83" spans="1:6" x14ac:dyDescent="0.25">
      <c r="C83" s="77"/>
      <c r="D83" s="77"/>
    </row>
    <row r="84" spans="1:6" ht="15" customHeight="1" x14ac:dyDescent="0.25">
      <c r="B84" s="73" t="s">
        <v>31</v>
      </c>
      <c r="C84" s="77"/>
      <c r="D84" s="77"/>
      <c r="E84" s="73">
        <f>((F44/E44)/(F46/E46))</f>
        <v>24.047193687658268</v>
      </c>
    </row>
    <row r="85" spans="1:6" x14ac:dyDescent="0.25">
      <c r="B85" s="73"/>
      <c r="C85" s="77"/>
      <c r="D85" s="77"/>
      <c r="E85" s="73"/>
    </row>
    <row r="86" spans="1:6" x14ac:dyDescent="0.25">
      <c r="C86" s="77"/>
      <c r="D86" s="77"/>
    </row>
    <row r="87" spans="1:6" x14ac:dyDescent="0.25">
      <c r="F87" s="47"/>
    </row>
    <row r="88" spans="1:6" x14ac:dyDescent="0.25">
      <c r="B88" t="s">
        <v>32</v>
      </c>
      <c r="C88">
        <f>_xlfn.F.INV.RT(0.05,3,5)</f>
        <v>5.4094513180564894</v>
      </c>
    </row>
    <row r="90" spans="1:6" x14ac:dyDescent="0.25">
      <c r="B90" t="s">
        <v>76</v>
      </c>
    </row>
    <row r="92" spans="1:6" ht="15.75" thickBot="1" x14ac:dyDescent="0.3"/>
    <row r="93" spans="1:6" ht="16.5" thickBot="1" x14ac:dyDescent="0.3">
      <c r="A93" s="71" t="s">
        <v>84</v>
      </c>
      <c r="B93" s="69" t="s">
        <v>77</v>
      </c>
      <c r="C93" s="69"/>
    </row>
    <row r="94" spans="1:6" ht="15.75" x14ac:dyDescent="0.25">
      <c r="B94" s="69"/>
      <c r="C94" s="69"/>
    </row>
    <row r="95" spans="1:6" ht="15.75" x14ac:dyDescent="0.25">
      <c r="B95" s="69"/>
      <c r="C95" s="11" t="s">
        <v>78</v>
      </c>
    </row>
    <row r="96" spans="1:6" ht="15.75" x14ac:dyDescent="0.25">
      <c r="B96" s="69"/>
      <c r="C96" s="11"/>
    </row>
    <row r="97" spans="2:12" x14ac:dyDescent="0.25">
      <c r="C97" s="72"/>
      <c r="D97" s="72"/>
    </row>
    <row r="98" spans="2:12" x14ac:dyDescent="0.25">
      <c r="C98" s="72"/>
      <c r="D98" s="72"/>
      <c r="E98" s="70">
        <f>1/(F46/5)</f>
        <v>1.3398838767306789E-2</v>
      </c>
    </row>
    <row r="99" spans="2:12" x14ac:dyDescent="0.25">
      <c r="E99" s="70" t="s">
        <v>85</v>
      </c>
    </row>
    <row r="100" spans="2:12" x14ac:dyDescent="0.25">
      <c r="B100" s="72"/>
      <c r="C100" s="72"/>
      <c r="D100" s="72"/>
      <c r="E100" s="70">
        <f>((C15*C17)-C16)/((C17*3*(F44/3))-(1*(F46/5)))</f>
        <v>4.9757845153585529E-4</v>
      </c>
    </row>
    <row r="101" spans="2:12" x14ac:dyDescent="0.25">
      <c r="B101" s="72"/>
      <c r="C101" s="72"/>
      <c r="D101" s="72"/>
      <c r="E101" s="70"/>
    </row>
    <row r="102" spans="2:12" x14ac:dyDescent="0.25">
      <c r="E102" s="70"/>
    </row>
    <row r="103" spans="2:12" x14ac:dyDescent="0.25">
      <c r="B103" s="72"/>
      <c r="C103" s="72"/>
      <c r="D103" s="72"/>
      <c r="E103" s="70">
        <f>(E98-E100)/((8*E98)+(E100))</f>
        <v>0.1198018882525925</v>
      </c>
    </row>
    <row r="104" spans="2:12" x14ac:dyDescent="0.25">
      <c r="B104" s="72"/>
      <c r="C104" s="72"/>
      <c r="D104" s="72"/>
    </row>
    <row r="106" spans="2:12" x14ac:dyDescent="0.25">
      <c r="B106" s="28" t="s">
        <v>79</v>
      </c>
      <c r="C106" s="28" t="s">
        <v>6</v>
      </c>
      <c r="D106" s="28" t="s">
        <v>8</v>
      </c>
      <c r="E106" s="28" t="s">
        <v>9</v>
      </c>
      <c r="F106" s="28" t="s">
        <v>10</v>
      </c>
      <c r="G106" s="28" t="s">
        <v>80</v>
      </c>
      <c r="H106" s="28" t="s">
        <v>67</v>
      </c>
      <c r="I106" s="28" t="s">
        <v>81</v>
      </c>
      <c r="J106" s="28" t="s">
        <v>82</v>
      </c>
      <c r="K106" s="44"/>
      <c r="L106" s="44"/>
    </row>
    <row r="107" spans="2:12" x14ac:dyDescent="0.25">
      <c r="B107" s="28" t="s">
        <v>2</v>
      </c>
      <c r="C107" s="44">
        <v>148</v>
      </c>
      <c r="D107" s="44">
        <v>157</v>
      </c>
      <c r="E107" s="44"/>
      <c r="F107" s="44">
        <v>204</v>
      </c>
      <c r="G107" s="44">
        <f>SUM(C107:F107)</f>
        <v>509</v>
      </c>
      <c r="H107" s="44">
        <f>G107^2</f>
        <v>259081</v>
      </c>
      <c r="I107" s="44">
        <f>C111+D111+F111</f>
        <v>1710</v>
      </c>
      <c r="J107" s="44">
        <f>G107-(3*I107)+(2*$H$33)</f>
        <v>133</v>
      </c>
      <c r="K107" s="44">
        <f>G107+($E$103*J107)</f>
        <v>524.93365113759478</v>
      </c>
      <c r="L107" s="44">
        <f>K107^2</f>
        <v>275555.33809664607</v>
      </c>
    </row>
    <row r="108" spans="2:12" x14ac:dyDescent="0.25">
      <c r="B108" s="28" t="s">
        <v>3</v>
      </c>
      <c r="C108" s="44">
        <v>169</v>
      </c>
      <c r="D108" s="44">
        <v>160</v>
      </c>
      <c r="E108" s="44">
        <v>190</v>
      </c>
      <c r="F108" s="44"/>
      <c r="G108" s="44">
        <f t="shared" ref="G108:G110" si="4">SUM(C108:F108)</f>
        <v>519</v>
      </c>
      <c r="H108" s="44">
        <v>0</v>
      </c>
      <c r="I108" s="44">
        <f>C111+D111+E111</f>
        <v>1684</v>
      </c>
      <c r="J108" s="44">
        <f t="shared" ref="J108:J110" si="5">G108-(3*I108)+(2*$H$33)</f>
        <v>221</v>
      </c>
      <c r="K108" s="44">
        <f t="shared" ref="K108:K110" si="6">G108+($E$103*J108)</f>
        <v>545.47621730382298</v>
      </c>
      <c r="L108" s="44">
        <f t="shared" ref="L108:L110" si="7">K108^2</f>
        <v>297544.30364408751</v>
      </c>
    </row>
    <row r="109" spans="2:12" x14ac:dyDescent="0.25">
      <c r="B109" s="28" t="s">
        <v>4</v>
      </c>
      <c r="C109" s="44"/>
      <c r="D109" s="44">
        <v>206</v>
      </c>
      <c r="E109" s="44">
        <v>260</v>
      </c>
      <c r="F109" s="44">
        <v>256</v>
      </c>
      <c r="G109" s="44">
        <f t="shared" si="4"/>
        <v>722</v>
      </c>
      <c r="H109" s="44">
        <f t="shared" ref="H109:H110" si="8">G109^2</f>
        <v>521284</v>
      </c>
      <c r="I109" s="44">
        <f>D111+E111+F111</f>
        <v>1883</v>
      </c>
      <c r="J109" s="44">
        <f t="shared" si="5"/>
        <v>-173</v>
      </c>
      <c r="K109" s="44">
        <f t="shared" si="6"/>
        <v>701.2742733323015</v>
      </c>
      <c r="L109" s="44">
        <f t="shared" si="7"/>
        <v>491785.60643774754</v>
      </c>
    </row>
    <row r="110" spans="2:12" x14ac:dyDescent="0.25">
      <c r="B110" s="28" t="s">
        <v>5</v>
      </c>
      <c r="C110" s="44">
        <v>177</v>
      </c>
      <c r="D110" s="44"/>
      <c r="E110" s="44">
        <v>217</v>
      </c>
      <c r="F110" s="44">
        <v>233</v>
      </c>
      <c r="G110" s="44">
        <f t="shared" si="4"/>
        <v>627</v>
      </c>
      <c r="H110" s="44">
        <f t="shared" si="8"/>
        <v>393129</v>
      </c>
      <c r="I110" s="44">
        <f>C111+E111+F111</f>
        <v>1854</v>
      </c>
      <c r="J110" s="44">
        <f t="shared" si="5"/>
        <v>-181</v>
      </c>
      <c r="K110" s="44">
        <f t="shared" si="6"/>
        <v>605.31585822628074</v>
      </c>
      <c r="L110" s="44">
        <f t="shared" si="7"/>
        <v>366407.28822021879</v>
      </c>
    </row>
    <row r="111" spans="2:12" x14ac:dyDescent="0.25">
      <c r="B111" s="28" t="s">
        <v>65</v>
      </c>
      <c r="C111" s="44">
        <f>SUM(C107:C110)</f>
        <v>494</v>
      </c>
      <c r="D111" s="44">
        <f t="shared" ref="D111:F111" si="9">SUM(D107:D110)</f>
        <v>523</v>
      </c>
      <c r="E111" s="44">
        <f t="shared" si="9"/>
        <v>667</v>
      </c>
      <c r="F111" s="44">
        <f t="shared" si="9"/>
        <v>693</v>
      </c>
      <c r="G111" s="28">
        <f>SUM(G107:G110)</f>
        <v>2377</v>
      </c>
      <c r="H111" s="44"/>
      <c r="I111" s="44"/>
      <c r="J111" s="44"/>
      <c r="K111" s="44"/>
      <c r="L111" s="28">
        <f>SUM(L107:L110)</f>
        <v>1431292.5363987</v>
      </c>
    </row>
    <row r="112" spans="2:12" x14ac:dyDescent="0.25">
      <c r="B112" s="28" t="s">
        <v>66</v>
      </c>
      <c r="C112" s="44">
        <f>C111^2</f>
        <v>244036</v>
      </c>
      <c r="D112" s="44">
        <f t="shared" ref="D112:F112" si="10">D111^2</f>
        <v>273529</v>
      </c>
      <c r="E112" s="44">
        <f t="shared" si="10"/>
        <v>444889</v>
      </c>
      <c r="F112" s="44">
        <f t="shared" si="10"/>
        <v>480249</v>
      </c>
      <c r="G112" s="44"/>
      <c r="H112" s="44"/>
      <c r="I112" s="44"/>
      <c r="J112" s="44"/>
      <c r="K112" s="44"/>
      <c r="L112" s="44"/>
    </row>
    <row r="114" spans="3:6" x14ac:dyDescent="0.25">
      <c r="C114" s="72"/>
      <c r="D114" s="72"/>
      <c r="E114" s="72"/>
    </row>
    <row r="115" spans="3:6" x14ac:dyDescent="0.25">
      <c r="C115" s="72"/>
      <c r="D115" s="72"/>
      <c r="E115" s="72"/>
      <c r="F115" s="15">
        <f>(F46/5)*(1+E103)</f>
        <v>83.574547593252092</v>
      </c>
    </row>
    <row r="116" spans="3:6" x14ac:dyDescent="0.25">
      <c r="F116" s="15"/>
    </row>
    <row r="117" spans="3:6" x14ac:dyDescent="0.25">
      <c r="C117" s="72"/>
      <c r="D117" s="72"/>
      <c r="E117" s="72"/>
      <c r="F117" s="15"/>
    </row>
    <row r="118" spans="3:6" x14ac:dyDescent="0.25">
      <c r="C118" s="72"/>
      <c r="D118" s="72"/>
      <c r="E118" s="72"/>
      <c r="F118" s="15">
        <f>((((1/3)*L111)-E50)/3)/F115</f>
        <v>24.941520194247705</v>
      </c>
    </row>
    <row r="119" spans="3:6" x14ac:dyDescent="0.25">
      <c r="C119" s="72"/>
      <c r="D119" s="72"/>
      <c r="E119" s="72"/>
    </row>
    <row r="121" spans="3:6" x14ac:dyDescent="0.25">
      <c r="D121" t="s">
        <v>83</v>
      </c>
      <c r="E121" s="15">
        <f>_xlfn.F.INV.RT(0.05,3,5)</f>
        <v>5.4094513180564894</v>
      </c>
    </row>
    <row r="123" spans="3:6" x14ac:dyDescent="0.25">
      <c r="C123" t="s">
        <v>72</v>
      </c>
    </row>
  </sheetData>
  <mergeCells count="33">
    <mergeCell ref="B6:B7"/>
    <mergeCell ref="C6:F6"/>
    <mergeCell ref="B28:C28"/>
    <mergeCell ref="C49:D51"/>
    <mergeCell ref="C53:E55"/>
    <mergeCell ref="H57:J59"/>
    <mergeCell ref="E84:E85"/>
    <mergeCell ref="N58:O60"/>
    <mergeCell ref="M1:N1"/>
    <mergeCell ref="M2:N2"/>
    <mergeCell ref="F1:G1"/>
    <mergeCell ref="G44:H44"/>
    <mergeCell ref="G47:H47"/>
    <mergeCell ref="G46:H46"/>
    <mergeCell ref="G45:H45"/>
    <mergeCell ref="G43:H43"/>
    <mergeCell ref="B84:B85"/>
    <mergeCell ref="C21:E21"/>
    <mergeCell ref="C22:E22"/>
    <mergeCell ref="C23:E23"/>
    <mergeCell ref="B41:C41"/>
    <mergeCell ref="B29:B32"/>
    <mergeCell ref="C69:D72"/>
    <mergeCell ref="B70:B71"/>
    <mergeCell ref="E70:E71"/>
    <mergeCell ref="C83:D86"/>
    <mergeCell ref="C57:E59"/>
    <mergeCell ref="C61:E63"/>
    <mergeCell ref="C97:D98"/>
    <mergeCell ref="B100:D101"/>
    <mergeCell ref="C114:E115"/>
    <mergeCell ref="C117:E119"/>
    <mergeCell ref="B103:D10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vishwa patel</dc:creator>
  <cp:lastModifiedBy>Windows User</cp:lastModifiedBy>
  <dcterms:created xsi:type="dcterms:W3CDTF">2015-06-05T18:17:20Z</dcterms:created>
  <dcterms:modified xsi:type="dcterms:W3CDTF">2022-08-22T16:02:46Z</dcterms:modified>
</cp:coreProperties>
</file>