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patel\Desktop\Msc sem3\DOE\practicals\"/>
    </mc:Choice>
  </mc:AlternateContent>
  <xr:revisionPtr revIDLastSave="0" documentId="13_ncr:1_{E44825DA-4015-4F83-B629-20D9CB81F9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7" i="1" l="1"/>
  <c r="G156" i="1"/>
  <c r="G150" i="1"/>
  <c r="G151" i="1"/>
  <c r="G152" i="1"/>
  <c r="G153" i="1"/>
  <c r="G154" i="1"/>
  <c r="G155" i="1"/>
  <c r="G157" i="1"/>
  <c r="G158" i="1"/>
  <c r="G149" i="1"/>
  <c r="F171" i="1"/>
  <c r="F159" i="1"/>
  <c r="E158" i="1"/>
  <c r="E157" i="1"/>
  <c r="E156" i="1"/>
  <c r="E155" i="1"/>
  <c r="E154" i="1"/>
  <c r="E153" i="1"/>
  <c r="E152" i="1"/>
  <c r="E151" i="1"/>
  <c r="E150" i="1"/>
  <c r="E149" i="1"/>
  <c r="E159" i="1" l="1"/>
  <c r="F89" i="1"/>
  <c r="F88" i="1"/>
  <c r="F87" i="1"/>
  <c r="D60" i="1" a="1"/>
  <c r="D60" i="1" s="1"/>
  <c r="D61" i="1" s="1"/>
  <c r="D59" i="1" a="1"/>
  <c r="D59" i="1" s="1"/>
  <c r="E113" i="1"/>
  <c r="C50" i="1"/>
  <c r="D65" i="1" s="1"/>
  <c r="E80" i="1" s="1"/>
  <c r="G36" i="1"/>
  <c r="G35" i="1"/>
  <c r="G34" i="1"/>
  <c r="G33" i="1"/>
  <c r="D41" i="1" s="1" a="1"/>
  <c r="D41" i="1" s="1"/>
  <c r="E41" i="1" s="1"/>
  <c r="G32" i="1" a="1"/>
  <c r="G32" i="1" s="1"/>
  <c r="D46" i="1" s="1"/>
  <c r="E46" i="1" s="1"/>
  <c r="D49" i="1" l="1"/>
  <c r="E49" i="1" s="1"/>
  <c r="D48" i="1"/>
  <c r="E48" i="1" s="1"/>
  <c r="D100" i="1"/>
  <c r="E72" i="1"/>
  <c r="G88" i="1" s="1"/>
  <c r="D40" i="1" a="1"/>
  <c r="D40" i="1" s="1"/>
  <c r="E40" i="1" s="1" a="1"/>
  <c r="E40" i="1" s="1"/>
  <c r="E76" i="1"/>
  <c r="E87" i="1" s="1"/>
  <c r="D62" i="1"/>
  <c r="D42" i="1"/>
  <c r="E42" i="1" s="1"/>
  <c r="F90" i="1"/>
  <c r="D43" i="1"/>
  <c r="E43" i="1" s="1"/>
  <c r="D44" i="1"/>
  <c r="E44" i="1" s="1"/>
  <c r="D45" i="1"/>
  <c r="E45" i="1" s="1"/>
  <c r="D47" i="1"/>
  <c r="E47" i="1" s="1"/>
  <c r="G44" i="1" l="1"/>
  <c r="G45" i="1"/>
  <c r="H45" i="1" s="1"/>
  <c r="D63" i="1" a="1"/>
  <c r="D63" i="1" s="1"/>
  <c r="F69" i="1" s="1"/>
  <c r="G40" i="1" a="1"/>
  <c r="G40" i="1" s="1"/>
  <c r="E50" i="1" a="1"/>
  <c r="E50" i="1" s="1"/>
  <c r="G41" i="1"/>
  <c r="H41" i="1" s="1"/>
  <c r="G43" i="1"/>
  <c r="H43" i="1" s="1"/>
  <c r="G42" i="1"/>
  <c r="H42" i="1" s="1"/>
  <c r="H44" i="1"/>
  <c r="G46" i="1"/>
  <c r="H46" i="1" s="1"/>
  <c r="D50" i="1"/>
  <c r="E90" i="1" l="1"/>
  <c r="G49" i="1"/>
  <c r="H49" i="1" s="1"/>
  <c r="G48" i="1"/>
  <c r="H48" i="1" s="1"/>
  <c r="G47" i="1"/>
  <c r="H47" i="1" s="1"/>
  <c r="H40" i="1"/>
  <c r="F68" i="1" l="1"/>
  <c r="G68" i="1" s="1"/>
  <c r="E88" i="1" s="1"/>
  <c r="E89" i="1" s="1" a="1"/>
  <c r="E89" i="1" s="1"/>
  <c r="C123" i="1" s="1"/>
  <c r="D128" i="1" s="1"/>
  <c r="G90" i="1"/>
  <c r="H50" i="1"/>
  <c r="G50" i="1"/>
  <c r="F96" i="1" l="1"/>
  <c r="F97" i="1" l="1"/>
  <c r="G96" i="1" s="1"/>
  <c r="G89" i="1"/>
  <c r="F111" i="1" l="1"/>
  <c r="G87" i="1"/>
  <c r="F110" i="1" l="1"/>
  <c r="G110" i="1" s="1"/>
  <c r="C124" i="1"/>
  <c r="H128" i="1" s="1"/>
  <c r="F131" i="1" l="1"/>
  <c r="D133" i="1" s="1"/>
  <c r="D136" i="1"/>
  <c r="D139" i="1" s="1"/>
  <c r="D142" i="1" l="1"/>
  <c r="D145" i="1"/>
  <c r="J157" i="1" l="1"/>
  <c r="I151" i="1"/>
  <c r="J151" i="1" s="1"/>
  <c r="I152" i="1"/>
  <c r="I150" i="1"/>
  <c r="J150" i="1"/>
  <c r="I155" i="1"/>
  <c r="I154" i="1"/>
  <c r="J154" i="1" s="1"/>
  <c r="I156" i="1"/>
  <c r="J156" i="1" s="1"/>
  <c r="G159" i="1"/>
  <c r="J158" i="1"/>
  <c r="J152" i="1"/>
  <c r="I158" i="1"/>
  <c r="I153" i="1"/>
  <c r="J153" i="1" s="1"/>
  <c r="I149" i="1"/>
  <c r="I159" i="1" s="1"/>
  <c r="J155" i="1"/>
  <c r="J149" i="1" l="1"/>
  <c r="F167" i="1"/>
  <c r="J159" i="1"/>
</calcChain>
</file>

<file path=xl/sharedStrings.xml><?xml version="1.0" encoding="utf-8"?>
<sst xmlns="http://schemas.openxmlformats.org/spreadsheetml/2006/main" count="217" uniqueCount="181">
  <si>
    <t>Que.</t>
  </si>
  <si>
    <t>Identify the following design and perform intra and interblock analysis</t>
  </si>
  <si>
    <t>Intra Block Analysis</t>
  </si>
  <si>
    <t xml:space="preserve">    </t>
  </si>
  <si>
    <t>Block</t>
  </si>
  <si>
    <t>Treatment and yield</t>
  </si>
  <si>
    <t>(6) 89</t>
  </si>
  <si>
    <t>(1) 14</t>
  </si>
  <si>
    <t>(7) 45</t>
  </si>
  <si>
    <t>(5) 80</t>
  </si>
  <si>
    <t>(2) 43</t>
  </si>
  <si>
    <t>(3) 34</t>
  </si>
  <si>
    <t>(4) 36</t>
  </si>
  <si>
    <t>(1) 31</t>
  </si>
  <si>
    <t>(8) 69</t>
  </si>
  <si>
    <t>(6) 69</t>
  </si>
  <si>
    <t>(9) 25</t>
  </si>
  <si>
    <t>(4) 52</t>
  </si>
  <si>
    <t>(2) 51</t>
  </si>
  <si>
    <t>(5) 89</t>
  </si>
  <si>
    <t>(10) 17</t>
  </si>
  <si>
    <t>(9) 17</t>
  </si>
  <si>
    <t>(10) 23</t>
  </si>
  <si>
    <t>(3) 32</t>
  </si>
  <si>
    <t>(7) 51</t>
  </si>
  <si>
    <t>(8) 63</t>
  </si>
  <si>
    <t>b=</t>
  </si>
  <si>
    <t>v=</t>
  </si>
  <si>
    <t>(no.s which are in bracket)</t>
  </si>
  <si>
    <t>r=</t>
  </si>
  <si>
    <t>k=</t>
  </si>
  <si>
    <t>λ =</t>
  </si>
  <si>
    <t>?</t>
  </si>
  <si>
    <t>(To determine  λ we should know whether it's BIBD or PBIBD)</t>
  </si>
  <si>
    <t>(block size)</t>
  </si>
  <si>
    <t>4 treatments in each block. Therefore its incomplete.</t>
  </si>
  <si>
    <t>1st associate -</t>
  </si>
  <si>
    <t>those not occuring together (pair)</t>
  </si>
  <si>
    <t>2nd associate -</t>
  </si>
  <si>
    <t>those occuring together(pair)</t>
  </si>
  <si>
    <r>
      <t>t</t>
    </r>
    <r>
      <rPr>
        <vertAlign val="subscript"/>
        <sz val="14"/>
        <color theme="1"/>
        <rFont val="Calibri"/>
        <family val="2"/>
        <scheme val="minor"/>
      </rPr>
      <t>s</t>
    </r>
  </si>
  <si>
    <t>1st associate of ts</t>
  </si>
  <si>
    <t>2nd associate of ts</t>
  </si>
  <si>
    <t>8,9,10</t>
  </si>
  <si>
    <t>2,3,4,5,6,7</t>
  </si>
  <si>
    <t>6,7,8</t>
  </si>
  <si>
    <t>1,3,4,5,9,10</t>
  </si>
  <si>
    <t>5,6,9</t>
  </si>
  <si>
    <t>1,2,4,7,8,10</t>
  </si>
  <si>
    <t>5,7,10</t>
  </si>
  <si>
    <t>1,2,3,6,8,9</t>
  </si>
  <si>
    <t>P1=</t>
  </si>
  <si>
    <t>3,4,8</t>
  </si>
  <si>
    <t>1,2,6,7,9,10</t>
  </si>
  <si>
    <t>2,3,10</t>
  </si>
  <si>
    <t>1,4,5,7,8,9</t>
  </si>
  <si>
    <t>2,4,9</t>
  </si>
  <si>
    <t>1,3,5,6,8,10</t>
  </si>
  <si>
    <t>P2=</t>
  </si>
  <si>
    <t>1,2,5</t>
  </si>
  <si>
    <t>3,4,6,7,9,10</t>
  </si>
  <si>
    <t>1,3,7</t>
  </si>
  <si>
    <t>2,4,5,6,8,10</t>
  </si>
  <si>
    <t>1,4,6</t>
  </si>
  <si>
    <t>2,3,5,7,8,9</t>
  </si>
  <si>
    <t>P11^1</t>
  </si>
  <si>
    <t>P12^1</t>
  </si>
  <si>
    <t>P21^1</t>
  </si>
  <si>
    <t>P22^1</t>
  </si>
  <si>
    <t>=</t>
  </si>
  <si>
    <t>P11^2</t>
  </si>
  <si>
    <t>P12^2</t>
  </si>
  <si>
    <t>P21^2</t>
  </si>
  <si>
    <t>P22^2</t>
  </si>
  <si>
    <t>Sum</t>
  </si>
  <si>
    <r>
      <t>T</t>
    </r>
    <r>
      <rPr>
        <vertAlign val="subscript"/>
        <sz val="14"/>
        <color theme="1"/>
        <rFont val="Calibri"/>
        <family val="2"/>
        <scheme val="minor"/>
      </rPr>
      <t>s</t>
    </r>
  </si>
  <si>
    <t>B(s)</t>
  </si>
  <si>
    <r>
      <t>K(Q</t>
    </r>
    <r>
      <rPr>
        <vertAlign val="subscript"/>
        <sz val="14"/>
        <color theme="1"/>
        <rFont val="Calibri"/>
        <family val="2"/>
        <scheme val="minor"/>
      </rPr>
      <t>s</t>
    </r>
    <r>
      <rPr>
        <sz val="14"/>
        <color theme="1"/>
        <rFont val="Calibri"/>
        <family val="2"/>
        <scheme val="minor"/>
      </rPr>
      <t>)=  KTs-B(s)</t>
    </r>
  </si>
  <si>
    <r>
      <t>1st associate of t</t>
    </r>
    <r>
      <rPr>
        <vertAlign val="subscript"/>
        <sz val="14"/>
        <color theme="1"/>
        <rFont val="Calibri"/>
        <family val="2"/>
        <scheme val="minor"/>
      </rPr>
      <t>s</t>
    </r>
  </si>
  <si>
    <r>
      <t>S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>(KQs)</t>
    </r>
  </si>
  <si>
    <r>
      <t>(KQ</t>
    </r>
    <r>
      <rPr>
        <vertAlign val="subscript"/>
        <sz val="14"/>
        <color theme="1"/>
        <rFont val="Calibri"/>
        <family val="2"/>
        <scheme val="minor"/>
      </rPr>
      <t>s</t>
    </r>
    <r>
      <rPr>
        <sz val="14"/>
        <color theme="1"/>
        <rFont val="Calibri"/>
        <family val="2"/>
        <scheme val="minor"/>
      </rPr>
      <t>)*(S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>(KQs))</t>
    </r>
  </si>
  <si>
    <t>where,</t>
  </si>
  <si>
    <t>ts=</t>
  </si>
  <si>
    <t>treatment</t>
  </si>
  <si>
    <t>Ts=</t>
  </si>
  <si>
    <t>Total of this treatment</t>
  </si>
  <si>
    <t>B(s) =</t>
  </si>
  <si>
    <r>
      <t>Sum of those block where s</t>
    </r>
    <r>
      <rPr>
        <vertAlign val="superscript"/>
        <sz val="14"/>
        <color theme="1"/>
        <rFont val="Calibri"/>
        <family val="2"/>
        <scheme val="minor"/>
      </rPr>
      <t>th</t>
    </r>
    <r>
      <rPr>
        <sz val="14"/>
        <color theme="1"/>
        <rFont val="Calibri"/>
        <family val="2"/>
        <scheme val="minor"/>
      </rPr>
      <t xml:space="preserve"> treat is occuring</t>
    </r>
  </si>
  <si>
    <t>Sum of those K(Qs) which are 1st assoc.</t>
  </si>
  <si>
    <t>G</t>
  </si>
  <si>
    <r>
      <t>S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>(KQs)=</t>
    </r>
  </si>
  <si>
    <t>A=</t>
  </si>
  <si>
    <r>
      <t>r(k-1)+λ</t>
    </r>
    <r>
      <rPr>
        <vertAlign val="subscript"/>
        <sz val="14"/>
        <color theme="1"/>
        <rFont val="Calibri"/>
        <family val="2"/>
        <scheme val="minor"/>
      </rPr>
      <t>2</t>
    </r>
  </si>
  <si>
    <t xml:space="preserve">B = </t>
  </si>
  <si>
    <r>
      <t>λ</t>
    </r>
    <r>
      <rPr>
        <vertAlign val="sub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>-λ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</t>
    </r>
  </si>
  <si>
    <t>C=</t>
  </si>
  <si>
    <r>
      <t>B * P</t>
    </r>
    <r>
      <rPr>
        <vertAlign val="subscript"/>
        <sz val="14"/>
        <color theme="1"/>
        <rFont val="Calibri"/>
        <family val="2"/>
        <scheme val="minor"/>
      </rPr>
      <t>12</t>
    </r>
    <r>
      <rPr>
        <vertAlign val="superscript"/>
        <sz val="14"/>
        <color theme="1"/>
        <rFont val="Calibri"/>
        <family val="2"/>
        <scheme val="minor"/>
      </rPr>
      <t>2</t>
    </r>
  </si>
  <si>
    <t>D=</t>
  </si>
  <si>
    <r>
      <t>A + B(P</t>
    </r>
    <r>
      <rPr>
        <vertAlign val="subscript"/>
        <sz val="14"/>
        <color theme="1"/>
        <rFont val="Calibri"/>
        <family val="2"/>
        <scheme val="minor"/>
      </rPr>
      <t>11</t>
    </r>
    <r>
      <rPr>
        <vertAlign val="super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- P</t>
    </r>
    <r>
      <rPr>
        <vertAlign val="subscript"/>
        <sz val="14"/>
        <color theme="1"/>
        <rFont val="Calibri"/>
        <family val="2"/>
        <scheme val="minor"/>
      </rPr>
      <t>11</t>
    </r>
    <r>
      <rPr>
        <vertAlign val="super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>)</t>
    </r>
  </si>
  <si>
    <t>Δ =</t>
  </si>
  <si>
    <t>AD - BC</t>
  </si>
  <si>
    <t>cf=</t>
  </si>
  <si>
    <r>
      <t>G</t>
    </r>
    <r>
      <rPr>
        <vertAlign val="super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>/bk</t>
    </r>
  </si>
  <si>
    <t xml:space="preserve">SST (Adj) = </t>
  </si>
  <si>
    <r>
      <rPr>
        <u/>
        <sz val="14"/>
        <color theme="1"/>
        <rFont val="Calibri"/>
        <family val="2"/>
        <scheme val="minor"/>
      </rPr>
      <t>[D*</t>
    </r>
    <r>
      <rPr>
        <u/>
        <sz val="14"/>
        <color theme="1"/>
        <rFont val="Calibri"/>
        <family val="2"/>
      </rPr>
      <t>Σ( K(Qs))</t>
    </r>
    <r>
      <rPr>
        <u/>
        <vertAlign val="superscript"/>
        <sz val="14"/>
        <color theme="1"/>
        <rFont val="Calibri"/>
        <family val="2"/>
      </rPr>
      <t>2</t>
    </r>
    <r>
      <rPr>
        <u/>
        <sz val="14"/>
        <color theme="1"/>
        <rFont val="Calibri"/>
        <family val="2"/>
      </rPr>
      <t>] - [B*Σ (KQ(s)*S1(KQs))]</t>
    </r>
  </si>
  <si>
    <t xml:space="preserve">                 K Δ</t>
  </si>
  <si>
    <t>SST (unadj)</t>
  </si>
  <si>
    <t>SSB (unadj)</t>
  </si>
  <si>
    <t>Total S.S</t>
  </si>
  <si>
    <t>ANOVA TABLE:</t>
  </si>
  <si>
    <t>SOURCE</t>
  </si>
  <si>
    <t>S.S</t>
  </si>
  <si>
    <t>d.f</t>
  </si>
  <si>
    <t>Block (unadj.)</t>
  </si>
  <si>
    <t>Block (adj.)</t>
  </si>
  <si>
    <t>Treat (adj.)</t>
  </si>
  <si>
    <t>Treat(unadj.)</t>
  </si>
  <si>
    <t>Error</t>
  </si>
  <si>
    <t>Total</t>
  </si>
  <si>
    <r>
      <t>H</t>
    </r>
    <r>
      <rPr>
        <vertAlign val="subscript"/>
        <sz val="14"/>
        <color theme="1"/>
        <rFont val="Calibri"/>
        <family val="2"/>
        <scheme val="minor"/>
      </rPr>
      <t>01</t>
    </r>
    <r>
      <rPr>
        <sz val="14"/>
        <color theme="1"/>
        <rFont val="Calibri"/>
        <family val="2"/>
        <scheme val="minor"/>
      </rPr>
      <t>:</t>
    </r>
  </si>
  <si>
    <t>All the treatments are equally effective.</t>
  </si>
  <si>
    <r>
      <t>vs. H</t>
    </r>
    <r>
      <rPr>
        <vertAlign val="subscript"/>
        <sz val="14"/>
        <color theme="1"/>
        <rFont val="Calibri"/>
        <family val="2"/>
        <scheme val="minor"/>
      </rPr>
      <t>11</t>
    </r>
    <r>
      <rPr>
        <sz val="14"/>
        <color theme="1"/>
        <rFont val="Calibri"/>
        <family val="2"/>
        <scheme val="minor"/>
      </rPr>
      <t>: Atleast 1 differs.</t>
    </r>
  </si>
  <si>
    <r>
      <t>T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>=T</t>
    </r>
    <r>
      <rPr>
        <vertAlign val="sub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>=…Tv= 0</t>
    </r>
  </si>
  <si>
    <t>F cal=</t>
  </si>
  <si>
    <t>SS(treat. Adj.)/df</t>
  </si>
  <si>
    <t>MSST(adj)</t>
  </si>
  <si>
    <t>Error SS/ df</t>
  </si>
  <si>
    <t>MSSE</t>
  </si>
  <si>
    <t>F tab =</t>
  </si>
  <si>
    <t>Conclusion:</t>
  </si>
  <si>
    <t xml:space="preserve">Here, F cal&gt; F tab </t>
  </si>
  <si>
    <r>
      <t>Therefore,  we reject H</t>
    </r>
    <r>
      <rPr>
        <b/>
        <vertAlign val="subscript"/>
        <sz val="14"/>
        <color theme="1"/>
        <rFont val="Calibri"/>
        <family val="2"/>
        <scheme val="minor"/>
      </rPr>
      <t>01</t>
    </r>
    <r>
      <rPr>
        <b/>
        <sz val="14"/>
        <color theme="1"/>
        <rFont val="Calibri"/>
        <family val="2"/>
        <scheme val="minor"/>
      </rPr>
      <t xml:space="preserve"> at 5% level of significance and with (9,6) degrees of freedom.</t>
    </r>
  </si>
  <si>
    <t>Hence,atleast 1 treatment differs and is not equally effective.</t>
  </si>
  <si>
    <t>For Blocks:</t>
  </si>
  <si>
    <r>
      <t>H</t>
    </r>
    <r>
      <rPr>
        <vertAlign val="subscript"/>
        <sz val="14"/>
        <color theme="1"/>
        <rFont val="Calibri"/>
        <family val="2"/>
        <scheme val="minor"/>
      </rPr>
      <t>02</t>
    </r>
    <r>
      <rPr>
        <sz val="14"/>
        <color theme="1"/>
        <rFont val="Calibri"/>
        <family val="2"/>
        <scheme val="minor"/>
      </rPr>
      <t>:</t>
    </r>
  </si>
  <si>
    <t>All blocks are homogeneous.</t>
  </si>
  <si>
    <t>against</t>
  </si>
  <si>
    <r>
      <t>H</t>
    </r>
    <r>
      <rPr>
        <vertAlign val="subscript"/>
        <sz val="14"/>
        <color theme="1"/>
        <rFont val="Calibri"/>
        <family val="2"/>
        <scheme val="minor"/>
      </rPr>
      <t>12</t>
    </r>
    <r>
      <rPr>
        <sz val="14"/>
        <color theme="1"/>
        <rFont val="Calibri"/>
        <family val="2"/>
        <scheme val="minor"/>
      </rPr>
      <t>:</t>
    </r>
  </si>
  <si>
    <t>All blocks are not homogeneous.</t>
  </si>
  <si>
    <r>
      <t>B</t>
    </r>
    <r>
      <rPr>
        <vertAlign val="subscript"/>
        <sz val="14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>=B</t>
    </r>
    <r>
      <rPr>
        <vertAlign val="sub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>=…B</t>
    </r>
    <r>
      <rPr>
        <vertAlign val="subscript"/>
        <sz val="14"/>
        <color theme="1"/>
        <rFont val="Calibri"/>
        <family val="2"/>
        <scheme val="minor"/>
      </rPr>
      <t>b</t>
    </r>
    <r>
      <rPr>
        <sz val="14"/>
        <color theme="1"/>
        <rFont val="Calibri"/>
        <family val="2"/>
        <scheme val="minor"/>
      </rPr>
      <t>= 0</t>
    </r>
  </si>
  <si>
    <t>S.S(block. Adj.)/df</t>
  </si>
  <si>
    <t>MSSB(adj)</t>
  </si>
  <si>
    <t>Error ss/ df</t>
  </si>
  <si>
    <t>F tab=</t>
  </si>
  <si>
    <t xml:space="preserve">Here, F cal &lt; F tab </t>
  </si>
  <si>
    <r>
      <t>Therefore  we do not reject H</t>
    </r>
    <r>
      <rPr>
        <b/>
        <vertAlign val="subscript"/>
        <sz val="14"/>
        <color theme="1"/>
        <rFont val="Calibri"/>
        <family val="2"/>
        <scheme val="minor"/>
      </rPr>
      <t>02</t>
    </r>
    <r>
      <rPr>
        <b/>
        <sz val="14"/>
        <color theme="1"/>
        <rFont val="Calibri"/>
        <family val="2"/>
        <scheme val="minor"/>
      </rPr>
      <t xml:space="preserve"> at 5% level of significance and with (4,6) degrees of freedom.</t>
    </r>
  </si>
  <si>
    <t>Hence, all the blocks are homogeneous.</t>
  </si>
  <si>
    <t>VISHVA PATEL</t>
  </si>
  <si>
    <t>2017033800132740</t>
  </si>
  <si>
    <r>
      <t>λ</t>
    </r>
    <r>
      <rPr>
        <b/>
        <vertAlign val="subscript"/>
        <sz val="14"/>
        <color theme="1"/>
        <rFont val="Calibri"/>
        <family val="2"/>
        <scheme val="minor"/>
      </rPr>
      <t>1</t>
    </r>
    <r>
      <rPr>
        <b/>
        <sz val="14"/>
        <color theme="1"/>
        <rFont val="Calibri"/>
        <family val="2"/>
        <scheme val="minor"/>
      </rPr>
      <t xml:space="preserve"> =</t>
    </r>
  </si>
  <si>
    <r>
      <t>λ</t>
    </r>
    <r>
      <rPr>
        <b/>
        <vertAlign val="subscript"/>
        <sz val="14"/>
        <color theme="1"/>
        <rFont val="Calibri"/>
        <family val="2"/>
        <scheme val="minor"/>
      </rPr>
      <t>2</t>
    </r>
    <r>
      <rPr>
        <b/>
        <sz val="14"/>
        <color theme="1"/>
        <rFont val="Calibri"/>
        <family val="2"/>
        <scheme val="minor"/>
      </rPr>
      <t>=</t>
    </r>
  </si>
  <si>
    <t xml:space="preserve">For treatments </t>
  </si>
  <si>
    <t>Here p11 ^1 means 1 in superscript stands for  1st assoc. of ts and subscript 11 stands for 1st assoc. of treatment 1 and 1st assoc. of treatment 2 and so on.</t>
  </si>
  <si>
    <t>Here p11 ^2 means 1 in superscript stands for  2nd assoc. of ts and subscript 11 stands for 1st assoc. of treatment 1 and 1st assoc. of treatment 2 and so on.</t>
  </si>
  <si>
    <t>Interblock PBIBD</t>
  </si>
  <si>
    <t>Ee = Mean intrablock error Sum of square</t>
  </si>
  <si>
    <t>Eb=Mean intrablock adj block   Sum of square</t>
  </si>
  <si>
    <r>
      <t>E</t>
    </r>
    <r>
      <rPr>
        <b/>
        <vertAlign val="subscript"/>
        <sz val="14"/>
        <color theme="1"/>
        <rFont val="Century"/>
        <family val="1"/>
      </rPr>
      <t>e</t>
    </r>
    <r>
      <rPr>
        <b/>
        <sz val="14"/>
        <color theme="1"/>
        <rFont val="Century"/>
        <family val="1"/>
      </rPr>
      <t xml:space="preserve"> = </t>
    </r>
  </si>
  <si>
    <r>
      <t>E</t>
    </r>
    <r>
      <rPr>
        <b/>
        <vertAlign val="subscript"/>
        <sz val="14"/>
        <color theme="1"/>
        <rFont val="Century"/>
        <family val="1"/>
      </rPr>
      <t>b</t>
    </r>
    <r>
      <rPr>
        <b/>
        <sz val="14"/>
        <color theme="1"/>
        <rFont val="Century"/>
        <family val="1"/>
      </rPr>
      <t>=</t>
    </r>
  </si>
  <si>
    <r>
      <t>λ</t>
    </r>
    <r>
      <rPr>
        <b/>
        <vertAlign val="subscript"/>
        <sz val="14"/>
        <color theme="1"/>
        <rFont val="Century"/>
        <family val="1"/>
      </rPr>
      <t>1</t>
    </r>
    <r>
      <rPr>
        <b/>
        <sz val="14"/>
        <color theme="1"/>
        <rFont val="Century"/>
        <family val="1"/>
      </rPr>
      <t xml:space="preserve"> =</t>
    </r>
  </si>
  <si>
    <r>
      <t>λ</t>
    </r>
    <r>
      <rPr>
        <b/>
        <vertAlign val="subscript"/>
        <sz val="14"/>
        <color theme="1"/>
        <rFont val="Century"/>
        <family val="1"/>
      </rPr>
      <t>2</t>
    </r>
    <r>
      <rPr>
        <b/>
        <sz val="14"/>
        <color theme="1"/>
        <rFont val="Century"/>
        <family val="1"/>
      </rPr>
      <t xml:space="preserve"> =</t>
    </r>
  </si>
  <si>
    <r>
      <t>t</t>
    </r>
    <r>
      <rPr>
        <vertAlign val="subscript"/>
        <sz val="16"/>
        <color theme="1"/>
        <rFont val="Century"/>
        <family val="1"/>
      </rPr>
      <t>s</t>
    </r>
  </si>
  <si>
    <r>
      <t>T</t>
    </r>
    <r>
      <rPr>
        <vertAlign val="subscript"/>
        <sz val="16"/>
        <color theme="1"/>
        <rFont val="Century"/>
        <family val="1"/>
      </rPr>
      <t>s</t>
    </r>
  </si>
  <si>
    <r>
      <t>1</t>
    </r>
    <r>
      <rPr>
        <vertAlign val="superscript"/>
        <sz val="16"/>
        <color theme="1"/>
        <rFont val="Century"/>
        <family val="1"/>
      </rPr>
      <t xml:space="preserve">st  </t>
    </r>
    <r>
      <rPr>
        <sz val="16"/>
        <color theme="1"/>
        <rFont val="Century"/>
        <family val="1"/>
      </rPr>
      <t>accociate of t</t>
    </r>
    <r>
      <rPr>
        <vertAlign val="subscript"/>
        <sz val="16"/>
        <color theme="1"/>
        <rFont val="Century"/>
        <family val="1"/>
      </rPr>
      <t>s</t>
    </r>
  </si>
  <si>
    <t>S1(kps)</t>
  </si>
  <si>
    <r>
      <t>(kps)*S</t>
    </r>
    <r>
      <rPr>
        <vertAlign val="subscript"/>
        <sz val="16"/>
        <color theme="1"/>
        <rFont val="Century"/>
        <family val="1"/>
      </rPr>
      <t>1</t>
    </r>
    <r>
      <rPr>
        <sz val="16"/>
        <color theme="1"/>
        <rFont val="Century"/>
        <family val="1"/>
      </rPr>
      <t>(kps)</t>
    </r>
  </si>
  <si>
    <t>4,3,8</t>
  </si>
  <si>
    <t>Hypothesis to be tested;</t>
  </si>
  <si>
    <r>
      <t>H</t>
    </r>
    <r>
      <rPr>
        <vertAlign val="subscript"/>
        <sz val="14"/>
        <color theme="1"/>
        <rFont val="Century"/>
        <family val="1"/>
      </rPr>
      <t>0</t>
    </r>
    <r>
      <rPr>
        <sz val="14"/>
        <color theme="1"/>
        <rFont val="Century"/>
        <family val="1"/>
      </rPr>
      <t>: All tratments are equally effective</t>
    </r>
  </si>
  <si>
    <r>
      <t>H</t>
    </r>
    <r>
      <rPr>
        <vertAlign val="subscript"/>
        <sz val="14"/>
        <color theme="1"/>
        <rFont val="Century"/>
        <family val="1"/>
      </rPr>
      <t>1</t>
    </r>
    <r>
      <rPr>
        <sz val="14"/>
        <color theme="1"/>
        <rFont val="Century"/>
        <family val="1"/>
      </rPr>
      <t>: All treatments are not equally effective</t>
    </r>
  </si>
  <si>
    <r>
      <rPr>
        <b/>
        <u val="double"/>
        <sz val="16"/>
        <color theme="1"/>
        <rFont val="Century"/>
        <family val="1"/>
      </rPr>
      <t>Conlusion:</t>
    </r>
    <r>
      <rPr>
        <sz val="16"/>
        <color theme="1"/>
        <rFont val="Century"/>
        <family val="1"/>
      </rPr>
      <t xml:space="preserve"> </t>
    </r>
  </si>
  <si>
    <t xml:space="preserve">Here, Fcal &gt; Ftab. The data provides enough evidence to reject Ho. </t>
  </si>
  <si>
    <t>So, we reject H0 at 5% of loc. And we conclude that all treatments are not equally effective.</t>
  </si>
  <si>
    <t>Pr-4</t>
  </si>
  <si>
    <t>«</t>
  </si>
  <si>
    <t>HERE, We fix (1,8)</t>
  </si>
  <si>
    <t>HERE, We fix (1,2)</t>
  </si>
  <si>
    <t>Sum of Squre due to Treatments (Adjusted)</t>
  </si>
  <si>
    <t>Sum of Squre due to Treatments (Un-Adjusted)</t>
  </si>
  <si>
    <t>Sum of Squre due to Blocks (Un-Adjusted)</t>
  </si>
  <si>
    <t>Total Sum of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</si>
</sst>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4"/>
      <color theme="1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vertAlign val="superscript"/>
      <sz val="16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u/>
      <sz val="14"/>
      <color theme="1"/>
      <name val="Calibri"/>
      <family val="2"/>
    </font>
    <font>
      <u/>
      <vertAlign val="superscript"/>
      <sz val="14"/>
      <color theme="1"/>
      <name val="Calibri"/>
      <family val="2"/>
    </font>
    <font>
      <b/>
      <vertAlign val="subscript"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  <scheme val="minor"/>
    </font>
    <font>
      <b/>
      <u/>
      <sz val="18"/>
      <color theme="1"/>
      <name val="Century"/>
      <family val="1"/>
    </font>
    <font>
      <sz val="11"/>
      <color theme="1"/>
      <name val="Century"/>
      <family val="1"/>
    </font>
    <font>
      <b/>
      <sz val="11"/>
      <color theme="1"/>
      <name val="Century"/>
      <family val="1"/>
    </font>
    <font>
      <sz val="14"/>
      <color theme="1"/>
      <name val="Century"/>
      <family val="1"/>
    </font>
    <font>
      <b/>
      <sz val="14"/>
      <color theme="1"/>
      <name val="Century"/>
      <family val="1"/>
    </font>
    <font>
      <b/>
      <vertAlign val="subscript"/>
      <sz val="14"/>
      <color theme="1"/>
      <name val="Century"/>
      <family val="1"/>
    </font>
    <font>
      <sz val="16"/>
      <color theme="1"/>
      <name val="Century"/>
      <family val="1"/>
    </font>
    <font>
      <vertAlign val="subscript"/>
      <sz val="16"/>
      <color theme="1"/>
      <name val="Century"/>
      <family val="1"/>
    </font>
    <font>
      <vertAlign val="superscript"/>
      <sz val="16"/>
      <color theme="1"/>
      <name val="Century"/>
      <family val="1"/>
    </font>
    <font>
      <vertAlign val="subscript"/>
      <sz val="14"/>
      <color theme="1"/>
      <name val="Century"/>
      <family val="1"/>
    </font>
    <font>
      <b/>
      <u val="double"/>
      <sz val="16"/>
      <color theme="1"/>
      <name val="Century"/>
      <family val="1"/>
    </font>
    <font>
      <sz val="11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/>
    <xf numFmtId="0" fontId="4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3" fillId="0" borderId="2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/>
    <xf numFmtId="0" fontId="3" fillId="0" borderId="10" xfId="0" applyFont="1" applyBorder="1" applyAlignment="1">
      <alignment horizontal="center"/>
    </xf>
    <xf numFmtId="0" fontId="4" fillId="0" borderId="10" xfId="0" applyFont="1" applyBorder="1"/>
    <xf numFmtId="0" fontId="10" fillId="0" borderId="0" xfId="0" applyFont="1"/>
    <xf numFmtId="0" fontId="3" fillId="0" borderId="25" xfId="0" applyFont="1" applyBorder="1"/>
    <xf numFmtId="0" fontId="8" fillId="0" borderId="0" xfId="0" applyFont="1"/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3" fillId="0" borderId="7" xfId="0" applyFont="1" applyBorder="1"/>
    <xf numFmtId="0" fontId="0" fillId="0" borderId="7" xfId="0" applyBorder="1"/>
    <xf numFmtId="0" fontId="5" fillId="0" borderId="7" xfId="0" applyFont="1" applyBorder="1" applyAlignment="1">
      <alignment horizontal="center"/>
    </xf>
    <xf numFmtId="0" fontId="15" fillId="0" borderId="7" xfId="0" applyFont="1" applyBorder="1"/>
    <xf numFmtId="0" fontId="16" fillId="0" borderId="0" xfId="0" applyFont="1"/>
    <xf numFmtId="0" fontId="17" fillId="0" borderId="0" xfId="0" applyFont="1"/>
    <xf numFmtId="0" fontId="18" fillId="0" borderId="21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1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22" fillId="0" borderId="3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22" fillId="0" borderId="0" xfId="0" applyFont="1"/>
    <xf numFmtId="0" fontId="17" fillId="0" borderId="0" xfId="0" applyFont="1" applyAlignment="1">
      <alignment horizontal="left"/>
    </xf>
    <xf numFmtId="0" fontId="0" fillId="0" borderId="0" xfId="0" applyFont="1"/>
    <xf numFmtId="0" fontId="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0" fillId="0" borderId="0" xfId="0" applyFont="1" applyBorder="1"/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/>
    </xf>
    <xf numFmtId="0" fontId="27" fillId="0" borderId="0" xfId="0" applyFont="1" applyAlignment="1">
      <alignment horizontal="right"/>
    </xf>
    <xf numFmtId="0" fontId="0" fillId="0" borderId="29" xfId="0" applyBorder="1"/>
    <xf numFmtId="0" fontId="0" fillId="0" borderId="0" xfId="0" applyBorder="1"/>
    <xf numFmtId="0" fontId="15" fillId="0" borderId="29" xfId="0" applyFont="1" applyBorder="1"/>
    <xf numFmtId="0" fontId="15" fillId="0" borderId="0" xfId="0" applyFont="1" applyBorder="1"/>
    <xf numFmtId="0" fontId="4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0" fillId="0" borderId="26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7" xfId="0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20</xdr:row>
      <xdr:rowOff>47625</xdr:rowOff>
    </xdr:from>
    <xdr:to>
      <xdr:col>8</xdr:col>
      <xdr:colOff>457200</xdr:colOff>
      <xdr:row>21</xdr:row>
      <xdr:rowOff>200026</xdr:rowOff>
    </xdr:to>
    <xdr:sp macro="" textlink="">
      <xdr:nvSpPr>
        <xdr:cNvPr id="4" name="Double Bracket 3">
          <a:extLst>
            <a:ext uri="{FF2B5EF4-FFF2-40B4-BE49-F238E27FC236}">
              <a16:creationId xmlns:a16="http://schemas.microsoft.com/office/drawing/2014/main" id="{04785D18-49CB-4E70-B3FB-51BF6C6EC0A9}"/>
            </a:ext>
          </a:extLst>
        </xdr:cNvPr>
        <xdr:cNvSpPr/>
      </xdr:nvSpPr>
      <xdr:spPr>
        <a:xfrm>
          <a:off x="10039350" y="4762500"/>
          <a:ext cx="1895475" cy="390526"/>
        </a:xfrm>
        <a:prstGeom prst="bracketPair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2362200</xdr:colOff>
      <xdr:row>24</xdr:row>
      <xdr:rowOff>38100</xdr:rowOff>
    </xdr:from>
    <xdr:to>
      <xdr:col>8</xdr:col>
      <xdr:colOff>518160</xdr:colOff>
      <xdr:row>25</xdr:row>
      <xdr:rowOff>219075</xdr:rowOff>
    </xdr:to>
    <xdr:sp macro="" textlink="">
      <xdr:nvSpPr>
        <xdr:cNvPr id="5" name="Double Bracket 4">
          <a:extLst>
            <a:ext uri="{FF2B5EF4-FFF2-40B4-BE49-F238E27FC236}">
              <a16:creationId xmlns:a16="http://schemas.microsoft.com/office/drawing/2014/main" id="{2DE91E45-B479-4EBE-9574-F7505A06F924}"/>
            </a:ext>
          </a:extLst>
        </xdr:cNvPr>
        <xdr:cNvSpPr/>
      </xdr:nvSpPr>
      <xdr:spPr>
        <a:xfrm>
          <a:off x="10020300" y="5705475"/>
          <a:ext cx="1975485" cy="419100"/>
        </a:xfrm>
        <a:prstGeom prst="bracketPair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83820</xdr:colOff>
      <xdr:row>20</xdr:row>
      <xdr:rowOff>5715</xdr:rowOff>
    </xdr:from>
    <xdr:to>
      <xdr:col>11</xdr:col>
      <xdr:colOff>533400</xdr:colOff>
      <xdr:row>22</xdr:row>
      <xdr:rowOff>59055</xdr:rowOff>
    </xdr:to>
    <xdr:sp macro="" textlink="">
      <xdr:nvSpPr>
        <xdr:cNvPr id="6" name="Double Bracket 5">
          <a:extLst>
            <a:ext uri="{FF2B5EF4-FFF2-40B4-BE49-F238E27FC236}">
              <a16:creationId xmlns:a16="http://schemas.microsoft.com/office/drawing/2014/main" id="{52AE2D88-5771-4AF7-8FA6-378E697AE0C5}"/>
            </a:ext>
          </a:extLst>
        </xdr:cNvPr>
        <xdr:cNvSpPr/>
      </xdr:nvSpPr>
      <xdr:spPr>
        <a:xfrm>
          <a:off x="9151620" y="4720590"/>
          <a:ext cx="1059180" cy="529590"/>
        </a:xfrm>
        <a:prstGeom prst="bracketPair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121920</xdr:colOff>
      <xdr:row>24</xdr:row>
      <xdr:rowOff>17145</xdr:rowOff>
    </xdr:from>
    <xdr:to>
      <xdr:col>11</xdr:col>
      <xdr:colOff>579120</xdr:colOff>
      <xdr:row>26</xdr:row>
      <xdr:rowOff>47625</xdr:rowOff>
    </xdr:to>
    <xdr:sp macro="" textlink="">
      <xdr:nvSpPr>
        <xdr:cNvPr id="7" name="Double Bracket 6">
          <a:extLst>
            <a:ext uri="{FF2B5EF4-FFF2-40B4-BE49-F238E27FC236}">
              <a16:creationId xmlns:a16="http://schemas.microsoft.com/office/drawing/2014/main" id="{E96BAE61-1470-43BB-B6D2-4971065DE92C}"/>
            </a:ext>
          </a:extLst>
        </xdr:cNvPr>
        <xdr:cNvSpPr/>
      </xdr:nvSpPr>
      <xdr:spPr>
        <a:xfrm>
          <a:off x="9189720" y="5684520"/>
          <a:ext cx="1066800" cy="506730"/>
        </a:xfrm>
        <a:prstGeom prst="bracketPair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209550</xdr:colOff>
      <xdr:row>71</xdr:row>
      <xdr:rowOff>43815</xdr:rowOff>
    </xdr:from>
    <xdr:ext cx="1036320" cy="4229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68BCF0E-F810-4D53-BBE9-785189A485BD}"/>
                </a:ext>
              </a:extLst>
            </xdr:cNvPr>
            <xdr:cNvSpPr txBox="1"/>
          </xdr:nvSpPr>
          <xdr:spPr>
            <a:xfrm>
              <a:off x="1428750" y="15540990"/>
              <a:ext cx="1036320" cy="422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400" i="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IN" sz="1400" i="0">
                            <a:latin typeface="Cambria Math" panose="02040503050406030204" pitchFamily="18" charset="0"/>
                          </a:rPr>
                          <m:t>r</m:t>
                        </m:r>
                      </m:den>
                    </m:f>
                    <m:r>
                      <m:rPr>
                        <m:sty m:val="p"/>
                      </m:rPr>
                      <a:rPr lang="en-IN" sz="1400" i="0">
                        <a:latin typeface="Cambria Math" panose="02040503050406030204" pitchFamily="18" charset="0"/>
                      </a:rPr>
                      <m:t>Σ</m:t>
                    </m:r>
                    <m:r>
                      <m:rPr>
                        <m:sty m:val="p"/>
                      </m:rPr>
                      <a:rPr lang="en-IN" sz="1400" b="0" i="0">
                        <a:latin typeface="Cambria Math" panose="02040503050406030204" pitchFamily="18" charset="0"/>
                      </a:rPr>
                      <m:t>T</m:t>
                    </m:r>
                    <m:r>
                      <m:rPr>
                        <m:sty m:val="p"/>
                      </m:rPr>
                      <a:rPr lang="en-IN" sz="1400" b="0" i="0" baseline="-25000">
                        <a:latin typeface="Cambria Math" panose="02040503050406030204" pitchFamily="18" charset="0"/>
                      </a:rPr>
                      <m:t>s</m:t>
                    </m:r>
                    <m:r>
                      <a:rPr lang="en-IN" sz="1400" b="0" i="0" baseline="30000">
                        <a:latin typeface="Cambria Math" panose="02040503050406030204" pitchFamily="18" charset="0"/>
                      </a:rPr>
                      <m:t>2</m:t>
                    </m:r>
                    <m:r>
                      <a:rPr lang="en-IN" sz="140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IN" sz="140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IN" sz="1400" b="0" i="0">
                        <a:latin typeface="Cambria Math" panose="02040503050406030204" pitchFamily="18" charset="0"/>
                      </a:rPr>
                      <m:t>.</m:t>
                    </m:r>
                    <m:r>
                      <m:rPr>
                        <m:sty m:val="p"/>
                      </m:rPr>
                      <a:rPr lang="en-IN" sz="1400" i="0">
                        <a:latin typeface="Cambria Math" panose="02040503050406030204" pitchFamily="18" charset="0"/>
                      </a:rPr>
                      <m:t>f</m:t>
                    </m:r>
                  </m:oMath>
                </m:oMathPara>
              </a14:m>
              <a:endParaRPr lang="en-IN" sz="1400" i="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68BCF0E-F810-4D53-BBE9-785189A485BD}"/>
                </a:ext>
              </a:extLst>
            </xdr:cNvPr>
            <xdr:cNvSpPr txBox="1"/>
          </xdr:nvSpPr>
          <xdr:spPr>
            <a:xfrm>
              <a:off x="1428750" y="15540990"/>
              <a:ext cx="1036320" cy="422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IN" sz="1400" i="0">
                  <a:latin typeface="Cambria Math" panose="02040503050406030204" pitchFamily="18" charset="0"/>
                </a:rPr>
                <a:t>1</a:t>
              </a:r>
              <a:r>
                <a:rPr lang="en-IN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IN" sz="1400" i="0">
                  <a:latin typeface="Cambria Math" panose="02040503050406030204" pitchFamily="18" charset="0"/>
                </a:rPr>
                <a:t>r Σ</a:t>
              </a:r>
              <a:r>
                <a:rPr lang="en-IN" sz="1400" b="0" i="0">
                  <a:latin typeface="Cambria Math" panose="02040503050406030204" pitchFamily="18" charset="0"/>
                </a:rPr>
                <a:t>T</a:t>
              </a:r>
              <a:r>
                <a:rPr lang="en-IN" sz="1400" b="0" i="0" baseline="-25000">
                  <a:latin typeface="Cambria Math" panose="02040503050406030204" pitchFamily="18" charset="0"/>
                </a:rPr>
                <a:t>s</a:t>
              </a:r>
              <a:r>
                <a:rPr lang="en-IN" sz="1400" b="0" i="0" baseline="30000">
                  <a:latin typeface="Cambria Math" panose="02040503050406030204" pitchFamily="18" charset="0"/>
                </a:rPr>
                <a:t>2</a:t>
              </a:r>
              <a:r>
                <a:rPr lang="en-IN" sz="1400" i="0">
                  <a:latin typeface="Cambria Math" panose="02040503050406030204" pitchFamily="18" charset="0"/>
                </a:rPr>
                <a:t>−c</a:t>
              </a:r>
              <a:r>
                <a:rPr lang="en-IN" sz="1400" b="0" i="0">
                  <a:latin typeface="Cambria Math" panose="02040503050406030204" pitchFamily="18" charset="0"/>
                </a:rPr>
                <a:t>.</a:t>
              </a:r>
              <a:r>
                <a:rPr lang="en-IN" sz="1400" i="0">
                  <a:latin typeface="Cambria Math" panose="02040503050406030204" pitchFamily="18" charset="0"/>
                </a:rPr>
                <a:t>f</a:t>
              </a:r>
              <a:endParaRPr lang="en-IN" sz="1400" i="0"/>
            </a:p>
          </xdr:txBody>
        </xdr:sp>
      </mc:Fallback>
    </mc:AlternateContent>
    <xdr:clientData/>
  </xdr:oneCellAnchor>
  <xdr:oneCellAnchor>
    <xdr:from>
      <xdr:col>3</xdr:col>
      <xdr:colOff>152399</xdr:colOff>
      <xdr:row>75</xdr:row>
      <xdr:rowOff>43815</xdr:rowOff>
    </xdr:from>
    <xdr:ext cx="1003935" cy="4229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F8724D1-96AB-4900-A0C1-0FF888236601}"/>
                </a:ext>
              </a:extLst>
            </xdr:cNvPr>
            <xdr:cNvSpPr txBox="1"/>
          </xdr:nvSpPr>
          <xdr:spPr>
            <a:xfrm>
              <a:off x="1371599" y="16550640"/>
              <a:ext cx="1003935" cy="422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N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400" i="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IN" sz="1400" i="1">
                            <a:latin typeface="Cambria Math" panose="02040503050406030204" pitchFamily="18" charset="0"/>
                          </a:rPr>
                          <m:t>k</m:t>
                        </m:r>
                      </m:den>
                    </m:f>
                    <m:r>
                      <m:rPr>
                        <m:sty m:val="p"/>
                      </m:rPr>
                      <a:rPr lang="en-IN" sz="1400" i="1">
                        <a:latin typeface="Cambria Math" panose="02040503050406030204" pitchFamily="18" charset="0"/>
                      </a:rPr>
                      <m:t>Σ</m:t>
                    </m:r>
                    <m:sSubSup>
                      <m:sSubSupPr>
                        <m:ctrlPr>
                          <a:rPr lang="en-IN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IN" sz="1400" i="1">
                            <a:latin typeface="Cambria Math" panose="02040503050406030204" pitchFamily="18" charset="0"/>
                          </a:rPr>
                          <m:t>B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IN" sz="1400" i="1">
                            <a:latin typeface="Cambria Math" panose="02040503050406030204" pitchFamily="18" charset="0"/>
                          </a:rPr>
                          <m:t>j</m:t>
                        </m:r>
                      </m:sub>
                      <m:sup>
                        <m:r>
                          <a:rPr lang="en-IN" sz="14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IN" sz="1400" i="1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IN" sz="1400" i="1">
                        <a:latin typeface="Cambria Math" panose="02040503050406030204" pitchFamily="18" charset="0"/>
                      </a:rPr>
                      <m:t>c</m:t>
                    </m:r>
                    <m:r>
                      <a:rPr lang="en-IN" sz="1400" b="0" i="1">
                        <a:latin typeface="Cambria Math" panose="02040503050406030204" pitchFamily="18" charset="0"/>
                      </a:rPr>
                      <m:t>.</m:t>
                    </m:r>
                    <m:r>
                      <m:rPr>
                        <m:sty m:val="p"/>
                      </m:rPr>
                      <a:rPr lang="en-IN" sz="1400" i="1">
                        <a:latin typeface="Cambria Math" panose="02040503050406030204" pitchFamily="18" charset="0"/>
                      </a:rPr>
                      <m:t>f</m:t>
                    </m:r>
                  </m:oMath>
                </m:oMathPara>
              </a14:m>
              <a:endParaRPr lang="en-IN" sz="1400" i="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F8724D1-96AB-4900-A0C1-0FF888236601}"/>
                </a:ext>
              </a:extLst>
            </xdr:cNvPr>
            <xdr:cNvSpPr txBox="1"/>
          </xdr:nvSpPr>
          <xdr:spPr>
            <a:xfrm>
              <a:off x="1371599" y="16550640"/>
              <a:ext cx="1003935" cy="4229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IN" sz="1400" i="0">
                  <a:latin typeface="Cambria Math" panose="02040503050406030204" pitchFamily="18" charset="0"/>
                </a:rPr>
                <a:t>1</a:t>
              </a:r>
              <a:r>
                <a:rPr lang="en-IN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</a:t>
              </a:r>
              <a:r>
                <a:rPr lang="en-IN" sz="1400" i="0">
                  <a:latin typeface="Cambria Math" panose="02040503050406030204" pitchFamily="18" charset="0"/>
                </a:rPr>
                <a:t>k ΣB</a:t>
              </a:r>
              <a:r>
                <a:rPr lang="en-IN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N" sz="1400" i="0">
                  <a:latin typeface="Cambria Math" panose="02040503050406030204" pitchFamily="18" charset="0"/>
                </a:rPr>
                <a:t>j^2−c</a:t>
              </a:r>
              <a:r>
                <a:rPr lang="en-IN" sz="1400" b="0" i="0">
                  <a:latin typeface="Cambria Math" panose="02040503050406030204" pitchFamily="18" charset="0"/>
                </a:rPr>
                <a:t>.</a:t>
              </a:r>
              <a:r>
                <a:rPr lang="en-IN" sz="1400" i="0">
                  <a:latin typeface="Cambria Math" panose="02040503050406030204" pitchFamily="18" charset="0"/>
                </a:rPr>
                <a:t>f</a:t>
              </a:r>
              <a:endParaRPr lang="en-IN" sz="1400" i="0"/>
            </a:p>
          </xdr:txBody>
        </xdr:sp>
      </mc:Fallback>
    </mc:AlternateContent>
    <xdr:clientData/>
  </xdr:oneCellAnchor>
  <xdr:oneCellAnchor>
    <xdr:from>
      <xdr:col>3</xdr:col>
      <xdr:colOff>28575</xdr:colOff>
      <xdr:row>79</xdr:row>
      <xdr:rowOff>23811</xdr:rowOff>
    </xdr:from>
    <xdr:ext cx="1371600" cy="2809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A16AC22-8C0A-40CE-A47B-3960D56289D8}"/>
                </a:ext>
              </a:extLst>
            </xdr:cNvPr>
            <xdr:cNvSpPr txBox="1"/>
          </xdr:nvSpPr>
          <xdr:spPr>
            <a:xfrm>
              <a:off x="2800350" y="18540411"/>
              <a:ext cx="1371600" cy="2809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IN" sz="1400" i="0">
                        <a:latin typeface="Cambria Math" panose="02040503050406030204" pitchFamily="18" charset="0"/>
                      </a:rPr>
                      <m:t>ΣΣ</m:t>
                    </m:r>
                    <m:sSubSup>
                      <m:sSubSupPr>
                        <m:ctrlPr>
                          <a:rPr lang="en-IN" sz="14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IN" sz="1400" i="0">
                            <a:latin typeface="Cambria Math" panose="02040503050406030204" pitchFamily="18" charset="0"/>
                          </a:rPr>
                          <m:t>Y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IN" sz="1400" i="0">
                            <a:latin typeface="Cambria Math" panose="02040503050406030204" pitchFamily="18" charset="0"/>
                          </a:rPr>
                          <m:t>ij</m:t>
                        </m:r>
                      </m:sub>
                      <m:sup>
                        <m:r>
                          <a:rPr lang="en-IN" sz="14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IN" sz="140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IN" sz="1400" i="0">
                        <a:latin typeface="Cambria Math" panose="02040503050406030204" pitchFamily="18" charset="0"/>
                      </a:rPr>
                      <m:t>c</m:t>
                    </m:r>
                    <m:r>
                      <a:rPr lang="en-IN" sz="1400" i="0">
                        <a:latin typeface="Cambria Math" panose="02040503050406030204" pitchFamily="18" charset="0"/>
                      </a:rPr>
                      <m:t>⋅</m:t>
                    </m:r>
                    <m:r>
                      <m:rPr>
                        <m:sty m:val="p"/>
                      </m:rPr>
                      <a:rPr lang="en-IN" sz="1400" i="0">
                        <a:latin typeface="Cambria Math" panose="02040503050406030204" pitchFamily="18" charset="0"/>
                      </a:rPr>
                      <m:t>f</m:t>
                    </m:r>
                  </m:oMath>
                </m:oMathPara>
              </a14:m>
              <a:endParaRPr lang="en-IN" sz="1400" i="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A16AC22-8C0A-40CE-A47B-3960D56289D8}"/>
                </a:ext>
              </a:extLst>
            </xdr:cNvPr>
            <xdr:cNvSpPr txBox="1"/>
          </xdr:nvSpPr>
          <xdr:spPr>
            <a:xfrm>
              <a:off x="2800350" y="18540411"/>
              <a:ext cx="1371600" cy="2809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IN" sz="1400" i="0">
                  <a:latin typeface="Cambria Math" panose="02040503050406030204" pitchFamily="18" charset="0"/>
                </a:rPr>
                <a:t>ΣΣY_ij^2−c⋅f</a:t>
              </a:r>
              <a:endParaRPr lang="en-IN" sz="1400" i="0"/>
            </a:p>
          </xdr:txBody>
        </xdr:sp>
      </mc:Fallback>
    </mc:AlternateContent>
    <xdr:clientData/>
  </xdr:oneCellAnchor>
  <xdr:oneCellAnchor>
    <xdr:from>
      <xdr:col>2</xdr:col>
      <xdr:colOff>375285</xdr:colOff>
      <xdr:row>126</xdr:row>
      <xdr:rowOff>76200</xdr:rowOff>
    </xdr:from>
    <xdr:ext cx="714234" cy="4410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3CD515A-AAB2-45D2-AAA5-92CE11FBD956}"/>
                </a:ext>
              </a:extLst>
            </xdr:cNvPr>
            <xdr:cNvSpPr txBox="1"/>
          </xdr:nvSpPr>
          <xdr:spPr>
            <a:xfrm>
              <a:off x="1794510" y="30308550"/>
              <a:ext cx="714234" cy="441083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IN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IN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IN" sz="1400">
                <a:latin typeface="Century" panose="020406040505050203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3CD515A-AAB2-45D2-AAA5-92CE11FBD956}"/>
                </a:ext>
              </a:extLst>
            </xdr:cNvPr>
            <xdr:cNvSpPr txBox="1"/>
          </xdr:nvSpPr>
          <xdr:spPr>
            <a:xfrm>
              <a:off x="1794510" y="30308550"/>
              <a:ext cx="714234" cy="441083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N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𝑤</a:t>
              </a:r>
              <a:r>
                <a:rPr lang="en-IN" sz="1400" b="0" i="0">
                  <a:latin typeface="Cambria Math" panose="02040503050406030204" pitchFamily="18" charset="0"/>
                </a:rPr>
                <a:t>_</a:t>
              </a:r>
              <a:r>
                <a:rPr lang="en-US" sz="1400" b="0" i="0">
                  <a:latin typeface="Cambria Math" panose="02040503050406030204" pitchFamily="18" charset="0"/>
                </a:rPr>
                <a:t>1 </a:t>
              </a:r>
              <a:r>
                <a:rPr lang="en-IN" sz="1400" b="0" i="0">
                  <a:latin typeface="Cambria Math" panose="02040503050406030204" pitchFamily="18" charset="0"/>
                </a:rPr>
                <a:t>) ̂</a:t>
              </a:r>
              <a:r>
                <a:rPr lang="en-US" sz="1400" b="0" i="0">
                  <a:latin typeface="Cambria Math" panose="02040503050406030204" pitchFamily="18" charset="0"/>
                </a:rPr>
                <a:t>=  1/𝐸_𝑒 </a:t>
              </a:r>
              <a:endParaRPr lang="en-IN" sz="1400">
                <a:latin typeface="Century" panose="02040604050505020304" pitchFamily="18" charset="0"/>
              </a:endParaRPr>
            </a:p>
          </xdr:txBody>
        </xdr:sp>
      </mc:Fallback>
    </mc:AlternateContent>
    <xdr:clientData/>
  </xdr:oneCellAnchor>
  <xdr:oneCellAnchor>
    <xdr:from>
      <xdr:col>5</xdr:col>
      <xdr:colOff>83820</xdr:colOff>
      <xdr:row>126</xdr:row>
      <xdr:rowOff>95250</xdr:rowOff>
    </xdr:from>
    <xdr:ext cx="2361800" cy="4485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09A080A-6086-476C-8FEA-090ECEAA38B8}"/>
                </a:ext>
              </a:extLst>
            </xdr:cNvPr>
            <xdr:cNvSpPr txBox="1"/>
          </xdr:nvSpPr>
          <xdr:spPr>
            <a:xfrm>
              <a:off x="6322695" y="30327600"/>
              <a:ext cx="2361800" cy="44858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IN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IN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𝑏𝑘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𝑣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𝑘</m:t>
                        </m:r>
                        <m:d>
                          <m:d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−(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𝑣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)</m:t>
                        </m:r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IN" sz="1400">
                <a:latin typeface="Century" panose="02040604050505020304" pitchFamily="18" charset="0"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309A080A-6086-476C-8FEA-090ECEAA38B8}"/>
                </a:ext>
              </a:extLst>
            </xdr:cNvPr>
            <xdr:cNvSpPr txBox="1"/>
          </xdr:nvSpPr>
          <xdr:spPr>
            <a:xfrm>
              <a:off x="6322695" y="30327600"/>
              <a:ext cx="2361800" cy="448584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N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𝑤</a:t>
              </a:r>
              <a:r>
                <a:rPr lang="en-IN" sz="1400" b="0" i="0">
                  <a:latin typeface="Cambria Math" panose="02040503050406030204" pitchFamily="18" charset="0"/>
                </a:rPr>
                <a:t>_</a:t>
              </a:r>
              <a:r>
                <a:rPr lang="en-US" sz="1400" b="0" i="0">
                  <a:latin typeface="Cambria Math" panose="02040503050406030204" pitchFamily="18" charset="0"/>
                </a:rPr>
                <a:t>2 </a:t>
              </a:r>
              <a:r>
                <a:rPr lang="en-IN" sz="1400" b="0" i="0">
                  <a:latin typeface="Cambria Math" panose="02040503050406030204" pitchFamily="18" charset="0"/>
                </a:rPr>
                <a:t>) ̂</a:t>
              </a:r>
              <a:r>
                <a:rPr lang="en-US" sz="1400" b="0" i="0">
                  <a:latin typeface="Cambria Math" panose="02040503050406030204" pitchFamily="18" charset="0"/>
                </a:rPr>
                <a:t>=  ((𝑏𝑘−𝑣))/(𝑘(𝑏−1) 𝐸_𝑏−(𝑣−𝑘)𝐸_𝑒 )</a:t>
              </a:r>
              <a:endParaRPr lang="en-IN" sz="1400">
                <a:latin typeface="Century" panose="020406040505050203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102870</xdr:colOff>
      <xdr:row>129</xdr:row>
      <xdr:rowOff>180976</xdr:rowOff>
    </xdr:from>
    <xdr:ext cx="1708160" cy="2857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E76F25-9EF9-4C4C-AB1A-D64699D6F247}"/>
                </a:ext>
              </a:extLst>
            </xdr:cNvPr>
            <xdr:cNvSpPr txBox="1"/>
          </xdr:nvSpPr>
          <xdr:spPr>
            <a:xfrm>
              <a:off x="4455795" y="31022926"/>
              <a:ext cx="1708160" cy="28575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IN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+ </m:t>
                    </m:r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IN" sz="1400">
                <a:latin typeface="Century" panose="02040604050505020304" pitchFamily="18" charset="0"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E76F25-9EF9-4C4C-AB1A-D64699D6F247}"/>
                </a:ext>
              </a:extLst>
            </xdr:cNvPr>
            <xdr:cNvSpPr txBox="1"/>
          </xdr:nvSpPr>
          <xdr:spPr>
            <a:xfrm>
              <a:off x="4455795" y="31022926"/>
              <a:ext cx="1708160" cy="28575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𝑤</a:t>
              </a:r>
              <a:r>
                <a:rPr lang="en-IN" sz="1400" b="0" i="0">
                  <a:latin typeface="Cambria Math" panose="02040503050406030204" pitchFamily="18" charset="0"/>
                </a:rPr>
                <a:t> ̂</a:t>
              </a:r>
              <a:r>
                <a:rPr lang="en-US" sz="1400" b="0" i="0">
                  <a:latin typeface="Cambria Math" panose="02040503050406030204" pitchFamily="18" charset="0"/>
                </a:rPr>
                <a:t>=(𝑘−1) (𝑤_1 ) ̂+ (𝑤_2 ) ̂</a:t>
              </a:r>
              <a:endParaRPr lang="en-IN" sz="1400">
                <a:latin typeface="Century" panose="020406040505050203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108585</xdr:colOff>
      <xdr:row>131</xdr:row>
      <xdr:rowOff>85725</xdr:rowOff>
    </xdr:from>
    <xdr:ext cx="1737360" cy="2169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FAF9BF5-721D-4553-B5F9-638FDF23AB33}"/>
                </a:ext>
              </a:extLst>
            </xdr:cNvPr>
            <xdr:cNvSpPr txBox="1"/>
          </xdr:nvSpPr>
          <xdr:spPr>
            <a:xfrm>
              <a:off x="918210" y="31346775"/>
              <a:ext cx="1737360" cy="21691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𝑟</m:t>
                    </m:r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𝑤</m:t>
                        </m:r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+ 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(</m:t>
                    </m:r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IN" sz="1400">
                <a:latin typeface="Century" panose="02040604050505020304" pitchFamily="18" charset="0"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FAF9BF5-721D-4553-B5F9-638FDF23AB33}"/>
                </a:ext>
              </a:extLst>
            </xdr:cNvPr>
            <xdr:cNvSpPr txBox="1"/>
          </xdr:nvSpPr>
          <xdr:spPr>
            <a:xfrm>
              <a:off x="918210" y="31346775"/>
              <a:ext cx="1737360" cy="21691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𝐴</a:t>
              </a:r>
              <a:r>
                <a:rPr lang="en-US" sz="1400" b="0" i="0">
                  <a:latin typeface="Cambria Math" panose="02040503050406030204" pitchFamily="18" charset="0"/>
                </a:rPr>
                <a:t>=𝑟𝑤 ̂+ 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𝜆_</a:t>
              </a:r>
              <a:r>
                <a:rPr lang="en-US" sz="1400" b="0" i="0">
                  <a:latin typeface="Cambria Math" panose="02040503050406030204" pitchFamily="18" charset="0"/>
                </a:rPr>
                <a:t>2 ((𝑤_1 ) ̂−(𝑤_2 ) ̂</a:t>
              </a:r>
              <a:endParaRPr lang="en-IN" sz="1400">
                <a:latin typeface="Century" panose="020406040505050203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59055</xdr:colOff>
      <xdr:row>134</xdr:row>
      <xdr:rowOff>112395</xdr:rowOff>
    </xdr:from>
    <xdr:ext cx="1828800" cy="2169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94F7A53-DFB1-4F56-B84B-2380F28748B1}"/>
                </a:ext>
              </a:extLst>
            </xdr:cNvPr>
            <xdr:cNvSpPr txBox="1"/>
          </xdr:nvSpPr>
          <xdr:spPr>
            <a:xfrm>
              <a:off x="868680" y="32021145"/>
              <a:ext cx="1828800" cy="21691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𝐵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=(</m:t>
                    </m:r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)(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IN" sz="1400">
                <a:latin typeface="Century" panose="02040604050505020304" pitchFamily="18" charset="0"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94F7A53-DFB1-4F56-B84B-2380F28748B1}"/>
                </a:ext>
              </a:extLst>
            </xdr:cNvPr>
            <xdr:cNvSpPr txBox="1"/>
          </xdr:nvSpPr>
          <xdr:spPr>
            <a:xfrm>
              <a:off x="868680" y="32021145"/>
              <a:ext cx="1828800" cy="21691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𝐵=((𝑤_1 ) ̂−(𝑤_2 ) ̂)(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𝜆_</a:t>
              </a:r>
              <a:r>
                <a:rPr lang="en-US" sz="1400" b="0" i="0">
                  <a:latin typeface="Cambria Math" panose="02040503050406030204" pitchFamily="18" charset="0"/>
                </a:rPr>
                <a:t>2−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𝜆_</a:t>
              </a:r>
              <a:r>
                <a:rPr lang="en-US" sz="1400" b="0" i="0">
                  <a:latin typeface="Cambria Math" panose="02040503050406030204" pitchFamily="18" charset="0"/>
                </a:rPr>
                <a:t>1)</a:t>
              </a:r>
              <a:endParaRPr lang="en-IN" sz="1400">
                <a:latin typeface="Century" panose="020406040505050203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247650</xdr:colOff>
      <xdr:row>137</xdr:row>
      <xdr:rowOff>110490</xdr:rowOff>
    </xdr:from>
    <xdr:ext cx="1379220" cy="218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253AED1-41A7-44CD-8615-12253A13495B}"/>
                </a:ext>
              </a:extLst>
            </xdr:cNvPr>
            <xdr:cNvSpPr txBox="1"/>
          </xdr:nvSpPr>
          <xdr:spPr>
            <a:xfrm>
              <a:off x="1057275" y="32705040"/>
              <a:ext cx="1379220" cy="218265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𝐵</m:t>
                    </m:r>
                    <m:sSubSup>
                      <m:sSubSup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12</m:t>
                        </m:r>
                      </m:sub>
                      <m: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IN" sz="1400">
                <a:latin typeface="Century" panose="02040604050505020304" pitchFamily="18" charset="0"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253AED1-41A7-44CD-8615-12253A13495B}"/>
                </a:ext>
              </a:extLst>
            </xdr:cNvPr>
            <xdr:cNvSpPr txBox="1"/>
          </xdr:nvSpPr>
          <xdr:spPr>
            <a:xfrm>
              <a:off x="1057275" y="32705040"/>
              <a:ext cx="1379220" cy="218265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𝐶=𝐵𝑃_12^2</a:t>
              </a:r>
              <a:endParaRPr lang="en-IN" sz="1400">
                <a:latin typeface="Century" panose="020406040505050203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59055</xdr:colOff>
      <xdr:row>140</xdr:row>
      <xdr:rowOff>104775</xdr:rowOff>
    </xdr:from>
    <xdr:ext cx="1706880" cy="251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8DB1A16-3FA0-41CD-8794-57D61C94E72E}"/>
                </a:ext>
              </a:extLst>
            </xdr:cNvPr>
            <xdr:cNvSpPr txBox="1"/>
          </xdr:nvSpPr>
          <xdr:spPr>
            <a:xfrm>
              <a:off x="868680" y="33385125"/>
              <a:ext cx="1706880" cy="25146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𝐷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𝐵</m:t>
                    </m:r>
                    <m:d>
                      <m:d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11</m:t>
                            </m:r>
                          </m:sub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p>
                        </m:sSubSup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sSubSup>
                          <m:sSubSup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11</m:t>
                            </m:r>
                          </m:sub>
                          <m:sup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IN" sz="1400">
                <a:latin typeface="Century" panose="02040604050505020304" pitchFamily="18" charset="0"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8DB1A16-3FA0-41CD-8794-57D61C94E72E}"/>
                </a:ext>
              </a:extLst>
            </xdr:cNvPr>
            <xdr:cNvSpPr txBox="1"/>
          </xdr:nvSpPr>
          <xdr:spPr>
            <a:xfrm>
              <a:off x="868680" y="33385125"/>
              <a:ext cx="1706880" cy="25146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𝐷=𝐴+𝐵(𝑃_11^1−𝑃_11^2 )</a:t>
              </a:r>
              <a:endParaRPr lang="en-IN" sz="1400">
                <a:latin typeface="Century" panose="02040604050505020304" pitchFamily="18" charset="0"/>
              </a:endParaRPr>
            </a:p>
          </xdr:txBody>
        </xdr:sp>
      </mc:Fallback>
    </mc:AlternateContent>
    <xdr:clientData/>
  </xdr:oneCellAnchor>
  <xdr:oneCellAnchor>
    <xdr:from>
      <xdr:col>1</xdr:col>
      <xdr:colOff>240030</xdr:colOff>
      <xdr:row>143</xdr:row>
      <xdr:rowOff>47625</xdr:rowOff>
    </xdr:from>
    <xdr:ext cx="1394460" cy="2971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DEC0BDC-6BFE-4CBB-87AE-4D095E426A1B}"/>
                </a:ext>
              </a:extLst>
            </xdr:cNvPr>
            <xdr:cNvSpPr txBox="1"/>
          </xdr:nvSpPr>
          <xdr:spPr>
            <a:xfrm>
              <a:off x="1049655" y="34013775"/>
              <a:ext cx="1394460" cy="29718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l-GR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𝐴𝐷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−</m:t>
                    </m:r>
                    <m:r>
                      <a:rPr lang="en-US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𝐵𝐶</m:t>
                    </m:r>
                  </m:oMath>
                </m:oMathPara>
              </a14:m>
              <a:endParaRPr lang="en-IN" sz="1600">
                <a:latin typeface="Century" panose="02040604050505020304" pitchFamily="18" charset="0"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DEC0BDC-6BFE-4CBB-87AE-4D095E426A1B}"/>
                </a:ext>
              </a:extLst>
            </xdr:cNvPr>
            <xdr:cNvSpPr txBox="1"/>
          </xdr:nvSpPr>
          <xdr:spPr>
            <a:xfrm>
              <a:off x="1049655" y="34013775"/>
              <a:ext cx="1394460" cy="29718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l-GR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=𝐴𝐷 −𝐵𝐶</a:t>
              </a:r>
              <a:endParaRPr lang="en-IN" sz="1600">
                <a:latin typeface="Century" panose="02040604050505020304" pitchFamily="18" charset="0"/>
              </a:endParaRPr>
            </a:p>
          </xdr:txBody>
        </xdr:sp>
      </mc:Fallback>
    </mc:AlternateContent>
    <xdr:clientData/>
  </xdr:oneCellAnchor>
  <xdr:oneCellAnchor>
    <xdr:from>
      <xdr:col>6</xdr:col>
      <xdr:colOff>30480</xdr:colOff>
      <xdr:row>147</xdr:row>
      <xdr:rowOff>129540</xdr:rowOff>
    </xdr:from>
    <xdr:ext cx="2004060" cy="63793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60C39BB8-D545-4006-8AC1-3823B7F4AE46}"/>
                </a:ext>
              </a:extLst>
            </xdr:cNvPr>
            <xdr:cNvSpPr txBox="1"/>
          </xdr:nvSpPr>
          <xdr:spPr>
            <a:xfrm>
              <a:off x="4726305" y="35124390"/>
              <a:ext cx="2004060" cy="637932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𝑘𝑝𝑠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acc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 −</m:t>
                    </m:r>
                    <m:d>
                      <m:d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acc>
                          <m:accPr>
                            <m:chr m:val="̂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</m:e>
                        </m:acc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̂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𝑤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</m:sSub>
                          </m:e>
                        </m:acc>
                      </m:e>
                    </m:d>
                    <m:r>
                      <a:rPr lang="en-US" sz="1400" b="0" i="1">
                        <a:latin typeface="Cambria Math" panose="02040503050406030204" pitchFamily="18" charset="0"/>
                      </a:rPr>
                      <m:t>𝐵</m:t>
                    </m:r>
                    <m:d>
                      <m:d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d>
                    <m:r>
                      <a:rPr lang="en-US" sz="1400" b="0" i="1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e>
                    </m:acc>
                    <m:r>
                      <a:rPr lang="en-US" sz="1400" b="0" i="1">
                        <a:latin typeface="Cambria Math" panose="02040503050406030204" pitchFamily="18" charset="0"/>
                      </a:rPr>
                      <m:t>𝐺</m:t>
                    </m:r>
                  </m:oMath>
                </m:oMathPara>
              </a14:m>
              <a:endParaRPr lang="en-IN" sz="1400">
                <a:latin typeface="Century" panose="02040604050505020304" pitchFamily="18" charset="0"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60C39BB8-D545-4006-8AC1-3823B7F4AE46}"/>
                </a:ext>
              </a:extLst>
            </xdr:cNvPr>
            <xdr:cNvSpPr txBox="1"/>
          </xdr:nvSpPr>
          <xdr:spPr>
            <a:xfrm>
              <a:off x="4726305" y="35124390"/>
              <a:ext cx="2004060" cy="637932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𝑘𝑝𝑠=(𝑤_1 ) ̂𝑇_𝑠  −((𝑤_1 ) ̂−(𝑤_2 ) ̂ )𝐵(𝑠)−(𝑤_2 ) ̂𝐺</a:t>
              </a:r>
              <a:endParaRPr lang="en-IN" sz="1400">
                <a:latin typeface="Century" panose="020406040505050203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24765</xdr:colOff>
      <xdr:row>165</xdr:row>
      <xdr:rowOff>70485</xdr:rowOff>
    </xdr:from>
    <xdr:ext cx="3114891" cy="4704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C5C21802-4E18-4B0D-B501-A7B3B4155CF0}"/>
                </a:ext>
              </a:extLst>
            </xdr:cNvPr>
            <xdr:cNvSpPr txBox="1"/>
          </xdr:nvSpPr>
          <xdr:spPr>
            <a:xfrm>
              <a:off x="2796540" y="39904035"/>
              <a:ext cx="3114891" cy="47045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sz="1400" b="0" i="0">
                        <a:latin typeface="Cambria Math" panose="02040503050406030204" pitchFamily="18" charset="0"/>
                      </a:rPr>
                      <m:t>F</m:t>
                    </m:r>
                    <m:r>
                      <a:rPr lang="en-US" sz="14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n-US" sz="1400" b="0" i="0">
                        <a:latin typeface="Cambria Math" panose="02040503050406030204" pitchFamily="18" charset="0"/>
                      </a:rPr>
                      <m:t>cal</m:t>
                    </m:r>
                    <m:r>
                      <a:rPr lang="en-US" sz="14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sz="1400" b="0" i="0">
                            <a:latin typeface="Cambria Math" panose="02040503050406030204" pitchFamily="18" charset="0"/>
                          </a:rPr>
                          <m:t>D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p>
                              <m:sSup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n-US" sz="1400" b="0" i="0">
                                        <a:latin typeface="Cambria Math" panose="02040503050406030204" pitchFamily="18" charset="0"/>
                                      </a:rPr>
                                      <m:t>kPs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en-US" sz="1400" b="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n-US" sz="1400" b="0" i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m:rPr>
                                <m:sty m:val="p"/>
                              </m:rPr>
                              <a:rPr lang="en-US" sz="1400" b="0" i="0">
                                <a:latin typeface="Cambria Math" panose="02040503050406030204" pitchFamily="18" charset="0"/>
                              </a:rPr>
                              <m:t>B</m:t>
                            </m:r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d>
                                  <m:d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n-US" sz="1400" b="0" i="0">
                                        <a:latin typeface="Cambria Math" panose="02040503050406030204" pitchFamily="18" charset="0"/>
                                      </a:rPr>
                                      <m:t>kPs</m:t>
                                    </m:r>
                                  </m:e>
                                </m:d>
                                <m:sSub>
                                  <m:sSub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en-US" sz="1400" b="0" i="0">
                                        <a:latin typeface="Cambria Math" panose="02040503050406030204" pitchFamily="18" charset="0"/>
                                      </a:rPr>
                                      <m:t>S</m:t>
                                    </m:r>
                                  </m:e>
                                  <m:sub>
                                    <m:r>
                                      <a:rPr lang="en-US" sz="1400" b="0" i="0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  <m:r>
                                  <a:rPr lang="en-US" sz="1400" b="0" i="0">
                                    <a:latin typeface="Cambria Math" panose="02040503050406030204" pitchFamily="18" charset="0"/>
                                  </a:rPr>
                                  <m:t>(</m:t>
                                </m:r>
                                <m:r>
                                  <m:rPr>
                                    <m:sty m:val="p"/>
                                  </m:rPr>
                                  <a:rPr lang="en-US" sz="1400" b="0" i="0">
                                    <a:latin typeface="Cambria Math" panose="02040503050406030204" pitchFamily="18" charset="0"/>
                                  </a:rPr>
                                  <m:t>kPs</m:t>
                                </m:r>
                                <m:r>
                                  <a:rPr lang="en-US" sz="1400" b="0" i="0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e>
                            </m:nary>
                          </m:e>
                        </m:nary>
                      </m:num>
                      <m:den>
                        <m:r>
                          <m:rPr>
                            <m:sty m:val="p"/>
                          </m:rPr>
                          <a:rPr lang="en-US" sz="1400" b="0" i="0">
                            <a:latin typeface="Cambria Math" panose="02040503050406030204" pitchFamily="18" charset="0"/>
                          </a:rPr>
                          <m:t>k</m:t>
                        </m:r>
                        <m:r>
                          <a:rPr lang="en-US" sz="1400" b="0" i="0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m:rPr>
                            <m:sty m:val="p"/>
                          </m:rPr>
                          <a:rPr lang="en-US" sz="1400" b="0" i="0">
                            <a:latin typeface="Cambria Math" panose="02040503050406030204" pitchFamily="18" charset="0"/>
                          </a:rPr>
                          <m:t>v</m:t>
                        </m:r>
                        <m:r>
                          <a:rPr lang="en-US" sz="1400" b="0" i="0">
                            <a:latin typeface="Cambria Math" panose="02040503050406030204" pitchFamily="18" charset="0"/>
                          </a:rPr>
                          <m:t>−1)</m:t>
                        </m:r>
                        <m:r>
                          <m:rPr>
                            <m:sty m:val="p"/>
                          </m:rPr>
                          <a:rPr lang="el-GR" sz="14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</m:den>
                    </m:f>
                  </m:oMath>
                </m:oMathPara>
              </a14:m>
              <a:endParaRPr lang="en-IN" sz="1400" b="0" i="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C5C21802-4E18-4B0D-B501-A7B3B4155CF0}"/>
                </a:ext>
              </a:extLst>
            </xdr:cNvPr>
            <xdr:cNvSpPr txBox="1"/>
          </xdr:nvSpPr>
          <xdr:spPr>
            <a:xfrm>
              <a:off x="2796540" y="39904035"/>
              <a:ext cx="3114891" cy="47045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F−cal=  (D∑▒〖(kPs)^2−B∑▒〖(kPs) S_1 (kPs)〗〗)/(k(v−1)</a:t>
              </a:r>
              <a:r>
                <a:rPr lang="el-GR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IN" sz="1400" b="0" i="0"/>
            </a:p>
          </xdr:txBody>
        </xdr:sp>
      </mc:Fallback>
    </mc:AlternateContent>
    <xdr:clientData/>
  </xdr:oneCellAnchor>
  <xdr:oneCellAnchor>
    <xdr:from>
      <xdr:col>3</xdr:col>
      <xdr:colOff>390525</xdr:colOff>
      <xdr:row>169</xdr:row>
      <xdr:rowOff>66675</xdr:rowOff>
    </xdr:from>
    <xdr:ext cx="2315858" cy="2857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0689E6D-ECC5-407E-B4E8-5E1ABDDD43CD}"/>
            </a:ext>
          </a:extLst>
        </xdr:cNvPr>
        <xdr:cNvSpPr txBox="1"/>
      </xdr:nvSpPr>
      <xdr:spPr>
        <a:xfrm>
          <a:off x="3162300" y="40709850"/>
          <a:ext cx="2315858" cy="2857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en-IN" sz="1400" b="0" i="0">
              <a:latin typeface="Cambria Math" panose="02040503050406030204" pitchFamily="18" charset="0"/>
            </a:rPr>
            <a:t>𝐹𝑡𝑎𝑏=𝐹(𝑣−1,𝑏𝑘−𝑏−𝑣+1)</a:t>
          </a:r>
          <a:endParaRPr lang="en-IN" sz="14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5"/>
  <sheetViews>
    <sheetView tabSelected="1" topLeftCell="A157" workbookViewId="0">
      <selection activeCell="H168" sqref="H168"/>
    </sheetView>
  </sheetViews>
  <sheetFormatPr defaultRowHeight="15" x14ac:dyDescent="0.25"/>
  <cols>
    <col min="1" max="1" width="12.140625" customWidth="1"/>
    <col min="3" max="3" width="20.28515625" customWidth="1"/>
    <col min="4" max="4" width="23.7109375" customWidth="1"/>
    <col min="5" max="5" width="28.28515625" customWidth="1"/>
    <col min="6" max="6" width="21.28515625" customWidth="1"/>
    <col min="7" max="7" width="35.5703125" customWidth="1"/>
    <col min="8" max="8" width="21.7109375" customWidth="1"/>
    <col min="9" max="9" width="14.42578125" customWidth="1"/>
    <col min="10" max="10" width="23" customWidth="1"/>
  </cols>
  <sheetData>
    <row r="1" spans="1:17" x14ac:dyDescent="0.25">
      <c r="A1" s="10">
        <v>44433</v>
      </c>
      <c r="J1" s="117" t="s">
        <v>147</v>
      </c>
      <c r="K1" s="117"/>
    </row>
    <row r="2" spans="1:17" x14ac:dyDescent="0.25">
      <c r="J2" s="116" t="s">
        <v>148</v>
      </c>
      <c r="K2" s="116"/>
    </row>
    <row r="4" spans="1:17" ht="18.75" x14ac:dyDescent="0.3">
      <c r="A4" s="1" t="s">
        <v>0</v>
      </c>
      <c r="B4" s="2" t="s">
        <v>1</v>
      </c>
      <c r="C4" s="3"/>
      <c r="D4" s="4"/>
      <c r="E4" s="4"/>
      <c r="F4" s="4"/>
    </row>
    <row r="5" spans="1:17" ht="18.75" x14ac:dyDescent="0.3">
      <c r="A5" s="1"/>
      <c r="B5" s="2" t="s">
        <v>2</v>
      </c>
      <c r="C5" s="3"/>
      <c r="D5" s="4"/>
      <c r="E5" s="4"/>
      <c r="F5" s="4"/>
    </row>
    <row r="6" spans="1:17" ht="19.5" thickBot="1" x14ac:dyDescent="0.35">
      <c r="A6" s="5"/>
      <c r="B6" s="5"/>
      <c r="C6" s="6"/>
      <c r="D6" s="6" t="s">
        <v>3</v>
      </c>
      <c r="E6" s="6"/>
      <c r="F6" s="6"/>
    </row>
    <row r="7" spans="1:17" ht="19.5" thickBot="1" x14ac:dyDescent="0.3">
      <c r="A7" s="5"/>
      <c r="B7" s="7" t="s">
        <v>4</v>
      </c>
      <c r="C7" s="119" t="s">
        <v>5</v>
      </c>
      <c r="D7" s="120"/>
      <c r="E7" s="120"/>
      <c r="F7" s="121"/>
    </row>
    <row r="8" spans="1:17" ht="19.5" thickBot="1" x14ac:dyDescent="0.35">
      <c r="A8" s="4"/>
      <c r="B8" s="8">
        <v>1</v>
      </c>
      <c r="C8" s="9" t="s">
        <v>6</v>
      </c>
      <c r="D8" s="9" t="s">
        <v>7</v>
      </c>
      <c r="E8" s="9" t="s">
        <v>8</v>
      </c>
      <c r="F8" s="9" t="s">
        <v>9</v>
      </c>
      <c r="H8" s="51" t="s">
        <v>26</v>
      </c>
      <c r="I8" s="6">
        <v>5</v>
      </c>
      <c r="J8" s="4"/>
      <c r="K8" s="4"/>
      <c r="L8" s="4"/>
      <c r="M8" s="4"/>
      <c r="N8" s="4"/>
      <c r="O8" s="4"/>
      <c r="P8" s="4"/>
      <c r="Q8" s="4"/>
    </row>
    <row r="9" spans="1:17" ht="19.5" thickBot="1" x14ac:dyDescent="0.35">
      <c r="A9" s="4"/>
      <c r="B9" s="8">
        <v>2</v>
      </c>
      <c r="C9" s="9" t="s">
        <v>10</v>
      </c>
      <c r="D9" s="9" t="s">
        <v>11</v>
      </c>
      <c r="E9" s="9" t="s">
        <v>12</v>
      </c>
      <c r="F9" s="9" t="s">
        <v>13</v>
      </c>
      <c r="H9" s="51" t="s">
        <v>27</v>
      </c>
      <c r="I9" s="6">
        <v>10</v>
      </c>
      <c r="J9" s="4" t="s">
        <v>28</v>
      </c>
      <c r="K9" s="4"/>
      <c r="L9" s="4"/>
      <c r="M9" s="4"/>
      <c r="N9" s="4"/>
      <c r="O9" s="4"/>
      <c r="P9" s="4"/>
      <c r="Q9" s="4"/>
    </row>
    <row r="10" spans="1:17" ht="19.5" thickBot="1" x14ac:dyDescent="0.35">
      <c r="A10" s="4"/>
      <c r="B10" s="8">
        <v>3</v>
      </c>
      <c r="C10" s="9" t="s">
        <v>14</v>
      </c>
      <c r="D10" s="9" t="s">
        <v>15</v>
      </c>
      <c r="E10" s="9" t="s">
        <v>16</v>
      </c>
      <c r="F10" s="9" t="s">
        <v>17</v>
      </c>
      <c r="H10" s="51" t="s">
        <v>29</v>
      </c>
      <c r="I10" s="6">
        <v>2</v>
      </c>
      <c r="J10" s="4"/>
      <c r="K10" s="4"/>
      <c r="L10" s="4"/>
      <c r="M10" s="4"/>
      <c r="N10" s="4"/>
      <c r="O10" s="4"/>
      <c r="P10" s="4"/>
      <c r="Q10" s="4"/>
    </row>
    <row r="11" spans="1:17" ht="19.5" thickBot="1" x14ac:dyDescent="0.35">
      <c r="A11" s="4"/>
      <c r="B11" s="8">
        <v>4</v>
      </c>
      <c r="C11" s="9" t="s">
        <v>18</v>
      </c>
      <c r="D11" s="9" t="s">
        <v>19</v>
      </c>
      <c r="E11" s="9" t="s">
        <v>20</v>
      </c>
      <c r="F11" s="9" t="s">
        <v>21</v>
      </c>
      <c r="H11" s="51" t="s">
        <v>30</v>
      </c>
      <c r="I11" s="6">
        <v>4</v>
      </c>
      <c r="J11" s="4" t="s">
        <v>34</v>
      </c>
      <c r="K11" s="4"/>
      <c r="L11" s="4"/>
      <c r="M11" s="4"/>
      <c r="N11" s="4"/>
      <c r="O11" s="4"/>
      <c r="P11" s="4"/>
      <c r="Q11" s="4"/>
    </row>
    <row r="12" spans="1:17" ht="19.5" thickBot="1" x14ac:dyDescent="0.35">
      <c r="A12" s="4"/>
      <c r="B12" s="8">
        <v>5</v>
      </c>
      <c r="C12" s="9" t="s">
        <v>22</v>
      </c>
      <c r="D12" s="9" t="s">
        <v>23</v>
      </c>
      <c r="E12" s="9" t="s">
        <v>24</v>
      </c>
      <c r="F12" s="9" t="s">
        <v>25</v>
      </c>
      <c r="H12" s="52" t="s">
        <v>31</v>
      </c>
      <c r="I12" s="6" t="s">
        <v>32</v>
      </c>
      <c r="J12" s="4" t="s">
        <v>33</v>
      </c>
      <c r="K12" s="4"/>
      <c r="L12" s="4"/>
      <c r="M12" s="4"/>
      <c r="N12" s="4"/>
      <c r="O12" s="4"/>
      <c r="P12" s="4"/>
      <c r="Q12" s="4"/>
    </row>
    <row r="14" spans="1:17" ht="18.75" x14ac:dyDescent="0.3">
      <c r="B14" s="4"/>
      <c r="C14" s="4" t="s">
        <v>35</v>
      </c>
      <c r="D14" s="6"/>
      <c r="E14" s="6"/>
      <c r="F14" s="6"/>
      <c r="G14" s="6"/>
      <c r="H14" s="11"/>
      <c r="I14" s="12"/>
    </row>
    <row r="15" spans="1:17" ht="18.75" x14ac:dyDescent="0.3">
      <c r="B15" s="4"/>
      <c r="C15" s="6"/>
      <c r="D15" s="6"/>
      <c r="E15" s="6"/>
      <c r="F15" s="6"/>
      <c r="G15" s="6"/>
      <c r="H15" s="11"/>
      <c r="I15" s="12"/>
    </row>
    <row r="16" spans="1:17" ht="20.25" x14ac:dyDescent="0.35">
      <c r="B16" s="51" t="s">
        <v>149</v>
      </c>
      <c r="C16" s="6">
        <v>0</v>
      </c>
      <c r="D16" s="4" t="s">
        <v>36</v>
      </c>
      <c r="E16" s="4" t="s">
        <v>37</v>
      </c>
      <c r="F16" s="4"/>
      <c r="G16" s="4"/>
      <c r="H16" s="4"/>
    </row>
    <row r="17" spans="2:23" ht="20.25" x14ac:dyDescent="0.35">
      <c r="B17" s="51" t="s">
        <v>150</v>
      </c>
      <c r="C17" s="6">
        <v>1</v>
      </c>
      <c r="D17" s="4" t="s">
        <v>38</v>
      </c>
      <c r="E17" s="4" t="s">
        <v>39</v>
      </c>
      <c r="F17" s="4"/>
      <c r="G17" s="4"/>
      <c r="H17" s="4"/>
    </row>
    <row r="18" spans="2:23" ht="19.5" thickBot="1" x14ac:dyDescent="0.35">
      <c r="B18" s="4"/>
      <c r="C18" s="4"/>
      <c r="D18" s="4"/>
      <c r="E18" s="4"/>
      <c r="F18" s="4"/>
      <c r="G18" s="4"/>
      <c r="H18" s="4"/>
      <c r="I18" s="4"/>
    </row>
    <row r="19" spans="2:23" ht="21" thickBot="1" x14ac:dyDescent="0.35">
      <c r="B19" s="4"/>
      <c r="C19" s="13" t="s">
        <v>40</v>
      </c>
      <c r="D19" s="14" t="s">
        <v>41</v>
      </c>
      <c r="E19" s="15" t="s">
        <v>42</v>
      </c>
      <c r="F19" s="4"/>
      <c r="G19" s="4"/>
      <c r="H19" s="4"/>
      <c r="I19" s="4"/>
    </row>
    <row r="20" spans="2:23" ht="18.75" x14ac:dyDescent="0.3">
      <c r="B20" s="4"/>
      <c r="C20" s="16">
        <v>1</v>
      </c>
      <c r="D20" s="17" t="s">
        <v>43</v>
      </c>
      <c r="E20" s="24" t="s">
        <v>44</v>
      </c>
      <c r="F20" s="4"/>
      <c r="G20" t="s">
        <v>175</v>
      </c>
    </row>
    <row r="21" spans="2:23" ht="18.75" x14ac:dyDescent="0.3">
      <c r="B21" s="4"/>
      <c r="C21" s="16">
        <v>2</v>
      </c>
      <c r="D21" s="17" t="s">
        <v>45</v>
      </c>
      <c r="E21" s="24" t="s">
        <v>46</v>
      </c>
      <c r="F21" s="4"/>
      <c r="G21" s="21" t="s">
        <v>51</v>
      </c>
      <c r="H21" t="s">
        <v>65</v>
      </c>
      <c r="I21" t="s">
        <v>66</v>
      </c>
      <c r="K21" s="22">
        <v>0</v>
      </c>
      <c r="L21" s="22">
        <v>2</v>
      </c>
    </row>
    <row r="22" spans="2:23" ht="18.75" x14ac:dyDescent="0.3">
      <c r="B22" s="4"/>
      <c r="C22" s="16">
        <v>3</v>
      </c>
      <c r="D22" s="17" t="s">
        <v>47</v>
      </c>
      <c r="E22" s="24" t="s">
        <v>48</v>
      </c>
      <c r="F22" s="4"/>
      <c r="H22" t="s">
        <v>67</v>
      </c>
      <c r="I22" t="s">
        <v>68</v>
      </c>
      <c r="J22" s="23" t="s">
        <v>69</v>
      </c>
      <c r="K22" s="22">
        <v>2</v>
      </c>
      <c r="L22" s="22">
        <v>4</v>
      </c>
    </row>
    <row r="23" spans="2:23" ht="18.75" x14ac:dyDescent="0.3">
      <c r="B23" s="4"/>
      <c r="C23" s="16">
        <v>4</v>
      </c>
      <c r="D23" s="17" t="s">
        <v>49</v>
      </c>
      <c r="E23" s="24" t="s">
        <v>50</v>
      </c>
      <c r="F23" s="4"/>
      <c r="G23" s="61" t="s">
        <v>152</v>
      </c>
      <c r="H23" s="61"/>
      <c r="I23" s="61"/>
      <c r="J23" s="62"/>
      <c r="K23" s="62"/>
      <c r="L23" s="61"/>
      <c r="M23" s="61"/>
      <c r="N23" s="61"/>
      <c r="O23" s="102"/>
      <c r="P23" s="103"/>
      <c r="Q23" s="103"/>
      <c r="R23" s="103"/>
      <c r="S23" s="103"/>
      <c r="T23" s="103"/>
    </row>
    <row r="24" spans="2:23" ht="18.75" x14ac:dyDescent="0.3">
      <c r="B24" s="4"/>
      <c r="C24" s="16">
        <v>5</v>
      </c>
      <c r="D24" s="17" t="s">
        <v>52</v>
      </c>
      <c r="E24" s="24" t="s">
        <v>53</v>
      </c>
      <c r="F24" s="4"/>
      <c r="G24" t="s">
        <v>176</v>
      </c>
    </row>
    <row r="25" spans="2:23" ht="18.75" x14ac:dyDescent="0.3">
      <c r="B25" s="4"/>
      <c r="C25" s="16">
        <v>6</v>
      </c>
      <c r="D25" s="17" t="s">
        <v>54</v>
      </c>
      <c r="E25" s="24" t="s">
        <v>55</v>
      </c>
      <c r="F25" s="4"/>
      <c r="G25" s="21" t="s">
        <v>58</v>
      </c>
      <c r="H25" t="s">
        <v>70</v>
      </c>
      <c r="I25" t="s">
        <v>71</v>
      </c>
      <c r="J25" s="23" t="s">
        <v>69</v>
      </c>
      <c r="K25" s="22">
        <v>1</v>
      </c>
      <c r="L25" s="22">
        <v>2</v>
      </c>
    </row>
    <row r="26" spans="2:23" ht="18.75" x14ac:dyDescent="0.3">
      <c r="B26" s="4"/>
      <c r="C26" s="16">
        <v>7</v>
      </c>
      <c r="D26" s="17" t="s">
        <v>56</v>
      </c>
      <c r="E26" s="24" t="s">
        <v>57</v>
      </c>
      <c r="F26" s="4"/>
      <c r="H26" t="s">
        <v>72</v>
      </c>
      <c r="I26" t="s">
        <v>73</v>
      </c>
      <c r="J26" s="23"/>
      <c r="K26" s="22">
        <v>2</v>
      </c>
      <c r="L26" s="22">
        <v>3</v>
      </c>
    </row>
    <row r="27" spans="2:23" ht="18.75" x14ac:dyDescent="0.3">
      <c r="B27" s="4"/>
      <c r="C27" s="16">
        <v>8</v>
      </c>
      <c r="D27" s="17" t="s">
        <v>59</v>
      </c>
      <c r="E27" s="24" t="s">
        <v>60</v>
      </c>
      <c r="F27" s="4"/>
      <c r="G27" s="63" t="s">
        <v>153</v>
      </c>
      <c r="H27" s="63"/>
      <c r="I27" s="63"/>
      <c r="J27" s="63"/>
      <c r="K27" s="63"/>
      <c r="L27" s="63"/>
      <c r="M27" s="63"/>
      <c r="N27" s="63"/>
      <c r="O27" s="63"/>
      <c r="P27" s="104"/>
      <c r="Q27" s="105"/>
      <c r="R27" s="105"/>
      <c r="S27" s="105"/>
      <c r="T27" s="105"/>
      <c r="U27" s="105"/>
      <c r="V27" s="105"/>
      <c r="W27" s="105"/>
    </row>
    <row r="28" spans="2:23" ht="18.75" x14ac:dyDescent="0.3">
      <c r="B28" s="4"/>
      <c r="C28" s="16">
        <v>9</v>
      </c>
      <c r="D28" s="17" t="s">
        <v>61</v>
      </c>
      <c r="E28" s="24" t="s">
        <v>62</v>
      </c>
      <c r="F28" s="4"/>
      <c r="Q28" s="103"/>
      <c r="R28" s="103"/>
      <c r="S28" s="103"/>
      <c r="T28" s="103"/>
      <c r="U28" s="103"/>
      <c r="V28" s="103"/>
      <c r="W28" s="103"/>
    </row>
    <row r="29" spans="2:23" ht="19.5" thickBot="1" x14ac:dyDescent="0.35">
      <c r="B29" s="4"/>
      <c r="C29" s="19">
        <v>10</v>
      </c>
      <c r="D29" s="20" t="s">
        <v>63</v>
      </c>
      <c r="E29" s="25" t="s">
        <v>64</v>
      </c>
      <c r="F29" s="4"/>
    </row>
    <row r="30" spans="2:23" ht="19.5" thickBot="1" x14ac:dyDescent="0.35">
      <c r="B30" s="4"/>
      <c r="C30" s="4"/>
      <c r="D30" s="4"/>
      <c r="E30" s="4"/>
      <c r="F30" s="4"/>
    </row>
    <row r="31" spans="2:23" ht="19.5" thickBot="1" x14ac:dyDescent="0.35">
      <c r="B31" s="26" t="s">
        <v>4</v>
      </c>
      <c r="C31" s="122" t="s">
        <v>5</v>
      </c>
      <c r="D31" s="123"/>
      <c r="E31" s="123"/>
      <c r="F31" s="124"/>
      <c r="G31" s="27" t="s">
        <v>74</v>
      </c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2:23" ht="19.5" thickBot="1" x14ac:dyDescent="0.35">
      <c r="B32" s="28">
        <v>1</v>
      </c>
      <c r="C32" s="29">
        <v>89</v>
      </c>
      <c r="D32" s="29">
        <v>14</v>
      </c>
      <c r="E32" s="30">
        <v>45</v>
      </c>
      <c r="F32" s="31">
        <v>80</v>
      </c>
      <c r="G32" s="31">
        <f t="array" ref="G32">SUM(C32:F32)</f>
        <v>228</v>
      </c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2:17" ht="19.5" thickBot="1" x14ac:dyDescent="0.35">
      <c r="B33" s="28">
        <v>2</v>
      </c>
      <c r="C33" s="16">
        <v>43</v>
      </c>
      <c r="D33" s="16">
        <v>34</v>
      </c>
      <c r="E33" s="17">
        <v>36</v>
      </c>
      <c r="F33" s="24">
        <v>31</v>
      </c>
      <c r="G33" s="24">
        <f>SUM(C33:F33)</f>
        <v>144</v>
      </c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2:17" ht="19.5" thickBot="1" x14ac:dyDescent="0.35">
      <c r="B34" s="28">
        <v>3</v>
      </c>
      <c r="C34" s="16">
        <v>69</v>
      </c>
      <c r="D34" s="16">
        <v>69</v>
      </c>
      <c r="E34" s="17">
        <v>25</v>
      </c>
      <c r="F34" s="24">
        <v>52</v>
      </c>
      <c r="G34" s="24">
        <f>SUM(C34:F34)</f>
        <v>215</v>
      </c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2:17" ht="19.5" thickBot="1" x14ac:dyDescent="0.35">
      <c r="B35" s="28">
        <v>4</v>
      </c>
      <c r="C35" s="16">
        <v>51</v>
      </c>
      <c r="D35" s="16">
        <v>89</v>
      </c>
      <c r="E35" s="17">
        <v>17</v>
      </c>
      <c r="F35" s="24">
        <v>17</v>
      </c>
      <c r="G35" s="24">
        <f>SUM(C35:F35)</f>
        <v>174</v>
      </c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2:17" ht="19.5" thickBot="1" x14ac:dyDescent="0.35">
      <c r="B36" s="28">
        <v>5</v>
      </c>
      <c r="C36" s="19">
        <v>23</v>
      </c>
      <c r="D36" s="19">
        <v>32</v>
      </c>
      <c r="E36" s="20">
        <v>51</v>
      </c>
      <c r="F36" s="25">
        <v>63</v>
      </c>
      <c r="G36" s="25">
        <f>SUM(C36:F36)</f>
        <v>169</v>
      </c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2:17" ht="18.75" x14ac:dyDescent="0.3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2:17" ht="19.5" thickBot="1" x14ac:dyDescent="0.35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2:17" ht="21" thickBot="1" x14ac:dyDescent="0.35">
      <c r="B39" s="13" t="s">
        <v>40</v>
      </c>
      <c r="C39" s="32" t="s">
        <v>75</v>
      </c>
      <c r="D39" s="33" t="s">
        <v>76</v>
      </c>
      <c r="E39" s="14" t="s">
        <v>77</v>
      </c>
      <c r="F39" s="34" t="s">
        <v>78</v>
      </c>
      <c r="G39" s="14" t="s">
        <v>79</v>
      </c>
      <c r="H39" s="14" t="s">
        <v>80</v>
      </c>
      <c r="I39" s="4"/>
      <c r="Q39" s="4"/>
    </row>
    <row r="40" spans="2:17" ht="18.75" x14ac:dyDescent="0.3">
      <c r="B40" s="16">
        <v>1</v>
      </c>
      <c r="C40" s="17">
        <v>45</v>
      </c>
      <c r="D40" s="6">
        <f t="array" ref="D40">G32+G33</f>
        <v>372</v>
      </c>
      <c r="E40" s="17">
        <f t="array" ref="E40">(4*C40)-D40</f>
        <v>-192</v>
      </c>
      <c r="F40" s="6" t="s">
        <v>43</v>
      </c>
      <c r="G40" s="17">
        <f t="array" ref="G40">E47+E48+E49</f>
        <v>-260</v>
      </c>
      <c r="H40" s="17">
        <f t="shared" ref="H40:H49" si="0">E40*G40</f>
        <v>49920</v>
      </c>
      <c r="I40" s="4"/>
      <c r="Q40" s="4"/>
    </row>
    <row r="41" spans="2:17" ht="18.75" x14ac:dyDescent="0.3">
      <c r="B41" s="16">
        <v>2</v>
      </c>
      <c r="C41" s="17">
        <v>94</v>
      </c>
      <c r="D41" s="6">
        <f t="array" ref="D41">G33+G35</f>
        <v>318</v>
      </c>
      <c r="E41" s="17">
        <f t="shared" ref="E41:E49" si="1">(4*C41)-D41</f>
        <v>58</v>
      </c>
      <c r="F41" s="6" t="s">
        <v>45</v>
      </c>
      <c r="G41" s="17">
        <f>E45+E46+E47</f>
        <v>320</v>
      </c>
      <c r="H41" s="17">
        <f t="shared" si="0"/>
        <v>18560</v>
      </c>
      <c r="I41" s="4"/>
      <c r="Q41" s="4"/>
    </row>
    <row r="42" spans="2:17" ht="18.75" x14ac:dyDescent="0.3">
      <c r="B42" s="16">
        <v>3</v>
      </c>
      <c r="C42" s="17">
        <v>66</v>
      </c>
      <c r="D42" s="6">
        <f>G33+G36</f>
        <v>313</v>
      </c>
      <c r="E42" s="17">
        <f t="shared" si="1"/>
        <v>-49</v>
      </c>
      <c r="F42" s="6" t="s">
        <v>47</v>
      </c>
      <c r="G42" s="17">
        <f>E44+E45+E48</f>
        <v>242</v>
      </c>
      <c r="H42" s="17">
        <f t="shared" si="0"/>
        <v>-11858</v>
      </c>
      <c r="I42" s="4"/>
      <c r="Q42" s="4"/>
    </row>
    <row r="43" spans="2:17" ht="21" customHeight="1" x14ac:dyDescent="0.3">
      <c r="B43" s="16">
        <v>4</v>
      </c>
      <c r="C43" s="17">
        <v>88</v>
      </c>
      <c r="D43" s="6">
        <f>G33+G34</f>
        <v>359</v>
      </c>
      <c r="E43" s="17">
        <f t="shared" si="1"/>
        <v>-7</v>
      </c>
      <c r="F43" s="6" t="s">
        <v>49</v>
      </c>
      <c r="G43" s="17">
        <f>E44+E46+E49</f>
        <v>78</v>
      </c>
      <c r="H43" s="17">
        <f t="shared" si="0"/>
        <v>-546</v>
      </c>
      <c r="I43" s="4"/>
      <c r="Q43" s="4"/>
    </row>
    <row r="44" spans="2:17" ht="18.75" x14ac:dyDescent="0.3">
      <c r="B44" s="16">
        <v>5</v>
      </c>
      <c r="C44" s="17">
        <v>169</v>
      </c>
      <c r="D44" s="6">
        <f>G32+G35</f>
        <v>402</v>
      </c>
      <c r="E44" s="17">
        <f t="shared" si="1"/>
        <v>274</v>
      </c>
      <c r="F44" s="6" t="s">
        <v>52</v>
      </c>
      <c r="G44" s="17">
        <f>E42+E43+E47</f>
        <v>88</v>
      </c>
      <c r="H44" s="17">
        <f t="shared" si="0"/>
        <v>24112</v>
      </c>
      <c r="I44" s="4"/>
      <c r="J44" s="4"/>
      <c r="K44" s="4"/>
      <c r="L44" s="4"/>
      <c r="M44" s="4"/>
      <c r="N44" s="4"/>
      <c r="O44" s="4"/>
      <c r="P44" s="4"/>
      <c r="Q44" s="4"/>
    </row>
    <row r="45" spans="2:17" ht="18.75" x14ac:dyDescent="0.3">
      <c r="B45" s="16">
        <v>6</v>
      </c>
      <c r="C45" s="17">
        <v>158</v>
      </c>
      <c r="D45" s="6">
        <f>G32+G34</f>
        <v>443</v>
      </c>
      <c r="E45" s="17">
        <f t="shared" si="1"/>
        <v>189</v>
      </c>
      <c r="F45" s="6" t="s">
        <v>54</v>
      </c>
      <c r="G45" s="17">
        <f>E41+E42+E49</f>
        <v>-174</v>
      </c>
      <c r="H45" s="17">
        <f t="shared" si="0"/>
        <v>-32886</v>
      </c>
      <c r="I45" s="4"/>
      <c r="J45" s="4"/>
      <c r="K45" s="4"/>
      <c r="L45" s="4"/>
      <c r="M45" s="4"/>
      <c r="N45" s="4"/>
      <c r="O45" s="4"/>
      <c r="P45" s="4"/>
      <c r="Q45" s="4"/>
    </row>
    <row r="46" spans="2:17" ht="18.75" x14ac:dyDescent="0.3">
      <c r="B46" s="16">
        <v>7</v>
      </c>
      <c r="C46" s="17">
        <v>96</v>
      </c>
      <c r="D46" s="6">
        <f>G32+G36</f>
        <v>397</v>
      </c>
      <c r="E46" s="17">
        <f t="shared" si="1"/>
        <v>-13</v>
      </c>
      <c r="F46" s="6" t="s">
        <v>56</v>
      </c>
      <c r="G46" s="17">
        <f>E41+E43+E48</f>
        <v>-170</v>
      </c>
      <c r="H46" s="17">
        <f t="shared" si="0"/>
        <v>2210</v>
      </c>
      <c r="I46" s="4"/>
      <c r="J46" s="4"/>
      <c r="K46" s="4"/>
      <c r="L46" s="4"/>
      <c r="M46" s="4"/>
      <c r="N46" s="4"/>
      <c r="O46" s="4"/>
      <c r="P46" s="4"/>
      <c r="Q46" s="4"/>
    </row>
    <row r="47" spans="2:17" ht="18.75" x14ac:dyDescent="0.3">
      <c r="B47" s="16">
        <v>8</v>
      </c>
      <c r="C47" s="17">
        <v>132</v>
      </c>
      <c r="D47" s="6">
        <f>G34+G36</f>
        <v>384</v>
      </c>
      <c r="E47" s="17">
        <f t="shared" si="1"/>
        <v>144</v>
      </c>
      <c r="F47" s="6" t="s">
        <v>59</v>
      </c>
      <c r="G47" s="17">
        <f>E40+E41+E44</f>
        <v>140</v>
      </c>
      <c r="H47" s="17">
        <f t="shared" si="0"/>
        <v>20160</v>
      </c>
      <c r="I47" s="4"/>
      <c r="J47" s="4"/>
      <c r="K47" s="4"/>
      <c r="L47" s="4"/>
      <c r="M47" s="4"/>
      <c r="N47" s="4"/>
      <c r="O47" s="4"/>
      <c r="P47" s="4"/>
      <c r="Q47" s="4"/>
    </row>
    <row r="48" spans="2:17" ht="18.75" x14ac:dyDescent="0.3">
      <c r="B48" s="16">
        <v>9</v>
      </c>
      <c r="C48" s="17">
        <v>42</v>
      </c>
      <c r="D48" s="6">
        <f>G35+G34</f>
        <v>389</v>
      </c>
      <c r="E48" s="17">
        <f t="shared" si="1"/>
        <v>-221</v>
      </c>
      <c r="F48" s="6" t="s">
        <v>61</v>
      </c>
      <c r="G48" s="17">
        <f>E40+E42+E46</f>
        <v>-254</v>
      </c>
      <c r="H48" s="17">
        <f t="shared" si="0"/>
        <v>56134</v>
      </c>
      <c r="I48" s="4"/>
      <c r="J48" s="4"/>
      <c r="K48" s="4"/>
      <c r="L48" s="4"/>
      <c r="M48" s="4"/>
      <c r="N48" s="4"/>
      <c r="O48" s="4"/>
      <c r="P48" s="4"/>
      <c r="Q48" s="4"/>
    </row>
    <row r="49" spans="2:17" ht="19.5" thickBot="1" x14ac:dyDescent="0.35">
      <c r="B49" s="16">
        <v>10</v>
      </c>
      <c r="C49" s="17">
        <v>40</v>
      </c>
      <c r="D49" s="6">
        <f>G36+G35</f>
        <v>343</v>
      </c>
      <c r="E49" s="17">
        <f t="shared" si="1"/>
        <v>-183</v>
      </c>
      <c r="F49" s="6" t="s">
        <v>63</v>
      </c>
      <c r="G49" s="17">
        <f>E40+E43+E45</f>
        <v>-10</v>
      </c>
      <c r="H49" s="17">
        <f t="shared" si="0"/>
        <v>1830</v>
      </c>
      <c r="I49" s="4"/>
      <c r="J49" s="4"/>
      <c r="K49" s="4"/>
      <c r="L49" s="4"/>
      <c r="M49" s="4"/>
      <c r="N49" s="4"/>
      <c r="O49" s="4"/>
      <c r="P49" s="4"/>
      <c r="Q49" s="4"/>
    </row>
    <row r="50" spans="2:17" ht="19.5" thickBot="1" x14ac:dyDescent="0.35">
      <c r="B50" s="27" t="s">
        <v>89</v>
      </c>
      <c r="C50" s="39">
        <f>SUM(C40:C49)</f>
        <v>930</v>
      </c>
      <c r="D50" s="40">
        <f>SUM(D40:D49)</f>
        <v>3720</v>
      </c>
      <c r="E50" s="39">
        <f t="array" ref="E50">SUM(E40:E49)</f>
        <v>0</v>
      </c>
      <c r="F50" s="40"/>
      <c r="G50" s="39">
        <f>SUM(G40:G49)</f>
        <v>0</v>
      </c>
      <c r="H50" s="39">
        <f>SUM(H40:H49)</f>
        <v>127636</v>
      </c>
      <c r="I50" s="4"/>
      <c r="J50" s="4"/>
      <c r="K50" s="4"/>
      <c r="L50" s="4"/>
      <c r="M50" s="4"/>
      <c r="N50" s="4"/>
      <c r="O50" s="4"/>
      <c r="P50" s="4"/>
      <c r="Q50" s="4"/>
    </row>
    <row r="51" spans="2:17" ht="18.75" x14ac:dyDescent="0.3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2:17" ht="18.75" x14ac:dyDescent="0.3">
      <c r="C52" s="5" t="s">
        <v>81</v>
      </c>
      <c r="D52" s="35"/>
      <c r="E52" s="35"/>
      <c r="F52" s="35"/>
      <c r="G52" s="35"/>
      <c r="H52" s="4"/>
      <c r="I52" s="4"/>
    </row>
    <row r="53" spans="2:17" ht="18.75" x14ac:dyDescent="0.3">
      <c r="C53" s="53" t="s">
        <v>82</v>
      </c>
      <c r="D53" s="118" t="s">
        <v>83</v>
      </c>
      <c r="E53" s="118"/>
      <c r="F53" s="4"/>
      <c r="G53" s="4"/>
      <c r="H53" s="4"/>
      <c r="I53" s="4"/>
    </row>
    <row r="54" spans="2:17" ht="18.75" x14ac:dyDescent="0.3">
      <c r="C54" s="53" t="s">
        <v>84</v>
      </c>
      <c r="D54" s="118" t="s">
        <v>85</v>
      </c>
      <c r="E54" s="118"/>
      <c r="F54" s="4"/>
      <c r="G54" s="4"/>
      <c r="H54" s="4"/>
      <c r="I54" s="4"/>
    </row>
    <row r="55" spans="2:17" ht="21" x14ac:dyDescent="0.3">
      <c r="C55" s="54" t="s">
        <v>86</v>
      </c>
      <c r="D55" s="118" t="s">
        <v>87</v>
      </c>
      <c r="E55" s="118"/>
      <c r="F55" s="4"/>
      <c r="G55" s="4"/>
      <c r="H55" s="4"/>
      <c r="I55" s="4"/>
    </row>
    <row r="56" spans="2:17" ht="19.5" customHeight="1" x14ac:dyDescent="0.3">
      <c r="C56" s="54" t="s">
        <v>90</v>
      </c>
      <c r="D56" s="118" t="s">
        <v>88</v>
      </c>
      <c r="E56" s="118"/>
      <c r="F56" s="4"/>
      <c r="G56" s="4"/>
      <c r="H56" s="4"/>
      <c r="I56" s="4"/>
    </row>
    <row r="57" spans="2:17" ht="19.5" customHeight="1" x14ac:dyDescent="0.3">
      <c r="C57" s="55"/>
      <c r="D57" s="56"/>
      <c r="E57" s="56"/>
      <c r="F57" s="4"/>
      <c r="G57" s="4"/>
      <c r="H57" s="4"/>
      <c r="I57" s="4"/>
    </row>
    <row r="59" spans="2:17" ht="20.25" x14ac:dyDescent="0.35">
      <c r="B59" s="58" t="s">
        <v>91</v>
      </c>
      <c r="C59" s="53" t="s">
        <v>92</v>
      </c>
      <c r="D59" s="6">
        <f t="array" ref="D59">I10*(I11-1)+C17</f>
        <v>7</v>
      </c>
      <c r="F59" s="4"/>
      <c r="G59" s="4"/>
      <c r="H59" s="4"/>
      <c r="I59" s="4"/>
      <c r="J59" s="4"/>
      <c r="K59" s="3"/>
      <c r="L59" s="4"/>
    </row>
    <row r="60" spans="2:17" ht="20.25" x14ac:dyDescent="0.35">
      <c r="B60" s="58" t="s">
        <v>93</v>
      </c>
      <c r="C60" s="53" t="s">
        <v>94</v>
      </c>
      <c r="D60" s="6">
        <f t="array" ref="D60">C17-C16</f>
        <v>1</v>
      </c>
      <c r="F60" s="4"/>
      <c r="G60" s="4"/>
      <c r="H60" s="4"/>
      <c r="I60" s="4"/>
      <c r="J60" s="4"/>
      <c r="K60" s="4"/>
      <c r="L60" s="4"/>
    </row>
    <row r="61" spans="2:17" ht="21.75" x14ac:dyDescent="0.35">
      <c r="B61" s="58" t="s">
        <v>95</v>
      </c>
      <c r="C61" s="53" t="s">
        <v>96</v>
      </c>
      <c r="D61" s="6">
        <f>D60*L25</f>
        <v>2</v>
      </c>
      <c r="F61" s="4"/>
      <c r="G61" s="4"/>
      <c r="H61" s="4"/>
      <c r="I61" s="4"/>
      <c r="J61" s="4"/>
      <c r="K61" s="4"/>
      <c r="L61" s="4"/>
    </row>
    <row r="62" spans="2:17" ht="21.75" x14ac:dyDescent="0.35">
      <c r="B62" s="58" t="s">
        <v>97</v>
      </c>
      <c r="C62" s="53" t="s">
        <v>98</v>
      </c>
      <c r="D62" s="6">
        <f>D59+(D60*(K21-K25))</f>
        <v>6</v>
      </c>
      <c r="F62" s="4"/>
      <c r="G62" s="4"/>
      <c r="H62" s="4"/>
      <c r="I62" s="4"/>
      <c r="J62" s="4"/>
      <c r="K62" s="4"/>
      <c r="L62" s="4"/>
    </row>
    <row r="63" spans="2:17" ht="18.75" x14ac:dyDescent="0.3">
      <c r="B63" s="59" t="s">
        <v>99</v>
      </c>
      <c r="C63" s="53" t="s">
        <v>100</v>
      </c>
      <c r="D63" s="6">
        <f t="array" ref="D63">(D59*D62)-(D60*D61)</f>
        <v>40</v>
      </c>
      <c r="F63" s="4"/>
      <c r="G63" s="4"/>
      <c r="H63" s="4"/>
      <c r="I63" s="4"/>
      <c r="J63" s="4"/>
      <c r="K63" s="4"/>
      <c r="L63" s="4"/>
    </row>
    <row r="64" spans="2:17" ht="18.75" x14ac:dyDescent="0.3">
      <c r="B64" s="51"/>
      <c r="C64" s="6"/>
      <c r="D64" s="6"/>
      <c r="F64" s="4"/>
      <c r="G64" s="4"/>
      <c r="H64" s="4"/>
      <c r="I64" s="4"/>
      <c r="J64" s="4"/>
      <c r="K64" s="4"/>
      <c r="L64" s="4"/>
    </row>
    <row r="65" spans="2:12" ht="23.25" x14ac:dyDescent="0.35">
      <c r="B65" s="58" t="s">
        <v>101</v>
      </c>
      <c r="C65" s="57" t="s">
        <v>102</v>
      </c>
      <c r="D65" s="6">
        <f>C50*C50/20</f>
        <v>43245</v>
      </c>
      <c r="F65" s="4"/>
      <c r="G65" s="4"/>
      <c r="H65" s="4"/>
      <c r="I65" s="4"/>
      <c r="J65" s="4"/>
      <c r="K65" s="4"/>
      <c r="L65" s="4"/>
    </row>
    <row r="66" spans="2:12" ht="21" x14ac:dyDescent="0.35">
      <c r="B66" s="106"/>
      <c r="C66" s="107"/>
      <c r="D66" s="6"/>
      <c r="F66" s="4"/>
      <c r="G66" s="4"/>
      <c r="H66" s="4"/>
      <c r="I66" s="4"/>
      <c r="J66" s="4"/>
      <c r="K66" s="4"/>
      <c r="L66" s="4"/>
    </row>
    <row r="67" spans="2:12" ht="18.75" x14ac:dyDescent="0.3">
      <c r="B67" s="108" t="s">
        <v>177</v>
      </c>
      <c r="C67" s="108"/>
      <c r="D67" s="108"/>
      <c r="E67" s="108"/>
      <c r="F67" s="4"/>
      <c r="G67" s="4"/>
      <c r="H67" s="4"/>
      <c r="I67" s="4"/>
      <c r="J67" s="4"/>
      <c r="K67" s="4"/>
      <c r="L67" s="4"/>
    </row>
    <row r="68" spans="2:12" ht="21" customHeight="1" x14ac:dyDescent="0.3">
      <c r="B68" s="111" t="s">
        <v>103</v>
      </c>
      <c r="C68" s="113"/>
      <c r="D68" s="42" t="s">
        <v>104</v>
      </c>
      <c r="E68" s="6"/>
      <c r="F68" s="43">
        <f>D62*SUMSQ(E40:E49)-D60*SUM(H40:H49)</f>
        <v>1412624</v>
      </c>
      <c r="G68" s="6">
        <f>F68/F69</f>
        <v>8828.9</v>
      </c>
      <c r="H68" s="4"/>
      <c r="I68" s="4"/>
      <c r="J68" s="4"/>
      <c r="K68" s="4"/>
      <c r="L68" s="4"/>
    </row>
    <row r="69" spans="2:12" ht="18.75" x14ac:dyDescent="0.3">
      <c r="B69" s="51"/>
      <c r="C69" s="51"/>
      <c r="D69" s="6" t="s">
        <v>105</v>
      </c>
      <c r="E69" s="6"/>
      <c r="F69" s="6">
        <f>I11*D63</f>
        <v>160</v>
      </c>
      <c r="G69" s="6"/>
      <c r="H69" s="4"/>
      <c r="I69" s="4"/>
      <c r="J69" s="4"/>
      <c r="K69" s="4"/>
      <c r="L69" s="4"/>
    </row>
    <row r="70" spans="2:12" ht="18.75" x14ac:dyDescent="0.3">
      <c r="B70" s="51"/>
      <c r="C70" s="51"/>
      <c r="D70" s="6"/>
      <c r="E70" s="6"/>
      <c r="F70" s="6"/>
      <c r="G70" s="6"/>
      <c r="H70" s="4"/>
      <c r="I70" s="4"/>
      <c r="J70" s="4"/>
      <c r="K70" s="4"/>
      <c r="L70" s="4"/>
    </row>
    <row r="71" spans="2:12" ht="18.75" x14ac:dyDescent="0.3">
      <c r="B71" s="108" t="s">
        <v>178</v>
      </c>
      <c r="C71" s="108"/>
      <c r="D71" s="108"/>
      <c r="E71" s="108"/>
      <c r="F71" s="4"/>
      <c r="G71" s="4"/>
      <c r="H71" s="4"/>
      <c r="I71" s="4"/>
      <c r="J71" s="4"/>
      <c r="K71" s="4"/>
      <c r="L71" s="4"/>
    </row>
    <row r="72" spans="2:12" ht="21" customHeight="1" x14ac:dyDescent="0.3">
      <c r="B72" s="111" t="s">
        <v>106</v>
      </c>
      <c r="C72" s="113"/>
      <c r="D72" s="125"/>
      <c r="E72" s="4">
        <f>(SUMSQ(C40:C49)/I10)-D65</f>
        <v>10000</v>
      </c>
      <c r="F72" s="4"/>
      <c r="G72" s="4"/>
      <c r="H72" s="4"/>
      <c r="I72" s="4"/>
      <c r="J72" s="4"/>
      <c r="K72" s="4"/>
      <c r="L72" s="4"/>
    </row>
    <row r="73" spans="2:12" ht="21" x14ac:dyDescent="0.35">
      <c r="B73" s="51"/>
      <c r="C73" s="51"/>
      <c r="D73" s="126"/>
      <c r="E73" s="41"/>
      <c r="F73" s="4"/>
      <c r="G73" s="4"/>
      <c r="H73" s="4"/>
      <c r="I73" s="4"/>
      <c r="J73" s="4"/>
      <c r="K73" s="4"/>
      <c r="L73" s="4"/>
    </row>
    <row r="74" spans="2:12" ht="18.75" x14ac:dyDescent="0.3">
      <c r="B74" s="51"/>
      <c r="C74" s="51"/>
      <c r="D74" s="4"/>
      <c r="E74" s="4"/>
      <c r="F74" s="4"/>
      <c r="G74" s="4"/>
      <c r="H74" s="4"/>
      <c r="I74" s="4"/>
      <c r="J74" s="4"/>
      <c r="K74" s="4"/>
      <c r="L74" s="4"/>
    </row>
    <row r="75" spans="2:12" ht="18.75" x14ac:dyDescent="0.3">
      <c r="B75" s="109" t="s">
        <v>179</v>
      </c>
      <c r="C75" s="109"/>
      <c r="D75" s="109"/>
      <c r="E75" s="109"/>
      <c r="F75" s="4"/>
      <c r="G75" s="4"/>
      <c r="H75" s="4"/>
      <c r="I75" s="4"/>
      <c r="J75" s="4"/>
      <c r="K75" s="4"/>
      <c r="L75" s="4"/>
    </row>
    <row r="76" spans="2:12" ht="21" customHeight="1" x14ac:dyDescent="0.3">
      <c r="B76" s="111" t="s">
        <v>107</v>
      </c>
      <c r="C76" s="113"/>
      <c r="D76" s="125"/>
      <c r="E76" s="4">
        <f>(SUMSQ(G32:G36)/I11)-D65</f>
        <v>1200.5</v>
      </c>
      <c r="F76" s="4"/>
      <c r="G76" s="4"/>
      <c r="H76" s="4"/>
      <c r="I76" s="4"/>
      <c r="J76" s="4"/>
      <c r="K76" s="4"/>
      <c r="L76" s="4"/>
    </row>
    <row r="77" spans="2:12" ht="21" x14ac:dyDescent="0.35">
      <c r="B77" s="51"/>
      <c r="C77" s="51"/>
      <c r="D77" s="126"/>
      <c r="E77" s="41"/>
      <c r="F77" s="4"/>
      <c r="G77" s="4"/>
      <c r="H77" s="4"/>
      <c r="I77" s="4"/>
      <c r="J77" s="4"/>
      <c r="K77" s="4"/>
      <c r="L77" s="4"/>
    </row>
    <row r="78" spans="2:12" ht="18.75" x14ac:dyDescent="0.3">
      <c r="B78" s="51"/>
      <c r="C78" s="51"/>
      <c r="D78" s="4"/>
      <c r="E78" s="4"/>
      <c r="F78" s="4"/>
      <c r="G78" s="4"/>
      <c r="H78" s="4"/>
      <c r="I78" s="4"/>
      <c r="J78" s="4"/>
      <c r="K78" s="4"/>
      <c r="L78" s="4"/>
    </row>
    <row r="79" spans="2:12" ht="18.75" x14ac:dyDescent="0.3">
      <c r="B79" s="110" t="s">
        <v>180</v>
      </c>
      <c r="C79" s="110"/>
      <c r="D79" s="110"/>
      <c r="E79" s="4"/>
      <c r="F79" s="4"/>
      <c r="G79" s="4"/>
      <c r="H79" s="4"/>
      <c r="I79" s="4"/>
      <c r="J79" s="4"/>
      <c r="K79" s="4"/>
      <c r="L79" s="4"/>
    </row>
    <row r="80" spans="2:12" ht="18.75" x14ac:dyDescent="0.3">
      <c r="B80" s="115" t="s">
        <v>108</v>
      </c>
      <c r="C80" s="115"/>
      <c r="D80" s="60"/>
      <c r="E80" s="4">
        <f>SUMSQ(C32:F36)-D65</f>
        <v>10633</v>
      </c>
      <c r="F80" s="4"/>
      <c r="G80" s="4"/>
      <c r="H80" s="4"/>
      <c r="I80" s="4"/>
      <c r="J80" s="4"/>
      <c r="K80" s="4"/>
      <c r="L80" s="4"/>
    </row>
    <row r="81" spans="2:12" ht="18.75" x14ac:dyDescent="0.3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2:12" ht="18.75" x14ac:dyDescent="0.3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2:12" ht="18.75" x14ac:dyDescent="0.3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2:12" ht="18.75" x14ac:dyDescent="0.3">
      <c r="B84" s="115" t="s">
        <v>109</v>
      </c>
      <c r="C84" s="115"/>
      <c r="D84" s="115"/>
      <c r="E84" s="4"/>
      <c r="F84" s="4"/>
      <c r="G84" s="4"/>
      <c r="H84" s="4"/>
      <c r="I84" s="4"/>
      <c r="J84" s="4"/>
      <c r="K84" s="4"/>
      <c r="L84" s="4"/>
    </row>
    <row r="85" spans="2:12" ht="19.5" thickBot="1" x14ac:dyDescent="0.3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2:12" ht="19.5" thickBot="1" x14ac:dyDescent="0.35">
      <c r="B86" s="4"/>
      <c r="C86" s="4"/>
      <c r="D86" s="36" t="s">
        <v>110</v>
      </c>
      <c r="E86" s="44" t="s">
        <v>111</v>
      </c>
      <c r="F86" s="36" t="s">
        <v>112</v>
      </c>
      <c r="G86" s="38" t="s">
        <v>111</v>
      </c>
      <c r="H86" s="36" t="s">
        <v>110</v>
      </c>
      <c r="I86" s="4"/>
      <c r="J86" s="4"/>
      <c r="K86" s="4"/>
      <c r="L86" s="4"/>
    </row>
    <row r="87" spans="2:12" ht="18.75" x14ac:dyDescent="0.3">
      <c r="B87" s="4"/>
      <c r="C87" s="4"/>
      <c r="D87" s="45" t="s">
        <v>113</v>
      </c>
      <c r="E87" s="29">
        <f>E76</f>
        <v>1200.5</v>
      </c>
      <c r="F87" s="30">
        <f>I8-1</f>
        <v>4</v>
      </c>
      <c r="G87" s="31">
        <f>G90-G89-G88</f>
        <v>29.399999999999636</v>
      </c>
      <c r="H87" s="18" t="s">
        <v>114</v>
      </c>
      <c r="I87" s="4"/>
      <c r="J87" s="4"/>
      <c r="K87" s="4"/>
      <c r="L87" s="4"/>
    </row>
    <row r="88" spans="2:12" ht="18.75" x14ac:dyDescent="0.3">
      <c r="B88" s="4"/>
      <c r="C88" s="4"/>
      <c r="D88" s="45" t="s">
        <v>115</v>
      </c>
      <c r="E88" s="16">
        <f>G68</f>
        <v>8828.9</v>
      </c>
      <c r="F88" s="17">
        <f>I9-1</f>
        <v>9</v>
      </c>
      <c r="G88" s="24">
        <f>E72</f>
        <v>10000</v>
      </c>
      <c r="H88" s="18" t="s">
        <v>116</v>
      </c>
      <c r="I88" s="4"/>
      <c r="J88" s="4"/>
      <c r="K88" s="4"/>
      <c r="L88" s="4"/>
    </row>
    <row r="89" spans="2:12" ht="19.5" thickBot="1" x14ac:dyDescent="0.35">
      <c r="B89" s="4"/>
      <c r="C89" s="4"/>
      <c r="D89" s="45" t="s">
        <v>117</v>
      </c>
      <c r="E89" s="16">
        <f t="array" ref="E89">E90-(E87+E88)</f>
        <v>603.60000000000036</v>
      </c>
      <c r="F89" s="17">
        <f>20-I8-I9+1</f>
        <v>6</v>
      </c>
      <c r="G89" s="24">
        <f>E89</f>
        <v>603.60000000000036</v>
      </c>
      <c r="H89" s="18" t="s">
        <v>117</v>
      </c>
      <c r="I89" s="4"/>
      <c r="J89" s="4"/>
      <c r="K89" s="4"/>
      <c r="L89" s="4"/>
    </row>
    <row r="90" spans="2:12" ht="19.5" thickBot="1" x14ac:dyDescent="0.35">
      <c r="B90" s="4"/>
      <c r="C90" s="4"/>
      <c r="D90" s="27" t="s">
        <v>118</v>
      </c>
      <c r="E90" s="44">
        <f>E80</f>
        <v>10633</v>
      </c>
      <c r="F90" s="36">
        <f>F89+F88+F87</f>
        <v>19</v>
      </c>
      <c r="G90" s="46">
        <f>E90</f>
        <v>10633</v>
      </c>
      <c r="H90" s="47" t="s">
        <v>118</v>
      </c>
      <c r="I90" s="4"/>
      <c r="J90" s="4"/>
      <c r="K90" s="4"/>
      <c r="L90" s="4"/>
    </row>
    <row r="91" spans="2:12" ht="18.75" x14ac:dyDescent="0.3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2:12" ht="18.75" x14ac:dyDescent="0.3">
      <c r="B92" s="115" t="s">
        <v>151</v>
      </c>
      <c r="C92" s="115"/>
      <c r="D92" s="115"/>
      <c r="E92" s="4"/>
      <c r="F92" s="4"/>
      <c r="G92" s="4"/>
      <c r="H92" s="4"/>
      <c r="I92" s="4"/>
      <c r="J92" s="4"/>
      <c r="K92" s="4"/>
      <c r="L92" s="4"/>
    </row>
    <row r="93" spans="2:12" ht="20.25" x14ac:dyDescent="0.35">
      <c r="B93" s="4"/>
      <c r="C93" s="4" t="s">
        <v>119</v>
      </c>
      <c r="D93" s="4" t="s">
        <v>120</v>
      </c>
      <c r="E93" s="4"/>
      <c r="F93" s="4" t="s">
        <v>121</v>
      </c>
      <c r="G93" s="4"/>
      <c r="H93" s="4"/>
      <c r="I93" s="4"/>
      <c r="J93" s="4"/>
      <c r="K93" s="4"/>
      <c r="L93" s="4"/>
    </row>
    <row r="94" spans="2:12" ht="20.25" x14ac:dyDescent="0.35">
      <c r="B94" s="4"/>
      <c r="C94" s="4"/>
      <c r="D94" s="4" t="s">
        <v>122</v>
      </c>
      <c r="E94" s="4"/>
      <c r="F94" s="4"/>
      <c r="G94" s="4"/>
      <c r="H94" s="4"/>
      <c r="I94" s="4"/>
      <c r="J94" s="4"/>
      <c r="K94" s="4"/>
      <c r="L94" s="4"/>
    </row>
    <row r="95" spans="2:12" ht="18.75" x14ac:dyDescent="0.3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2:12" ht="19.5" thickBot="1" x14ac:dyDescent="0.35">
      <c r="B96" s="4"/>
      <c r="C96" s="3" t="s">
        <v>123</v>
      </c>
      <c r="D96" s="48" t="s">
        <v>124</v>
      </c>
      <c r="E96" s="48" t="s">
        <v>125</v>
      </c>
      <c r="F96" s="49">
        <f>E88/F88</f>
        <v>980.98888888888882</v>
      </c>
      <c r="G96" s="3">
        <f>F96/F97</f>
        <v>9.7513806052573386</v>
      </c>
      <c r="H96" s="4"/>
      <c r="I96" s="4"/>
      <c r="J96" s="4"/>
      <c r="K96" s="4"/>
      <c r="L96" s="4"/>
    </row>
    <row r="97" spans="2:12" ht="18.75" x14ac:dyDescent="0.3">
      <c r="B97" s="4"/>
      <c r="C97" s="3"/>
      <c r="D97" s="4" t="s">
        <v>126</v>
      </c>
      <c r="E97" s="4" t="s">
        <v>127</v>
      </c>
      <c r="F97" s="4">
        <f>E89/F89</f>
        <v>100.60000000000007</v>
      </c>
      <c r="G97" s="4"/>
      <c r="H97" s="4"/>
      <c r="I97" s="4"/>
      <c r="J97" s="4"/>
      <c r="K97" s="4"/>
      <c r="L97" s="4"/>
    </row>
    <row r="98" spans="2:12" ht="18.75" x14ac:dyDescent="0.3">
      <c r="B98" s="4"/>
      <c r="C98" s="3"/>
      <c r="D98" s="4"/>
      <c r="E98" s="4"/>
      <c r="F98" s="4"/>
      <c r="G98" s="4"/>
      <c r="H98" s="4"/>
      <c r="I98" s="4"/>
      <c r="J98" s="4"/>
      <c r="K98" s="4"/>
      <c r="L98" s="4"/>
    </row>
    <row r="99" spans="2:12" ht="18.75" x14ac:dyDescent="0.3">
      <c r="B99" s="4"/>
      <c r="C99" s="3"/>
      <c r="D99" s="4"/>
      <c r="E99" s="4"/>
      <c r="F99" s="4"/>
      <c r="G99" s="4"/>
      <c r="H99" s="4"/>
      <c r="I99" s="4"/>
      <c r="J99" s="4"/>
      <c r="K99" s="4"/>
      <c r="L99" s="4"/>
    </row>
    <row r="100" spans="2:12" ht="18.75" x14ac:dyDescent="0.3">
      <c r="B100" s="4"/>
      <c r="C100" s="3" t="s">
        <v>128</v>
      </c>
      <c r="D100" s="4">
        <f>_xlfn.F.INV.RT(0.05,F88,F89)</f>
        <v>4.099015541716521</v>
      </c>
      <c r="E100" s="4"/>
      <c r="F100" s="4"/>
      <c r="G100" s="4"/>
      <c r="H100" s="4"/>
      <c r="I100" s="4"/>
      <c r="J100" s="4"/>
      <c r="K100" s="4"/>
      <c r="L100" s="4"/>
    </row>
    <row r="101" spans="2:12" ht="18.75" x14ac:dyDescent="0.3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20.25" x14ac:dyDescent="0.35">
      <c r="B102" s="3" t="s">
        <v>129</v>
      </c>
      <c r="C102" s="4"/>
      <c r="D102" s="3" t="s">
        <v>130</v>
      </c>
      <c r="E102" s="3"/>
      <c r="F102" s="3" t="s">
        <v>131</v>
      </c>
      <c r="G102" s="3"/>
      <c r="H102" s="4"/>
      <c r="I102" s="4"/>
      <c r="J102" s="4"/>
      <c r="K102" s="4"/>
      <c r="L102" s="4"/>
    </row>
    <row r="103" spans="2:12" ht="18.75" x14ac:dyDescent="0.3">
      <c r="B103" s="4"/>
      <c r="C103" s="4"/>
      <c r="D103" s="3"/>
      <c r="E103" s="3"/>
      <c r="F103" s="3" t="s">
        <v>132</v>
      </c>
      <c r="G103" s="4"/>
      <c r="H103" s="4"/>
      <c r="I103" s="4"/>
      <c r="J103" s="4"/>
      <c r="K103" s="4"/>
      <c r="L103" s="4"/>
    </row>
    <row r="104" spans="2:12" ht="18.75" x14ac:dyDescent="0.3">
      <c r="B104" s="4"/>
      <c r="C104" s="4"/>
      <c r="D104" s="3"/>
      <c r="E104" s="3"/>
      <c r="F104" s="3"/>
      <c r="G104" s="4"/>
      <c r="H104" s="4"/>
      <c r="I104" s="4"/>
      <c r="J104" s="4"/>
      <c r="K104" s="4"/>
      <c r="L104" s="4"/>
    </row>
    <row r="105" spans="2:12" ht="18.75" x14ac:dyDescent="0.3">
      <c r="B105" s="111" t="s">
        <v>133</v>
      </c>
      <c r="C105" s="112"/>
      <c r="D105" s="113"/>
      <c r="E105" s="4"/>
      <c r="F105" s="4"/>
      <c r="G105" s="4"/>
      <c r="H105" s="4"/>
      <c r="I105" s="4"/>
      <c r="J105" s="4"/>
      <c r="K105" s="4"/>
      <c r="L105" s="4"/>
    </row>
    <row r="106" spans="2:12" ht="18.75" x14ac:dyDescent="0.3">
      <c r="B106" s="48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20.25" x14ac:dyDescent="0.35">
      <c r="B107" s="4"/>
      <c r="C107" s="4" t="s">
        <v>134</v>
      </c>
      <c r="D107" s="4" t="s">
        <v>135</v>
      </c>
      <c r="E107" s="4"/>
      <c r="F107" s="4"/>
      <c r="G107" s="4" t="s">
        <v>136</v>
      </c>
      <c r="H107" s="4" t="s">
        <v>137</v>
      </c>
      <c r="I107" s="4" t="s">
        <v>138</v>
      </c>
      <c r="J107" s="4"/>
      <c r="K107" s="4"/>
      <c r="L107" s="4"/>
    </row>
    <row r="108" spans="2:12" ht="20.25" x14ac:dyDescent="0.35">
      <c r="B108" s="4"/>
      <c r="C108" s="4"/>
      <c r="D108" s="4" t="s">
        <v>139</v>
      </c>
      <c r="E108" s="4"/>
      <c r="F108" s="4"/>
      <c r="G108" s="3"/>
      <c r="H108" s="4"/>
      <c r="I108" s="4"/>
      <c r="J108" s="4"/>
      <c r="K108" s="4"/>
      <c r="L108" s="4"/>
    </row>
    <row r="109" spans="2:12" ht="18.75" x14ac:dyDescent="0.3">
      <c r="B109" s="4"/>
      <c r="C109" s="4"/>
      <c r="D109" s="4"/>
      <c r="E109" s="4"/>
      <c r="F109" s="4"/>
      <c r="G109" s="3"/>
      <c r="H109" s="4"/>
      <c r="I109" s="4"/>
      <c r="J109" s="4"/>
      <c r="K109" s="4"/>
      <c r="L109" s="4"/>
    </row>
    <row r="110" spans="2:12" ht="19.5" thickBot="1" x14ac:dyDescent="0.35">
      <c r="B110" s="4"/>
      <c r="C110" s="3" t="s">
        <v>123</v>
      </c>
      <c r="D110" s="48" t="s">
        <v>140</v>
      </c>
      <c r="E110" s="48" t="s">
        <v>141</v>
      </c>
      <c r="F110" s="37">
        <f>G87/F87</f>
        <v>7.3499999999999091</v>
      </c>
      <c r="G110" s="3">
        <f>F110/F111</f>
        <v>7.3061630218686918E-2</v>
      </c>
      <c r="H110" s="4"/>
      <c r="I110" s="4"/>
      <c r="J110" s="4"/>
      <c r="K110" s="4"/>
      <c r="L110" s="4"/>
    </row>
    <row r="111" spans="2:12" ht="21" x14ac:dyDescent="0.35">
      <c r="B111" s="4"/>
      <c r="C111" s="4"/>
      <c r="D111" s="4" t="s">
        <v>142</v>
      </c>
      <c r="E111" s="4" t="s">
        <v>127</v>
      </c>
      <c r="F111" s="6">
        <f>G89/F89</f>
        <v>100.60000000000007</v>
      </c>
      <c r="G111" s="50"/>
      <c r="H111" s="4"/>
      <c r="I111" s="4"/>
      <c r="J111" s="4"/>
      <c r="K111" s="4"/>
      <c r="L111" s="4"/>
    </row>
    <row r="112" spans="2:12" ht="21" x14ac:dyDescent="0.35">
      <c r="B112" s="4"/>
      <c r="C112" s="4"/>
      <c r="D112" s="4"/>
      <c r="E112" s="4"/>
      <c r="F112" s="4"/>
      <c r="G112" s="50"/>
      <c r="H112" s="4"/>
      <c r="I112" s="4"/>
      <c r="J112" s="4"/>
      <c r="K112" s="4"/>
      <c r="L112" s="4"/>
    </row>
    <row r="113" spans="1:12" ht="18.75" x14ac:dyDescent="0.3">
      <c r="B113" s="4"/>
      <c r="C113" s="4"/>
      <c r="D113" s="51" t="s">
        <v>143</v>
      </c>
      <c r="E113" s="3">
        <f>_xlfn.F.INV.RT(0.05,4,6)</f>
        <v>4.5336769502752441</v>
      </c>
      <c r="F113" s="4"/>
      <c r="G113" s="4"/>
      <c r="H113" s="4"/>
      <c r="I113" s="4"/>
      <c r="J113" s="4"/>
      <c r="K113" s="4"/>
      <c r="L113" s="4"/>
    </row>
    <row r="114" spans="1:12" ht="18.75" x14ac:dyDescent="0.3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 ht="20.25" x14ac:dyDescent="0.35">
      <c r="B115" s="3" t="s">
        <v>129</v>
      </c>
      <c r="C115" s="4"/>
      <c r="D115" s="3" t="s">
        <v>144</v>
      </c>
      <c r="E115" s="3"/>
      <c r="F115" s="3" t="s">
        <v>145</v>
      </c>
      <c r="G115" s="3"/>
      <c r="H115" s="4"/>
      <c r="I115" s="4"/>
      <c r="J115" s="4"/>
      <c r="K115" s="4"/>
      <c r="L115" s="4"/>
    </row>
    <row r="116" spans="1:12" ht="19.5" thickBot="1" x14ac:dyDescent="0.35">
      <c r="B116" s="4"/>
      <c r="C116" s="4"/>
      <c r="D116" s="3"/>
      <c r="E116" s="3"/>
      <c r="F116" s="3" t="s">
        <v>146</v>
      </c>
      <c r="G116" s="4"/>
      <c r="H116" s="4"/>
      <c r="I116" s="4"/>
      <c r="J116" s="4"/>
      <c r="K116" s="4"/>
      <c r="L116" s="4"/>
    </row>
    <row r="117" spans="1:12" ht="19.5" thickBot="1" x14ac:dyDescent="0.35">
      <c r="A117" s="97" t="s">
        <v>173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ht="22.5" x14ac:dyDescent="0.3">
      <c r="B118" s="64" t="s">
        <v>154</v>
      </c>
      <c r="C118" s="65"/>
    </row>
    <row r="119" spans="1:12" ht="15.75" thickBot="1" x14ac:dyDescent="0.3">
      <c r="E119" s="65"/>
      <c r="F119" s="65"/>
    </row>
    <row r="120" spans="1:12" ht="18" x14ac:dyDescent="0.25">
      <c r="B120" s="94" t="s">
        <v>155</v>
      </c>
      <c r="C120" s="65"/>
      <c r="D120" s="95"/>
      <c r="E120" s="66" t="s">
        <v>27</v>
      </c>
      <c r="F120" s="67">
        <v>10</v>
      </c>
    </row>
    <row r="121" spans="1:12" ht="18" x14ac:dyDescent="0.25">
      <c r="B121" s="94" t="s">
        <v>156</v>
      </c>
      <c r="C121" s="65"/>
      <c r="D121" s="95"/>
      <c r="E121" s="69" t="s">
        <v>26</v>
      </c>
      <c r="F121" s="70">
        <v>5</v>
      </c>
    </row>
    <row r="122" spans="1:12" ht="18" x14ac:dyDescent="0.25">
      <c r="B122" s="95"/>
      <c r="C122" s="65"/>
      <c r="D122" s="95"/>
      <c r="E122" s="69" t="s">
        <v>29</v>
      </c>
      <c r="F122" s="70">
        <v>2</v>
      </c>
    </row>
    <row r="123" spans="1:12" ht="21" x14ac:dyDescent="0.35">
      <c r="B123" s="68" t="s">
        <v>157</v>
      </c>
      <c r="C123" s="92">
        <f>E89/F89</f>
        <v>100.60000000000007</v>
      </c>
      <c r="E123" s="69" t="s">
        <v>30</v>
      </c>
      <c r="F123" s="70">
        <v>4</v>
      </c>
    </row>
    <row r="124" spans="1:12" ht="21" x14ac:dyDescent="0.35">
      <c r="B124" s="68" t="s">
        <v>158</v>
      </c>
      <c r="C124" s="96">
        <f>G87/F87</f>
        <v>7.3499999999999091</v>
      </c>
      <c r="E124" s="69" t="s">
        <v>159</v>
      </c>
      <c r="F124" s="70">
        <v>0</v>
      </c>
    </row>
    <row r="125" spans="1:12" ht="21.75" thickBot="1" x14ac:dyDescent="0.4">
      <c r="E125" s="71" t="s">
        <v>160</v>
      </c>
      <c r="F125" s="72">
        <v>1</v>
      </c>
    </row>
    <row r="127" spans="1:12" x14ac:dyDescent="0.25">
      <c r="C127" s="114"/>
      <c r="F127" s="114"/>
      <c r="G127" s="114"/>
    </row>
    <row r="128" spans="1:12" ht="18" x14ac:dyDescent="0.25">
      <c r="C128" s="114"/>
      <c r="D128" s="98">
        <f>1/C123</f>
        <v>9.9403578528826971E-3</v>
      </c>
      <c r="F128" s="114"/>
      <c r="G128" s="114"/>
      <c r="H128" s="98">
        <f>(10/(((4*(5-1)*C124)-((10-4)*C123))))</f>
        <v>-2.0576131687242722E-2</v>
      </c>
    </row>
    <row r="129" spans="2:7" x14ac:dyDescent="0.25">
      <c r="C129" s="114"/>
      <c r="F129" s="114"/>
      <c r="G129" s="114"/>
    </row>
    <row r="130" spans="2:7" x14ac:dyDescent="0.25">
      <c r="E130" s="114"/>
    </row>
    <row r="131" spans="2:7" ht="18" x14ac:dyDescent="0.25">
      <c r="E131" s="114"/>
      <c r="F131" s="98">
        <f>((4-1)*D128) +H128</f>
        <v>9.2449418714053676E-3</v>
      </c>
    </row>
    <row r="132" spans="2:7" x14ac:dyDescent="0.25">
      <c r="B132" s="114"/>
      <c r="C132" s="114"/>
      <c r="E132" s="114"/>
    </row>
    <row r="133" spans="2:7" ht="18" x14ac:dyDescent="0.25">
      <c r="B133" s="114"/>
      <c r="C133" s="114"/>
      <c r="D133" s="74">
        <f>(F122*F131) +( F125*(D128-H128))</f>
        <v>4.9006373282936153E-2</v>
      </c>
      <c r="E133" s="23"/>
    </row>
    <row r="134" spans="2:7" ht="18" x14ac:dyDescent="0.25">
      <c r="B134" s="23"/>
      <c r="C134" s="23"/>
      <c r="D134" s="74"/>
      <c r="E134" s="23"/>
    </row>
    <row r="135" spans="2:7" ht="18" x14ac:dyDescent="0.25">
      <c r="B135" s="114"/>
      <c r="C135" s="114"/>
      <c r="D135" s="73"/>
    </row>
    <row r="136" spans="2:7" ht="18" x14ac:dyDescent="0.25">
      <c r="B136" s="114"/>
      <c r="C136" s="114"/>
      <c r="D136" s="74">
        <f>(D128-H128)*(F125-F124)</f>
        <v>3.0516489540125417E-2</v>
      </c>
    </row>
    <row r="137" spans="2:7" ht="18" x14ac:dyDescent="0.25">
      <c r="B137" s="23"/>
      <c r="C137" s="23"/>
      <c r="D137" s="74"/>
    </row>
    <row r="138" spans="2:7" ht="18" x14ac:dyDescent="0.25">
      <c r="B138" s="114"/>
      <c r="C138" s="114"/>
      <c r="D138" s="74"/>
    </row>
    <row r="139" spans="2:7" ht="18" x14ac:dyDescent="0.25">
      <c r="B139" s="114"/>
      <c r="C139" s="114"/>
      <c r="D139" s="74">
        <f>D136*L25</f>
        <v>6.1032979080250835E-2</v>
      </c>
    </row>
    <row r="140" spans="2:7" ht="18" x14ac:dyDescent="0.25">
      <c r="B140" s="23"/>
      <c r="C140" s="23"/>
      <c r="D140" s="74"/>
    </row>
    <row r="141" spans="2:7" ht="18" x14ac:dyDescent="0.25">
      <c r="B141" s="114"/>
      <c r="C141" s="114"/>
      <c r="D141" s="74"/>
    </row>
    <row r="142" spans="2:7" ht="18" x14ac:dyDescent="0.25">
      <c r="B142" s="114"/>
      <c r="C142" s="114"/>
      <c r="D142" s="74">
        <f>D133+D136*(K21-K25)</f>
        <v>1.8489883742810735E-2</v>
      </c>
    </row>
    <row r="143" spans="2:7" ht="18" x14ac:dyDescent="0.25">
      <c r="D143" s="73"/>
    </row>
    <row r="144" spans="2:7" x14ac:dyDescent="0.25">
      <c r="B144" s="114"/>
      <c r="C144" s="114"/>
    </row>
    <row r="145" spans="2:10" ht="18" x14ac:dyDescent="0.25">
      <c r="B145" s="114"/>
      <c r="C145" s="114"/>
      <c r="D145" s="74">
        <f>(D133*D142)-(D136*D139)</f>
        <v>-9.5639012304689255E-4</v>
      </c>
    </row>
    <row r="146" spans="2:10" ht="18" x14ac:dyDescent="0.25">
      <c r="B146" s="23"/>
      <c r="C146" s="23"/>
      <c r="D146" s="74"/>
    </row>
    <row r="147" spans="2:10" ht="15.75" thickBot="1" x14ac:dyDescent="0.3"/>
    <row r="148" spans="2:10" ht="66" customHeight="1" thickBot="1" x14ac:dyDescent="0.3">
      <c r="D148" s="75" t="s">
        <v>161</v>
      </c>
      <c r="E148" s="76" t="s">
        <v>162</v>
      </c>
      <c r="F148" s="76" t="s">
        <v>76</v>
      </c>
      <c r="G148" s="77"/>
      <c r="H148" s="77" t="s">
        <v>163</v>
      </c>
      <c r="I148" s="76" t="s">
        <v>164</v>
      </c>
      <c r="J148" s="78" t="s">
        <v>165</v>
      </c>
    </row>
    <row r="149" spans="2:10" ht="20.25" x14ac:dyDescent="0.25">
      <c r="D149" s="79">
        <v>1</v>
      </c>
      <c r="E149" s="80">
        <f>14+31</f>
        <v>45</v>
      </c>
      <c r="F149" s="80">
        <v>372</v>
      </c>
      <c r="G149" s="80">
        <f>($D$128*E149)-(($D$128-$H$128)*F149) -($H$128*930)</f>
        <v>8.2309844635887988</v>
      </c>
      <c r="H149" s="80" t="s">
        <v>43</v>
      </c>
      <c r="I149" s="80">
        <f>G156+G157+G158</f>
        <v>25.478241661144128</v>
      </c>
      <c r="J149" s="81">
        <f>G149*I149</f>
        <v>209.71101127243818</v>
      </c>
    </row>
    <row r="150" spans="2:10" ht="20.25" x14ac:dyDescent="0.25">
      <c r="D150" s="82">
        <v>2</v>
      </c>
      <c r="E150" s="83">
        <f>43+51</f>
        <v>94</v>
      </c>
      <c r="F150" s="83">
        <v>318</v>
      </c>
      <c r="G150" s="80">
        <f t="shared" ref="G150:G158" si="2">($D$128*E150)-(($D$128-$H$128)*F150) -($H$128*930)</f>
        <v>10.365952433546823</v>
      </c>
      <c r="H150" s="83" t="s">
        <v>45</v>
      </c>
      <c r="I150" s="83">
        <f>G154+G155+G156</f>
        <v>23.892202341506412</v>
      </c>
      <c r="J150" s="84">
        <f t="shared" ref="J150:J158" si="3">G150*I150</f>
        <v>247.66543300473151</v>
      </c>
    </row>
    <row r="151" spans="2:10" ht="20.25" x14ac:dyDescent="0.25">
      <c r="D151" s="82">
        <v>3</v>
      </c>
      <c r="E151" s="83">
        <f>34+32</f>
        <v>66</v>
      </c>
      <c r="F151" s="83">
        <v>313</v>
      </c>
      <c r="G151" s="80">
        <f t="shared" si="2"/>
        <v>10.240204861366735</v>
      </c>
      <c r="H151" s="83" t="s">
        <v>47</v>
      </c>
      <c r="I151" s="83">
        <f>G153+G154+G157</f>
        <v>23.41805136260615</v>
      </c>
      <c r="J151" s="84">
        <f t="shared" si="3"/>
        <v>239.80564340709537</v>
      </c>
    </row>
    <row r="152" spans="2:10" ht="20.25" x14ac:dyDescent="0.25">
      <c r="D152" s="82">
        <v>4</v>
      </c>
      <c r="E152" s="83">
        <f>36+52</f>
        <v>88</v>
      </c>
      <c r="F152" s="83">
        <v>359</v>
      </c>
      <c r="G152" s="80">
        <f t="shared" si="2"/>
        <v>9.0551342152843848</v>
      </c>
      <c r="H152" s="83" t="s">
        <v>49</v>
      </c>
      <c r="I152" s="83">
        <f>G153+G155+G158</f>
        <v>25.589385497713192</v>
      </c>
      <c r="J152" s="84">
        <f t="shared" si="3"/>
        <v>231.71532016844475</v>
      </c>
    </row>
    <row r="153" spans="2:10" ht="20.25" x14ac:dyDescent="0.25">
      <c r="D153" s="82">
        <v>5</v>
      </c>
      <c r="E153" s="83">
        <f>80+89</f>
        <v>169</v>
      </c>
      <c r="F153" s="83">
        <v>402</v>
      </c>
      <c r="G153" s="80">
        <f t="shared" si="2"/>
        <v>8.5480941511424895</v>
      </c>
      <c r="H153" s="83" t="s">
        <v>166</v>
      </c>
      <c r="I153" s="83">
        <f>G152+G151+G156</f>
        <v>28.024936798959207</v>
      </c>
      <c r="J153" s="84">
        <f t="shared" si="3"/>
        <v>239.55979833732113</v>
      </c>
    </row>
    <row r="154" spans="2:10" ht="20.25" x14ac:dyDescent="0.25">
      <c r="D154" s="82">
        <v>6</v>
      </c>
      <c r="E154" s="83">
        <f>69+89</f>
        <v>158</v>
      </c>
      <c r="F154" s="83">
        <v>443</v>
      </c>
      <c r="G154" s="80">
        <f t="shared" si="2"/>
        <v>7.18757414361564</v>
      </c>
      <c r="H154" s="83" t="s">
        <v>54</v>
      </c>
      <c r="I154" s="83">
        <f>G150+G151+G158</f>
        <v>29.672418165901579</v>
      </c>
      <c r="J154" s="84">
        <f t="shared" si="3"/>
        <v>213.2727055877852</v>
      </c>
    </row>
    <row r="155" spans="2:10" ht="20.25" x14ac:dyDescent="0.25">
      <c r="D155" s="82">
        <v>7</v>
      </c>
      <c r="E155" s="83">
        <f>45+51</f>
        <v>96</v>
      </c>
      <c r="F155" s="83">
        <v>397</v>
      </c>
      <c r="G155" s="80">
        <f t="shared" si="2"/>
        <v>7.9750304755826811</v>
      </c>
      <c r="H155" s="83" t="s">
        <v>56</v>
      </c>
      <c r="I155" s="83">
        <f>G150+G152+G157</f>
        <v>27.103469716679225</v>
      </c>
      <c r="J155" s="84">
        <f t="shared" si="3"/>
        <v>216.15099698454912</v>
      </c>
    </row>
    <row r="156" spans="2:10" ht="20.25" x14ac:dyDescent="0.25">
      <c r="D156" s="82">
        <v>8</v>
      </c>
      <c r="E156" s="83">
        <f>69+63</f>
        <v>132</v>
      </c>
      <c r="F156" s="83">
        <v>384</v>
      </c>
      <c r="G156" s="80">
        <f>($D$128*E156)-(($D$128-$H$128)*F156) -($H$128*930)</f>
        <v>8.7295977223080889</v>
      </c>
      <c r="H156" s="83" t="s">
        <v>59</v>
      </c>
      <c r="I156" s="83">
        <f>G149+G150+G153</f>
        <v>27.14503104827811</v>
      </c>
      <c r="J156" s="84">
        <f t="shared" si="3"/>
        <v>236.96520121103094</v>
      </c>
    </row>
    <row r="157" spans="2:10" ht="20.25" x14ac:dyDescent="0.25">
      <c r="D157" s="82">
        <v>9</v>
      </c>
      <c r="E157" s="83">
        <f>25+17</f>
        <v>42</v>
      </c>
      <c r="F157" s="83">
        <v>389</v>
      </c>
      <c r="G157" s="80">
        <f t="shared" si="2"/>
        <v>7.6823830678480185</v>
      </c>
      <c r="H157" s="83" t="s">
        <v>61</v>
      </c>
      <c r="I157" s="83">
        <f>G149+G151+G155</f>
        <v>26.446219800538213</v>
      </c>
      <c r="J157" s="84">
        <f t="shared" si="3"/>
        <v>203.16999120424177</v>
      </c>
    </row>
    <row r="158" spans="2:10" ht="21" thickBot="1" x14ac:dyDescent="0.3">
      <c r="D158" s="85">
        <v>10</v>
      </c>
      <c r="E158" s="86">
        <f>23+17</f>
        <v>40</v>
      </c>
      <c r="F158" s="86">
        <v>343</v>
      </c>
      <c r="G158" s="80">
        <f t="shared" si="2"/>
        <v>9.066260870988021</v>
      </c>
      <c r="H158" s="86" t="s">
        <v>63</v>
      </c>
      <c r="I158" s="86">
        <f>G149+G152+G154</f>
        <v>24.473692822488822</v>
      </c>
      <c r="J158" s="87">
        <f t="shared" si="3"/>
        <v>221.88488360511079</v>
      </c>
    </row>
    <row r="159" spans="2:10" ht="21" thickBot="1" x14ac:dyDescent="0.3">
      <c r="D159" s="88" t="s">
        <v>118</v>
      </c>
      <c r="E159" s="89">
        <f>SUM(E149:E158)</f>
        <v>930</v>
      </c>
      <c r="F159" s="89">
        <f>SUM(F149:F158)</f>
        <v>3720</v>
      </c>
      <c r="G159" s="89">
        <f>SUM(G149:G158)</f>
        <v>87.081216405271675</v>
      </c>
      <c r="H159" s="89"/>
      <c r="I159" s="89">
        <f>SUM(I149:I158)</f>
        <v>261.24364921581503</v>
      </c>
      <c r="J159" s="90">
        <f>SUM(J149:J158)</f>
        <v>2259.9009847827488</v>
      </c>
    </row>
    <row r="162" spans="3:12" ht="18" x14ac:dyDescent="0.25">
      <c r="C162" s="101" t="s">
        <v>174</v>
      </c>
      <c r="D162" s="91" t="s">
        <v>167</v>
      </c>
      <c r="E162" s="92"/>
      <c r="F162" s="91"/>
    </row>
    <row r="163" spans="3:12" ht="21" x14ac:dyDescent="0.35">
      <c r="D163" s="73" t="s">
        <v>168</v>
      </c>
      <c r="E163" s="92"/>
      <c r="F163" s="91"/>
    </row>
    <row r="164" spans="3:12" ht="21" x14ac:dyDescent="0.35">
      <c r="D164" s="91" t="s">
        <v>169</v>
      </c>
      <c r="E164" s="92"/>
      <c r="F164" s="91"/>
    </row>
    <row r="166" spans="3:12" x14ac:dyDescent="0.25">
      <c r="D166" s="114"/>
      <c r="E166" s="114"/>
    </row>
    <row r="167" spans="3:12" ht="18" x14ac:dyDescent="0.25">
      <c r="D167" s="114"/>
      <c r="E167" s="114"/>
      <c r="F167" s="99">
        <f>(((D142*SUMSQ(G149:G158)) - ((D136*SUM(J149:J158))))/(4*9*D145))</f>
        <v>1590.6880889127958</v>
      </c>
    </row>
    <row r="168" spans="3:12" x14ac:dyDescent="0.25">
      <c r="D168" s="114"/>
      <c r="E168" s="114"/>
    </row>
    <row r="170" spans="3:12" x14ac:dyDescent="0.25">
      <c r="D170" s="114"/>
      <c r="E170" s="114"/>
    </row>
    <row r="171" spans="3:12" ht="18" x14ac:dyDescent="0.25">
      <c r="D171" s="114"/>
      <c r="E171" s="114"/>
      <c r="F171" s="100">
        <f>_xlfn.F.INV.RT(0.05,9,6)</f>
        <v>4.099015541716521</v>
      </c>
    </row>
    <row r="173" spans="3:12" ht="20.25" x14ac:dyDescent="0.3">
      <c r="D173" s="93" t="s">
        <v>170</v>
      </c>
      <c r="E173" s="91"/>
      <c r="F173" s="91"/>
      <c r="G173" s="91"/>
      <c r="H173" s="91"/>
      <c r="I173" s="91"/>
      <c r="J173" s="91"/>
      <c r="K173" s="91"/>
      <c r="L173" s="65"/>
    </row>
    <row r="174" spans="3:12" ht="18" x14ac:dyDescent="0.25">
      <c r="D174" s="65"/>
      <c r="E174" s="91" t="s">
        <v>171</v>
      </c>
      <c r="F174" s="65"/>
      <c r="G174" s="65"/>
      <c r="H174" s="65"/>
      <c r="I174" s="65"/>
      <c r="J174" s="65"/>
      <c r="K174" s="65"/>
      <c r="L174" s="65"/>
    </row>
    <row r="175" spans="3:12" ht="18" x14ac:dyDescent="0.25">
      <c r="E175" s="91" t="s">
        <v>172</v>
      </c>
    </row>
  </sheetData>
  <mergeCells count="31">
    <mergeCell ref="J2:K2"/>
    <mergeCell ref="J1:K1"/>
    <mergeCell ref="D56:E56"/>
    <mergeCell ref="D55:E55"/>
    <mergeCell ref="D54:E54"/>
    <mergeCell ref="D53:E53"/>
    <mergeCell ref="C7:F7"/>
    <mergeCell ref="C31:F31"/>
    <mergeCell ref="C127:C129"/>
    <mergeCell ref="F127:G129"/>
    <mergeCell ref="E130:E132"/>
    <mergeCell ref="B132:C133"/>
    <mergeCell ref="B135:C136"/>
    <mergeCell ref="B138:C139"/>
    <mergeCell ref="B141:C142"/>
    <mergeCell ref="B144:C145"/>
    <mergeCell ref="D166:E168"/>
    <mergeCell ref="D170:E171"/>
    <mergeCell ref="B67:E67"/>
    <mergeCell ref="B71:E71"/>
    <mergeCell ref="B75:E75"/>
    <mergeCell ref="B79:D79"/>
    <mergeCell ref="B105:D105"/>
    <mergeCell ref="B80:C80"/>
    <mergeCell ref="B84:D84"/>
    <mergeCell ref="B92:D92"/>
    <mergeCell ref="D72:D73"/>
    <mergeCell ref="D76:D77"/>
    <mergeCell ref="B68:C68"/>
    <mergeCell ref="B72:C72"/>
    <mergeCell ref="B76:C7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patel</dc:creator>
  <cp:lastModifiedBy>pateldaksh3120@gmail.com</cp:lastModifiedBy>
  <dcterms:created xsi:type="dcterms:W3CDTF">2015-06-05T18:17:20Z</dcterms:created>
  <dcterms:modified xsi:type="dcterms:W3CDTF">2021-08-27T13:39:55Z</dcterms:modified>
</cp:coreProperties>
</file>