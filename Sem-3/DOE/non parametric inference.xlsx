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 statistics\sem 3\DOE\"/>
    </mc:Choice>
  </mc:AlternateContent>
  <xr:revisionPtr revIDLastSave="0" documentId="13_ncr:1_{193466C3-5E98-47A2-B017-13D031E3F8AD}" xr6:coauthVersionLast="47" xr6:coauthVersionMax="47" xr10:uidLastSave="{00000000-0000-0000-0000-000000000000}"/>
  <bookViews>
    <workbookView xWindow="-120" yWindow="-120" windowWidth="20730" windowHeight="11160" xr2:uid="{DAD33636-08DD-4ED8-965C-90ED938EFAFC}"/>
  </bookViews>
  <sheets>
    <sheet name="Sheet 1" sheetId="2" r:id="rId1"/>
    <sheet name="Sheet 2" sheetId="3" r:id="rId2"/>
    <sheet name="Sheet 3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5" i="4" l="1"/>
  <c r="D44" i="4"/>
  <c r="D43" i="4"/>
  <c r="H43" i="4" s="1" a="1"/>
  <c r="H43" i="4" s="1"/>
  <c r="D42" i="4"/>
  <c r="D41" i="4"/>
  <c r="K15" i="4"/>
  <c r="I15" i="4"/>
  <c r="H15" i="4"/>
  <c r="G15" i="4"/>
  <c r="E15" i="4"/>
  <c r="L14" i="4"/>
  <c r="K14" i="4"/>
  <c r="J14" i="4"/>
  <c r="J15" i="4" s="1"/>
  <c r="I14" i="4"/>
  <c r="H14" i="4"/>
  <c r="G14" i="4"/>
  <c r="F14" i="4"/>
  <c r="F15" i="4" s="1"/>
  <c r="E14" i="4"/>
  <c r="D14" i="4" a="1"/>
  <c r="D14" i="4" s="1"/>
  <c r="M13" i="4"/>
  <c r="L13" i="4"/>
  <c r="L12" i="4"/>
  <c r="M12" i="4" s="1"/>
  <c r="L11" i="4" a="1"/>
  <c r="L11" i="4" s="1"/>
  <c r="F171" i="3"/>
  <c r="F159" i="3"/>
  <c r="E158" i="3"/>
  <c r="E157" i="3"/>
  <c r="E156" i="3"/>
  <c r="E155" i="3"/>
  <c r="E154" i="3"/>
  <c r="E153" i="3"/>
  <c r="E152" i="3"/>
  <c r="E151" i="3"/>
  <c r="E150" i="3"/>
  <c r="E149" i="3"/>
  <c r="E159" i="3" s="1"/>
  <c r="E113" i="3"/>
  <c r="F90" i="3"/>
  <c r="F89" i="3"/>
  <c r="F88" i="3"/>
  <c r="D100" i="3" s="1"/>
  <c r="F87" i="3"/>
  <c r="D60" i="3" a="1"/>
  <c r="D60" i="3" s="1"/>
  <c r="D61" i="3" s="1"/>
  <c r="D59" i="3"/>
  <c r="D62" i="3" s="1"/>
  <c r="D59" i="3" a="1"/>
  <c r="C50" i="3"/>
  <c r="D65" i="3" s="1"/>
  <c r="D48" i="3"/>
  <c r="E48" i="3" s="1"/>
  <c r="D41" i="3" a="1"/>
  <c r="D41" i="3" s="1"/>
  <c r="E41" i="3" s="1"/>
  <c r="G36" i="3"/>
  <c r="D49" i="3" s="1"/>
  <c r="E49" i="3" s="1"/>
  <c r="G35" i="3"/>
  <c r="G34" i="3"/>
  <c r="G33" i="3"/>
  <c r="D43" i="3" s="1"/>
  <c r="E43" i="3" s="1"/>
  <c r="G32" i="3"/>
  <c r="D46" i="3" s="1"/>
  <c r="E46" i="3" s="1"/>
  <c r="G32" i="3" a="1"/>
  <c r="E121" i="2"/>
  <c r="E112" i="2"/>
  <c r="D112" i="2"/>
  <c r="F111" i="2"/>
  <c r="F112" i="2" s="1"/>
  <c r="E111" i="2"/>
  <c r="D111" i="2"/>
  <c r="I109" i="2" s="1"/>
  <c r="C111" i="2"/>
  <c r="C112" i="2" s="1"/>
  <c r="H110" i="2"/>
  <c r="G110" i="2"/>
  <c r="G109" i="2"/>
  <c r="H109" i="2" s="1"/>
  <c r="I108" i="2"/>
  <c r="G108" i="2"/>
  <c r="I107" i="2"/>
  <c r="G107" i="2"/>
  <c r="H107" i="2" s="1"/>
  <c r="C88" i="2"/>
  <c r="C74" i="2"/>
  <c r="E47" i="2"/>
  <c r="E46" i="2"/>
  <c r="E45" i="2"/>
  <c r="E44" i="2"/>
  <c r="G34" i="2"/>
  <c r="G33" i="2"/>
  <c r="F33" i="2"/>
  <c r="F34" i="2" s="1"/>
  <c r="E33" i="2"/>
  <c r="E34" i="2" s="1"/>
  <c r="D33" i="2" a="1"/>
  <c r="D33" i="2" s="1"/>
  <c r="K32" i="2"/>
  <c r="H32" i="2"/>
  <c r="H31" i="2"/>
  <c r="K31" i="2" s="1"/>
  <c r="K30" i="2"/>
  <c r="H30" i="2"/>
  <c r="H29" i="2"/>
  <c r="G23" i="2"/>
  <c r="F23" i="2"/>
  <c r="G22" i="2"/>
  <c r="F22" i="2"/>
  <c r="G21" i="2"/>
  <c r="F21" i="2"/>
  <c r="M11" i="4" l="1" a="1"/>
  <c r="M11" i="4" s="1"/>
  <c r="M14" i="4" s="1"/>
  <c r="E43" i="4"/>
  <c r="F43" i="4" s="1"/>
  <c r="E42" i="4"/>
  <c r="D15" i="4" a="1"/>
  <c r="D15" i="4" s="1"/>
  <c r="L15" i="4" s="1"/>
  <c r="E41" i="4"/>
  <c r="F41" i="4" s="1"/>
  <c r="J17" i="4"/>
  <c r="J18" i="4" s="1"/>
  <c r="G34" i="4" s="1" a="1"/>
  <c r="G34" i="4" s="1"/>
  <c r="E45" i="4"/>
  <c r="F45" i="4" s="1"/>
  <c r="G46" i="3"/>
  <c r="H46" i="3" s="1"/>
  <c r="E72" i="3"/>
  <c r="G88" i="3" s="1"/>
  <c r="E80" i="3"/>
  <c r="E90" i="3" s="1"/>
  <c r="E76" i="3"/>
  <c r="E87" i="3" s="1"/>
  <c r="D40" i="3" a="1"/>
  <c r="D40" i="3" s="1"/>
  <c r="D45" i="3"/>
  <c r="E45" i="3" s="1"/>
  <c r="D47" i="3"/>
  <c r="E47" i="3" s="1"/>
  <c r="D63" i="3" a="1"/>
  <c r="D63" i="3" s="1"/>
  <c r="F69" i="3" s="1"/>
  <c r="D42" i="3"/>
  <c r="E42" i="3" s="1"/>
  <c r="D44" i="3"/>
  <c r="E44" i="3" s="1"/>
  <c r="I32" i="2"/>
  <c r="J32" i="2" s="1"/>
  <c r="L32" i="2" s="1"/>
  <c r="I29" i="2" a="1"/>
  <c r="I29" i="2" s="1"/>
  <c r="J29" i="2" s="1"/>
  <c r="D34" i="2"/>
  <c r="I30" i="2"/>
  <c r="J30" i="2" s="1"/>
  <c r="L30" i="2" s="1"/>
  <c r="K29" i="2"/>
  <c r="I31" i="2"/>
  <c r="I110" i="2"/>
  <c r="G111" i="2"/>
  <c r="J31" i="2"/>
  <c r="L31" i="2" s="1"/>
  <c r="H33" i="2"/>
  <c r="G30" i="4" l="1"/>
  <c r="M26" i="4"/>
  <c r="M30" i="4" s="1"/>
  <c r="E44" i="4"/>
  <c r="F44" i="4" s="1"/>
  <c r="G43" i="4" s="1"/>
  <c r="F42" i="4"/>
  <c r="G26" i="4"/>
  <c r="G44" i="3"/>
  <c r="E40" i="3" a="1"/>
  <c r="E40" i="3" s="1"/>
  <c r="D50" i="3"/>
  <c r="G45" i="3"/>
  <c r="G40" i="3" a="1"/>
  <c r="G40" i="3" s="1"/>
  <c r="G90" i="3"/>
  <c r="G43" i="3"/>
  <c r="H43" i="3" s="1"/>
  <c r="G42" i="3"/>
  <c r="H42" i="3" s="1"/>
  <c r="H44" i="3"/>
  <c r="G41" i="3"/>
  <c r="H41" i="3" s="1"/>
  <c r="H45" i="3"/>
  <c r="C47" i="2"/>
  <c r="E50" i="2"/>
  <c r="F47" i="2"/>
  <c r="F45" i="2"/>
  <c r="J108" i="2"/>
  <c r="J110" i="2"/>
  <c r="C44" i="2" a="1"/>
  <c r="C44" i="2" s="1"/>
  <c r="J107" i="2"/>
  <c r="L29" i="2"/>
  <c r="K58" i="2" s="1"/>
  <c r="C45" i="2"/>
  <c r="J33" i="2"/>
  <c r="J109" i="2"/>
  <c r="E50" i="3" l="1" a="1"/>
  <c r="E50" i="3" s="1"/>
  <c r="G49" i="3"/>
  <c r="H49" i="3" s="1"/>
  <c r="G48" i="3"/>
  <c r="H48" i="3" s="1"/>
  <c r="G47" i="3"/>
  <c r="H47" i="3" s="1"/>
  <c r="H40" i="3"/>
  <c r="F68" i="3"/>
  <c r="G68" i="3" s="1"/>
  <c r="E88" i="3" s="1"/>
  <c r="F54" i="2"/>
  <c r="F62" i="2"/>
  <c r="F58" i="2"/>
  <c r="F46" i="2"/>
  <c r="C46" i="2"/>
  <c r="E70" i="2" s="1"/>
  <c r="F96" i="3" l="1"/>
  <c r="E89" i="3" a="1"/>
  <c r="E89" i="3" s="1"/>
  <c r="H50" i="3"/>
  <c r="G50" i="3"/>
  <c r="E98" i="2"/>
  <c r="F44" i="2"/>
  <c r="C123" i="3" l="1"/>
  <c r="D128" i="3" s="1"/>
  <c r="G89" i="3"/>
  <c r="F97" i="3"/>
  <c r="G96" i="3"/>
  <c r="E84" i="2"/>
  <c r="E100" i="2"/>
  <c r="E103" i="2" s="1"/>
  <c r="F111" i="3" l="1"/>
  <c r="G87" i="3"/>
  <c r="K109" i="2"/>
  <c r="L109" i="2" s="1"/>
  <c r="K107" i="2"/>
  <c r="L107" i="2" s="1"/>
  <c r="K108" i="2"/>
  <c r="L108" i="2" s="1"/>
  <c r="K110" i="2"/>
  <c r="L110" i="2" s="1"/>
  <c r="F115" i="2"/>
  <c r="F110" i="3" l="1"/>
  <c r="G110" i="3" s="1"/>
  <c r="C124" i="3"/>
  <c r="H128" i="3" s="1"/>
  <c r="L111" i="2"/>
  <c r="F118" i="2" s="1"/>
  <c r="G158" i="3" l="1"/>
  <c r="G154" i="3"/>
  <c r="G150" i="3"/>
  <c r="G153" i="3"/>
  <c r="F131" i="3"/>
  <c r="D133" i="3" s="1"/>
  <c r="G152" i="3"/>
  <c r="G155" i="3"/>
  <c r="G157" i="3"/>
  <c r="G149" i="3"/>
  <c r="G156" i="3"/>
  <c r="D136" i="3"/>
  <c r="D139" i="3" s="1"/>
  <c r="G151" i="3"/>
  <c r="I152" i="3" l="1"/>
  <c r="J152" i="3" s="1"/>
  <c r="I151" i="3"/>
  <c r="J151" i="3" s="1"/>
  <c r="I155" i="3"/>
  <c r="J155" i="3" s="1"/>
  <c r="I154" i="3"/>
  <c r="J154" i="3" s="1"/>
  <c r="I149" i="3"/>
  <c r="I153" i="3"/>
  <c r="J153" i="3" s="1"/>
  <c r="I150" i="3"/>
  <c r="J150" i="3" s="1"/>
  <c r="G159" i="3"/>
  <c r="I158" i="3"/>
  <c r="I157" i="3"/>
  <c r="J157" i="3" s="1"/>
  <c r="I156" i="3"/>
  <c r="J156" i="3" s="1"/>
  <c r="J149" i="3"/>
  <c r="D142" i="3"/>
  <c r="D145" i="3"/>
  <c r="J158" i="3"/>
  <c r="J159" i="3" l="1"/>
  <c r="I159" i="3"/>
  <c r="F167" i="3"/>
</calcChain>
</file>

<file path=xl/sharedStrings.xml><?xml version="1.0" encoding="utf-8"?>
<sst xmlns="http://schemas.openxmlformats.org/spreadsheetml/2006/main" count="390" uniqueCount="307">
  <si>
    <t>PRACTICAL - 1</t>
  </si>
  <si>
    <t>Q-1</t>
  </si>
  <si>
    <t>Identify the following design and perform the intrablock analysis:</t>
  </si>
  <si>
    <t>r1</t>
  </si>
  <si>
    <t>r2</t>
  </si>
  <si>
    <t>r3</t>
  </si>
  <si>
    <t>r4</t>
  </si>
  <si>
    <t xml:space="preserve">Blocks </t>
  </si>
  <si>
    <t xml:space="preserve">Treatment and yields </t>
  </si>
  <si>
    <t>A</t>
  </si>
  <si>
    <t>B</t>
  </si>
  <si>
    <t>C</t>
  </si>
  <si>
    <t>D</t>
  </si>
  <si>
    <t>I</t>
  </si>
  <si>
    <t xml:space="preserve"> -</t>
  </si>
  <si>
    <t>k1</t>
  </si>
  <si>
    <t>II</t>
  </si>
  <si>
    <t>k2</t>
  </si>
  <si>
    <t>III</t>
  </si>
  <si>
    <t>k3</t>
  </si>
  <si>
    <t>IV</t>
  </si>
  <si>
    <t>k4</t>
  </si>
  <si>
    <t>ANS  :</t>
  </si>
  <si>
    <t>Let's identify the parameters;</t>
  </si>
  <si>
    <t>b=</t>
  </si>
  <si>
    <t>r=</t>
  </si>
  <si>
    <t>* Each tretament is equally replicated 3 times in one block.</t>
  </si>
  <si>
    <t>v=</t>
  </si>
  <si>
    <t>λ=</t>
  </si>
  <si>
    <t>* Each pair of tretment is accuring in 2 blocks.</t>
  </si>
  <si>
    <t>k=</t>
  </si>
  <si>
    <t>* It is incomplete block design as k&lt;v.</t>
  </si>
  <si>
    <t>Neccesary conditions,</t>
  </si>
  <si>
    <t>bk=vr</t>
  </si>
  <si>
    <r>
      <t>r(k-1)=</t>
    </r>
    <r>
      <rPr>
        <sz val="14"/>
        <color theme="1"/>
        <rFont val="Calibri"/>
        <family val="2"/>
      </rPr>
      <t>λ</t>
    </r>
    <r>
      <rPr>
        <sz val="14"/>
        <color theme="1"/>
        <rFont val="Calibri"/>
        <family val="2"/>
        <scheme val="minor"/>
      </rPr>
      <t>(v-1)</t>
    </r>
  </si>
  <si>
    <t>b&gt;=v</t>
  </si>
  <si>
    <t>Since, all the neccessary conditions are satisfying, we can say that above design is BIBD(4,4,3,3,2).</t>
  </si>
  <si>
    <t>The Above Design is Balanced Incomplete block Design (BIBD )</t>
  </si>
  <si>
    <t>TI</t>
  </si>
  <si>
    <t>B(I)</t>
  </si>
  <si>
    <t>Qi</t>
  </si>
  <si>
    <t>Ti^2</t>
  </si>
  <si>
    <t>Qi^2</t>
  </si>
  <si>
    <t>Bj</t>
  </si>
  <si>
    <t>Bj^2</t>
  </si>
  <si>
    <t>*B(i) = is sum of all block in which ith treatment is accuring</t>
  </si>
  <si>
    <t>*Q(i) = k*Ti - B(i)</t>
  </si>
  <si>
    <t>Intrablock ANOVA for BIBD</t>
  </si>
  <si>
    <t>Source</t>
  </si>
  <si>
    <t>S.S</t>
  </si>
  <si>
    <t>df</t>
  </si>
  <si>
    <t>Block (UnAdj)</t>
  </si>
  <si>
    <t xml:space="preserve">b-1 </t>
  </si>
  <si>
    <t>Block (Adj)</t>
  </si>
  <si>
    <t>Treatments (Adj)</t>
  </si>
  <si>
    <t xml:space="preserve">v-1 </t>
  </si>
  <si>
    <t>Treatments (UnAdj)</t>
  </si>
  <si>
    <t>Error (Intrablock)</t>
  </si>
  <si>
    <t>bk-b-v+1</t>
  </si>
  <si>
    <t>Total</t>
  </si>
  <si>
    <t>bk-1</t>
  </si>
  <si>
    <t>v :</t>
  </si>
  <si>
    <t xml:space="preserve">Number of varieties of treatments </t>
  </si>
  <si>
    <t xml:space="preserve">b : </t>
  </si>
  <si>
    <t xml:space="preserve">Number of blocks </t>
  </si>
  <si>
    <t xml:space="preserve">r : </t>
  </si>
  <si>
    <t xml:space="preserve">Number of replicates of each treatement </t>
  </si>
  <si>
    <t xml:space="preserve">k : </t>
  </si>
  <si>
    <t>Number of block size</t>
  </si>
  <si>
    <t xml:space="preserve">ƛ : </t>
  </si>
  <si>
    <t>Number of block in which any pair of treatment occurs together.</t>
  </si>
  <si>
    <t>For treatments :</t>
  </si>
  <si>
    <t xml:space="preserve">A test for H0 : T1 = T2 = … = Tv is based on the statistics </t>
  </si>
  <si>
    <t>Ho :  All  the treatments are equally effective</t>
  </si>
  <si>
    <t>H1 :  All the treatments are not equally effective</t>
  </si>
  <si>
    <t xml:space="preserve">Fcal = </t>
  </si>
  <si>
    <t xml:space="preserve">Ftab = </t>
  </si>
  <si>
    <t>Here, since Fcal&gt; Ftab, we reject our Ho at 5% los and 3,5 df. Hence, All the treatments are not equally effective.</t>
  </si>
  <si>
    <t>For Blocks :</t>
  </si>
  <si>
    <t xml:space="preserve">A test for H0 : B1 = B2 = … = Bb is based on the statistics </t>
  </si>
  <si>
    <t xml:space="preserve">      Ho :  All  the blocks are equally effective</t>
  </si>
  <si>
    <t xml:space="preserve">      H1 :  All the blocks are not equally effective</t>
  </si>
  <si>
    <t>Here, since Fcal&gt; Ftab, we reject our Ho at 5% los and 3,5 df. Hence, All the blocks are not equally effective.</t>
  </si>
  <si>
    <t>P-2</t>
  </si>
  <si>
    <t>Interblock analysis:</t>
  </si>
  <si>
    <t>Ho: All the treatments are equally effective.</t>
  </si>
  <si>
    <t xml:space="preserve"> </t>
  </si>
  <si>
    <t>Treat/Blocks</t>
  </si>
  <si>
    <t>Ti</t>
  </si>
  <si>
    <t>B(i)</t>
  </si>
  <si>
    <t xml:space="preserve">wi=(v-k)Ti - (v-1)B(i) +(k-1)G </t>
  </si>
  <si>
    <t>Ftab =</t>
  </si>
  <si>
    <t>Que.</t>
  </si>
  <si>
    <t>Identify the following design and perform intra and interblock analysis</t>
  </si>
  <si>
    <t>Intra Block Analysis</t>
  </si>
  <si>
    <t xml:space="preserve">    </t>
  </si>
  <si>
    <t>Block</t>
  </si>
  <si>
    <t>Treatment and yield</t>
  </si>
  <si>
    <t>(6) 89</t>
  </si>
  <si>
    <t>(1) 14</t>
  </si>
  <si>
    <t>(7) 45</t>
  </si>
  <si>
    <t>(5) 80</t>
  </si>
  <si>
    <t>(2) 43</t>
  </si>
  <si>
    <t>(3) 34</t>
  </si>
  <si>
    <t>(4) 36</t>
  </si>
  <si>
    <t>(1) 31</t>
  </si>
  <si>
    <t>(no.s which are in bracket)</t>
  </si>
  <si>
    <t>(8) 69</t>
  </si>
  <si>
    <t>(6) 69</t>
  </si>
  <si>
    <t>(9) 25</t>
  </si>
  <si>
    <t>(4) 52</t>
  </si>
  <si>
    <t>(2) 51</t>
  </si>
  <si>
    <t>(5) 89</t>
  </si>
  <si>
    <t>(10) 17</t>
  </si>
  <si>
    <t>(9) 17</t>
  </si>
  <si>
    <t>(block size)</t>
  </si>
  <si>
    <t>(10) 23</t>
  </si>
  <si>
    <t>(3) 32</t>
  </si>
  <si>
    <t>(7) 51</t>
  </si>
  <si>
    <t>(8) 63</t>
  </si>
  <si>
    <t>λ =</t>
  </si>
  <si>
    <t>?</t>
  </si>
  <si>
    <t>(To determine  λ we should know whether it's BIBD or PBIBD)</t>
  </si>
  <si>
    <t>4 treatments in each block. Therefore its incomplete.</t>
  </si>
  <si>
    <t>1st associate -</t>
  </si>
  <si>
    <t>those not occuring together (pair)</t>
  </si>
  <si>
    <t>2nd associate -</t>
  </si>
  <si>
    <t>those occuring together(pair)</t>
  </si>
  <si>
    <r>
      <t>t</t>
    </r>
    <r>
      <rPr>
        <vertAlign val="subscript"/>
        <sz val="14"/>
        <color theme="1"/>
        <rFont val="Calibri"/>
        <family val="2"/>
        <scheme val="minor"/>
      </rPr>
      <t>s</t>
    </r>
  </si>
  <si>
    <t>1st associate of ts</t>
  </si>
  <si>
    <t>2nd associate of ts</t>
  </si>
  <si>
    <t>8,9,10</t>
  </si>
  <si>
    <t>2,3,4,5,6,7</t>
  </si>
  <si>
    <t>HERE, We fix (1,8)</t>
  </si>
  <si>
    <t>6,7,8</t>
  </si>
  <si>
    <t>1,3,4,5,9,10</t>
  </si>
  <si>
    <t>P1=</t>
  </si>
  <si>
    <t>P11^1</t>
  </si>
  <si>
    <t>P12^1</t>
  </si>
  <si>
    <t>5,6,9</t>
  </si>
  <si>
    <t>1,2,4,7,8,10</t>
  </si>
  <si>
    <t>P21^1</t>
  </si>
  <si>
    <t>P22^1</t>
  </si>
  <si>
    <t>=</t>
  </si>
  <si>
    <t>5,7,10</t>
  </si>
  <si>
    <t>1,2,3,6,8,9</t>
  </si>
  <si>
    <t>Here p11 ^1 means 1 in superscript stands for  1st assoc. of ts and subscript 11 stands for 1st assoc. of treatment 1 and 1st assoc. of treatment 2 and so on.</t>
  </si>
  <si>
    <t>3,4,8</t>
  </si>
  <si>
    <t>1,2,6,7,9,10</t>
  </si>
  <si>
    <t>HERE, We fix (1,2)</t>
  </si>
  <si>
    <t>2,3,10</t>
  </si>
  <si>
    <t>1,4,5,7,8,9</t>
  </si>
  <si>
    <t>P2=</t>
  </si>
  <si>
    <t>P11^2</t>
  </si>
  <si>
    <t>P12^2</t>
  </si>
  <si>
    <t>2,4,9</t>
  </si>
  <si>
    <t>1,3,5,6,8,10</t>
  </si>
  <si>
    <t>P21^2</t>
  </si>
  <si>
    <t>P22^2</t>
  </si>
  <si>
    <t>1,2,5</t>
  </si>
  <si>
    <t>3,4,6,7,9,10</t>
  </si>
  <si>
    <t>Here p11 ^2 means 1 in superscript stands for  2nd assoc. of ts and subscript 11 stands for 1st assoc. of treatment 1 and 1st assoc. of treatment 2 and so on.</t>
  </si>
  <si>
    <t>1,3,7</t>
  </si>
  <si>
    <t>2,4,5,6,8,10</t>
  </si>
  <si>
    <t>1,4,6</t>
  </si>
  <si>
    <t>2,3,5,7,8,9</t>
  </si>
  <si>
    <t>Sum</t>
  </si>
  <si>
    <r>
      <t>T</t>
    </r>
    <r>
      <rPr>
        <vertAlign val="subscript"/>
        <sz val="14"/>
        <color theme="1"/>
        <rFont val="Calibri"/>
        <family val="2"/>
        <scheme val="minor"/>
      </rPr>
      <t>s</t>
    </r>
  </si>
  <si>
    <t>B(s)</t>
  </si>
  <si>
    <r>
      <t>K(Q</t>
    </r>
    <r>
      <rPr>
        <vertAlign val="subscript"/>
        <sz val="14"/>
        <color theme="1"/>
        <rFont val="Calibri"/>
        <family val="2"/>
        <scheme val="minor"/>
      </rPr>
      <t>s</t>
    </r>
    <r>
      <rPr>
        <sz val="14"/>
        <color theme="1"/>
        <rFont val="Calibri"/>
        <family val="2"/>
        <scheme val="minor"/>
      </rPr>
      <t>)=  KTs-B(s)</t>
    </r>
  </si>
  <si>
    <r>
      <t>1st associate of t</t>
    </r>
    <r>
      <rPr>
        <vertAlign val="subscript"/>
        <sz val="14"/>
        <color theme="1"/>
        <rFont val="Calibri"/>
        <family val="2"/>
        <scheme val="minor"/>
      </rPr>
      <t>s</t>
    </r>
  </si>
  <si>
    <r>
      <t>S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>(KQs)</t>
    </r>
  </si>
  <si>
    <r>
      <t>(KQ</t>
    </r>
    <r>
      <rPr>
        <vertAlign val="subscript"/>
        <sz val="14"/>
        <color theme="1"/>
        <rFont val="Calibri"/>
        <family val="2"/>
        <scheme val="minor"/>
      </rPr>
      <t>s</t>
    </r>
    <r>
      <rPr>
        <sz val="14"/>
        <color theme="1"/>
        <rFont val="Calibri"/>
        <family val="2"/>
        <scheme val="minor"/>
      </rPr>
      <t>)*(S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>(KQs))</t>
    </r>
  </si>
  <si>
    <t>G</t>
  </si>
  <si>
    <t>where,</t>
  </si>
  <si>
    <t>ts=</t>
  </si>
  <si>
    <t>treatment</t>
  </si>
  <si>
    <t>Ts=</t>
  </si>
  <si>
    <t>Total of this treatment</t>
  </si>
  <si>
    <t>B(s) =</t>
  </si>
  <si>
    <r>
      <t>Sum of those block where s</t>
    </r>
    <r>
      <rPr>
        <vertAlign val="superscript"/>
        <sz val="14"/>
        <color theme="1"/>
        <rFont val="Calibri"/>
        <family val="2"/>
        <scheme val="minor"/>
      </rPr>
      <t>th</t>
    </r>
    <r>
      <rPr>
        <sz val="14"/>
        <color theme="1"/>
        <rFont val="Calibri"/>
        <family val="2"/>
        <scheme val="minor"/>
      </rPr>
      <t xml:space="preserve"> treat is occuring</t>
    </r>
  </si>
  <si>
    <r>
      <t>S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>(KQs)=</t>
    </r>
  </si>
  <si>
    <t>Sum of those K(Qs) which are 1st assoc.</t>
  </si>
  <si>
    <t>A=</t>
  </si>
  <si>
    <r>
      <t>r(k-1)+λ</t>
    </r>
    <r>
      <rPr>
        <vertAlign val="subscript"/>
        <sz val="14"/>
        <color theme="1"/>
        <rFont val="Calibri"/>
        <family val="2"/>
        <scheme val="minor"/>
      </rPr>
      <t>2</t>
    </r>
  </si>
  <si>
    <t xml:space="preserve">B = </t>
  </si>
  <si>
    <r>
      <t>λ</t>
    </r>
    <r>
      <rPr>
        <vertAlign val="sub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>-λ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</t>
    </r>
  </si>
  <si>
    <t>C=</t>
  </si>
  <si>
    <r>
      <t>B * P</t>
    </r>
    <r>
      <rPr>
        <vertAlign val="subscript"/>
        <sz val="14"/>
        <color theme="1"/>
        <rFont val="Calibri"/>
        <family val="2"/>
        <scheme val="minor"/>
      </rPr>
      <t>12</t>
    </r>
    <r>
      <rPr>
        <vertAlign val="superscript"/>
        <sz val="14"/>
        <color theme="1"/>
        <rFont val="Calibri"/>
        <family val="2"/>
        <scheme val="minor"/>
      </rPr>
      <t>2</t>
    </r>
  </si>
  <si>
    <t>D=</t>
  </si>
  <si>
    <r>
      <t>A + B(P</t>
    </r>
    <r>
      <rPr>
        <vertAlign val="subscript"/>
        <sz val="14"/>
        <color theme="1"/>
        <rFont val="Calibri"/>
        <family val="2"/>
        <scheme val="minor"/>
      </rPr>
      <t>11</t>
    </r>
    <r>
      <rPr>
        <vertAlign val="super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- P</t>
    </r>
    <r>
      <rPr>
        <vertAlign val="subscript"/>
        <sz val="14"/>
        <color theme="1"/>
        <rFont val="Calibri"/>
        <family val="2"/>
        <scheme val="minor"/>
      </rPr>
      <t>11</t>
    </r>
    <r>
      <rPr>
        <vertAlign val="super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>)</t>
    </r>
  </si>
  <si>
    <t>Δ =</t>
  </si>
  <si>
    <t>AD - BC</t>
  </si>
  <si>
    <t>cf=</t>
  </si>
  <si>
    <r>
      <t>G</t>
    </r>
    <r>
      <rPr>
        <vertAlign val="super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>/bk</t>
    </r>
  </si>
  <si>
    <t>Sum of Squre due to Treatments (Adjusted)</t>
  </si>
  <si>
    <t xml:space="preserve">SST (Adj) = </t>
  </si>
  <si>
    <t xml:space="preserve">                 K Δ</t>
  </si>
  <si>
    <t>Sum of Squre due to Treatments (Un-Adjusted)</t>
  </si>
  <si>
    <t>SST (unadj)</t>
  </si>
  <si>
    <t>Sum of Squre due to Blocks (Un-Adjusted)</t>
  </si>
  <si>
    <t>SSB (unadj)</t>
  </si>
  <si>
    <t>Total Sum of Square</t>
  </si>
  <si>
    <t>Total S.S</t>
  </si>
  <si>
    <t>ANOVA TABLE:</t>
  </si>
  <si>
    <t>SOURCE</t>
  </si>
  <si>
    <t>d.f</t>
  </si>
  <si>
    <t>Block (unadj.)</t>
  </si>
  <si>
    <t>Block (adj.)</t>
  </si>
  <si>
    <t>Treat (adj.)</t>
  </si>
  <si>
    <t>Treat(unadj.)</t>
  </si>
  <si>
    <t>Error</t>
  </si>
  <si>
    <t xml:space="preserve">For treatments </t>
  </si>
  <si>
    <r>
      <t>H</t>
    </r>
    <r>
      <rPr>
        <vertAlign val="subscript"/>
        <sz val="14"/>
        <color theme="1"/>
        <rFont val="Calibri"/>
        <family val="2"/>
        <scheme val="minor"/>
      </rPr>
      <t>01</t>
    </r>
    <r>
      <rPr>
        <sz val="14"/>
        <color theme="1"/>
        <rFont val="Calibri"/>
        <family val="2"/>
        <scheme val="minor"/>
      </rPr>
      <t>:</t>
    </r>
  </si>
  <si>
    <t>All the treatments are equally effective.</t>
  </si>
  <si>
    <r>
      <t>vs. H</t>
    </r>
    <r>
      <rPr>
        <vertAlign val="subscript"/>
        <sz val="14"/>
        <color theme="1"/>
        <rFont val="Calibri"/>
        <family val="2"/>
        <scheme val="minor"/>
      </rPr>
      <t>11</t>
    </r>
    <r>
      <rPr>
        <sz val="14"/>
        <color theme="1"/>
        <rFont val="Calibri"/>
        <family val="2"/>
        <scheme val="minor"/>
      </rPr>
      <t>: Atleast 1 differs.</t>
    </r>
  </si>
  <si>
    <r>
      <t>T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>=T</t>
    </r>
    <r>
      <rPr>
        <vertAlign val="sub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>=…Tv= 0</t>
    </r>
  </si>
  <si>
    <t>F cal=</t>
  </si>
  <si>
    <t>SS(treat. Adj.)/df</t>
  </si>
  <si>
    <t>MSST(adj)</t>
  </si>
  <si>
    <t>Error SS/ df</t>
  </si>
  <si>
    <t>MSSE</t>
  </si>
  <si>
    <t>F tab =</t>
  </si>
  <si>
    <t>Conclusion:</t>
  </si>
  <si>
    <t xml:space="preserve">Here, F cal&gt; F tab </t>
  </si>
  <si>
    <t>Hence,atleast 1 treatment differs and is not equally effective.</t>
  </si>
  <si>
    <t>For Blocks:</t>
  </si>
  <si>
    <r>
      <t>H</t>
    </r>
    <r>
      <rPr>
        <vertAlign val="subscript"/>
        <sz val="14"/>
        <color theme="1"/>
        <rFont val="Calibri"/>
        <family val="2"/>
        <scheme val="minor"/>
      </rPr>
      <t>02</t>
    </r>
    <r>
      <rPr>
        <sz val="14"/>
        <color theme="1"/>
        <rFont val="Calibri"/>
        <family val="2"/>
        <scheme val="minor"/>
      </rPr>
      <t>:</t>
    </r>
  </si>
  <si>
    <t>All blocks are homogeneous.</t>
  </si>
  <si>
    <t>against</t>
  </si>
  <si>
    <r>
      <t>H</t>
    </r>
    <r>
      <rPr>
        <vertAlign val="subscript"/>
        <sz val="14"/>
        <color theme="1"/>
        <rFont val="Calibri"/>
        <family val="2"/>
        <scheme val="minor"/>
      </rPr>
      <t>12</t>
    </r>
    <r>
      <rPr>
        <sz val="14"/>
        <color theme="1"/>
        <rFont val="Calibri"/>
        <family val="2"/>
        <scheme val="minor"/>
      </rPr>
      <t>:</t>
    </r>
  </si>
  <si>
    <t>All blocks are not homogeneous.</t>
  </si>
  <si>
    <r>
      <t>B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>=B</t>
    </r>
    <r>
      <rPr>
        <vertAlign val="sub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>=…B</t>
    </r>
    <r>
      <rPr>
        <vertAlign val="subscript"/>
        <sz val="14"/>
        <color theme="1"/>
        <rFont val="Calibri"/>
        <family val="2"/>
        <scheme val="minor"/>
      </rPr>
      <t>b</t>
    </r>
    <r>
      <rPr>
        <sz val="14"/>
        <color theme="1"/>
        <rFont val="Calibri"/>
        <family val="2"/>
        <scheme val="minor"/>
      </rPr>
      <t>= 0</t>
    </r>
  </si>
  <si>
    <t>S.S(block. Adj.)/df</t>
  </si>
  <si>
    <t>MSSB(adj)</t>
  </si>
  <si>
    <t>Error ss/ df</t>
  </si>
  <si>
    <t>F tab=</t>
  </si>
  <si>
    <t xml:space="preserve">Here, F cal &lt; F tab </t>
  </si>
  <si>
    <t>Hence, all the blocks are homogeneous.</t>
  </si>
  <si>
    <t>Pr-4</t>
  </si>
  <si>
    <t>Interblock PBIBD</t>
  </si>
  <si>
    <t>Ee = Mean intrablock error Sum of square</t>
  </si>
  <si>
    <t>Eb=Mean intrablock adj block   Sum of square</t>
  </si>
  <si>
    <r>
      <t>t</t>
    </r>
    <r>
      <rPr>
        <vertAlign val="subscript"/>
        <sz val="16"/>
        <color theme="1"/>
        <rFont val="Century"/>
        <family val="1"/>
      </rPr>
      <t>s</t>
    </r>
  </si>
  <si>
    <r>
      <t>T</t>
    </r>
    <r>
      <rPr>
        <vertAlign val="subscript"/>
        <sz val="16"/>
        <color theme="1"/>
        <rFont val="Century"/>
        <family val="1"/>
      </rPr>
      <t>s</t>
    </r>
  </si>
  <si>
    <r>
      <t>1</t>
    </r>
    <r>
      <rPr>
        <vertAlign val="superscript"/>
        <sz val="16"/>
        <color theme="1"/>
        <rFont val="Century"/>
        <family val="1"/>
      </rPr>
      <t xml:space="preserve">st  </t>
    </r>
    <r>
      <rPr>
        <sz val="16"/>
        <color theme="1"/>
        <rFont val="Century"/>
        <family val="1"/>
      </rPr>
      <t>accociate of t</t>
    </r>
    <r>
      <rPr>
        <vertAlign val="subscript"/>
        <sz val="16"/>
        <color theme="1"/>
        <rFont val="Century"/>
        <family val="1"/>
      </rPr>
      <t>s</t>
    </r>
  </si>
  <si>
    <t>S1(kps)</t>
  </si>
  <si>
    <r>
      <t>(kps)*S</t>
    </r>
    <r>
      <rPr>
        <vertAlign val="subscript"/>
        <sz val="16"/>
        <color theme="1"/>
        <rFont val="Century"/>
        <family val="1"/>
      </rPr>
      <t>1</t>
    </r>
    <r>
      <rPr>
        <sz val="16"/>
        <color theme="1"/>
        <rFont val="Century"/>
        <family val="1"/>
      </rPr>
      <t>(kps)</t>
    </r>
  </si>
  <si>
    <t>4,3,8</t>
  </si>
  <si>
    <t>«</t>
  </si>
  <si>
    <t>Hypothesis to be tested;</t>
  </si>
  <si>
    <r>
      <t>H</t>
    </r>
    <r>
      <rPr>
        <vertAlign val="subscript"/>
        <sz val="14"/>
        <color theme="1"/>
        <rFont val="Century"/>
        <family val="1"/>
      </rPr>
      <t>0</t>
    </r>
    <r>
      <rPr>
        <sz val="14"/>
        <color theme="1"/>
        <rFont val="Century"/>
        <family val="1"/>
      </rPr>
      <t>: All tratments are equally effective</t>
    </r>
  </si>
  <si>
    <r>
      <t>H</t>
    </r>
    <r>
      <rPr>
        <vertAlign val="subscript"/>
        <sz val="14"/>
        <color theme="1"/>
        <rFont val="Century"/>
        <family val="1"/>
      </rPr>
      <t>1</t>
    </r>
    <r>
      <rPr>
        <sz val="14"/>
        <color theme="1"/>
        <rFont val="Century"/>
        <family val="1"/>
      </rPr>
      <t>: All treatments are not equally effective</t>
    </r>
  </si>
  <si>
    <t xml:space="preserve">Here, Fcal &gt; Ftab. The data provides enough evidence to reject Ho. </t>
  </si>
  <si>
    <t>So, we reject H0 at 5% of loc. And we conclude that all treatments are not equally effective.</t>
  </si>
  <si>
    <t xml:space="preserve">Practical -3 : - Repeated Measurement analysis </t>
  </si>
  <si>
    <t xml:space="preserve">Q-1 </t>
  </si>
  <si>
    <t xml:space="preserve">A researcher examined the effect of alterations in diet composition on energy expenditure and nutrient balance in humans. One measure of expenditure employed was a quantity called </t>
  </si>
  <si>
    <t xml:space="preserve">respiratory quotient (RQ). Table given below shows for three different points in time, the daily 24 hour RQ following a high calorie diet of eight subjects who participated in the study. Is </t>
  </si>
  <si>
    <t>there any difference in the mean RQ values among the three points in time .</t>
  </si>
  <si>
    <t>Subjects</t>
  </si>
  <si>
    <t xml:space="preserve">    Ti</t>
  </si>
  <si>
    <t>yi.^2</t>
  </si>
  <si>
    <t>Base line</t>
  </si>
  <si>
    <t>Day 3</t>
  </si>
  <si>
    <t>Day 7</t>
  </si>
  <si>
    <t>y.j^2</t>
  </si>
  <si>
    <t>&gt;&gt;&gt;</t>
  </si>
  <si>
    <t>no. of tretaments:</t>
  </si>
  <si>
    <t>a=</t>
  </si>
  <si>
    <t>G=</t>
  </si>
  <si>
    <t>no. of subjects:</t>
  </si>
  <si>
    <t xml:space="preserve"> n=</t>
  </si>
  <si>
    <t>CF=</t>
  </si>
  <si>
    <t>Hypothesis:</t>
  </si>
  <si>
    <t>H0: All tretment means are equal.</t>
  </si>
  <si>
    <t>H1: Inequallity at at least one place.</t>
  </si>
  <si>
    <t xml:space="preserve">Here, we want to test equality of 3 means hence we will use ANOVA, F-test to test this hypothesis. </t>
  </si>
  <si>
    <t xml:space="preserve">          Error=SS(within subjects) - SS(Treatments)  =</t>
  </si>
  <si>
    <t xml:space="preserve">Fcal =  </t>
  </si>
  <si>
    <t>SST</t>
  </si>
  <si>
    <t>SSE</t>
  </si>
  <si>
    <t>ANOVA</t>
  </si>
  <si>
    <t xml:space="preserve">Source </t>
  </si>
  <si>
    <t>M.S.S</t>
  </si>
  <si>
    <t>Fcal</t>
  </si>
  <si>
    <t>Ftab</t>
  </si>
  <si>
    <t xml:space="preserve">Between </t>
  </si>
  <si>
    <t>Within</t>
  </si>
  <si>
    <t>Treatment</t>
  </si>
  <si>
    <t>Here ,Fcal&lt;Ftab. Hence we fail to reject the H0 at 5% level of significance and (2,14) degrees of freedom. So. All tretment means are equally effective.</t>
  </si>
  <si>
    <t>There is no difference in the mean RQ values among the three points in time.</t>
  </si>
  <si>
    <r>
      <t>λ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=</t>
    </r>
  </si>
  <si>
    <r>
      <t>λ</t>
    </r>
    <r>
      <rPr>
        <vertAlign val="sub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>=</t>
    </r>
  </si>
  <si>
    <r>
      <t>[D*</t>
    </r>
    <r>
      <rPr>
        <u/>
        <sz val="14"/>
        <color theme="1"/>
        <rFont val="Calibri"/>
        <family val="2"/>
      </rPr>
      <t>Σ( K(Qs))</t>
    </r>
    <r>
      <rPr>
        <u/>
        <vertAlign val="superscript"/>
        <sz val="14"/>
        <color theme="1"/>
        <rFont val="Calibri"/>
        <family val="2"/>
      </rPr>
      <t>2</t>
    </r>
    <r>
      <rPr>
        <u/>
        <sz val="14"/>
        <color theme="1"/>
        <rFont val="Calibri"/>
        <family val="2"/>
      </rPr>
      <t>] - [B*Σ (KQ(s)*S1(KQs))]</t>
    </r>
  </si>
  <si>
    <r>
      <t>Therefore,  we reject H</t>
    </r>
    <r>
      <rPr>
        <vertAlign val="subscript"/>
        <sz val="14"/>
        <color theme="1"/>
        <rFont val="Calibri"/>
        <family val="2"/>
        <scheme val="minor"/>
      </rPr>
      <t>01</t>
    </r>
    <r>
      <rPr>
        <sz val="14"/>
        <color theme="1"/>
        <rFont val="Calibri"/>
        <family val="2"/>
        <scheme val="minor"/>
      </rPr>
      <t xml:space="preserve"> at 5% level of significance and with (9,6) degrees of freedom.</t>
    </r>
  </si>
  <si>
    <r>
      <t>Therefore  we do not reject H</t>
    </r>
    <r>
      <rPr>
        <vertAlign val="subscript"/>
        <sz val="14"/>
        <color theme="1"/>
        <rFont val="Calibri"/>
        <family val="2"/>
        <scheme val="minor"/>
      </rPr>
      <t>02</t>
    </r>
    <r>
      <rPr>
        <sz val="14"/>
        <color theme="1"/>
        <rFont val="Calibri"/>
        <family val="2"/>
        <scheme val="minor"/>
      </rPr>
      <t xml:space="preserve"> at 5% level of significance and with (4,6) degrees of freedom.</t>
    </r>
  </si>
  <si>
    <r>
      <t>E</t>
    </r>
    <r>
      <rPr>
        <vertAlign val="subscript"/>
        <sz val="14"/>
        <color theme="1"/>
        <rFont val="Century"/>
        <family val="1"/>
      </rPr>
      <t>e</t>
    </r>
    <r>
      <rPr>
        <sz val="14"/>
        <color theme="1"/>
        <rFont val="Century"/>
        <family val="1"/>
      </rPr>
      <t xml:space="preserve"> = </t>
    </r>
  </si>
  <si>
    <r>
      <t>E</t>
    </r>
    <r>
      <rPr>
        <vertAlign val="subscript"/>
        <sz val="14"/>
        <color theme="1"/>
        <rFont val="Century"/>
        <family val="1"/>
      </rPr>
      <t>b</t>
    </r>
    <r>
      <rPr>
        <sz val="14"/>
        <color theme="1"/>
        <rFont val="Century"/>
        <family val="1"/>
      </rPr>
      <t>=</t>
    </r>
  </si>
  <si>
    <r>
      <t>λ</t>
    </r>
    <r>
      <rPr>
        <vertAlign val="subscript"/>
        <sz val="14"/>
        <color theme="1"/>
        <rFont val="Century"/>
        <family val="1"/>
      </rPr>
      <t>1</t>
    </r>
    <r>
      <rPr>
        <sz val="14"/>
        <color theme="1"/>
        <rFont val="Century"/>
        <family val="1"/>
      </rPr>
      <t xml:space="preserve"> =</t>
    </r>
  </si>
  <si>
    <r>
      <t>λ</t>
    </r>
    <r>
      <rPr>
        <vertAlign val="subscript"/>
        <sz val="14"/>
        <color theme="1"/>
        <rFont val="Century"/>
        <family val="1"/>
      </rPr>
      <t>2</t>
    </r>
    <r>
      <rPr>
        <sz val="14"/>
        <color theme="1"/>
        <rFont val="Century"/>
        <family val="1"/>
      </rPr>
      <t xml:space="preserve"> =</t>
    </r>
  </si>
  <si>
    <r>
      <rPr>
        <u val="double"/>
        <sz val="16"/>
        <color theme="1"/>
        <rFont val="Century"/>
        <family val="1"/>
      </rPr>
      <t>Conlusion:</t>
    </r>
    <r>
      <rPr>
        <sz val="16"/>
        <color theme="1"/>
        <rFont val="Century"/>
        <family val="1"/>
      </rPr>
      <t xml:space="preserve"> </t>
    </r>
  </si>
  <si>
    <t>n-1</t>
  </si>
  <si>
    <t>n(a-1)</t>
  </si>
  <si>
    <t>a-1</t>
  </si>
  <si>
    <t>(a-1)(n-1)</t>
  </si>
  <si>
    <t>an-1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</si>
</sst>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sz val="11"/>
      <color theme="1"/>
      <name val="Arial"/>
      <family val="2"/>
    </font>
    <font>
      <sz val="16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Times New Roman"/>
      <family val="1"/>
    </font>
    <font>
      <sz val="10.5"/>
      <color theme="1"/>
      <name val="Arial Narrow"/>
      <family val="2"/>
    </font>
    <font>
      <sz val="10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4"/>
      <color theme="1"/>
      <name val="Calibri"/>
      <family val="2"/>
      <scheme val="minor"/>
    </font>
    <font>
      <vertAlign val="superscript"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vertAlign val="superscript"/>
      <sz val="16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u/>
      <sz val="14"/>
      <color theme="1"/>
      <name val="Calibri"/>
      <family val="2"/>
    </font>
    <font>
      <u/>
      <vertAlign val="superscript"/>
      <sz val="14"/>
      <color theme="1"/>
      <name val="Calibri"/>
      <family val="2"/>
    </font>
    <font>
      <sz val="11"/>
      <color theme="1"/>
      <name val="Century"/>
      <family val="1"/>
    </font>
    <font>
      <sz val="14"/>
      <color theme="1"/>
      <name val="Century"/>
      <family val="1"/>
    </font>
    <font>
      <sz val="16"/>
      <color theme="1"/>
      <name val="Century"/>
      <family val="1"/>
    </font>
    <font>
      <vertAlign val="subscript"/>
      <sz val="16"/>
      <color theme="1"/>
      <name val="Century"/>
      <family val="1"/>
    </font>
    <font>
      <vertAlign val="superscript"/>
      <sz val="16"/>
      <color theme="1"/>
      <name val="Century"/>
      <family val="1"/>
    </font>
    <font>
      <sz val="11"/>
      <color theme="1"/>
      <name val="Wingdings"/>
      <charset val="2"/>
    </font>
    <font>
      <vertAlign val="subscript"/>
      <sz val="14"/>
      <color theme="1"/>
      <name val="Century"/>
      <family val="1"/>
    </font>
    <font>
      <sz val="12"/>
      <color theme="1"/>
      <name val="Arial"/>
      <family val="2"/>
    </font>
    <font>
      <sz val="11"/>
      <color theme="1"/>
      <name val="Bahnschrift"/>
      <family val="2"/>
    </font>
    <font>
      <u/>
      <sz val="12"/>
      <color theme="1"/>
      <name val="Calibri"/>
      <family val="2"/>
      <scheme val="minor"/>
    </font>
    <font>
      <u/>
      <sz val="18"/>
      <color theme="1"/>
      <name val="Century"/>
      <family val="1"/>
    </font>
    <font>
      <u val="double"/>
      <sz val="16"/>
      <color theme="1"/>
      <name val="Century"/>
      <family val="1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5" fillId="0" borderId="1" xfId="0" applyFont="1" applyBorder="1" applyAlignment="1">
      <alignment horizontal="center"/>
    </xf>
    <xf numFmtId="0" fontId="4" fillId="0" borderId="18" xfId="0" applyFont="1" applyBorder="1"/>
    <xf numFmtId="0" fontId="4" fillId="0" borderId="19" xfId="0" applyFont="1" applyBorder="1"/>
    <xf numFmtId="0" fontId="6" fillId="0" borderId="20" xfId="0" applyFont="1" applyBorder="1" applyAlignment="1">
      <alignment horizontal="left" vertical="center"/>
    </xf>
    <xf numFmtId="0" fontId="4" fillId="0" borderId="21" xfId="0" applyFont="1" applyBorder="1"/>
    <xf numFmtId="0" fontId="4" fillId="0" borderId="22" xfId="0" applyFont="1" applyBorder="1"/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27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2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9" fillId="0" borderId="1" xfId="0" applyFont="1" applyBorder="1"/>
    <xf numFmtId="0" fontId="9" fillId="0" borderId="50" xfId="0" applyFont="1" applyBorder="1"/>
    <xf numFmtId="0" fontId="9" fillId="0" borderId="0" xfId="0" applyFont="1"/>
    <xf numFmtId="0" fontId="4" fillId="0" borderId="1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4" fillId="0" borderId="21" xfId="0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55" xfId="0" applyFont="1" applyBorder="1" applyAlignment="1">
      <alignment horizontal="center"/>
    </xf>
    <xf numFmtId="0" fontId="4" fillId="0" borderId="14" xfId="0" applyFont="1" applyBorder="1"/>
    <xf numFmtId="0" fontId="4" fillId="0" borderId="9" xfId="0" applyFont="1" applyBorder="1"/>
    <xf numFmtId="0" fontId="4" fillId="0" borderId="26" xfId="0" applyFont="1" applyBorder="1" applyAlignment="1">
      <alignment horizontal="center"/>
    </xf>
    <xf numFmtId="0" fontId="15" fillId="0" borderId="0" xfId="0" applyFont="1"/>
    <xf numFmtId="0" fontId="4" fillId="0" borderId="42" xfId="0" applyFont="1" applyBorder="1"/>
    <xf numFmtId="0" fontId="4" fillId="0" borderId="42" xfId="0" applyFont="1" applyBorder="1" applyAlignment="1">
      <alignment horizontal="center"/>
    </xf>
    <xf numFmtId="0" fontId="13" fillId="0" borderId="0" xfId="0" applyFont="1"/>
    <xf numFmtId="0" fontId="4" fillId="2" borderId="2" xfId="0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9" fillId="0" borderId="6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43" xfId="0" applyFont="1" applyBorder="1" applyAlignment="1">
      <alignment horizontal="center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0" fontId="20" fillId="0" borderId="58" xfId="0" applyFont="1" applyBorder="1" applyAlignment="1">
      <alignment horizontal="center" vertical="center"/>
    </xf>
    <xf numFmtId="0" fontId="20" fillId="0" borderId="59" xfId="0" applyFont="1" applyBorder="1" applyAlignment="1">
      <alignment horizontal="center" vertical="center"/>
    </xf>
    <xf numFmtId="0" fontId="20" fillId="0" borderId="59" xfId="0" applyFont="1" applyBorder="1" applyAlignment="1">
      <alignment horizontal="center" vertical="center" wrapText="1"/>
    </xf>
    <xf numFmtId="0" fontId="20" fillId="0" borderId="60" xfId="0" applyFont="1" applyBorder="1" applyAlignment="1">
      <alignment horizontal="center" vertical="center"/>
    </xf>
    <xf numFmtId="0" fontId="20" fillId="0" borderId="61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20" fillId="0" borderId="6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0" fillId="0" borderId="63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3" fillId="0" borderId="0" xfId="0" applyFont="1" applyAlignment="1">
      <alignment horizontal="right"/>
    </xf>
    <xf numFmtId="0" fontId="19" fillId="0" borderId="0" xfId="0" applyFont="1"/>
    <xf numFmtId="0" fontId="20" fillId="0" borderId="0" xfId="0" applyFont="1"/>
    <xf numFmtId="14" fontId="9" fillId="0" borderId="1" xfId="0" applyNumberFormat="1" applyFont="1" applyBorder="1"/>
    <xf numFmtId="0" fontId="9" fillId="3" borderId="0" xfId="0" applyFont="1" applyFill="1"/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6" fillId="0" borderId="0" xfId="0" applyFont="1"/>
    <xf numFmtId="0" fontId="0" fillId="0" borderId="1" xfId="0" applyBorder="1"/>
    <xf numFmtId="0" fontId="10" fillId="0" borderId="0" xfId="0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0" xfId="0" applyAlignment="1">
      <alignment vertic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2" xfId="0" applyBorder="1"/>
    <xf numFmtId="0" fontId="0" fillId="0" borderId="42" xfId="0" applyBorder="1"/>
    <xf numFmtId="0" fontId="0" fillId="0" borderId="43" xfId="0" applyBorder="1"/>
    <xf numFmtId="0" fontId="0" fillId="2" borderId="2" xfId="0" applyFill="1" applyBorder="1" applyAlignment="1">
      <alignment horizontal="center"/>
    </xf>
    <xf numFmtId="0" fontId="27" fillId="0" borderId="0" xfId="0" applyFont="1"/>
    <xf numFmtId="14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50" xfId="0" applyBorder="1"/>
    <xf numFmtId="0" fontId="4" fillId="0" borderId="2" xfId="0" applyFont="1" applyBorder="1"/>
    <xf numFmtId="0" fontId="4" fillId="0" borderId="54" xfId="0" applyFont="1" applyBorder="1" applyAlignment="1">
      <alignment horizontal="center" vertical="center" wrapText="1"/>
    </xf>
    <xf numFmtId="0" fontId="4" fillId="0" borderId="26" xfId="0" applyFont="1" applyBorder="1"/>
    <xf numFmtId="0" fontId="28" fillId="0" borderId="0" xfId="0" applyFont="1"/>
    <xf numFmtId="0" fontId="18" fillId="0" borderId="4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4" fillId="0" borderId="8" xfId="0" applyFont="1" applyBorder="1"/>
    <xf numFmtId="0" fontId="6" fillId="0" borderId="55" xfId="0" applyFont="1" applyBorder="1" applyAlignment="1">
      <alignment vertical="center" wrapText="1"/>
    </xf>
    <xf numFmtId="0" fontId="4" fillId="0" borderId="55" xfId="0" applyFont="1" applyBorder="1"/>
    <xf numFmtId="0" fontId="4" fillId="0" borderId="11" xfId="0" applyFont="1" applyBorder="1"/>
    <xf numFmtId="0" fontId="4" fillId="0" borderId="13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0" borderId="24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49" fontId="25" fillId="0" borderId="0" xfId="0" applyNumberFormat="1" applyFont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50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57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0" fillId="0" borderId="1" xfId="0" applyFont="1" applyBorder="1" applyAlignment="1">
      <alignment horizontal="center"/>
    </xf>
    <xf numFmtId="49" fontId="9" fillId="0" borderId="0" xfId="0" applyNumberFormat="1" applyFont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342900</xdr:colOff>
      <xdr:row>68</xdr:row>
      <xdr:rowOff>285750</xdr:rowOff>
    </xdr:from>
    <xdr:ext cx="1219200" cy="7905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2601503-B0E6-4337-965C-F7813AB07F0C}"/>
                </a:ext>
              </a:extLst>
            </xdr:cNvPr>
            <xdr:cNvSpPr txBox="1"/>
          </xdr:nvSpPr>
          <xdr:spPr>
            <a:xfrm>
              <a:off x="2362200" y="14363700"/>
              <a:ext cx="1219200" cy="790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IN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𝐴𝑑𝑗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𝑡𝑟𝑒𝑎𝑡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𝑠𝑠</m:t>
                            </m:r>
                          </m:num>
                          <m:den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−1)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en-IN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𝑆𝑆𝐸</m:t>
                            </m:r>
                          </m:num>
                          <m:den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𝑏𝑘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+1)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2601503-B0E6-4337-965C-F7813AB07F0C}"/>
                </a:ext>
              </a:extLst>
            </xdr:cNvPr>
            <xdr:cNvSpPr txBox="1"/>
          </xdr:nvSpPr>
          <xdr:spPr>
            <a:xfrm>
              <a:off x="2362200" y="14363700"/>
              <a:ext cx="1219200" cy="790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IN" sz="1100" i="0">
                  <a:latin typeface="Cambria Math" panose="02040503050406030204" pitchFamily="18" charset="0"/>
                </a:rPr>
                <a:t>((</a:t>
              </a:r>
              <a:r>
                <a:rPr lang="en-IN" sz="1100" b="0" i="0">
                  <a:latin typeface="Cambria Math" panose="02040503050406030204" pitchFamily="18" charset="0"/>
                </a:rPr>
                <a:t>𝐴𝑑𝑗 𝑡𝑟𝑒𝑎𝑡 𝑠𝑠)/((𝑣−1)))/(𝑆𝑆𝐸/((𝑏𝑘−𝑏−𝑣+1)))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2</xdr:col>
      <xdr:colOff>323850</xdr:colOff>
      <xdr:row>82</xdr:row>
      <xdr:rowOff>76200</xdr:rowOff>
    </xdr:from>
    <xdr:ext cx="1219200" cy="7905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B482648-03D9-4DD2-96D2-A4BAD0BEF108}"/>
                </a:ext>
              </a:extLst>
            </xdr:cNvPr>
            <xdr:cNvSpPr txBox="1"/>
          </xdr:nvSpPr>
          <xdr:spPr>
            <a:xfrm>
              <a:off x="2343150" y="17183100"/>
              <a:ext cx="1219200" cy="790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IN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𝐴𝑑𝑗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𝑏𝑙𝑜𝑐𝑘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𝑠𝑠</m:t>
                            </m:r>
                          </m:num>
                          <m:den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−1)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en-IN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𝑆𝑆𝐸</m:t>
                            </m:r>
                          </m:num>
                          <m:den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𝑏𝑘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+1)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B482648-03D9-4DD2-96D2-A4BAD0BEF108}"/>
                </a:ext>
              </a:extLst>
            </xdr:cNvPr>
            <xdr:cNvSpPr txBox="1"/>
          </xdr:nvSpPr>
          <xdr:spPr>
            <a:xfrm>
              <a:off x="2343150" y="17183100"/>
              <a:ext cx="1219200" cy="790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IN" sz="1100" i="0">
                  <a:latin typeface="Cambria Math" panose="02040503050406030204" pitchFamily="18" charset="0"/>
                </a:rPr>
                <a:t>((</a:t>
              </a:r>
              <a:r>
                <a:rPr lang="en-IN" sz="1100" b="0" i="0">
                  <a:latin typeface="Cambria Math" panose="02040503050406030204" pitchFamily="18" charset="0"/>
                </a:rPr>
                <a:t>𝐴𝑑𝑗 𝑏𝑙𝑜𝑐𝑘 𝑠𝑠)/((𝑏−1)))/(𝑆𝑆𝐸/((𝑏𝑘−𝑏−𝑣+1)))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2</xdr:col>
      <xdr:colOff>514350</xdr:colOff>
      <xdr:row>52</xdr:row>
      <xdr:rowOff>80962</xdr:rowOff>
    </xdr:from>
    <xdr:ext cx="1782924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575B092-2FDF-477A-8AF2-DE8918A3E7BA}"/>
                </a:ext>
              </a:extLst>
            </xdr:cNvPr>
            <xdr:cNvSpPr txBox="1"/>
          </xdr:nvSpPr>
          <xdr:spPr>
            <a:xfrm>
              <a:off x="2533650" y="10958512"/>
              <a:ext cx="1782924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𝐵𝑙𝑜𝑐𝑘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𝑆𝑆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den>
                    </m:f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nary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575B092-2FDF-477A-8AF2-DE8918A3E7BA}"/>
                </a:ext>
              </a:extLst>
            </xdr:cNvPr>
            <xdr:cNvSpPr txBox="1"/>
          </xdr:nvSpPr>
          <xdr:spPr>
            <a:xfrm>
              <a:off x="2533650" y="10958512"/>
              <a:ext cx="1782924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𝐵𝑙𝑜𝑐𝑘 𝑆𝑆=1/𝑘 ∑▒𝐵_𝑗^2 −𝐶.𝐹=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381000</xdr:colOff>
      <xdr:row>48</xdr:row>
      <xdr:rowOff>114300</xdr:rowOff>
    </xdr:from>
    <xdr:ext cx="1104405" cy="3397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53574F5-1ED2-4B75-A177-EE666547A98F}"/>
                </a:ext>
              </a:extLst>
            </xdr:cNvPr>
            <xdr:cNvSpPr txBox="1"/>
          </xdr:nvSpPr>
          <xdr:spPr>
            <a:xfrm>
              <a:off x="2400300" y="10229850"/>
              <a:ext cx="1104405" cy="3397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𝐺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𝐺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𝑏𝑘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53574F5-1ED2-4B75-A177-EE666547A98F}"/>
                </a:ext>
              </a:extLst>
            </xdr:cNvPr>
            <xdr:cNvSpPr txBox="1"/>
          </xdr:nvSpPr>
          <xdr:spPr>
            <a:xfrm>
              <a:off x="2400300" y="10229850"/>
              <a:ext cx="1104405" cy="3397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𝐶.𝐹=𝐺^2/𝑛=𝐺^2/𝑏𝑘=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400050</xdr:colOff>
      <xdr:row>56</xdr:row>
      <xdr:rowOff>123825</xdr:rowOff>
    </xdr:from>
    <xdr:ext cx="1830181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64A02AA-2992-4F11-AA3F-A1B5EA7C3D80}"/>
                </a:ext>
              </a:extLst>
            </xdr:cNvPr>
            <xdr:cNvSpPr txBox="1"/>
          </xdr:nvSpPr>
          <xdr:spPr>
            <a:xfrm>
              <a:off x="2419350" y="11772900"/>
              <a:ext cx="1830181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𝑇𝑟𝑒𝑎𝑡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𝑆𝑆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den>
                    </m:f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nary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64A02AA-2992-4F11-AA3F-A1B5EA7C3D80}"/>
                </a:ext>
              </a:extLst>
            </xdr:cNvPr>
            <xdr:cNvSpPr txBox="1"/>
          </xdr:nvSpPr>
          <xdr:spPr>
            <a:xfrm>
              <a:off x="2419350" y="11772900"/>
              <a:ext cx="1830181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𝑇𝑟𝑒𝑎𝑡 𝑆𝑆=1/𝑟 ∑▒𝑇_𝑖^2 −𝐶.𝐹=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323850</xdr:colOff>
      <xdr:row>60</xdr:row>
      <xdr:rowOff>161925</xdr:rowOff>
    </xdr:from>
    <xdr:ext cx="1865831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EA3EA4D-0B43-4B30-B32E-3E343A185F32}"/>
                </a:ext>
              </a:extLst>
            </xdr:cNvPr>
            <xdr:cNvSpPr txBox="1"/>
          </xdr:nvSpPr>
          <xdr:spPr>
            <a:xfrm>
              <a:off x="2343150" y="12582525"/>
              <a:ext cx="1865831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𝑇𝑜𝑡𝑎𝑙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𝑆𝑆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bSup>
                              <m:sSub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𝑌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𝑖𝑗</m:t>
                                </m:r>
                              </m:sub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nary>
                      </m:e>
                    </m:nary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EA3EA4D-0B43-4B30-B32E-3E343A185F32}"/>
                </a:ext>
              </a:extLst>
            </xdr:cNvPr>
            <xdr:cNvSpPr txBox="1"/>
          </xdr:nvSpPr>
          <xdr:spPr>
            <a:xfrm>
              <a:off x="2343150" y="12582525"/>
              <a:ext cx="1865831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𝑇𝑜𝑡𝑎𝑙 𝑆𝑆=∑▒∑▒𝑌_𝑖𝑗^2 −𝐶.𝐹=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352425</xdr:colOff>
      <xdr:row>56</xdr:row>
      <xdr:rowOff>123825</xdr:rowOff>
    </xdr:from>
    <xdr:ext cx="1778307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647F35E-7C40-4F8C-9E3D-C2457E7C50D9}"/>
                </a:ext>
              </a:extLst>
            </xdr:cNvPr>
            <xdr:cNvSpPr txBox="1"/>
          </xdr:nvSpPr>
          <xdr:spPr>
            <a:xfrm>
              <a:off x="6229350" y="11772900"/>
              <a:ext cx="1778307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𝐴𝑑𝑗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𝑇𝑟𝑒𝑎𝑡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𝑆𝑆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𝑘𝑣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den>
                    </m:f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𝑄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nary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647F35E-7C40-4F8C-9E3D-C2457E7C50D9}"/>
                </a:ext>
              </a:extLst>
            </xdr:cNvPr>
            <xdr:cNvSpPr txBox="1"/>
          </xdr:nvSpPr>
          <xdr:spPr>
            <a:xfrm>
              <a:off x="6229350" y="11772900"/>
              <a:ext cx="1778307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𝐴𝑑𝑗 𝑇𝑟𝑒𝑎𝑡 𝑆𝑆=1/𝑘𝑣𝜆 ∑▒𝑄_𝑖^2 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476250</xdr:colOff>
      <xdr:row>99</xdr:row>
      <xdr:rowOff>33337</xdr:rowOff>
    </xdr:from>
    <xdr:ext cx="1961691" cy="3500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6BC3EFD-8B7A-44F5-BCDF-F1C9FEE4A6DE}"/>
                </a:ext>
              </a:extLst>
            </xdr:cNvPr>
            <xdr:cNvSpPr txBox="1"/>
          </xdr:nvSpPr>
          <xdr:spPr>
            <a:xfrm>
              <a:off x="1285875" y="20435887"/>
              <a:ext cx="1961691" cy="350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𝑏𝑘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e>
                        </m:d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sub>
                        </m:sSub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6BC3EFD-8B7A-44F5-BCDF-F1C9FEE4A6DE}"/>
                </a:ext>
              </a:extLst>
            </xdr:cNvPr>
            <xdr:cNvSpPr txBox="1"/>
          </xdr:nvSpPr>
          <xdr:spPr>
            <a:xfrm>
              <a:off x="1285875" y="20435887"/>
              <a:ext cx="1961691" cy="350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𝑤 ̂_</a:t>
              </a:r>
              <a:r>
                <a:rPr lang="en-US" sz="1100" b="0" i="0">
                  <a:latin typeface="Cambria Math" panose="02040503050406030204" pitchFamily="18" charset="0"/>
                </a:rPr>
                <a:t>2=(𝑏𝑘−𝑣)/(𝑘(𝑏−1) 𝐸_𝑏−(𝑣−𝑘) 𝐸_𝑒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495300</xdr:colOff>
      <xdr:row>102</xdr:row>
      <xdr:rowOff>52387</xdr:rowOff>
    </xdr:from>
    <xdr:ext cx="1986249" cy="316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DBB1F03-816C-415D-8DF1-7CA711786FF2}"/>
                </a:ext>
              </a:extLst>
            </xdr:cNvPr>
            <xdr:cNvSpPr txBox="1"/>
          </xdr:nvSpPr>
          <xdr:spPr>
            <a:xfrm>
              <a:off x="1304925" y="21026437"/>
              <a:ext cx="1986249" cy="316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b="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𝑘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𝑣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𝑘</m:t>
                            </m:r>
                          </m:e>
                        </m:d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DBB1F03-816C-415D-8DF1-7CA711786FF2}"/>
                </a:ext>
              </a:extLst>
            </xdr:cNvPr>
            <xdr:cNvSpPr txBox="1"/>
          </xdr:nvSpPr>
          <xdr:spPr>
            <a:xfrm>
              <a:off x="1304925" y="21026437"/>
              <a:ext cx="1986249" cy="316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r>
                <a:rPr lang="en-US" sz="1100" b="0" i="0">
                  <a:solidFill>
                    <a:srgbClr val="836967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 ̂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=(𝑤_1−𝑤_2)/(𝑣(𝑘−1) 𝑤_1+(𝑣−𝑘) 𝑤_2 )=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657225</xdr:colOff>
      <xdr:row>96</xdr:row>
      <xdr:rowOff>23812</xdr:rowOff>
    </xdr:from>
    <xdr:ext cx="667170" cy="3465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C1DD6A8-B20C-4250-A427-07BDB9AB92F0}"/>
                </a:ext>
              </a:extLst>
            </xdr:cNvPr>
            <xdr:cNvSpPr txBox="1"/>
          </xdr:nvSpPr>
          <xdr:spPr>
            <a:xfrm>
              <a:off x="2676525" y="19854862"/>
              <a:ext cx="66717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</m:acc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sub>
                        </m:sSub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C1DD6A8-B20C-4250-A427-07BDB9AB92F0}"/>
                </a:ext>
              </a:extLst>
            </xdr:cNvPr>
            <xdr:cNvSpPr txBox="1"/>
          </xdr:nvSpPr>
          <xdr:spPr>
            <a:xfrm>
              <a:off x="2676525" y="19854862"/>
              <a:ext cx="66717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𝑤</a:t>
              </a:r>
              <a:r>
                <a:rPr lang="en-US" sz="11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̂_</a:t>
              </a:r>
              <a:r>
                <a:rPr lang="en-US" sz="1100" i="0">
                  <a:latin typeface="Cambria Math" panose="02040503050406030204" pitchFamily="18" charset="0"/>
                </a:rPr>
                <a:t>1=1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100" i="0">
                  <a:latin typeface="Cambria Math" panose="02040503050406030204" pitchFamily="18" charset="0"/>
                </a:rPr>
                <a:t>𝐸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i="0">
                  <a:latin typeface="Cambria Math" panose="02040503050406030204" pitchFamily="18" charset="0"/>
                </a:rPr>
                <a:t>𝑒 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0</xdr:colOff>
      <xdr:row>105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F596E09-203D-462C-9A83-5B9B4A29B650}"/>
            </a:ext>
          </a:extLst>
        </xdr:cNvPr>
        <xdr:cNvSpPr txBox="1"/>
      </xdr:nvSpPr>
      <xdr:spPr>
        <a:xfrm>
          <a:off x="9229725" y="21545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9525</xdr:colOff>
      <xdr:row>105</xdr:row>
      <xdr:rowOff>9525</xdr:rowOff>
    </xdr:from>
    <xdr:ext cx="600075" cy="1665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46DEB53-635C-490C-AEC1-77B23A56B7C9}"/>
                </a:ext>
              </a:extLst>
            </xdr:cNvPr>
            <xdr:cNvSpPr txBox="1"/>
          </xdr:nvSpPr>
          <xdr:spPr>
            <a:xfrm>
              <a:off x="9239250" y="21555075"/>
              <a:ext cx="600075" cy="1665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1" i="0">
                        <a:latin typeface="Cambria Math" panose="02040503050406030204" pitchFamily="18" charset="0"/>
                      </a:rPr>
                      <m:t>𝐓𝐢</m:t>
                    </m:r>
                    <m:r>
                      <a:rPr lang="en-US" sz="1000" b="1" i="0">
                        <a:latin typeface="Cambria Math" panose="02040503050406030204" pitchFamily="18" charset="0"/>
                      </a:rPr>
                      <m:t>+</m:t>
                    </m:r>
                    <m:acc>
                      <m:accPr>
                        <m:chr m:val="̂"/>
                        <m:ctrlPr>
                          <a:rPr lang="en-US" sz="1000" b="1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000" b="1" i="0">
                            <a:latin typeface="Cambria Math" panose="02040503050406030204" pitchFamily="18" charset="0"/>
                          </a:rPr>
                          <m:t>𝛉</m:t>
                        </m:r>
                      </m:e>
                    </m:acc>
                    <m:r>
                      <a:rPr lang="en-US" sz="1000" b="1" i="0">
                        <a:latin typeface="Cambria Math" panose="02040503050406030204" pitchFamily="18" charset="0"/>
                      </a:rPr>
                      <m:t>𝐰𝐢</m:t>
                    </m:r>
                  </m:oMath>
                </m:oMathPara>
              </a14:m>
              <a:endParaRPr lang="en-US" sz="1000" b="1" i="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46DEB53-635C-490C-AEC1-77B23A56B7C9}"/>
                </a:ext>
              </a:extLst>
            </xdr:cNvPr>
            <xdr:cNvSpPr txBox="1"/>
          </xdr:nvSpPr>
          <xdr:spPr>
            <a:xfrm>
              <a:off x="9239250" y="21555075"/>
              <a:ext cx="600075" cy="1665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000" b="1" i="0">
                  <a:latin typeface="Cambria Math" panose="02040503050406030204" pitchFamily="18" charset="0"/>
                </a:rPr>
                <a:t>𝐓𝐢+𝛉</a:t>
              </a:r>
              <a:r>
                <a:rPr lang="en-US" sz="10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̂</a:t>
              </a:r>
              <a:r>
                <a:rPr lang="en-US" sz="1000" b="1" i="0">
                  <a:latin typeface="Cambria Math" panose="02040503050406030204" pitchFamily="18" charset="0"/>
                </a:rPr>
                <a:t>𝐰𝐢</a:t>
              </a:r>
              <a:endParaRPr lang="en-US" sz="1000" b="1" i="0"/>
            </a:p>
          </xdr:txBody>
        </xdr:sp>
      </mc:Fallback>
    </mc:AlternateContent>
    <xdr:clientData/>
  </xdr:oneCellAnchor>
  <xdr:oneCellAnchor>
    <xdr:from>
      <xdr:col>2</xdr:col>
      <xdr:colOff>238125</xdr:colOff>
      <xdr:row>116</xdr:row>
      <xdr:rowOff>4762</xdr:rowOff>
    </xdr:from>
    <xdr:ext cx="2063001" cy="558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43691DE-EB29-4DD4-A0CE-0EF5E212CB32}"/>
                </a:ext>
              </a:extLst>
            </xdr:cNvPr>
            <xdr:cNvSpPr txBox="1"/>
          </xdr:nvSpPr>
          <xdr:spPr>
            <a:xfrm>
              <a:off x="2257425" y="23645812"/>
              <a:ext cx="2063001" cy="558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Fcal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d>
                              <m:dPr>
                                <m:begChr m:val="["/>
                                <m:endChr m:val="]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0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m:rPr>
                                        <m:sty m:val="p"/>
                                      </m:rPr>
                                      <a:rPr lang="en-US" sz="1100" b="0" i="0">
                                        <a:latin typeface="Cambria Math" panose="02040503050406030204" pitchFamily="18" charset="0"/>
                                      </a:rPr>
                                      <m:t>r</m:t>
                                    </m:r>
                                  </m:den>
                                </m:f>
                                <m:r>
                                  <a:rPr lang="en-US" sz="1100" b="0" i="0">
                                    <a:latin typeface="Cambria Math" panose="02040503050406030204" pitchFamily="18" charset="0"/>
                                  </a:rPr>
                                  <m:t> </m:t>
                                </m:r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p>
                                      <m:sSupPr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d>
                                          <m:dPr>
                                            <m:ctrlP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m:rPr>
                                                <m:sty m:val="p"/>
                                              </m:rPr>
                                              <a:rPr lang="en-US" sz="1100" b="0" i="0">
                                                <a:latin typeface="Cambria Math" panose="02040503050406030204" pitchFamily="18" charset="0"/>
                                              </a:rPr>
                                              <m:t>Ti</m:t>
                                            </m:r>
                                            <m:r>
                                              <a:rPr lang="en-US" sz="1100" b="0" i="0">
                                                <a:latin typeface="Cambria Math" panose="02040503050406030204" pitchFamily="18" charset="0"/>
                                              </a:rPr>
                                              <m:t>+</m:t>
                                            </m:r>
                                            <m:acc>
                                              <m:accPr>
                                                <m:chr m:val="̂"/>
                                                <m:ctrlPr>
                                                  <a:rPr lang="en-US" sz="1100" b="0" i="1">
                                                    <a:solidFill>
                                                      <a:srgbClr val="836967"/>
                                                    </a:solidFill>
                                                    <a:latin typeface="Cambria Math" panose="02040503050406030204" pitchFamily="18" charset="0"/>
                                                  </a:rPr>
                                                </m:ctrlPr>
                                              </m:accPr>
                                              <m:e>
                                                <m:r>
                                                  <m:rPr>
                                                    <m:sty m:val="p"/>
                                                  </m:rPr>
                                                  <a:rPr lang="en-US" sz="1100" b="0" i="0">
                                                    <a:latin typeface="Cambria Math" panose="02040503050406030204" pitchFamily="18" charset="0"/>
                                                  </a:rPr>
                                                  <m:t>θ</m:t>
                                                </m:r>
                                              </m:e>
                                            </m:acc>
                                            <m:r>
                                              <m:rPr>
                                                <m:sty m:val="p"/>
                                              </m:rPr>
                                              <a:rPr lang="en-US" sz="1100" b="0" i="0">
                                                <a:latin typeface="Cambria Math" panose="02040503050406030204" pitchFamily="18" charset="0"/>
                                              </a:rPr>
                                              <m:t>wi</m:t>
                                            </m:r>
                                          </m:e>
                                        </m:d>
                                      </m:e>
                                      <m:sup>
                                        <m:r>
                                          <a:rPr lang="en-US" sz="1100" b="0" i="0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p>
                                    </m:sSup>
                                  </m:e>
                                </m:nary>
                                <m:r>
                                  <a:rPr lang="en-US" sz="1100" b="0" i="0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latin typeface="Cambria Math" panose="02040503050406030204" pitchFamily="18" charset="0"/>
                                  </a:rPr>
                                  <m:t>CF</m:t>
                                </m:r>
                              </m:e>
                            </m:d>
                          </m:num>
                          <m:den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v</m:t>
                            </m:r>
                            <m:r>
                              <a:rPr lang="en-US" sz="1100" b="0" i="0">
                                <a:latin typeface="Cambria Math" panose="02040503050406030204" pitchFamily="18" charset="0"/>
                              </a:rPr>
                              <m:t>−1</m:t>
                            </m:r>
                          </m:den>
                        </m:f>
                      </m:num>
                      <m:den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E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e</m:t>
                            </m:r>
                          </m:e>
                          <m:sup>
                            <m:r>
                              <a:rPr lang="en-US" sz="1100" b="0" i="0">
                                <a:latin typeface="Cambria Math" panose="02040503050406030204" pitchFamily="18" charset="0"/>
                              </a:rPr>
                              <m:t>′</m:t>
                            </m:r>
                          </m:sup>
                        </m:sSup>
                      </m:den>
                    </m:f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 i="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43691DE-EB29-4DD4-A0CE-0EF5E212CB32}"/>
                </a:ext>
              </a:extLst>
            </xdr:cNvPr>
            <xdr:cNvSpPr txBox="1"/>
          </xdr:nvSpPr>
          <xdr:spPr>
            <a:xfrm>
              <a:off x="2257425" y="23645812"/>
              <a:ext cx="2063001" cy="558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Fcal=([1/r  ∑▒(Ti+θ</a:t>
              </a:r>
              <a:r>
                <a:rPr lang="en-US" sz="11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̂</a:t>
              </a:r>
              <a:r>
                <a:rPr lang="en-US" sz="1100" b="0" i="0">
                  <a:latin typeface="Cambria Math" panose="02040503050406030204" pitchFamily="18" charset="0"/>
                </a:rPr>
                <a:t>wi)^2 −CF]/(v−1))/(Ee^′ )=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2</xdr:col>
      <xdr:colOff>657225</xdr:colOff>
      <xdr:row>113</xdr:row>
      <xdr:rowOff>138112</xdr:rowOff>
    </xdr:from>
    <xdr:ext cx="1561325" cy="1829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059E198-B39E-49FE-AD6F-E60D65A2D294}"/>
                </a:ext>
              </a:extLst>
            </xdr:cNvPr>
            <xdr:cNvSpPr txBox="1"/>
          </xdr:nvSpPr>
          <xdr:spPr>
            <a:xfrm>
              <a:off x="2676525" y="23207662"/>
              <a:ext cx="1561325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Ee</m:t>
                        </m:r>
                      </m:e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Ee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[1+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</m:d>
                    <m:acc>
                      <m:accPr>
                        <m:chr m:val="̂"/>
                        <m:ctrlPr>
                          <a:rPr 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𝜃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]=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059E198-B39E-49FE-AD6F-E60D65A2D294}"/>
                </a:ext>
              </a:extLst>
            </xdr:cNvPr>
            <xdr:cNvSpPr txBox="1"/>
          </xdr:nvSpPr>
          <xdr:spPr>
            <a:xfrm>
              <a:off x="2676525" y="23207662"/>
              <a:ext cx="1561325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Ee^′=Ee[1+(v−k)</a:t>
              </a:r>
              <a:r>
                <a:rPr lang="en-US" sz="11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𝜃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̂</a:t>
              </a:r>
              <a:r>
                <a:rPr lang="en-US" sz="1100" b="0" i="0">
                  <a:latin typeface="Cambria Math" panose="02040503050406030204" pitchFamily="18" charset="0"/>
                </a:rPr>
                <a:t>]=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57150</xdr:colOff>
      <xdr:row>104</xdr:row>
      <xdr:rowOff>180974</xdr:rowOff>
    </xdr:from>
    <xdr:ext cx="704850" cy="1809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2571991-F217-4789-8A3E-5DA42AFF609C}"/>
                </a:ext>
              </a:extLst>
            </xdr:cNvPr>
            <xdr:cNvSpPr txBox="1"/>
          </xdr:nvSpPr>
          <xdr:spPr>
            <a:xfrm>
              <a:off x="10096500" y="21536024"/>
              <a:ext cx="704850" cy="180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0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0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000" b="1" i="0">
                                <a:latin typeface="Cambria Math" panose="02040503050406030204" pitchFamily="18" charset="0"/>
                              </a:rPr>
                              <m:t>𝐓𝐢</m:t>
                            </m:r>
                            <m:r>
                              <a:rPr lang="en-US" sz="1000" b="1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acc>
                              <m:accPr>
                                <m:chr m:val="̂"/>
                                <m:ctrlPr>
                                  <a:rPr lang="en-US" sz="1000" b="1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000" b="1" i="0">
                                    <a:latin typeface="Cambria Math" panose="02040503050406030204" pitchFamily="18" charset="0"/>
                                  </a:rPr>
                                  <m:t>𝛉</m:t>
                                </m:r>
                              </m:e>
                            </m:acc>
                            <m:r>
                              <a:rPr lang="en-US" sz="1000" b="1" i="0">
                                <a:latin typeface="Cambria Math" panose="02040503050406030204" pitchFamily="18" charset="0"/>
                              </a:rPr>
                              <m:t>𝐰𝐢</m:t>
                            </m:r>
                          </m:e>
                        </m:d>
                      </m:e>
                      <m:sup>
                        <m:r>
                          <a:rPr lang="en-US" sz="1000" b="1" i="0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</m:oMath>
                </m:oMathPara>
              </a14:m>
              <a:endParaRPr lang="en-US" sz="1000" b="1" i="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2571991-F217-4789-8A3E-5DA42AFF609C}"/>
                </a:ext>
              </a:extLst>
            </xdr:cNvPr>
            <xdr:cNvSpPr txBox="1"/>
          </xdr:nvSpPr>
          <xdr:spPr>
            <a:xfrm>
              <a:off x="10096500" y="21536024"/>
              <a:ext cx="704850" cy="180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000" b="1" i="0">
                  <a:latin typeface="Cambria Math" panose="02040503050406030204" pitchFamily="18" charset="0"/>
                </a:rPr>
                <a:t>(𝐓𝐢+𝛉</a:t>
              </a:r>
              <a:r>
                <a:rPr lang="en-US" sz="10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̂</a:t>
              </a:r>
              <a:r>
                <a:rPr lang="en-US" sz="1000" b="1" i="0">
                  <a:latin typeface="Cambria Math" panose="02040503050406030204" pitchFamily="18" charset="0"/>
                </a:rPr>
                <a:t>𝐰𝐢)^𝟐</a:t>
              </a:r>
              <a:endParaRPr lang="en-US" sz="1000" b="1" i="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20</xdr:row>
      <xdr:rowOff>47625</xdr:rowOff>
    </xdr:from>
    <xdr:to>
      <xdr:col>8</xdr:col>
      <xdr:colOff>457200</xdr:colOff>
      <xdr:row>21</xdr:row>
      <xdr:rowOff>200026</xdr:rowOff>
    </xdr:to>
    <xdr:sp macro="" textlink="">
      <xdr:nvSpPr>
        <xdr:cNvPr id="2" name="Double Bracket 1">
          <a:extLst>
            <a:ext uri="{FF2B5EF4-FFF2-40B4-BE49-F238E27FC236}">
              <a16:creationId xmlns:a16="http://schemas.microsoft.com/office/drawing/2014/main" id="{D1FB50AC-E6E6-48D4-A575-71FFB1ADEC90}"/>
            </a:ext>
          </a:extLst>
        </xdr:cNvPr>
        <xdr:cNvSpPr/>
      </xdr:nvSpPr>
      <xdr:spPr>
        <a:xfrm>
          <a:off x="10039350" y="4762500"/>
          <a:ext cx="1895475" cy="390526"/>
        </a:xfrm>
        <a:prstGeom prst="bracketPair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2362200</xdr:colOff>
      <xdr:row>24</xdr:row>
      <xdr:rowOff>38100</xdr:rowOff>
    </xdr:from>
    <xdr:to>
      <xdr:col>8</xdr:col>
      <xdr:colOff>518160</xdr:colOff>
      <xdr:row>25</xdr:row>
      <xdr:rowOff>219075</xdr:rowOff>
    </xdr:to>
    <xdr:sp macro="" textlink="">
      <xdr:nvSpPr>
        <xdr:cNvPr id="3" name="Double Bracket 2">
          <a:extLst>
            <a:ext uri="{FF2B5EF4-FFF2-40B4-BE49-F238E27FC236}">
              <a16:creationId xmlns:a16="http://schemas.microsoft.com/office/drawing/2014/main" id="{A44E488F-0786-49A6-B7AC-E3C524B6A2C0}"/>
            </a:ext>
          </a:extLst>
        </xdr:cNvPr>
        <xdr:cNvSpPr/>
      </xdr:nvSpPr>
      <xdr:spPr>
        <a:xfrm>
          <a:off x="10020300" y="5705475"/>
          <a:ext cx="1975485" cy="419100"/>
        </a:xfrm>
        <a:prstGeom prst="bracketPair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83820</xdr:colOff>
      <xdr:row>20</xdr:row>
      <xdr:rowOff>5715</xdr:rowOff>
    </xdr:from>
    <xdr:to>
      <xdr:col>11</xdr:col>
      <xdr:colOff>533400</xdr:colOff>
      <xdr:row>22</xdr:row>
      <xdr:rowOff>59055</xdr:rowOff>
    </xdr:to>
    <xdr:sp macro="" textlink="">
      <xdr:nvSpPr>
        <xdr:cNvPr id="4" name="Double Bracket 3">
          <a:extLst>
            <a:ext uri="{FF2B5EF4-FFF2-40B4-BE49-F238E27FC236}">
              <a16:creationId xmlns:a16="http://schemas.microsoft.com/office/drawing/2014/main" id="{F51C943B-83C0-4B9E-9E09-AC1C202A33C6}"/>
            </a:ext>
          </a:extLst>
        </xdr:cNvPr>
        <xdr:cNvSpPr/>
      </xdr:nvSpPr>
      <xdr:spPr>
        <a:xfrm>
          <a:off x="14056995" y="4720590"/>
          <a:ext cx="1059180" cy="529590"/>
        </a:xfrm>
        <a:prstGeom prst="bracketPair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121920</xdr:colOff>
      <xdr:row>24</xdr:row>
      <xdr:rowOff>17145</xdr:rowOff>
    </xdr:from>
    <xdr:to>
      <xdr:col>11</xdr:col>
      <xdr:colOff>579120</xdr:colOff>
      <xdr:row>26</xdr:row>
      <xdr:rowOff>47625</xdr:rowOff>
    </xdr:to>
    <xdr:sp macro="" textlink="">
      <xdr:nvSpPr>
        <xdr:cNvPr id="5" name="Double Bracket 4">
          <a:extLst>
            <a:ext uri="{FF2B5EF4-FFF2-40B4-BE49-F238E27FC236}">
              <a16:creationId xmlns:a16="http://schemas.microsoft.com/office/drawing/2014/main" id="{BA1C5929-1BB2-4ACC-8E86-CBB4B3CBFE16}"/>
            </a:ext>
          </a:extLst>
        </xdr:cNvPr>
        <xdr:cNvSpPr/>
      </xdr:nvSpPr>
      <xdr:spPr>
        <a:xfrm>
          <a:off x="14095095" y="5684520"/>
          <a:ext cx="1066800" cy="506730"/>
        </a:xfrm>
        <a:prstGeom prst="bracketPair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209550</xdr:colOff>
      <xdr:row>71</xdr:row>
      <xdr:rowOff>43815</xdr:rowOff>
    </xdr:from>
    <xdr:ext cx="1036320" cy="4229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A6AC663-EE7F-4309-92C1-9B489E4F97C1}"/>
                </a:ext>
              </a:extLst>
            </xdr:cNvPr>
            <xdr:cNvSpPr txBox="1"/>
          </xdr:nvSpPr>
          <xdr:spPr>
            <a:xfrm>
              <a:off x="2981325" y="17293590"/>
              <a:ext cx="1036320" cy="422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400" i="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IN" sz="1400" i="0">
                            <a:latin typeface="Cambria Math" panose="02040503050406030204" pitchFamily="18" charset="0"/>
                          </a:rPr>
                          <m:t>r</m:t>
                        </m:r>
                      </m:den>
                    </m:f>
                    <m:r>
                      <m:rPr>
                        <m:sty m:val="p"/>
                      </m:rPr>
                      <a:rPr lang="en-IN" sz="1400" i="0">
                        <a:latin typeface="Cambria Math" panose="02040503050406030204" pitchFamily="18" charset="0"/>
                      </a:rPr>
                      <m:t>Σ</m:t>
                    </m:r>
                    <m:r>
                      <m:rPr>
                        <m:sty m:val="p"/>
                      </m:rPr>
                      <a:rPr lang="en-IN" sz="1400" b="0" i="0">
                        <a:latin typeface="Cambria Math" panose="02040503050406030204" pitchFamily="18" charset="0"/>
                      </a:rPr>
                      <m:t>T</m:t>
                    </m:r>
                    <m:r>
                      <m:rPr>
                        <m:sty m:val="p"/>
                      </m:rPr>
                      <a:rPr lang="en-IN" sz="1400" b="0" i="0" baseline="-25000">
                        <a:latin typeface="Cambria Math" panose="02040503050406030204" pitchFamily="18" charset="0"/>
                      </a:rPr>
                      <m:t>s</m:t>
                    </m:r>
                    <m:r>
                      <a:rPr lang="en-IN" sz="1400" b="0" i="0" baseline="30000">
                        <a:latin typeface="Cambria Math" panose="02040503050406030204" pitchFamily="18" charset="0"/>
                      </a:rPr>
                      <m:t>2</m:t>
                    </m:r>
                    <m:r>
                      <a:rPr lang="en-IN" sz="140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IN" sz="140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IN" sz="1400" b="0" i="0">
                        <a:latin typeface="Cambria Math" panose="02040503050406030204" pitchFamily="18" charset="0"/>
                      </a:rPr>
                      <m:t>.</m:t>
                    </m:r>
                    <m:r>
                      <m:rPr>
                        <m:sty m:val="p"/>
                      </m:rPr>
                      <a:rPr lang="en-IN" sz="1400" i="0">
                        <a:latin typeface="Cambria Math" panose="02040503050406030204" pitchFamily="18" charset="0"/>
                      </a:rPr>
                      <m:t>f</m:t>
                    </m:r>
                  </m:oMath>
                </m:oMathPara>
              </a14:m>
              <a:endParaRPr lang="en-IN" sz="1400" i="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A6AC663-EE7F-4309-92C1-9B489E4F97C1}"/>
                </a:ext>
              </a:extLst>
            </xdr:cNvPr>
            <xdr:cNvSpPr txBox="1"/>
          </xdr:nvSpPr>
          <xdr:spPr>
            <a:xfrm>
              <a:off x="2981325" y="17293590"/>
              <a:ext cx="1036320" cy="422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IN" sz="1400" i="0">
                  <a:latin typeface="Cambria Math" panose="02040503050406030204" pitchFamily="18" charset="0"/>
                </a:rPr>
                <a:t>1</a:t>
              </a:r>
              <a:r>
                <a:rPr lang="en-IN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IN" sz="1400" i="0">
                  <a:latin typeface="Cambria Math" panose="02040503050406030204" pitchFamily="18" charset="0"/>
                </a:rPr>
                <a:t>r Σ</a:t>
              </a:r>
              <a:r>
                <a:rPr lang="en-IN" sz="1400" b="0" i="0">
                  <a:latin typeface="Cambria Math" panose="02040503050406030204" pitchFamily="18" charset="0"/>
                </a:rPr>
                <a:t>T</a:t>
              </a:r>
              <a:r>
                <a:rPr lang="en-IN" sz="1400" b="0" i="0" baseline="-25000">
                  <a:latin typeface="Cambria Math" panose="02040503050406030204" pitchFamily="18" charset="0"/>
                </a:rPr>
                <a:t>s</a:t>
              </a:r>
              <a:r>
                <a:rPr lang="en-IN" sz="1400" b="0" i="0" baseline="30000">
                  <a:latin typeface="Cambria Math" panose="02040503050406030204" pitchFamily="18" charset="0"/>
                </a:rPr>
                <a:t>2</a:t>
              </a:r>
              <a:r>
                <a:rPr lang="en-IN" sz="1400" i="0">
                  <a:latin typeface="Cambria Math" panose="02040503050406030204" pitchFamily="18" charset="0"/>
                </a:rPr>
                <a:t>−c</a:t>
              </a:r>
              <a:r>
                <a:rPr lang="en-IN" sz="1400" b="0" i="0">
                  <a:latin typeface="Cambria Math" panose="02040503050406030204" pitchFamily="18" charset="0"/>
                </a:rPr>
                <a:t>.</a:t>
              </a:r>
              <a:r>
                <a:rPr lang="en-IN" sz="1400" i="0">
                  <a:latin typeface="Cambria Math" panose="02040503050406030204" pitchFamily="18" charset="0"/>
                </a:rPr>
                <a:t>f</a:t>
              </a:r>
              <a:endParaRPr lang="en-IN" sz="1400" i="0"/>
            </a:p>
          </xdr:txBody>
        </xdr:sp>
      </mc:Fallback>
    </mc:AlternateContent>
    <xdr:clientData/>
  </xdr:oneCellAnchor>
  <xdr:oneCellAnchor>
    <xdr:from>
      <xdr:col>3</xdr:col>
      <xdr:colOff>152399</xdr:colOff>
      <xdr:row>75</xdr:row>
      <xdr:rowOff>43815</xdr:rowOff>
    </xdr:from>
    <xdr:ext cx="1003935" cy="4229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F2EEDCEC-C324-4696-B3B4-707430461154}"/>
                </a:ext>
              </a:extLst>
            </xdr:cNvPr>
            <xdr:cNvSpPr txBox="1"/>
          </xdr:nvSpPr>
          <xdr:spPr>
            <a:xfrm>
              <a:off x="2924174" y="18303240"/>
              <a:ext cx="1003935" cy="422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400" i="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IN" sz="1400" i="1">
                            <a:latin typeface="Cambria Math" panose="02040503050406030204" pitchFamily="18" charset="0"/>
                          </a:rPr>
                          <m:t>k</m:t>
                        </m:r>
                      </m:den>
                    </m:f>
                    <m:r>
                      <m:rPr>
                        <m:sty m:val="p"/>
                      </m:rPr>
                      <a:rPr lang="en-IN" sz="1400" i="1">
                        <a:latin typeface="Cambria Math" panose="02040503050406030204" pitchFamily="18" charset="0"/>
                      </a:rPr>
                      <m:t>Σ</m:t>
                    </m:r>
                    <m:sSubSup>
                      <m:sSubSupPr>
                        <m:ctrlPr>
                          <a:rPr lang="en-IN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IN" sz="1400" i="1">
                            <a:latin typeface="Cambria Math" panose="02040503050406030204" pitchFamily="18" charset="0"/>
                          </a:rPr>
                          <m:t>B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IN" sz="1400" i="1">
                            <a:latin typeface="Cambria Math" panose="02040503050406030204" pitchFamily="18" charset="0"/>
                          </a:rPr>
                          <m:t>j</m:t>
                        </m:r>
                      </m:sub>
                      <m:sup>
                        <m:r>
                          <a:rPr lang="en-IN" sz="14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IN" sz="1400" i="1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IN" sz="1400" i="1">
                        <a:latin typeface="Cambria Math" panose="02040503050406030204" pitchFamily="18" charset="0"/>
                      </a:rPr>
                      <m:t>c</m:t>
                    </m:r>
                    <m:r>
                      <a:rPr lang="en-IN" sz="1400" b="0" i="1">
                        <a:latin typeface="Cambria Math" panose="02040503050406030204" pitchFamily="18" charset="0"/>
                      </a:rPr>
                      <m:t>.</m:t>
                    </m:r>
                    <m:r>
                      <m:rPr>
                        <m:sty m:val="p"/>
                      </m:rPr>
                      <a:rPr lang="en-IN" sz="1400" i="1">
                        <a:latin typeface="Cambria Math" panose="02040503050406030204" pitchFamily="18" charset="0"/>
                      </a:rPr>
                      <m:t>f</m:t>
                    </m:r>
                  </m:oMath>
                </m:oMathPara>
              </a14:m>
              <a:endParaRPr lang="en-IN" sz="1400" i="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F2EEDCEC-C324-4696-B3B4-707430461154}"/>
                </a:ext>
              </a:extLst>
            </xdr:cNvPr>
            <xdr:cNvSpPr txBox="1"/>
          </xdr:nvSpPr>
          <xdr:spPr>
            <a:xfrm>
              <a:off x="2924174" y="18303240"/>
              <a:ext cx="1003935" cy="422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IN" sz="1400" i="0">
                  <a:latin typeface="Cambria Math" panose="02040503050406030204" pitchFamily="18" charset="0"/>
                </a:rPr>
                <a:t>1</a:t>
              </a:r>
              <a:r>
                <a:rPr lang="en-IN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IN" sz="1400" i="0">
                  <a:latin typeface="Cambria Math" panose="02040503050406030204" pitchFamily="18" charset="0"/>
                </a:rPr>
                <a:t>k ΣB</a:t>
              </a:r>
              <a:r>
                <a:rPr lang="en-IN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400" i="0">
                  <a:latin typeface="Cambria Math" panose="02040503050406030204" pitchFamily="18" charset="0"/>
                </a:rPr>
                <a:t>j^2−c</a:t>
              </a:r>
              <a:r>
                <a:rPr lang="en-IN" sz="1400" b="0" i="0">
                  <a:latin typeface="Cambria Math" panose="02040503050406030204" pitchFamily="18" charset="0"/>
                </a:rPr>
                <a:t>.</a:t>
              </a:r>
              <a:r>
                <a:rPr lang="en-IN" sz="1400" i="0">
                  <a:latin typeface="Cambria Math" panose="02040503050406030204" pitchFamily="18" charset="0"/>
                </a:rPr>
                <a:t>f</a:t>
              </a:r>
              <a:endParaRPr lang="en-IN" sz="1400" i="0"/>
            </a:p>
          </xdr:txBody>
        </xdr:sp>
      </mc:Fallback>
    </mc:AlternateContent>
    <xdr:clientData/>
  </xdr:oneCellAnchor>
  <xdr:oneCellAnchor>
    <xdr:from>
      <xdr:col>3</xdr:col>
      <xdr:colOff>28575</xdr:colOff>
      <xdr:row>79</xdr:row>
      <xdr:rowOff>23811</xdr:rowOff>
    </xdr:from>
    <xdr:ext cx="1371600" cy="2809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821A322-5806-441B-9031-21B7240615B1}"/>
                </a:ext>
              </a:extLst>
            </xdr:cNvPr>
            <xdr:cNvSpPr txBox="1"/>
          </xdr:nvSpPr>
          <xdr:spPr>
            <a:xfrm>
              <a:off x="2800350" y="19292886"/>
              <a:ext cx="1371600" cy="2809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IN" sz="1400" i="0">
                        <a:latin typeface="Cambria Math" panose="02040503050406030204" pitchFamily="18" charset="0"/>
                      </a:rPr>
                      <m:t>ΣΣ</m:t>
                    </m:r>
                    <m:sSubSup>
                      <m:sSubSupPr>
                        <m:ctrlPr>
                          <a:rPr lang="en-IN" sz="14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IN" sz="1400" i="0">
                            <a:latin typeface="Cambria Math" panose="02040503050406030204" pitchFamily="18" charset="0"/>
                          </a:rPr>
                          <m:t>Y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IN" sz="1400" i="0">
                            <a:latin typeface="Cambria Math" panose="02040503050406030204" pitchFamily="18" charset="0"/>
                          </a:rPr>
                          <m:t>ij</m:t>
                        </m:r>
                      </m:sub>
                      <m:sup>
                        <m:r>
                          <a:rPr lang="en-IN" sz="14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IN" sz="140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IN" sz="140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IN" sz="1400" i="0">
                        <a:latin typeface="Cambria Math" panose="02040503050406030204" pitchFamily="18" charset="0"/>
                      </a:rPr>
                      <m:t>⋅</m:t>
                    </m:r>
                    <m:r>
                      <m:rPr>
                        <m:sty m:val="p"/>
                      </m:rPr>
                      <a:rPr lang="en-IN" sz="1400" i="0">
                        <a:latin typeface="Cambria Math" panose="02040503050406030204" pitchFamily="18" charset="0"/>
                      </a:rPr>
                      <m:t>f</m:t>
                    </m:r>
                  </m:oMath>
                </m:oMathPara>
              </a14:m>
              <a:endParaRPr lang="en-IN" sz="1400" i="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821A322-5806-441B-9031-21B7240615B1}"/>
                </a:ext>
              </a:extLst>
            </xdr:cNvPr>
            <xdr:cNvSpPr txBox="1"/>
          </xdr:nvSpPr>
          <xdr:spPr>
            <a:xfrm>
              <a:off x="2800350" y="19292886"/>
              <a:ext cx="1371600" cy="2809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IN" sz="1400" i="0">
                  <a:latin typeface="Cambria Math" panose="02040503050406030204" pitchFamily="18" charset="0"/>
                </a:rPr>
                <a:t>ΣΣY_ij^2−c⋅f</a:t>
              </a:r>
              <a:endParaRPr lang="en-IN" sz="1400" i="0"/>
            </a:p>
          </xdr:txBody>
        </xdr:sp>
      </mc:Fallback>
    </mc:AlternateContent>
    <xdr:clientData/>
  </xdr:oneCellAnchor>
  <xdr:oneCellAnchor>
    <xdr:from>
      <xdr:col>2</xdr:col>
      <xdr:colOff>375285</xdr:colOff>
      <xdr:row>126</xdr:row>
      <xdr:rowOff>76200</xdr:rowOff>
    </xdr:from>
    <xdr:ext cx="714234" cy="4410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8B766340-0883-4C29-A09C-9988BA12B09C}"/>
                </a:ext>
              </a:extLst>
            </xdr:cNvPr>
            <xdr:cNvSpPr txBox="1"/>
          </xdr:nvSpPr>
          <xdr:spPr>
            <a:xfrm>
              <a:off x="1794510" y="30813375"/>
              <a:ext cx="714234" cy="441083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IN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IN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IN" sz="1400">
                <a:latin typeface="Century" panose="02040604050505020304" pitchFamily="18" charset="0"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8B766340-0883-4C29-A09C-9988BA12B09C}"/>
                </a:ext>
              </a:extLst>
            </xdr:cNvPr>
            <xdr:cNvSpPr txBox="1"/>
          </xdr:nvSpPr>
          <xdr:spPr>
            <a:xfrm>
              <a:off x="1794510" y="30813375"/>
              <a:ext cx="714234" cy="441083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N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𝑤</a:t>
              </a:r>
              <a:r>
                <a:rPr lang="en-IN" sz="1400" b="0" i="0">
                  <a:latin typeface="Cambria Math" panose="02040503050406030204" pitchFamily="18" charset="0"/>
                </a:rPr>
                <a:t>_</a:t>
              </a:r>
              <a:r>
                <a:rPr lang="en-US" sz="1400" b="0" i="0">
                  <a:latin typeface="Cambria Math" panose="02040503050406030204" pitchFamily="18" charset="0"/>
                </a:rPr>
                <a:t>1 </a:t>
              </a:r>
              <a:r>
                <a:rPr lang="en-IN" sz="1400" b="0" i="0">
                  <a:latin typeface="Cambria Math" panose="02040503050406030204" pitchFamily="18" charset="0"/>
                </a:rPr>
                <a:t>) ̂</a:t>
              </a:r>
              <a:r>
                <a:rPr lang="en-US" sz="1400" b="0" i="0">
                  <a:latin typeface="Cambria Math" panose="02040503050406030204" pitchFamily="18" charset="0"/>
                </a:rPr>
                <a:t>=  1/𝐸_𝑒 </a:t>
              </a:r>
              <a:endParaRPr lang="en-IN" sz="1400">
                <a:latin typeface="Century" panose="020406040505050203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83820</xdr:colOff>
      <xdr:row>126</xdr:row>
      <xdr:rowOff>95250</xdr:rowOff>
    </xdr:from>
    <xdr:ext cx="2361800" cy="4485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6E63B6-0F6B-4B53-B22E-5EC8CA677B27}"/>
                </a:ext>
              </a:extLst>
            </xdr:cNvPr>
            <xdr:cNvSpPr txBox="1"/>
          </xdr:nvSpPr>
          <xdr:spPr>
            <a:xfrm>
              <a:off x="6322695" y="30832425"/>
              <a:ext cx="2361800" cy="44858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IN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IN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𝑏𝑘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𝑣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𝑘</m:t>
                        </m:r>
                        <m:d>
                          <m:d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𝑣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IN" sz="1400">
                <a:latin typeface="Century" panose="02040604050505020304" pitchFamily="18" charset="0"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6E63B6-0F6B-4B53-B22E-5EC8CA677B27}"/>
                </a:ext>
              </a:extLst>
            </xdr:cNvPr>
            <xdr:cNvSpPr txBox="1"/>
          </xdr:nvSpPr>
          <xdr:spPr>
            <a:xfrm>
              <a:off x="6322695" y="30832425"/>
              <a:ext cx="2361800" cy="44858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N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𝑤</a:t>
              </a:r>
              <a:r>
                <a:rPr lang="en-IN" sz="1400" b="0" i="0">
                  <a:latin typeface="Cambria Math" panose="02040503050406030204" pitchFamily="18" charset="0"/>
                </a:rPr>
                <a:t>_</a:t>
              </a:r>
              <a:r>
                <a:rPr lang="en-US" sz="1400" b="0" i="0">
                  <a:latin typeface="Cambria Math" panose="02040503050406030204" pitchFamily="18" charset="0"/>
                </a:rPr>
                <a:t>2 </a:t>
              </a:r>
              <a:r>
                <a:rPr lang="en-IN" sz="1400" b="0" i="0">
                  <a:latin typeface="Cambria Math" panose="02040503050406030204" pitchFamily="18" charset="0"/>
                </a:rPr>
                <a:t>) ̂</a:t>
              </a:r>
              <a:r>
                <a:rPr lang="en-US" sz="1400" b="0" i="0">
                  <a:latin typeface="Cambria Math" panose="02040503050406030204" pitchFamily="18" charset="0"/>
                </a:rPr>
                <a:t>=  ((𝑏𝑘−𝑣))/(𝑘(𝑏−1) 𝐸_𝑏−(𝑣−𝑘)𝐸_𝑒 )</a:t>
              </a:r>
              <a:endParaRPr lang="en-IN" sz="1400">
                <a:latin typeface="Century" panose="020406040505050203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102870</xdr:colOff>
      <xdr:row>129</xdr:row>
      <xdr:rowOff>180976</xdr:rowOff>
    </xdr:from>
    <xdr:ext cx="1708160" cy="2857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C8F48F9-1F61-48CE-BB0C-2AB105C569C2}"/>
                </a:ext>
              </a:extLst>
            </xdr:cNvPr>
            <xdr:cNvSpPr txBox="1"/>
          </xdr:nvSpPr>
          <xdr:spPr>
            <a:xfrm>
              <a:off x="4455795" y="31527751"/>
              <a:ext cx="1708160" cy="28575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IN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+ </m:t>
                    </m:r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IN" sz="1400">
                <a:latin typeface="Century" panose="020406040505050203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C8F48F9-1F61-48CE-BB0C-2AB105C569C2}"/>
                </a:ext>
              </a:extLst>
            </xdr:cNvPr>
            <xdr:cNvSpPr txBox="1"/>
          </xdr:nvSpPr>
          <xdr:spPr>
            <a:xfrm>
              <a:off x="4455795" y="31527751"/>
              <a:ext cx="1708160" cy="28575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𝑤</a:t>
              </a:r>
              <a:r>
                <a:rPr lang="en-IN" sz="1400" b="0" i="0">
                  <a:latin typeface="Cambria Math" panose="02040503050406030204" pitchFamily="18" charset="0"/>
                </a:rPr>
                <a:t> ̂</a:t>
              </a:r>
              <a:r>
                <a:rPr lang="en-US" sz="1400" b="0" i="0">
                  <a:latin typeface="Cambria Math" panose="02040503050406030204" pitchFamily="18" charset="0"/>
                </a:rPr>
                <a:t>=(𝑘−1) (𝑤_1 ) ̂+ (𝑤_2 ) ̂</a:t>
              </a:r>
              <a:endParaRPr lang="en-IN" sz="1400">
                <a:latin typeface="Century" panose="020406040505050203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108585</xdr:colOff>
      <xdr:row>131</xdr:row>
      <xdr:rowOff>85725</xdr:rowOff>
    </xdr:from>
    <xdr:ext cx="1737360" cy="2169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DF58AE9-F11C-49EA-A91B-6157220DDB83}"/>
                </a:ext>
              </a:extLst>
            </xdr:cNvPr>
            <xdr:cNvSpPr txBox="1"/>
          </xdr:nvSpPr>
          <xdr:spPr>
            <a:xfrm>
              <a:off x="918210" y="31851600"/>
              <a:ext cx="1737360" cy="21691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𝑟</m:t>
                    </m:r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+ 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(</m:t>
                    </m:r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IN" sz="1400">
                <a:latin typeface="Century" panose="02040604050505020304" pitchFamily="18" charset="0"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DF58AE9-F11C-49EA-A91B-6157220DDB83}"/>
                </a:ext>
              </a:extLst>
            </xdr:cNvPr>
            <xdr:cNvSpPr txBox="1"/>
          </xdr:nvSpPr>
          <xdr:spPr>
            <a:xfrm>
              <a:off x="918210" y="31851600"/>
              <a:ext cx="1737360" cy="21691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𝐴</a:t>
              </a:r>
              <a:r>
                <a:rPr lang="en-US" sz="1400" b="0" i="0">
                  <a:latin typeface="Cambria Math" panose="02040503050406030204" pitchFamily="18" charset="0"/>
                </a:rPr>
                <a:t>=𝑟𝑤 ̂+ 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𝜆_</a:t>
              </a:r>
              <a:r>
                <a:rPr lang="en-US" sz="1400" b="0" i="0">
                  <a:latin typeface="Cambria Math" panose="02040503050406030204" pitchFamily="18" charset="0"/>
                </a:rPr>
                <a:t>2 ((𝑤_1 ) ̂−(𝑤_2 ) ̂</a:t>
              </a:r>
              <a:endParaRPr lang="en-IN" sz="1400">
                <a:latin typeface="Century" panose="020406040505050203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59055</xdr:colOff>
      <xdr:row>134</xdr:row>
      <xdr:rowOff>112395</xdr:rowOff>
    </xdr:from>
    <xdr:ext cx="1828800" cy="2169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DB05283-C68B-4749-8140-53537A3B74B2}"/>
                </a:ext>
              </a:extLst>
            </xdr:cNvPr>
            <xdr:cNvSpPr txBox="1"/>
          </xdr:nvSpPr>
          <xdr:spPr>
            <a:xfrm>
              <a:off x="868680" y="32525970"/>
              <a:ext cx="1828800" cy="21691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𝐵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=(</m:t>
                    </m:r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)(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IN" sz="1400">
                <a:latin typeface="Century" panose="02040604050505020304" pitchFamily="18" charset="0"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DB05283-C68B-4749-8140-53537A3B74B2}"/>
                </a:ext>
              </a:extLst>
            </xdr:cNvPr>
            <xdr:cNvSpPr txBox="1"/>
          </xdr:nvSpPr>
          <xdr:spPr>
            <a:xfrm>
              <a:off x="868680" y="32525970"/>
              <a:ext cx="1828800" cy="21691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𝐵=((𝑤_1 ) ̂−(𝑤_2 ) ̂)(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𝜆_</a:t>
              </a:r>
              <a:r>
                <a:rPr lang="en-US" sz="1400" b="0" i="0">
                  <a:latin typeface="Cambria Math" panose="02040503050406030204" pitchFamily="18" charset="0"/>
                </a:rPr>
                <a:t>2−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𝜆_</a:t>
              </a:r>
              <a:r>
                <a:rPr lang="en-US" sz="1400" b="0" i="0">
                  <a:latin typeface="Cambria Math" panose="02040503050406030204" pitchFamily="18" charset="0"/>
                </a:rPr>
                <a:t>1)</a:t>
              </a:r>
              <a:endParaRPr lang="en-IN" sz="1400">
                <a:latin typeface="Century" panose="020406040505050203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247650</xdr:colOff>
      <xdr:row>137</xdr:row>
      <xdr:rowOff>110490</xdr:rowOff>
    </xdr:from>
    <xdr:ext cx="1379220" cy="218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D8763C2-AB7C-4081-9510-D24079C7A419}"/>
                </a:ext>
              </a:extLst>
            </xdr:cNvPr>
            <xdr:cNvSpPr txBox="1"/>
          </xdr:nvSpPr>
          <xdr:spPr>
            <a:xfrm>
              <a:off x="1057275" y="33209865"/>
              <a:ext cx="1379220" cy="218265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𝐵</m:t>
                    </m:r>
                    <m:sSubSup>
                      <m:sSub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12</m:t>
                        </m:r>
                      </m:sub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IN" sz="1400">
                <a:latin typeface="Century" panose="02040604050505020304" pitchFamily="18" charset="0"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D8763C2-AB7C-4081-9510-D24079C7A419}"/>
                </a:ext>
              </a:extLst>
            </xdr:cNvPr>
            <xdr:cNvSpPr txBox="1"/>
          </xdr:nvSpPr>
          <xdr:spPr>
            <a:xfrm>
              <a:off x="1057275" y="33209865"/>
              <a:ext cx="1379220" cy="218265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𝐶=𝐵𝑃_12^2</a:t>
              </a:r>
              <a:endParaRPr lang="en-IN" sz="1400">
                <a:latin typeface="Century" panose="020406040505050203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59055</xdr:colOff>
      <xdr:row>140</xdr:row>
      <xdr:rowOff>104775</xdr:rowOff>
    </xdr:from>
    <xdr:ext cx="1706880" cy="25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F8D9127-E9D5-42CD-BDC2-4E8757C76C4A}"/>
                </a:ext>
              </a:extLst>
            </xdr:cNvPr>
            <xdr:cNvSpPr txBox="1"/>
          </xdr:nvSpPr>
          <xdr:spPr>
            <a:xfrm>
              <a:off x="868680" y="33889950"/>
              <a:ext cx="1706880" cy="25146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𝐷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𝐵</m:t>
                    </m:r>
                    <m:d>
                      <m:d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11</m:t>
                            </m:r>
                          </m:sub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p>
                        </m:sSub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sSubSup>
                          <m:sSubSup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11</m:t>
                            </m:r>
                          </m:sub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IN" sz="1400">
                <a:latin typeface="Century" panose="02040604050505020304" pitchFamily="18" charset="0"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F8D9127-E9D5-42CD-BDC2-4E8757C76C4A}"/>
                </a:ext>
              </a:extLst>
            </xdr:cNvPr>
            <xdr:cNvSpPr txBox="1"/>
          </xdr:nvSpPr>
          <xdr:spPr>
            <a:xfrm>
              <a:off x="868680" y="33889950"/>
              <a:ext cx="1706880" cy="25146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𝐷=𝐴+𝐵(𝑃_11^1−𝑃_11^2 )</a:t>
              </a:r>
              <a:endParaRPr lang="en-IN" sz="1400">
                <a:latin typeface="Century" panose="020406040505050203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240030</xdr:colOff>
      <xdr:row>143</xdr:row>
      <xdr:rowOff>47625</xdr:rowOff>
    </xdr:from>
    <xdr:ext cx="1394460" cy="2971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C747F35-8A6B-48CA-B208-383B3AEC1688}"/>
                </a:ext>
              </a:extLst>
            </xdr:cNvPr>
            <xdr:cNvSpPr txBox="1"/>
          </xdr:nvSpPr>
          <xdr:spPr>
            <a:xfrm>
              <a:off x="1049655" y="34518600"/>
              <a:ext cx="1394460" cy="29718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𝐴𝐷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−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𝐵𝐶</m:t>
                    </m:r>
                  </m:oMath>
                </m:oMathPara>
              </a14:m>
              <a:endParaRPr lang="en-IN" sz="1600">
                <a:latin typeface="Century" panose="02040604050505020304" pitchFamily="18" charset="0"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C747F35-8A6B-48CA-B208-383B3AEC1688}"/>
                </a:ext>
              </a:extLst>
            </xdr:cNvPr>
            <xdr:cNvSpPr txBox="1"/>
          </xdr:nvSpPr>
          <xdr:spPr>
            <a:xfrm>
              <a:off x="1049655" y="34518600"/>
              <a:ext cx="1394460" cy="29718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l-GR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=𝐴𝐷 −𝐵𝐶</a:t>
              </a:r>
              <a:endParaRPr lang="en-IN" sz="1600">
                <a:latin typeface="Century" panose="020406040505050203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30480</xdr:colOff>
      <xdr:row>147</xdr:row>
      <xdr:rowOff>129540</xdr:rowOff>
    </xdr:from>
    <xdr:ext cx="2004060" cy="6379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424B3CEB-E687-4305-BD2E-35D092170D9D}"/>
                </a:ext>
              </a:extLst>
            </xdr:cNvPr>
            <xdr:cNvSpPr txBox="1"/>
          </xdr:nvSpPr>
          <xdr:spPr>
            <a:xfrm>
              <a:off x="7688580" y="35448240"/>
              <a:ext cx="2004060" cy="637932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𝑘𝑝𝑠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acc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 −</m:t>
                    </m:r>
                    <m:d>
                      <m:d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̂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𝑤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e>
                        </m:acc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̂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𝑤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acc>
                      </m:e>
                    </m:d>
                    <m:r>
                      <a:rPr lang="en-US" sz="1400" b="0" i="1">
                        <a:latin typeface="Cambria Math" panose="02040503050406030204" pitchFamily="18" charset="0"/>
                      </a:rPr>
                      <m:t>𝐵</m:t>
                    </m:r>
                    <m:d>
                      <m:d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</m:d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𝐺</m:t>
                    </m:r>
                  </m:oMath>
                </m:oMathPara>
              </a14:m>
              <a:endParaRPr lang="en-IN" sz="1400">
                <a:latin typeface="Century" panose="02040604050505020304" pitchFamily="18" charset="0"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424B3CEB-E687-4305-BD2E-35D092170D9D}"/>
                </a:ext>
              </a:extLst>
            </xdr:cNvPr>
            <xdr:cNvSpPr txBox="1"/>
          </xdr:nvSpPr>
          <xdr:spPr>
            <a:xfrm>
              <a:off x="7688580" y="35448240"/>
              <a:ext cx="2004060" cy="637932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𝑘𝑝𝑠=(𝑤_1 ) ̂𝑇_𝑠  −((𝑤_1 ) ̂−(𝑤_2 ) ̂ )𝐵(𝑠)−(𝑤_2 ) ̂𝐺</a:t>
              </a:r>
              <a:endParaRPr lang="en-IN" sz="1400">
                <a:latin typeface="Century" panose="020406040505050203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24765</xdr:colOff>
      <xdr:row>165</xdr:row>
      <xdr:rowOff>70485</xdr:rowOff>
    </xdr:from>
    <xdr:ext cx="3114891" cy="470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3F11F2C8-E062-457D-814D-8B03ABDC9370}"/>
                </a:ext>
              </a:extLst>
            </xdr:cNvPr>
            <xdr:cNvSpPr txBox="1"/>
          </xdr:nvSpPr>
          <xdr:spPr>
            <a:xfrm>
              <a:off x="2796540" y="40408860"/>
              <a:ext cx="3114891" cy="47045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400" b="0" i="0">
                        <a:latin typeface="Cambria Math" panose="02040503050406030204" pitchFamily="18" charset="0"/>
                      </a:rPr>
                      <m:t>F</m:t>
                    </m:r>
                    <m:r>
                      <a:rPr lang="en-US" sz="14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400" b="0" i="0">
                        <a:latin typeface="Cambria Math" panose="02040503050406030204" pitchFamily="18" charset="0"/>
                      </a:rPr>
                      <m:t>cal</m:t>
                    </m:r>
                    <m:r>
                      <a:rPr lang="en-US" sz="14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400" b="0" i="0">
                            <a:latin typeface="Cambria Math" panose="02040503050406030204" pitchFamily="18" charset="0"/>
                          </a:rPr>
                          <m:t>D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p>
                              <m:sSup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n-US" sz="1400" b="0" i="0">
                                        <a:latin typeface="Cambria Math" panose="02040503050406030204" pitchFamily="18" charset="0"/>
                                      </a:rPr>
                                      <m:t>kPs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en-US" sz="1400" b="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400" b="0" i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m:rPr>
                                <m:sty m:val="p"/>
                              </m:rPr>
                              <a:rPr lang="en-US" sz="1400" b="0" i="0">
                                <a:latin typeface="Cambria Math" panose="02040503050406030204" pitchFamily="18" charset="0"/>
                              </a:rPr>
                              <m:t>B</m:t>
                            </m:r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d>
                                  <m:d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n-US" sz="1400" b="0" i="0">
                                        <a:latin typeface="Cambria Math" panose="02040503050406030204" pitchFamily="18" charset="0"/>
                                      </a:rPr>
                                      <m:t>kPs</m:t>
                                    </m:r>
                                  </m:e>
                                </m:d>
                                <m:sSub>
                                  <m:sSub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n-US" sz="1400" b="0" i="0">
                                        <a:latin typeface="Cambria Math" panose="02040503050406030204" pitchFamily="18" charset="0"/>
                                      </a:rPr>
                                      <m:t>S</m:t>
                                    </m:r>
                                  </m:e>
                                  <m:sub>
                                    <m:r>
                                      <a:rPr lang="en-US" sz="1400" b="0" i="0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  <m:r>
                                  <a:rPr lang="en-US" sz="1400" b="0" i="0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m:rPr>
                                    <m:sty m:val="p"/>
                                  </m:rPr>
                                  <a:rPr lang="en-US" sz="1400" b="0" i="0">
                                    <a:latin typeface="Cambria Math" panose="02040503050406030204" pitchFamily="18" charset="0"/>
                                  </a:rPr>
                                  <m:t>kPs</m:t>
                                </m:r>
                                <m:r>
                                  <a:rPr lang="en-US" sz="1400" b="0" i="0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e>
                            </m:nary>
                          </m:e>
                        </m:nary>
                      </m:num>
                      <m:den>
                        <m:r>
                          <m:rPr>
                            <m:sty m:val="p"/>
                          </m:rPr>
                          <a:rPr lang="en-US" sz="1400" b="0" i="0">
                            <a:latin typeface="Cambria Math" panose="02040503050406030204" pitchFamily="18" charset="0"/>
                          </a:rPr>
                          <m:t>k</m:t>
                        </m:r>
                        <m:r>
                          <a:rPr lang="en-US" sz="1400" b="0" i="0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m:rPr>
                            <m:sty m:val="p"/>
                          </m:rPr>
                          <a:rPr lang="en-US" sz="1400" b="0" i="0">
                            <a:latin typeface="Cambria Math" panose="02040503050406030204" pitchFamily="18" charset="0"/>
                          </a:rPr>
                          <m:t>v</m:t>
                        </m:r>
                        <m:r>
                          <a:rPr lang="en-US" sz="1400" b="0" i="0">
                            <a:latin typeface="Cambria Math" panose="02040503050406030204" pitchFamily="18" charset="0"/>
                          </a:rPr>
                          <m:t>−1)</m:t>
                        </m:r>
                        <m:r>
                          <m:rPr>
                            <m:sty m:val="p"/>
                          </m:rPr>
                          <a:rPr lang="el-GR" sz="14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Δ</m:t>
                        </m:r>
                      </m:den>
                    </m:f>
                  </m:oMath>
                </m:oMathPara>
              </a14:m>
              <a:endParaRPr lang="en-IN" sz="1400" b="0" i="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3F11F2C8-E062-457D-814D-8B03ABDC9370}"/>
                </a:ext>
              </a:extLst>
            </xdr:cNvPr>
            <xdr:cNvSpPr txBox="1"/>
          </xdr:nvSpPr>
          <xdr:spPr>
            <a:xfrm>
              <a:off x="2796540" y="40408860"/>
              <a:ext cx="3114891" cy="47045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F−cal=  (D∑▒〖(kPs)^2−B∑▒〖(kPs) S_1 (kPs)〗〗)/(k(v−1)</a:t>
              </a:r>
              <a:r>
                <a:rPr lang="el-GR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IN" sz="1400" b="0" i="0"/>
            </a:p>
          </xdr:txBody>
        </xdr:sp>
      </mc:Fallback>
    </mc:AlternateContent>
    <xdr:clientData/>
  </xdr:oneCellAnchor>
  <xdr:oneCellAnchor>
    <xdr:from>
      <xdr:col>3</xdr:col>
      <xdr:colOff>390525</xdr:colOff>
      <xdr:row>169</xdr:row>
      <xdr:rowOff>66675</xdr:rowOff>
    </xdr:from>
    <xdr:ext cx="2315858" cy="2857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49D80EC-BD25-4BDB-A0D6-005888E40795}"/>
            </a:ext>
          </a:extLst>
        </xdr:cNvPr>
        <xdr:cNvSpPr txBox="1"/>
      </xdr:nvSpPr>
      <xdr:spPr>
        <a:xfrm>
          <a:off x="3162300" y="41205150"/>
          <a:ext cx="2315858" cy="2857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en-IN" sz="1400" b="0" i="0">
              <a:latin typeface="Cambria Math" panose="02040503050406030204" pitchFamily="18" charset="0"/>
            </a:rPr>
            <a:t>𝐹𝑡𝑎𝑏=𝐹(𝑣−1,𝑏𝑘−𝑏−𝑣+1)</a:t>
          </a:r>
          <a:endParaRPr lang="en-IN" sz="14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781050</xdr:colOff>
      <xdr:row>28</xdr:row>
      <xdr:rowOff>23812</xdr:rowOff>
    </xdr:from>
    <xdr:ext cx="2447925" cy="6638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B287997-0B6C-42AB-81D0-BBC95A7F6164}"/>
                </a:ext>
              </a:extLst>
            </xdr:cNvPr>
            <xdr:cNvSpPr txBox="1"/>
          </xdr:nvSpPr>
          <xdr:spPr>
            <a:xfrm>
              <a:off x="2400300" y="6424612"/>
              <a:ext cx="2447925" cy="6638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𝐵𝑒𝑡𝑤𝑒𝑒𝑛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𝑠𝑢𝑏𝑗𝑒𝑐𝑡𝑠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nary>
                      <m:naryPr>
                        <m:chr m:val="∑"/>
                        <m:limLoc m:val="undOvr"/>
                        <m:grow m:val="on"/>
                        <m:ctrlPr>
                          <a:rPr lang="en-IN" sz="12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IN" sz="12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IN" sz="1200" i="0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IN" sz="120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f>
                          <m:fPr>
                            <m:ctrlPr>
                              <a:rPr lang="en-IN" sz="12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IN" sz="12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IN" sz="120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.</m:t>
                                </m:r>
                                <m:r>
                                  <a:rPr lang="en-IN" sz="12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  <m:sup>
                                <m:r>
                                  <a:rPr lang="en-IN" sz="120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r>
                              <a:rPr lang="en-IN" sz="120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den>
                        </m:f>
                      </m:e>
                    </m:nary>
                    <m:r>
                      <a:rPr lang="en-IN" sz="1200" i="0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IN" sz="12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IN" sz="12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IN" sz="12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..</m:t>
                            </m:r>
                          </m:e>
                          <m:sup>
                            <m:r>
                              <a:rPr lang="en-IN" sz="12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IN" sz="1200" i="1">
                            <a:latin typeface="Cambria Math" panose="02040503050406030204" pitchFamily="18" charset="0"/>
                          </a:rPr>
                          <m:t>𝑎𝑛</m:t>
                        </m:r>
                      </m:den>
                    </m:f>
                  </m:oMath>
                </m:oMathPara>
              </a14:m>
              <a:endParaRPr lang="en-IN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B287997-0B6C-42AB-81D0-BBC95A7F6164}"/>
                </a:ext>
              </a:extLst>
            </xdr:cNvPr>
            <xdr:cNvSpPr txBox="1"/>
          </xdr:nvSpPr>
          <xdr:spPr>
            <a:xfrm>
              <a:off x="2400300" y="6424612"/>
              <a:ext cx="2447925" cy="6638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𝐵𝑒𝑡𝑤𝑒𝑒𝑛 𝑠𝑢𝑏𝑗𝑒𝑐𝑡𝑠=</a:t>
              </a:r>
              <a:r>
                <a:rPr lang="en-I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IN" sz="1200" i="0">
                  <a:latin typeface="Cambria Math" panose="02040503050406030204" pitchFamily="18" charset="0"/>
                </a:rPr>
                <a:t>∑129_(𝑗=1)^𝑛▒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IN" sz="1200" i="0">
                  <a:latin typeface="Cambria Math" panose="02040503050406030204" pitchFamily="18" charset="0"/>
                </a:rPr>
                <a:t>𝑦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</a:t>
              </a:r>
              <a:r>
                <a:rPr lang="en-US" sz="1200" b="0" i="0">
                  <a:latin typeface="Cambria Math" panose="02040503050406030204" pitchFamily="18" charset="0"/>
                </a:rPr>
                <a:t>.</a:t>
              </a:r>
              <a:r>
                <a:rPr lang="en-IN" sz="1200" i="0">
                  <a:latin typeface="Cambria Math" panose="02040503050406030204" pitchFamily="18" charset="0"/>
                </a:rPr>
                <a:t>𝑗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)^</a:t>
              </a:r>
              <a:r>
                <a:rPr lang="en-IN" sz="1200" i="0">
                  <a:latin typeface="Cambria Math" panose="02040503050406030204" pitchFamily="18" charset="0"/>
                </a:rPr>
                <a:t>2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IN" sz="1200" i="0">
                  <a:latin typeface="Cambria Math" panose="02040503050406030204" pitchFamily="18" charset="0"/>
                </a:rPr>
                <a:t>𝑎−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〖</a:t>
              </a:r>
              <a:r>
                <a:rPr lang="en-IN" sz="1200" i="0">
                  <a:latin typeface="Cambria Math" panose="02040503050406030204" pitchFamily="18" charset="0"/>
                </a:rPr>
                <a:t>𝑦</a:t>
              </a:r>
              <a:r>
                <a:rPr lang="en-US" sz="1200" b="0" i="0">
                  <a:latin typeface="Cambria Math" panose="02040503050406030204" pitchFamily="18" charset="0"/>
                </a:rPr>
                <a:t>..</a:t>
              </a:r>
              <a:r>
                <a:rPr lang="en-IN" sz="12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〗^</a:t>
              </a:r>
              <a:r>
                <a:rPr lang="en-IN" sz="1200" i="0">
                  <a:latin typeface="Cambria Math" panose="02040503050406030204" pitchFamily="18" charset="0"/>
                </a:rPr>
                <a:t>2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IN" sz="1200" i="0">
                  <a:latin typeface="Cambria Math" panose="02040503050406030204" pitchFamily="18" charset="0"/>
                </a:rPr>
                <a:t>𝑎𝑛</a:t>
              </a:r>
              <a:endParaRPr lang="en-IN" sz="1200"/>
            </a:p>
          </xdr:txBody>
        </xdr:sp>
      </mc:Fallback>
    </mc:AlternateContent>
    <xdr:clientData/>
  </xdr:oneCellAnchor>
  <xdr:oneCellAnchor>
    <xdr:from>
      <xdr:col>8</xdr:col>
      <xdr:colOff>409575</xdr:colOff>
      <xdr:row>32</xdr:row>
      <xdr:rowOff>42862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64ED585-27CA-4DFE-922D-E83002829661}"/>
            </a:ext>
          </a:extLst>
        </xdr:cNvPr>
        <xdr:cNvSpPr txBox="1"/>
      </xdr:nvSpPr>
      <xdr:spPr>
        <a:xfrm>
          <a:off x="7372350" y="73961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3</xdr:col>
      <xdr:colOff>95250</xdr:colOff>
      <xdr:row>32</xdr:row>
      <xdr:rowOff>23812</xdr:rowOff>
    </xdr:from>
    <xdr:ext cx="2457450" cy="6715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D4E29BE-E3CC-42BD-AEE6-15BFE5C5E37D}"/>
                </a:ext>
              </a:extLst>
            </xdr:cNvPr>
            <xdr:cNvSpPr txBox="1"/>
          </xdr:nvSpPr>
          <xdr:spPr>
            <a:xfrm>
              <a:off x="2819400" y="7377112"/>
              <a:ext cx="2457450" cy="6715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𝑇𝑜𝑡𝑎𝑙</m:t>
                    </m:r>
                    <m:r>
                      <a:rPr lang="en-US" sz="10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0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𝑆𝑆</m:t>
                    </m:r>
                    <m:r>
                      <a:rPr lang="en-US" sz="10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grow m:val="on"/>
                        <m:subHide m:val="on"/>
                        <m:supHide m:val="on"/>
                        <m:ctrlPr>
                          <a:rPr lang="en-IN" sz="105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nary>
                          <m:naryPr>
                            <m:chr m:val="∑"/>
                            <m:grow m:val="on"/>
                            <m:subHide m:val="on"/>
                            <m:supHide m:val="on"/>
                            <m:ctrlPr>
                              <a:rPr lang="en-IN" sz="105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bSup>
                              <m:sSubSupPr>
                                <m:ctrlPr>
                                  <a:rPr lang="en-IN" sz="105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IN" sz="105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acc>
                                  <m:accPr>
                                    <m:chr m:val="̇"/>
                                    <m:ctrlPr>
                                      <a:rPr lang="en-IN" sz="105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IN" sz="1050" i="1">
                                        <a:latin typeface="Cambria Math" panose="02040503050406030204" pitchFamily="18" charset="0"/>
                                      </a:rPr>
                                      <m:t>𝐼</m:t>
                                    </m:r>
                                  </m:e>
                                </m:acc>
                                <m:r>
                                  <a:rPr lang="en-IN" sz="105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  <m:sup>
                                <m:r>
                                  <a:rPr lang="en-IN" sz="105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nary>
                      </m:e>
                    </m:nary>
                    <m:r>
                      <a:rPr lang="en-IN" sz="1050" i="0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IN" sz="105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IN" sz="105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IN" sz="105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..</m:t>
                            </m:r>
                          </m:e>
                          <m:sup>
                            <m:r>
                              <a:rPr lang="en-IN" sz="105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IN" sz="1050" i="1">
                            <a:latin typeface="Cambria Math" panose="02040503050406030204" pitchFamily="18" charset="0"/>
                          </a:rPr>
                          <m:t>𝑎𝑛</m:t>
                        </m:r>
                      </m:den>
                    </m:f>
                  </m:oMath>
                </m:oMathPara>
              </a14:m>
              <a:endParaRPr lang="en-IN" sz="12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D4E29BE-E3CC-42BD-AEE6-15BFE5C5E37D}"/>
                </a:ext>
              </a:extLst>
            </xdr:cNvPr>
            <xdr:cNvSpPr txBox="1"/>
          </xdr:nvSpPr>
          <xdr:spPr>
            <a:xfrm>
              <a:off x="2819400" y="7377112"/>
              <a:ext cx="2457450" cy="6715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𝑇𝑜𝑡𝑎𝑙 𝑆𝑆=</a:t>
              </a:r>
              <a:r>
                <a:rPr lang="en-IN" sz="1050" i="0">
                  <a:latin typeface="Cambria Math" panose="02040503050406030204" pitchFamily="18" charset="0"/>
                </a:rPr>
                <a:t>∑128▒∑128▒𝑦</a:t>
              </a:r>
              <a:r>
                <a:rPr lang="en-IN" sz="105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</a:t>
              </a:r>
              <a:r>
                <a:rPr lang="en-IN" sz="1050" i="0">
                  <a:latin typeface="Cambria Math" panose="02040503050406030204" pitchFamily="18" charset="0"/>
                </a:rPr>
                <a:t>𝐼</a:t>
              </a:r>
              <a:r>
                <a:rPr lang="en-IN" sz="105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̇</a:t>
              </a:r>
              <a:r>
                <a:rPr lang="en-IN" sz="1050" i="0">
                  <a:latin typeface="Cambria Math" panose="02040503050406030204" pitchFamily="18" charset="0"/>
                </a:rPr>
                <a:t>𝑗</a:t>
              </a:r>
              <a:r>
                <a:rPr lang="en-IN" sz="105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)^</a:t>
              </a:r>
              <a:r>
                <a:rPr lang="en-IN" sz="1050" i="0">
                  <a:latin typeface="Cambria Math" panose="02040503050406030204" pitchFamily="18" charset="0"/>
                </a:rPr>
                <a:t>2 −</a:t>
              </a:r>
              <a:r>
                <a:rPr lang="en-IN" sz="1050" i="0">
                  <a:solidFill>
                    <a:srgbClr val="836967"/>
                  </a:solidFill>
                  <a:latin typeface="Cambria Math" panose="02040503050406030204" pitchFamily="18" charset="0"/>
                </a:rPr>
                <a:t>〖</a:t>
              </a:r>
              <a:r>
                <a:rPr lang="en-IN" sz="1050" i="0">
                  <a:latin typeface="Cambria Math" panose="02040503050406030204" pitchFamily="18" charset="0"/>
                </a:rPr>
                <a:t>𝑦</a:t>
              </a:r>
              <a:r>
                <a:rPr lang="en-US" sz="1050" b="0" i="0">
                  <a:latin typeface="Cambria Math" panose="02040503050406030204" pitchFamily="18" charset="0"/>
                </a:rPr>
                <a:t>..</a:t>
              </a:r>
              <a:r>
                <a:rPr lang="en-IN" sz="105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〗^</a:t>
              </a:r>
              <a:r>
                <a:rPr lang="en-IN" sz="1050" i="0">
                  <a:latin typeface="Cambria Math" panose="02040503050406030204" pitchFamily="18" charset="0"/>
                </a:rPr>
                <a:t>2</a:t>
              </a:r>
              <a:r>
                <a:rPr lang="en-IN" sz="105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IN" sz="1050" i="0">
                  <a:latin typeface="Cambria Math" panose="02040503050406030204" pitchFamily="18" charset="0"/>
                </a:rPr>
                <a:t>𝑎𝑛</a:t>
              </a:r>
              <a:endParaRPr lang="en-IN" sz="1200"/>
            </a:p>
          </xdr:txBody>
        </xdr:sp>
      </mc:Fallback>
    </mc:AlternateContent>
    <xdr:clientData/>
  </xdr:oneCellAnchor>
  <xdr:oneCellAnchor>
    <xdr:from>
      <xdr:col>3</xdr:col>
      <xdr:colOff>187023</xdr:colOff>
      <xdr:row>24</xdr:row>
      <xdr:rowOff>34198</xdr:rowOff>
    </xdr:from>
    <xdr:ext cx="2137077" cy="6516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65897AA-690D-4335-96FA-EB2C2F635137}"/>
                </a:ext>
              </a:extLst>
            </xdr:cNvPr>
            <xdr:cNvSpPr txBox="1"/>
          </xdr:nvSpPr>
          <xdr:spPr>
            <a:xfrm>
              <a:off x="2911173" y="5482498"/>
              <a:ext cx="2137077" cy="6516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𝑇𝑟𝑒𝑎𝑡𝑚𝑒𝑛𝑡𝑠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limLoc m:val="undOvr"/>
                        <m:grow m:val="on"/>
                        <m:ctrlPr>
                          <a:rPr lang="en-IN" sz="12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IN" sz="120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IN" sz="1200" i="0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IN" sz="1200" i="1">
                            <a:latin typeface="Cambria Math" panose="02040503050406030204" pitchFamily="18" charset="0"/>
                          </a:rPr>
                          <m:t>𝑎</m:t>
                        </m:r>
                      </m:sup>
                      <m:e>
                        <m:f>
                          <m:fPr>
                            <m:ctrlPr>
                              <a:rPr lang="en-IN" sz="12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IN" sz="12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IN" sz="120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IN" sz="120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n-IN" sz="1200" i="0">
                                    <a:latin typeface="Cambria Math" panose="02040503050406030204" pitchFamily="18" charset="0"/>
                                  </a:rPr>
                                  <m:t>⋅</m:t>
                                </m:r>
                              </m:sub>
                              <m:sup>
                                <m:r>
                                  <a:rPr lang="en-IN" sz="120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r>
                              <a:rPr lang="en-IN" sz="12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den>
                        </m:f>
                      </m:e>
                    </m:nary>
                    <m:r>
                      <a:rPr lang="en-IN" sz="1200" i="0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IN" sz="12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IN" sz="12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IN" sz="12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200" b="0" i="0">
                                <a:latin typeface="Cambria Math" panose="02040503050406030204" pitchFamily="18" charset="0"/>
                              </a:rPr>
                              <m:t>..</m:t>
                            </m:r>
                          </m:sub>
                          <m:sup>
                            <m:r>
                              <a:rPr lang="en-IN" sz="12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IN" sz="1200" i="1">
                            <a:latin typeface="Cambria Math" panose="02040503050406030204" pitchFamily="18" charset="0"/>
                          </a:rPr>
                          <m:t>𝑎𝑛</m:t>
                        </m:r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N" sz="105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65897AA-690D-4335-96FA-EB2C2F635137}"/>
                </a:ext>
              </a:extLst>
            </xdr:cNvPr>
            <xdr:cNvSpPr txBox="1"/>
          </xdr:nvSpPr>
          <xdr:spPr>
            <a:xfrm>
              <a:off x="2911173" y="5482498"/>
              <a:ext cx="2137077" cy="6516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𝑇𝑟𝑒𝑎𝑡𝑚𝑒𝑛𝑡𝑠=</a:t>
              </a:r>
              <a:r>
                <a:rPr lang="en-IN" sz="1200" i="0">
                  <a:latin typeface="Cambria Math" panose="02040503050406030204" pitchFamily="18" charset="0"/>
                </a:rPr>
                <a:t>∑129_(𝑖=1)^𝑎▒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IN" sz="1200" i="0">
                  <a:latin typeface="Cambria Math" panose="02040503050406030204" pitchFamily="18" charset="0"/>
                </a:rPr>
                <a:t>𝑦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</a:t>
              </a:r>
              <a:r>
                <a:rPr lang="en-IN" sz="1200" i="0">
                  <a:latin typeface="Cambria Math" panose="02040503050406030204" pitchFamily="18" charset="0"/>
                </a:rPr>
                <a:t>𝑖⋅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)^</a:t>
              </a:r>
              <a:r>
                <a:rPr lang="en-IN" sz="1200" i="0">
                  <a:latin typeface="Cambria Math" panose="02040503050406030204" pitchFamily="18" charset="0"/>
                </a:rPr>
                <a:t>2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IN" sz="1200" i="0">
                  <a:latin typeface="Cambria Math" panose="02040503050406030204" pitchFamily="18" charset="0"/>
                </a:rPr>
                <a:t>𝑛−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IN" sz="1200" i="0">
                  <a:latin typeface="Cambria Math" panose="02040503050406030204" pitchFamily="18" charset="0"/>
                </a:rPr>
                <a:t>𝑦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</a:t>
              </a:r>
              <a:r>
                <a:rPr lang="en-US" sz="1200" b="0" i="0">
                  <a:latin typeface="Cambria Math" panose="02040503050406030204" pitchFamily="18" charset="0"/>
                </a:rPr>
                <a:t>..</a:t>
              </a:r>
              <a:r>
                <a:rPr lang="en-IN" sz="12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sz="12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IN" sz="1200" i="0">
                  <a:latin typeface="Cambria Math" panose="02040503050406030204" pitchFamily="18" charset="0"/>
                </a:rPr>
                <a:t>2</a:t>
              </a:r>
              <a:r>
                <a:rPr lang="en-IN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IN" sz="1200" i="0">
                  <a:latin typeface="Cambria Math" panose="02040503050406030204" pitchFamily="18" charset="0"/>
                </a:rPr>
                <a:t>𝑎𝑛</a:t>
              </a:r>
              <a:r>
                <a:rPr lang="en-US" sz="1200" b="0" i="0">
                  <a:latin typeface="Cambria Math" panose="02040503050406030204" pitchFamily="18" charset="0"/>
                </a:rPr>
                <a:t>=</a:t>
              </a:r>
              <a:endParaRPr lang="en-IN" sz="1050"/>
            </a:p>
          </xdr:txBody>
        </xdr:sp>
      </mc:Fallback>
    </mc:AlternateContent>
    <xdr:clientData/>
  </xdr:oneCellAnchor>
  <xdr:oneCellAnchor>
    <xdr:from>
      <xdr:col>8</xdr:col>
      <xdr:colOff>76200</xdr:colOff>
      <xdr:row>24</xdr:row>
      <xdr:rowOff>76200</xdr:rowOff>
    </xdr:from>
    <xdr:ext cx="3067050" cy="5873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29B1BBA-1C35-429D-870B-8874BBFE8A3D}"/>
                </a:ext>
              </a:extLst>
            </xdr:cNvPr>
            <xdr:cNvSpPr txBox="1"/>
          </xdr:nvSpPr>
          <xdr:spPr>
            <a:xfrm>
              <a:off x="7038975" y="5524500"/>
              <a:ext cx="3067050" cy="5873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50" b="0" i="1">
                        <a:latin typeface="Cambria Math" panose="02040503050406030204" pitchFamily="18" charset="0"/>
                      </a:rPr>
                      <m:t>𝑤𝑖𝑡h𝑖𝑛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𝑠𝑢𝑏𝑗𝑒𝑐𝑡𝑠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limLoc m:val="undOvr"/>
                        <m:grow m:val="on"/>
                        <m:ctrlPr>
                          <a:rPr lang="en-IN" sz="105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IN" sz="105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IN" sz="1050" i="0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IN" sz="1050" i="1">
                            <a:latin typeface="Cambria Math" panose="02040503050406030204" pitchFamily="18" charset="0"/>
                          </a:rPr>
                          <m:t>𝑎</m:t>
                        </m:r>
                      </m:sup>
                      <m:e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IN" sz="105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bSup>
                              <m:sSubSupPr>
                                <m:ctrlP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  <m:t>𝑖𝑗</m:t>
                                </m:r>
                              </m:sub>
                              <m:sup>
                                <m: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nary>
                      </m:e>
                    </m:nary>
                    <m:r>
                      <a:rPr lang="en-IN" sz="1050" i="0">
                        <a:latin typeface="Cambria Math" panose="02040503050406030204" pitchFamily="18" charset="0"/>
                      </a:rPr>
                      <m:t>−</m:t>
                    </m:r>
                    <m:nary>
                      <m:naryPr>
                        <m:chr m:val="∑"/>
                        <m:limLoc m:val="undOvr"/>
                        <m:grow m:val="on"/>
                        <m:ctrlPr>
                          <a:rPr lang="en-IN" sz="105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IN" sz="105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IN" sz="1050" i="0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IN" sz="105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f>
                          <m:fPr>
                            <m:ctrlPr>
                              <a:rPr lang="en-IN" sz="105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IN" sz="105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IN" sz="105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050" b="0" i="0">
                                    <a:latin typeface="Cambria Math" panose="02040503050406030204" pitchFamily="18" charset="0"/>
                                  </a:rPr>
                                  <m:t>.</m:t>
                                </m:r>
                                <m:r>
                                  <a:rPr lang="en-IN" sz="105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  <m:sup>
                                <m:r>
                                  <a:rPr lang="en-IN" sz="105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r>
                              <a:rPr lang="en-IN" sz="105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den>
                        </m:f>
                      </m:e>
                    </m:nary>
                    <m:r>
                      <a:rPr lang="en-US" sz="105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N" sz="105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29B1BBA-1C35-429D-870B-8874BBFE8A3D}"/>
                </a:ext>
              </a:extLst>
            </xdr:cNvPr>
            <xdr:cNvSpPr txBox="1"/>
          </xdr:nvSpPr>
          <xdr:spPr>
            <a:xfrm>
              <a:off x="7038975" y="5524500"/>
              <a:ext cx="3067050" cy="5873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050" b="0" i="0">
                  <a:latin typeface="Cambria Math" panose="02040503050406030204" pitchFamily="18" charset="0"/>
                </a:rPr>
                <a:t>𝑤𝑖𝑡ℎ𝑖𝑛 𝑠𝑢𝑏𝑗𝑒𝑐𝑡𝑠=</a:t>
              </a:r>
              <a:r>
                <a:rPr lang="en-IN" sz="1050" i="0">
                  <a:latin typeface="Cambria Math" panose="02040503050406030204" pitchFamily="18" charset="0"/>
                </a:rPr>
                <a:t>∑129_(𝑖=1)^𝑎</a:t>
              </a:r>
              <a:r>
                <a:rPr lang="en-US" sz="1050" b="0" i="0">
                  <a:latin typeface="Cambria Math" panose="02040503050406030204" pitchFamily="18" charset="0"/>
                </a:rPr>
                <a:t>▒</a:t>
              </a:r>
              <a:r>
                <a:rPr lang="en-IN" sz="1050" b="0" i="0">
                  <a:latin typeface="Cambria Math" panose="02040503050406030204" pitchFamily="18" charset="0"/>
                </a:rPr>
                <a:t>∑</a:t>
              </a:r>
              <a:r>
                <a:rPr lang="en-US" sz="1050" b="0" i="0">
                  <a:latin typeface="Cambria Math" panose="02040503050406030204" pitchFamily="18" charset="0"/>
                </a:rPr>
                <a:t>▒𝑦_𝑖𝑗^2 </a:t>
              </a:r>
              <a:r>
                <a:rPr lang="en-IN" sz="1050" i="0">
                  <a:latin typeface="Cambria Math" panose="02040503050406030204" pitchFamily="18" charset="0"/>
                </a:rPr>
                <a:t>−∑129_(𝑗=1)^𝑛▒</a:t>
              </a:r>
              <a:r>
                <a:rPr lang="en-IN" sz="105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IN" sz="1050" i="0">
                  <a:latin typeface="Cambria Math" panose="02040503050406030204" pitchFamily="18" charset="0"/>
                </a:rPr>
                <a:t>𝑦</a:t>
              </a:r>
              <a:r>
                <a:rPr lang="en-IN" sz="105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</a:t>
              </a:r>
              <a:r>
                <a:rPr lang="en-US" sz="1050" b="0" i="0">
                  <a:latin typeface="Cambria Math" panose="02040503050406030204" pitchFamily="18" charset="0"/>
                </a:rPr>
                <a:t>.</a:t>
              </a:r>
              <a:r>
                <a:rPr lang="en-IN" sz="1050" i="0">
                  <a:latin typeface="Cambria Math" panose="02040503050406030204" pitchFamily="18" charset="0"/>
                </a:rPr>
                <a:t>𝑗</a:t>
              </a:r>
              <a:r>
                <a:rPr lang="en-IN" sz="105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)^</a:t>
              </a:r>
              <a:r>
                <a:rPr lang="en-IN" sz="1050" i="0">
                  <a:latin typeface="Cambria Math" panose="02040503050406030204" pitchFamily="18" charset="0"/>
                </a:rPr>
                <a:t>2</a:t>
              </a:r>
              <a:r>
                <a:rPr lang="en-IN" sz="105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IN" sz="1050" i="0">
                  <a:latin typeface="Cambria Math" panose="02040503050406030204" pitchFamily="18" charset="0"/>
                </a:rPr>
                <a:t>𝑎</a:t>
              </a:r>
              <a:r>
                <a:rPr lang="en-US" sz="1050" b="0" i="0">
                  <a:latin typeface="Cambria Math" panose="02040503050406030204" pitchFamily="18" charset="0"/>
                </a:rPr>
                <a:t>=</a:t>
              </a:r>
              <a:endParaRPr lang="en-IN" sz="105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F389-0CCC-4744-AB8C-7E97F5A544DC}">
  <dimension ref="A1:Q123"/>
  <sheetViews>
    <sheetView tabSelected="1" topLeftCell="A104" workbookViewId="0">
      <selection activeCell="F118" sqref="F118"/>
    </sheetView>
  </sheetViews>
  <sheetFormatPr defaultRowHeight="15" x14ac:dyDescent="0.25"/>
  <cols>
    <col min="1" max="1" width="12.140625" customWidth="1"/>
    <col min="2" max="2" width="18.140625" customWidth="1"/>
    <col min="3" max="3" width="15.7109375" customWidth="1"/>
    <col min="4" max="4" width="11.7109375" customWidth="1"/>
    <col min="5" max="8" width="10.140625" customWidth="1"/>
    <col min="9" max="9" width="13" customWidth="1"/>
    <col min="10" max="10" width="27.140625" customWidth="1"/>
    <col min="11" max="11" width="12.140625" customWidth="1"/>
    <col min="12" max="12" width="14.28515625" customWidth="1"/>
    <col min="13" max="13" width="10.85546875" customWidth="1"/>
    <col min="14" max="14" width="14.140625" customWidth="1"/>
  </cols>
  <sheetData>
    <row r="1" spans="1:14" ht="18.75" customHeight="1" x14ac:dyDescent="0.35">
      <c r="F1" s="180" t="s">
        <v>0</v>
      </c>
      <c r="G1" s="180"/>
      <c r="L1" s="1"/>
      <c r="M1" s="181"/>
      <c r="N1" s="181"/>
    </row>
    <row r="2" spans="1:14" ht="16.5" thickBot="1" x14ac:dyDescent="0.3">
      <c r="H2" s="2"/>
      <c r="I2" s="2"/>
      <c r="J2" s="2"/>
      <c r="K2" s="2"/>
      <c r="L2" s="2"/>
      <c r="M2" s="182"/>
      <c r="N2" s="182"/>
    </row>
    <row r="3" spans="1:14" ht="21.75" thickBot="1" x14ac:dyDescent="0.4">
      <c r="A3" s="109" t="s">
        <v>1</v>
      </c>
      <c r="B3" s="3" t="s">
        <v>2</v>
      </c>
      <c r="H3" s="1"/>
      <c r="I3" s="1"/>
    </row>
    <row r="5" spans="1:14" ht="15.75" thickBot="1" x14ac:dyDescent="0.3">
      <c r="C5" t="s">
        <v>3</v>
      </c>
      <c r="D5" t="s">
        <v>4</v>
      </c>
      <c r="E5" t="s">
        <v>5</v>
      </c>
      <c r="F5" t="s">
        <v>6</v>
      </c>
    </row>
    <row r="6" spans="1:14" ht="19.5" thickBot="1" x14ac:dyDescent="0.35">
      <c r="B6" s="183" t="s">
        <v>7</v>
      </c>
      <c r="C6" s="185" t="s">
        <v>8</v>
      </c>
      <c r="D6" s="186"/>
      <c r="E6" s="186"/>
      <c r="F6" s="187"/>
      <c r="K6" s="4"/>
      <c r="L6" s="4"/>
      <c r="M6" s="4"/>
    </row>
    <row r="7" spans="1:14" ht="19.5" thickBot="1" x14ac:dyDescent="0.35">
      <c r="B7" s="184"/>
      <c r="C7" s="110" t="s">
        <v>9</v>
      </c>
      <c r="D7" s="110" t="s">
        <v>10</v>
      </c>
      <c r="E7" s="110" t="s">
        <v>11</v>
      </c>
      <c r="F7" s="112" t="s">
        <v>12</v>
      </c>
      <c r="H7" s="4"/>
      <c r="I7" s="4"/>
      <c r="J7" s="4"/>
      <c r="K7" s="4"/>
      <c r="L7" s="4"/>
      <c r="M7" s="4"/>
    </row>
    <row r="8" spans="1:14" x14ac:dyDescent="0.25">
      <c r="B8" s="111" t="s">
        <v>13</v>
      </c>
      <c r="C8" s="113">
        <v>148</v>
      </c>
      <c r="D8" s="113">
        <v>169</v>
      </c>
      <c r="E8" s="113" t="s">
        <v>14</v>
      </c>
      <c r="F8" s="113">
        <v>177</v>
      </c>
      <c r="G8" s="114" t="s">
        <v>15</v>
      </c>
    </row>
    <row r="9" spans="1:14" x14ac:dyDescent="0.25">
      <c r="B9" s="115" t="s">
        <v>16</v>
      </c>
      <c r="C9" s="116">
        <v>157</v>
      </c>
      <c r="D9" s="116">
        <v>160</v>
      </c>
      <c r="E9" s="116">
        <v>206</v>
      </c>
      <c r="F9" s="116" t="s">
        <v>14</v>
      </c>
      <c r="G9" t="s">
        <v>17</v>
      </c>
    </row>
    <row r="10" spans="1:14" x14ac:dyDescent="0.25">
      <c r="B10" s="115" t="s">
        <v>18</v>
      </c>
      <c r="C10" s="116" t="s">
        <v>14</v>
      </c>
      <c r="D10" s="116">
        <v>190</v>
      </c>
      <c r="E10" s="116">
        <v>260</v>
      </c>
      <c r="F10" s="116">
        <v>217</v>
      </c>
      <c r="G10" t="s">
        <v>19</v>
      </c>
    </row>
    <row r="11" spans="1:14" ht="15.75" thickBot="1" x14ac:dyDescent="0.3">
      <c r="B11" s="117" t="s">
        <v>20</v>
      </c>
      <c r="C11" s="118">
        <v>204</v>
      </c>
      <c r="D11" s="118" t="s">
        <v>14</v>
      </c>
      <c r="E11" s="118">
        <v>256</v>
      </c>
      <c r="F11" s="118">
        <v>233</v>
      </c>
      <c r="G11" s="119" t="s">
        <v>21</v>
      </c>
    </row>
    <row r="12" spans="1:14" x14ac:dyDescent="0.25">
      <c r="B12" s="120"/>
      <c r="C12" s="120"/>
      <c r="D12" s="120"/>
      <c r="E12" s="120"/>
      <c r="F12" s="120"/>
    </row>
    <row r="13" spans="1:14" x14ac:dyDescent="0.25">
      <c r="A13" s="121" t="s">
        <v>22</v>
      </c>
    </row>
    <row r="14" spans="1:14" ht="18.75" x14ac:dyDescent="0.3">
      <c r="B14" s="4" t="s">
        <v>23</v>
      </c>
      <c r="C14" s="4"/>
      <c r="D14" s="4"/>
      <c r="E14" s="4"/>
      <c r="F14" s="4"/>
      <c r="G14" s="4"/>
      <c r="H14" s="4"/>
      <c r="I14" s="4"/>
      <c r="J14" s="4"/>
      <c r="K14" s="4"/>
    </row>
    <row r="15" spans="1:14" ht="18.75" x14ac:dyDescent="0.3">
      <c r="B15" s="5" t="s">
        <v>24</v>
      </c>
      <c r="C15" s="5">
        <v>4</v>
      </c>
      <c r="D15" s="5" t="s">
        <v>25</v>
      </c>
      <c r="E15" s="5">
        <v>3</v>
      </c>
      <c r="G15" s="6" t="s">
        <v>26</v>
      </c>
      <c r="H15" s="7"/>
      <c r="I15" s="7"/>
      <c r="J15" s="7"/>
      <c r="K15" s="7"/>
      <c r="L15" s="8"/>
    </row>
    <row r="16" spans="1:14" ht="18.75" x14ac:dyDescent="0.3">
      <c r="B16" s="5" t="s">
        <v>27</v>
      </c>
      <c r="C16" s="5">
        <v>4</v>
      </c>
      <c r="D16" s="9" t="s">
        <v>28</v>
      </c>
      <c r="E16" s="5">
        <v>2</v>
      </c>
      <c r="G16" s="10" t="s">
        <v>29</v>
      </c>
      <c r="H16" s="4"/>
      <c r="I16" s="4"/>
      <c r="J16" s="4"/>
      <c r="K16" s="4"/>
      <c r="L16" s="11"/>
    </row>
    <row r="17" spans="2:15" ht="18.75" x14ac:dyDescent="0.3">
      <c r="B17" s="5" t="s">
        <v>30</v>
      </c>
      <c r="C17" s="5">
        <v>3</v>
      </c>
      <c r="D17" s="4"/>
      <c r="E17" s="4"/>
      <c r="G17" s="12" t="s">
        <v>31</v>
      </c>
      <c r="H17" s="13"/>
      <c r="I17" s="13"/>
      <c r="J17" s="13"/>
      <c r="K17" s="13"/>
      <c r="L17" s="14"/>
    </row>
    <row r="19" spans="2:15" ht="18.75" x14ac:dyDescent="0.3">
      <c r="B19" s="4" t="s">
        <v>32</v>
      </c>
      <c r="C19" s="4"/>
      <c r="D19" s="4"/>
    </row>
    <row r="21" spans="2:15" ht="18.75" x14ac:dyDescent="0.3">
      <c r="B21" s="5">
        <v>1</v>
      </c>
      <c r="C21" s="174" t="s">
        <v>33</v>
      </c>
      <c r="D21" s="174"/>
      <c r="E21" s="174"/>
      <c r="F21" s="5">
        <f>C15*C17</f>
        <v>12</v>
      </c>
      <c r="G21" s="5">
        <f>C16*E15</f>
        <v>12</v>
      </c>
    </row>
    <row r="22" spans="2:15" ht="18.75" x14ac:dyDescent="0.3">
      <c r="B22" s="5">
        <v>2</v>
      </c>
      <c r="C22" s="174" t="s">
        <v>34</v>
      </c>
      <c r="D22" s="174"/>
      <c r="E22" s="174"/>
      <c r="F22" s="5">
        <f>E15*(C17-1)</f>
        <v>6</v>
      </c>
      <c r="G22" s="5">
        <f>E16*(C16-1)</f>
        <v>6</v>
      </c>
    </row>
    <row r="23" spans="2:15" ht="18.75" x14ac:dyDescent="0.3">
      <c r="B23" s="5">
        <v>3</v>
      </c>
      <c r="C23" s="174" t="s">
        <v>35</v>
      </c>
      <c r="D23" s="174"/>
      <c r="E23" s="174"/>
      <c r="F23" s="5">
        <f>C15</f>
        <v>4</v>
      </c>
      <c r="G23" s="5">
        <f>C16</f>
        <v>4</v>
      </c>
    </row>
    <row r="24" spans="2:15" ht="18.75" x14ac:dyDescent="0.3">
      <c r="B24" s="15"/>
      <c r="C24" s="15"/>
      <c r="D24" s="15"/>
      <c r="E24" s="15"/>
      <c r="F24" s="15"/>
      <c r="G24" s="15"/>
    </row>
    <row r="25" spans="2:15" x14ac:dyDescent="0.25">
      <c r="B25" t="s">
        <v>36</v>
      </c>
    </row>
    <row r="26" spans="2:15" ht="15.75" x14ac:dyDescent="0.25">
      <c r="B26" s="44" t="s">
        <v>37</v>
      </c>
      <c r="C26" s="44"/>
      <c r="D26" s="44"/>
      <c r="E26" s="44"/>
      <c r="F26" s="44"/>
      <c r="G26" s="44"/>
    </row>
    <row r="28" spans="2:15" x14ac:dyDescent="0.25">
      <c r="B28" s="175" t="s">
        <v>7</v>
      </c>
      <c r="C28" s="175"/>
      <c r="D28" s="122" t="s">
        <v>13</v>
      </c>
      <c r="E28" s="122" t="s">
        <v>16</v>
      </c>
      <c r="F28" s="122" t="s">
        <v>18</v>
      </c>
      <c r="G28" s="122" t="s">
        <v>20</v>
      </c>
      <c r="H28" s="122" t="s">
        <v>38</v>
      </c>
      <c r="I28" s="122" t="s">
        <v>39</v>
      </c>
      <c r="J28" s="122" t="s">
        <v>40</v>
      </c>
      <c r="K28" s="122" t="s">
        <v>41</v>
      </c>
      <c r="L28" s="122" t="s">
        <v>42</v>
      </c>
      <c r="O28" s="123"/>
    </row>
    <row r="29" spans="2:15" ht="15.75" customHeight="1" x14ac:dyDescent="0.25">
      <c r="B29" s="176" t="s">
        <v>8</v>
      </c>
      <c r="C29" s="122" t="s">
        <v>9</v>
      </c>
      <c r="D29" s="16">
        <v>148</v>
      </c>
      <c r="E29" s="16">
        <v>157</v>
      </c>
      <c r="F29" s="16" t="s">
        <v>14</v>
      </c>
      <c r="G29" s="16">
        <v>204</v>
      </c>
      <c r="H29" s="16">
        <f>SUM(D29:G29)</f>
        <v>509</v>
      </c>
      <c r="I29" s="16">
        <f t="array" ref="I29">D33+E33+G33</f>
        <v>1710</v>
      </c>
      <c r="J29" s="16">
        <f>((3*H29)-I29)</f>
        <v>-183</v>
      </c>
      <c r="K29" s="121">
        <f>H29^2</f>
        <v>259081</v>
      </c>
      <c r="L29" s="121">
        <f>J29^2</f>
        <v>33489</v>
      </c>
    </row>
    <row r="30" spans="2:15" ht="14.25" customHeight="1" x14ac:dyDescent="0.25">
      <c r="B30" s="176"/>
      <c r="C30" s="122" t="s">
        <v>10</v>
      </c>
      <c r="D30" s="16">
        <v>169</v>
      </c>
      <c r="E30" s="16">
        <v>160</v>
      </c>
      <c r="F30" s="16">
        <v>190</v>
      </c>
      <c r="G30" s="16" t="s">
        <v>14</v>
      </c>
      <c r="H30" s="16">
        <f>SUM(D30:G30)</f>
        <v>519</v>
      </c>
      <c r="I30" s="16">
        <f>D33+E33+F33</f>
        <v>1684</v>
      </c>
      <c r="J30" s="16">
        <f t="shared" ref="J30:J31" si="0">((3*H30)-I30)</f>
        <v>-127</v>
      </c>
      <c r="K30" s="121">
        <f t="shared" ref="K30:K31" si="1">H30^2</f>
        <v>269361</v>
      </c>
      <c r="L30" s="121">
        <f t="shared" ref="L30:L32" si="2">J30^2</f>
        <v>16129</v>
      </c>
    </row>
    <row r="31" spans="2:15" x14ac:dyDescent="0.25">
      <c r="B31" s="176"/>
      <c r="C31" s="122" t="s">
        <v>11</v>
      </c>
      <c r="D31" s="16" t="s">
        <v>14</v>
      </c>
      <c r="E31" s="16">
        <v>206</v>
      </c>
      <c r="F31" s="16">
        <v>260</v>
      </c>
      <c r="G31" s="16">
        <v>256</v>
      </c>
      <c r="H31" s="16">
        <f>SUM(D31:G31)</f>
        <v>722</v>
      </c>
      <c r="I31" s="16">
        <f>E33+F33+G33</f>
        <v>1883</v>
      </c>
      <c r="J31" s="16">
        <f t="shared" si="0"/>
        <v>283</v>
      </c>
      <c r="K31" s="121">
        <f t="shared" si="1"/>
        <v>521284</v>
      </c>
      <c r="L31" s="121">
        <f t="shared" si="2"/>
        <v>80089</v>
      </c>
    </row>
    <row r="32" spans="2:15" x14ac:dyDescent="0.25">
      <c r="B32" s="176"/>
      <c r="C32" s="122" t="s">
        <v>12</v>
      </c>
      <c r="D32" s="16">
        <v>177</v>
      </c>
      <c r="E32" s="16" t="s">
        <v>14</v>
      </c>
      <c r="F32" s="16">
        <v>217</v>
      </c>
      <c r="G32" s="16">
        <v>233</v>
      </c>
      <c r="H32" s="16">
        <f>SUM(D32:G32)</f>
        <v>627</v>
      </c>
      <c r="I32" s="16">
        <f>D33+F33+G33</f>
        <v>1854</v>
      </c>
      <c r="J32" s="16">
        <f>((3*H32)-I32)</f>
        <v>27</v>
      </c>
      <c r="K32" s="121">
        <f>H32^2</f>
        <v>393129</v>
      </c>
      <c r="L32" s="121">
        <f t="shared" si="2"/>
        <v>729</v>
      </c>
    </row>
    <row r="33" spans="1:12" x14ac:dyDescent="0.25">
      <c r="C33" s="121" t="s">
        <v>43</v>
      </c>
      <c r="D33" s="17">
        <f t="array" ref="D33">SUM(D29:D32)</f>
        <v>494</v>
      </c>
      <c r="E33" s="17">
        <f t="shared" ref="E33:F33" si="3">SUM(E29:E32)</f>
        <v>523</v>
      </c>
      <c r="F33" s="17">
        <f t="shared" si="3"/>
        <v>667</v>
      </c>
      <c r="G33" s="17">
        <f>SUM(G29:G32)</f>
        <v>693</v>
      </c>
      <c r="H33" s="18">
        <f>SUM(H29:H32)</f>
        <v>2377</v>
      </c>
      <c r="I33" s="19"/>
      <c r="J33" s="18">
        <f>SUM(J29:J32)</f>
        <v>0</v>
      </c>
      <c r="K33" s="124"/>
      <c r="L33" s="124"/>
    </row>
    <row r="34" spans="1:12" x14ac:dyDescent="0.25">
      <c r="C34" s="121" t="s">
        <v>44</v>
      </c>
      <c r="D34" s="121">
        <f>D33^2</f>
        <v>244036</v>
      </c>
      <c r="E34" s="121">
        <f>E33^2</f>
        <v>273529</v>
      </c>
      <c r="F34" s="121">
        <f>F33^2</f>
        <v>444889</v>
      </c>
      <c r="G34" s="121">
        <f>G33^2</f>
        <v>480249</v>
      </c>
      <c r="H34" s="20"/>
      <c r="I34" s="21"/>
      <c r="J34" s="20"/>
    </row>
    <row r="35" spans="1:12" x14ac:dyDescent="0.25">
      <c r="H35" s="20"/>
      <c r="I35" s="21"/>
      <c r="J35" s="20"/>
    </row>
    <row r="36" spans="1:12" ht="18.75" x14ac:dyDescent="0.3">
      <c r="B36" s="4" t="s">
        <v>45</v>
      </c>
      <c r="C36" s="4"/>
      <c r="D36" s="4"/>
      <c r="E36" s="4"/>
      <c r="F36" s="125"/>
      <c r="G36" s="120"/>
      <c r="H36" s="21"/>
      <c r="I36" s="21"/>
      <c r="J36" s="21"/>
    </row>
    <row r="37" spans="1:12" ht="18.75" x14ac:dyDescent="0.3">
      <c r="B37" s="4" t="s">
        <v>46</v>
      </c>
      <c r="C37" s="4"/>
      <c r="D37" s="4"/>
      <c r="E37" s="4"/>
      <c r="H37" s="21"/>
      <c r="I37" s="21"/>
    </row>
    <row r="39" spans="1:12" ht="18.75" x14ac:dyDescent="0.3">
      <c r="B39" s="4"/>
      <c r="C39" s="4"/>
      <c r="D39" s="4"/>
      <c r="E39" s="4"/>
    </row>
    <row r="40" spans="1:12" x14ac:dyDescent="0.25">
      <c r="A40" s="120"/>
      <c r="B40" s="120"/>
      <c r="C40" s="120"/>
      <c r="D40" s="120"/>
    </row>
    <row r="41" spans="1:12" ht="16.5" thickBot="1" x14ac:dyDescent="0.3">
      <c r="B41" s="177" t="s">
        <v>47</v>
      </c>
      <c r="C41" s="177"/>
    </row>
    <row r="42" spans="1:12" ht="16.5" thickTop="1" thickBot="1" x14ac:dyDescent="0.3"/>
    <row r="43" spans="1:12" ht="15.75" thickBot="1" x14ac:dyDescent="0.3">
      <c r="B43" s="126" t="s">
        <v>48</v>
      </c>
      <c r="C43" s="127" t="s">
        <v>49</v>
      </c>
      <c r="D43" s="128" t="s">
        <v>50</v>
      </c>
      <c r="E43" s="129"/>
      <c r="F43" s="130" t="s">
        <v>49</v>
      </c>
      <c r="G43" s="178" t="s">
        <v>48</v>
      </c>
      <c r="H43" s="179"/>
    </row>
    <row r="44" spans="1:12" ht="15.75" x14ac:dyDescent="0.25">
      <c r="B44" s="113" t="s">
        <v>51</v>
      </c>
      <c r="C44" s="22">
        <f t="array" ref="C44">((1/3)*(D33^2+E33^2+F33^2+G33^2))-((H33^2)/(12))</f>
        <v>10056.916666666686</v>
      </c>
      <c r="D44" s="131" t="s">
        <v>52</v>
      </c>
      <c r="E44" s="23">
        <f>C15-1</f>
        <v>3</v>
      </c>
      <c r="F44" s="22">
        <f>F47-F46-F45</f>
        <v>5384.1666666667043</v>
      </c>
      <c r="G44" s="168" t="s">
        <v>53</v>
      </c>
      <c r="H44" s="169"/>
    </row>
    <row r="45" spans="1:12" ht="15.75" x14ac:dyDescent="0.25">
      <c r="B45" s="116" t="s">
        <v>54</v>
      </c>
      <c r="C45" s="24">
        <f>(1/(3*2*4))*(J29^2+J30^2+J31^2+J32^2)</f>
        <v>5434.833333333333</v>
      </c>
      <c r="D45" s="132" t="s">
        <v>55</v>
      </c>
      <c r="E45" s="25">
        <f>C16-1</f>
        <v>3</v>
      </c>
      <c r="F45" s="24">
        <f>((1/3)*(H29^2+H30^2+H31^2+H32^2))-((H33^2)/(12))</f>
        <v>10107.583333333314</v>
      </c>
      <c r="G45" s="170" t="s">
        <v>56</v>
      </c>
      <c r="H45" s="171"/>
    </row>
    <row r="46" spans="1:12" ht="15.75" x14ac:dyDescent="0.25">
      <c r="B46" s="116" t="s">
        <v>57</v>
      </c>
      <c r="C46" s="24">
        <f>C47-C45-C44</f>
        <v>373.16666666666788</v>
      </c>
      <c r="D46" s="132" t="s">
        <v>58</v>
      </c>
      <c r="E46" s="25">
        <f>(12-4-4+1)</f>
        <v>5</v>
      </c>
      <c r="F46" s="24">
        <f>C47-C45-C44</f>
        <v>373.16666666666788</v>
      </c>
      <c r="G46" s="170" t="s">
        <v>57</v>
      </c>
      <c r="H46" s="171"/>
    </row>
    <row r="47" spans="1:12" ht="16.5" thickBot="1" x14ac:dyDescent="0.3">
      <c r="B47" s="118" t="s">
        <v>59</v>
      </c>
      <c r="C47" s="26">
        <f>(D29^2+E29^2+F32^2+D30^2+E30^2+D32^2+G29^2+E31^2+F30^2+G31^2+G32^2+F31^2)-((H33^2)/(12))</f>
        <v>15864.916666666686</v>
      </c>
      <c r="D47" s="133" t="s">
        <v>60</v>
      </c>
      <c r="E47" s="27">
        <f>(12-1)</f>
        <v>11</v>
      </c>
      <c r="F47" s="26">
        <f>(D29^2+E29^2+F32^2+D30^2+E30^2+D32^2+G29^2+E31^2+F30^2+G31^2+G32^2+F31^2)-((H33^2)/(12))</f>
        <v>15864.916666666686</v>
      </c>
      <c r="G47" s="172" t="s">
        <v>59</v>
      </c>
      <c r="H47" s="173"/>
    </row>
    <row r="48" spans="1:12" ht="15.75" x14ac:dyDescent="0.25">
      <c r="B48" s="120"/>
      <c r="C48" s="28"/>
      <c r="D48" s="120"/>
      <c r="E48" s="28"/>
      <c r="F48" s="28"/>
      <c r="G48" s="120"/>
      <c r="H48" s="120"/>
    </row>
    <row r="49" spans="3:17" x14ac:dyDescent="0.25">
      <c r="C49" s="164"/>
      <c r="D49" s="164"/>
    </row>
    <row r="50" spans="3:17" x14ac:dyDescent="0.25">
      <c r="C50" s="164"/>
      <c r="D50" s="164"/>
      <c r="E50">
        <f>(H33^2)/(4*3)</f>
        <v>470844.08333333331</v>
      </c>
    </row>
    <row r="51" spans="3:17" x14ac:dyDescent="0.25">
      <c r="C51" s="164"/>
      <c r="D51" s="164"/>
    </row>
    <row r="52" spans="3:17" x14ac:dyDescent="0.25">
      <c r="C52" s="134"/>
      <c r="D52" s="134"/>
    </row>
    <row r="53" spans="3:17" ht="15.75" thickBot="1" x14ac:dyDescent="0.3">
      <c r="C53" s="164"/>
      <c r="D53" s="164"/>
      <c r="E53" s="164"/>
    </row>
    <row r="54" spans="3:17" x14ac:dyDescent="0.25">
      <c r="C54" s="164"/>
      <c r="D54" s="164"/>
      <c r="E54" s="164"/>
      <c r="F54">
        <f>(1/3)*SUM(D34:G34)-E50</f>
        <v>10056.916666666686</v>
      </c>
      <c r="M54" s="130" t="s">
        <v>61</v>
      </c>
      <c r="N54" s="135" t="s">
        <v>62</v>
      </c>
      <c r="O54" s="135"/>
      <c r="P54" s="135"/>
      <c r="Q54" s="136"/>
    </row>
    <row r="55" spans="3:17" x14ac:dyDescent="0.25">
      <c r="C55" s="164"/>
      <c r="D55" s="164"/>
      <c r="E55" s="164"/>
      <c r="M55" s="115" t="s">
        <v>63</v>
      </c>
      <c r="N55" s="137" t="s">
        <v>64</v>
      </c>
      <c r="O55" s="137"/>
      <c r="Q55" s="138"/>
    </row>
    <row r="56" spans="3:17" x14ac:dyDescent="0.25">
      <c r="C56" s="134"/>
      <c r="D56" s="134"/>
      <c r="E56" s="134"/>
      <c r="M56" s="139" t="s">
        <v>65</v>
      </c>
      <c r="N56" t="s">
        <v>66</v>
      </c>
      <c r="Q56" s="138"/>
    </row>
    <row r="57" spans="3:17" x14ac:dyDescent="0.25">
      <c r="C57" s="164"/>
      <c r="D57" s="164"/>
      <c r="E57" s="164"/>
      <c r="H57" s="164"/>
      <c r="I57" s="164"/>
      <c r="J57" s="164"/>
      <c r="M57" s="139" t="s">
        <v>67</v>
      </c>
      <c r="N57" t="s">
        <v>68</v>
      </c>
      <c r="Q57" s="138"/>
    </row>
    <row r="58" spans="3:17" x14ac:dyDescent="0.25">
      <c r="C58" s="164"/>
      <c r="D58" s="164"/>
      <c r="E58" s="164"/>
      <c r="F58">
        <f>(1/3)*SUM(K29:K32)-E50</f>
        <v>10107.583333333314</v>
      </c>
      <c r="H58" s="164"/>
      <c r="I58" s="164"/>
      <c r="J58" s="164"/>
      <c r="K58">
        <f>(1/(3*4*2))*SUM(L29:L32)</f>
        <v>5434.833333333333</v>
      </c>
      <c r="M58" s="29" t="s">
        <v>69</v>
      </c>
      <c r="N58" s="166" t="s">
        <v>70</v>
      </c>
      <c r="O58" s="166"/>
      <c r="Q58" s="138"/>
    </row>
    <row r="59" spans="3:17" x14ac:dyDescent="0.25">
      <c r="C59" s="164"/>
      <c r="D59" s="164"/>
      <c r="E59" s="164"/>
      <c r="H59" s="164"/>
      <c r="I59" s="164"/>
      <c r="J59" s="164"/>
      <c r="M59" s="140"/>
      <c r="N59" s="166"/>
      <c r="O59" s="166"/>
      <c r="Q59" s="138"/>
    </row>
    <row r="60" spans="3:17" ht="15.75" thickBot="1" x14ac:dyDescent="0.3">
      <c r="C60" s="134"/>
      <c r="D60" s="134"/>
      <c r="E60" s="134"/>
      <c r="M60" s="141"/>
      <c r="N60" s="167"/>
      <c r="O60" s="167"/>
      <c r="P60" s="142"/>
      <c r="Q60" s="143"/>
    </row>
    <row r="61" spans="3:17" x14ac:dyDescent="0.25">
      <c r="C61" s="164"/>
      <c r="D61" s="164"/>
      <c r="E61" s="164"/>
    </row>
    <row r="62" spans="3:17" x14ac:dyDescent="0.25">
      <c r="C62" s="164"/>
      <c r="D62" s="164"/>
      <c r="E62" s="164"/>
      <c r="F62">
        <f>SUMSQ(D29:G32)-E50</f>
        <v>15864.916666666686</v>
      </c>
    </row>
    <row r="63" spans="3:17" x14ac:dyDescent="0.25">
      <c r="C63" s="164"/>
      <c r="D63" s="164"/>
      <c r="E63" s="164"/>
    </row>
    <row r="64" spans="3:17" x14ac:dyDescent="0.25">
      <c r="C64" s="134"/>
      <c r="D64" s="134"/>
      <c r="E64" s="134"/>
    </row>
    <row r="65" spans="2:12" ht="18" customHeight="1" x14ac:dyDescent="0.25">
      <c r="B65" t="s">
        <v>71</v>
      </c>
    </row>
    <row r="66" spans="2:12" ht="17.25" customHeight="1" x14ac:dyDescent="0.25">
      <c r="B66" t="s">
        <v>72</v>
      </c>
    </row>
    <row r="67" spans="2:12" ht="17.25" customHeight="1" x14ac:dyDescent="0.25">
      <c r="B67" t="s">
        <v>73</v>
      </c>
    </row>
    <row r="68" spans="2:12" ht="18" customHeight="1" x14ac:dyDescent="0.25">
      <c r="B68" t="s">
        <v>74</v>
      </c>
    </row>
    <row r="69" spans="2:12" ht="29.25" customHeight="1" x14ac:dyDescent="0.25">
      <c r="C69" s="164"/>
      <c r="D69" s="164"/>
    </row>
    <row r="70" spans="2:12" ht="29.25" customHeight="1" x14ac:dyDescent="0.25">
      <c r="B70" s="165" t="s">
        <v>75</v>
      </c>
      <c r="C70" s="164"/>
      <c r="D70" s="164"/>
      <c r="E70" s="165">
        <f>(C45/E45)/(C46/E46)</f>
        <v>24.273485186839281</v>
      </c>
      <c r="F70" s="120"/>
      <c r="L70" s="120"/>
    </row>
    <row r="71" spans="2:12" x14ac:dyDescent="0.25">
      <c r="B71" s="165"/>
      <c r="C71" s="164"/>
      <c r="D71" s="164"/>
      <c r="E71" s="165"/>
      <c r="F71" s="120"/>
      <c r="L71" s="120"/>
    </row>
    <row r="72" spans="2:12" x14ac:dyDescent="0.25">
      <c r="C72" s="164"/>
      <c r="D72" s="164"/>
    </row>
    <row r="74" spans="2:12" x14ac:dyDescent="0.25">
      <c r="B74" s="134" t="s">
        <v>76</v>
      </c>
      <c r="C74" s="134">
        <f>_xlfn.F.INV.RT(0.05,3,5)</f>
        <v>5.4094513180564894</v>
      </c>
    </row>
    <row r="76" spans="2:12" x14ac:dyDescent="0.25">
      <c r="B76" t="s">
        <v>77</v>
      </c>
    </row>
    <row r="79" spans="2:12" x14ac:dyDescent="0.25">
      <c r="B79" t="s">
        <v>78</v>
      </c>
    </row>
    <row r="80" spans="2:12" x14ac:dyDescent="0.25">
      <c r="B80" t="s">
        <v>79</v>
      </c>
    </row>
    <row r="81" spans="1:6" x14ac:dyDescent="0.25">
      <c r="B81" t="s">
        <v>80</v>
      </c>
    </row>
    <row r="82" spans="1:6" x14ac:dyDescent="0.25">
      <c r="B82" t="s">
        <v>81</v>
      </c>
    </row>
    <row r="83" spans="1:6" x14ac:dyDescent="0.25">
      <c r="C83" s="164"/>
      <c r="D83" s="164"/>
    </row>
    <row r="84" spans="1:6" ht="15" customHeight="1" x14ac:dyDescent="0.25">
      <c r="B84" s="165" t="s">
        <v>75</v>
      </c>
      <c r="C84" s="164"/>
      <c r="D84" s="164"/>
      <c r="E84" s="165">
        <f>((F44/E44)/(F46/E46))</f>
        <v>24.047193687658268</v>
      </c>
    </row>
    <row r="85" spans="1:6" x14ac:dyDescent="0.25">
      <c r="B85" s="165"/>
      <c r="C85" s="164"/>
      <c r="D85" s="164"/>
      <c r="E85" s="165"/>
    </row>
    <row r="86" spans="1:6" x14ac:dyDescent="0.25">
      <c r="C86" s="164"/>
      <c r="D86" s="164"/>
    </row>
    <row r="87" spans="1:6" x14ac:dyDescent="0.25">
      <c r="F87" s="137"/>
    </row>
    <row r="88" spans="1:6" x14ac:dyDescent="0.25">
      <c r="B88" t="s">
        <v>76</v>
      </c>
      <c r="C88">
        <f>_xlfn.F.INV.RT(0.05,3,5)</f>
        <v>5.4094513180564894</v>
      </c>
    </row>
    <row r="90" spans="1:6" x14ac:dyDescent="0.25">
      <c r="B90" t="s">
        <v>82</v>
      </c>
    </row>
    <row r="92" spans="1:6" ht="15.75" thickBot="1" x14ac:dyDescent="0.3"/>
    <row r="93" spans="1:6" ht="16.5" thickBot="1" x14ac:dyDescent="0.3">
      <c r="A93" s="144" t="s">
        <v>83</v>
      </c>
      <c r="B93" s="145" t="s">
        <v>84</v>
      </c>
      <c r="C93" s="145"/>
    </row>
    <row r="94" spans="1:6" ht="15.75" x14ac:dyDescent="0.25">
      <c r="B94" s="145"/>
      <c r="C94" s="145"/>
    </row>
    <row r="95" spans="1:6" ht="15.75" x14ac:dyDescent="0.25">
      <c r="B95" s="145"/>
      <c r="C95" s="44" t="s">
        <v>85</v>
      </c>
    </row>
    <row r="96" spans="1:6" ht="15.75" x14ac:dyDescent="0.25">
      <c r="B96" s="145"/>
      <c r="C96" s="44"/>
    </row>
    <row r="97" spans="2:12" x14ac:dyDescent="0.25">
      <c r="C97" s="163"/>
      <c r="D97" s="163"/>
    </row>
    <row r="98" spans="2:12" x14ac:dyDescent="0.25">
      <c r="C98" s="163"/>
      <c r="D98" s="163"/>
      <c r="E98" s="134">
        <f>1/(F46/5)</f>
        <v>1.3398838767306789E-2</v>
      </c>
    </row>
    <row r="99" spans="2:12" x14ac:dyDescent="0.25">
      <c r="E99" s="134" t="s">
        <v>86</v>
      </c>
    </row>
    <row r="100" spans="2:12" x14ac:dyDescent="0.25">
      <c r="B100" s="163"/>
      <c r="C100" s="163"/>
      <c r="D100" s="163"/>
      <c r="E100" s="134">
        <f>((C15*C17)-C16)/((C17*3*(F44/3))-(1*(F46/5)))</f>
        <v>4.9757845153585529E-4</v>
      </c>
    </row>
    <row r="101" spans="2:12" x14ac:dyDescent="0.25">
      <c r="B101" s="163"/>
      <c r="C101" s="163"/>
      <c r="D101" s="163"/>
      <c r="E101" s="134"/>
    </row>
    <row r="102" spans="2:12" x14ac:dyDescent="0.25">
      <c r="E102" s="134"/>
    </row>
    <row r="103" spans="2:12" x14ac:dyDescent="0.25">
      <c r="B103" s="163"/>
      <c r="C103" s="163"/>
      <c r="D103" s="163"/>
      <c r="E103" s="134">
        <f>(E98-E100)/((8*E98)+(E100))</f>
        <v>0.1198018882525925</v>
      </c>
    </row>
    <row r="104" spans="2:12" x14ac:dyDescent="0.25">
      <c r="B104" s="163"/>
      <c r="C104" s="163"/>
      <c r="D104" s="163"/>
    </row>
    <row r="106" spans="2:12" x14ac:dyDescent="0.25">
      <c r="B106" s="121" t="s">
        <v>87</v>
      </c>
      <c r="C106" s="121" t="s">
        <v>13</v>
      </c>
      <c r="D106" s="121" t="s">
        <v>16</v>
      </c>
      <c r="E106" s="121" t="s">
        <v>18</v>
      </c>
      <c r="F106" s="121" t="s">
        <v>20</v>
      </c>
      <c r="G106" s="121" t="s">
        <v>88</v>
      </c>
      <c r="H106" s="121" t="s">
        <v>41</v>
      </c>
      <c r="I106" s="121" t="s">
        <v>89</v>
      </c>
      <c r="J106" s="121" t="s">
        <v>90</v>
      </c>
      <c r="K106" s="121"/>
      <c r="L106" s="121"/>
    </row>
    <row r="107" spans="2:12" x14ac:dyDescent="0.25">
      <c r="B107" s="121" t="s">
        <v>9</v>
      </c>
      <c r="C107" s="121">
        <v>148</v>
      </c>
      <c r="D107" s="121">
        <v>157</v>
      </c>
      <c r="E107" s="121"/>
      <c r="F107" s="121">
        <v>204</v>
      </c>
      <c r="G107" s="121">
        <f>SUM(C107:F107)</f>
        <v>509</v>
      </c>
      <c r="H107" s="121">
        <f>G107^2</f>
        <v>259081</v>
      </c>
      <c r="I107" s="121">
        <f>C111+D111+F111</f>
        <v>1710</v>
      </c>
      <c r="J107" s="121">
        <f>G107-(3*I107)+(2*$H$33)</f>
        <v>133</v>
      </c>
      <c r="K107" s="121">
        <f>G107+($E$103*J107)</f>
        <v>524.93365113759478</v>
      </c>
      <c r="L107" s="121">
        <f>K107^2</f>
        <v>275555.33809664607</v>
      </c>
    </row>
    <row r="108" spans="2:12" x14ac:dyDescent="0.25">
      <c r="B108" s="121" t="s">
        <v>10</v>
      </c>
      <c r="C108" s="121">
        <v>169</v>
      </c>
      <c r="D108" s="121">
        <v>160</v>
      </c>
      <c r="E108" s="121">
        <v>190</v>
      </c>
      <c r="F108" s="121"/>
      <c r="G108" s="121">
        <f t="shared" ref="G108:G110" si="4">SUM(C108:F108)</f>
        <v>519</v>
      </c>
      <c r="H108" s="121">
        <v>0</v>
      </c>
      <c r="I108" s="121">
        <f>C111+D111+E111</f>
        <v>1684</v>
      </c>
      <c r="J108" s="121">
        <f t="shared" ref="J108:J110" si="5">G108-(3*I108)+(2*$H$33)</f>
        <v>221</v>
      </c>
      <c r="K108" s="121">
        <f t="shared" ref="K108:K110" si="6">G108+($E$103*J108)</f>
        <v>545.47621730382298</v>
      </c>
      <c r="L108" s="121">
        <f t="shared" ref="L108:L110" si="7">K108^2</f>
        <v>297544.30364408751</v>
      </c>
    </row>
    <row r="109" spans="2:12" x14ac:dyDescent="0.25">
      <c r="B109" s="121" t="s">
        <v>11</v>
      </c>
      <c r="C109" s="121"/>
      <c r="D109" s="121">
        <v>206</v>
      </c>
      <c r="E109" s="121">
        <v>260</v>
      </c>
      <c r="F109" s="121">
        <v>256</v>
      </c>
      <c r="G109" s="121">
        <f t="shared" si="4"/>
        <v>722</v>
      </c>
      <c r="H109" s="121">
        <f t="shared" ref="H109:H110" si="8">G109^2</f>
        <v>521284</v>
      </c>
      <c r="I109" s="121">
        <f>D111+E111+F111</f>
        <v>1883</v>
      </c>
      <c r="J109" s="121">
        <f t="shared" si="5"/>
        <v>-173</v>
      </c>
      <c r="K109" s="121">
        <f t="shared" si="6"/>
        <v>701.2742733323015</v>
      </c>
      <c r="L109" s="121">
        <f t="shared" si="7"/>
        <v>491785.60643774754</v>
      </c>
    </row>
    <row r="110" spans="2:12" x14ac:dyDescent="0.25">
      <c r="B110" s="121" t="s">
        <v>12</v>
      </c>
      <c r="C110" s="121">
        <v>177</v>
      </c>
      <c r="D110" s="121"/>
      <c r="E110" s="121">
        <v>217</v>
      </c>
      <c r="F110" s="121">
        <v>233</v>
      </c>
      <c r="G110" s="121">
        <f t="shared" si="4"/>
        <v>627</v>
      </c>
      <c r="H110" s="121">
        <f t="shared" si="8"/>
        <v>393129</v>
      </c>
      <c r="I110" s="121">
        <f>C111+E111+F111</f>
        <v>1854</v>
      </c>
      <c r="J110" s="121">
        <f t="shared" si="5"/>
        <v>-181</v>
      </c>
      <c r="K110" s="121">
        <f t="shared" si="6"/>
        <v>605.31585822628074</v>
      </c>
      <c r="L110" s="121">
        <f t="shared" si="7"/>
        <v>366407.28822021879</v>
      </c>
    </row>
    <row r="111" spans="2:12" x14ac:dyDescent="0.25">
      <c r="B111" s="121" t="s">
        <v>43</v>
      </c>
      <c r="C111" s="121">
        <f>SUM(C107:C110)</f>
        <v>494</v>
      </c>
      <c r="D111" s="121">
        <f t="shared" ref="D111:F111" si="9">SUM(D107:D110)</f>
        <v>523</v>
      </c>
      <c r="E111" s="121">
        <f t="shared" si="9"/>
        <v>667</v>
      </c>
      <c r="F111" s="121">
        <f t="shared" si="9"/>
        <v>693</v>
      </c>
      <c r="G111" s="121">
        <f>SUM(G107:G110)</f>
        <v>2377</v>
      </c>
      <c r="H111" s="121"/>
      <c r="I111" s="121"/>
      <c r="J111" s="121"/>
      <c r="K111" s="121"/>
      <c r="L111" s="121">
        <f>SUM(L107:L110)</f>
        <v>1431292.5363987</v>
      </c>
    </row>
    <row r="112" spans="2:12" x14ac:dyDescent="0.25">
      <c r="B112" s="121" t="s">
        <v>44</v>
      </c>
      <c r="C112" s="121">
        <f>C111^2</f>
        <v>244036</v>
      </c>
      <c r="D112" s="121">
        <f t="shared" ref="D112:F112" si="10">D111^2</f>
        <v>273529</v>
      </c>
      <c r="E112" s="121">
        <f t="shared" si="10"/>
        <v>444889</v>
      </c>
      <c r="F112" s="121">
        <f t="shared" si="10"/>
        <v>480249</v>
      </c>
      <c r="G112" s="121"/>
      <c r="H112" s="121"/>
      <c r="I112" s="121"/>
      <c r="J112" s="121"/>
      <c r="K112" s="121"/>
      <c r="L112" s="121"/>
    </row>
    <row r="114" spans="3:6" x14ac:dyDescent="0.25">
      <c r="C114" s="163"/>
      <c r="D114" s="163"/>
      <c r="E114" s="163"/>
    </row>
    <row r="115" spans="3:6" x14ac:dyDescent="0.25">
      <c r="C115" s="163"/>
      <c r="D115" s="163"/>
      <c r="E115" s="163"/>
      <c r="F115">
        <f>(F46/5)*(1+E103)</f>
        <v>83.574547593252092</v>
      </c>
    </row>
    <row r="117" spans="3:6" x14ac:dyDescent="0.25">
      <c r="C117" s="163"/>
      <c r="D117" s="163"/>
      <c r="E117" s="163"/>
    </row>
    <row r="118" spans="3:6" x14ac:dyDescent="0.25">
      <c r="C118" s="163"/>
      <c r="D118" s="163"/>
      <c r="E118" s="163"/>
      <c r="F118">
        <f>((((1/3)*L111)-E50)/3)/F115</f>
        <v>24.941520194247705</v>
      </c>
    </row>
    <row r="119" spans="3:6" x14ac:dyDescent="0.25">
      <c r="C119" s="163"/>
      <c r="D119" s="163"/>
      <c r="E119" s="163"/>
    </row>
    <row r="121" spans="3:6" x14ac:dyDescent="0.25">
      <c r="D121" t="s">
        <v>91</v>
      </c>
      <c r="E121">
        <f>_xlfn.F.INV.RT(0.05,3,5)</f>
        <v>5.4094513180564894</v>
      </c>
    </row>
    <row r="123" spans="3:6" x14ac:dyDescent="0.25">
      <c r="C123" t="s">
        <v>77</v>
      </c>
    </row>
  </sheetData>
  <mergeCells count="33">
    <mergeCell ref="G43:H43"/>
    <mergeCell ref="F1:G1"/>
    <mergeCell ref="M1:N1"/>
    <mergeCell ref="M2:N2"/>
    <mergeCell ref="B6:B7"/>
    <mergeCell ref="C6:F6"/>
    <mergeCell ref="C21:E21"/>
    <mergeCell ref="C22:E22"/>
    <mergeCell ref="C23:E23"/>
    <mergeCell ref="B28:C28"/>
    <mergeCell ref="B29:B32"/>
    <mergeCell ref="B41:C41"/>
    <mergeCell ref="B70:B71"/>
    <mergeCell ref="E70:E71"/>
    <mergeCell ref="G44:H44"/>
    <mergeCell ref="G45:H45"/>
    <mergeCell ref="G46:H46"/>
    <mergeCell ref="G47:H47"/>
    <mergeCell ref="C49:D51"/>
    <mergeCell ref="C53:E55"/>
    <mergeCell ref="C57:E59"/>
    <mergeCell ref="H57:J59"/>
    <mergeCell ref="N58:O60"/>
    <mergeCell ref="C61:E63"/>
    <mergeCell ref="C69:D72"/>
    <mergeCell ref="C114:E115"/>
    <mergeCell ref="C117:E119"/>
    <mergeCell ref="C83:D86"/>
    <mergeCell ref="B84:B85"/>
    <mergeCell ref="E84:E85"/>
    <mergeCell ref="C97:D98"/>
    <mergeCell ref="B100:D101"/>
    <mergeCell ref="B103:D10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3116-201B-4DE5-B53A-7221C0E9C0C1}">
  <dimension ref="A1:W175"/>
  <sheetViews>
    <sheetView workbookViewId="0">
      <selection activeCell="F4" sqref="F4"/>
    </sheetView>
  </sheetViews>
  <sheetFormatPr defaultRowHeight="15" x14ac:dyDescent="0.25"/>
  <cols>
    <col min="1" max="1" width="12.140625" customWidth="1"/>
    <col min="3" max="3" width="20.28515625" customWidth="1"/>
    <col min="4" max="4" width="23.7109375" customWidth="1"/>
    <col min="5" max="5" width="28.28515625" customWidth="1"/>
    <col min="6" max="6" width="21.28515625" customWidth="1"/>
    <col min="7" max="7" width="35.5703125" customWidth="1"/>
    <col min="8" max="8" width="21.7109375" customWidth="1"/>
    <col min="9" max="9" width="14.42578125" customWidth="1"/>
    <col min="10" max="10" width="23" customWidth="1"/>
  </cols>
  <sheetData>
    <row r="1" spans="1:17" x14ac:dyDescent="0.25">
      <c r="A1" s="146">
        <v>44433</v>
      </c>
      <c r="J1" s="163"/>
      <c r="K1" s="163"/>
    </row>
    <row r="2" spans="1:17" x14ac:dyDescent="0.25">
      <c r="J2" s="195"/>
      <c r="K2" s="195"/>
    </row>
    <row r="4" spans="1:17" ht="18.75" x14ac:dyDescent="0.3">
      <c r="A4" s="30" t="s">
        <v>92</v>
      </c>
      <c r="B4" s="54" t="s">
        <v>93</v>
      </c>
      <c r="C4" s="4"/>
      <c r="D4" s="4"/>
      <c r="E4" s="4"/>
      <c r="F4" s="4"/>
    </row>
    <row r="5" spans="1:17" ht="18.75" x14ac:dyDescent="0.3">
      <c r="A5" s="30"/>
      <c r="B5" s="54" t="s">
        <v>94</v>
      </c>
      <c r="C5" s="4"/>
      <c r="D5" s="4"/>
      <c r="E5" s="4"/>
      <c r="F5" s="4"/>
    </row>
    <row r="6" spans="1:17" ht="19.5" thickBot="1" x14ac:dyDescent="0.35">
      <c r="A6" s="30"/>
      <c r="B6" s="30"/>
      <c r="C6" s="15"/>
      <c r="D6" s="15" t="s">
        <v>95</v>
      </c>
      <c r="E6" s="15"/>
      <c r="F6" s="15"/>
    </row>
    <row r="7" spans="1:17" ht="19.5" thickBot="1" x14ac:dyDescent="0.3">
      <c r="A7" s="30"/>
      <c r="B7" s="31" t="s">
        <v>96</v>
      </c>
      <c r="C7" s="196" t="s">
        <v>97</v>
      </c>
      <c r="D7" s="197"/>
      <c r="E7" s="197"/>
      <c r="F7" s="198"/>
    </row>
    <row r="8" spans="1:17" ht="19.5" thickBot="1" x14ac:dyDescent="0.35">
      <c r="A8" s="4"/>
      <c r="B8" s="32">
        <v>1</v>
      </c>
      <c r="C8" s="33" t="s">
        <v>98</v>
      </c>
      <c r="D8" s="33" t="s">
        <v>99</v>
      </c>
      <c r="E8" s="33" t="s">
        <v>100</v>
      </c>
      <c r="F8" s="33" t="s">
        <v>101</v>
      </c>
      <c r="H8" s="15" t="s">
        <v>24</v>
      </c>
      <c r="I8" s="15">
        <v>5</v>
      </c>
      <c r="J8" s="4"/>
      <c r="K8" s="4"/>
      <c r="L8" s="4"/>
      <c r="M8" s="4"/>
      <c r="N8" s="4"/>
      <c r="O8" s="4"/>
      <c r="P8" s="4"/>
      <c r="Q8" s="4"/>
    </row>
    <row r="9" spans="1:17" ht="19.5" thickBot="1" x14ac:dyDescent="0.35">
      <c r="A9" s="4"/>
      <c r="B9" s="32">
        <v>2</v>
      </c>
      <c r="C9" s="33" t="s">
        <v>102</v>
      </c>
      <c r="D9" s="33" t="s">
        <v>103</v>
      </c>
      <c r="E9" s="33" t="s">
        <v>104</v>
      </c>
      <c r="F9" s="33" t="s">
        <v>105</v>
      </c>
      <c r="H9" s="15" t="s">
        <v>27</v>
      </c>
      <c r="I9" s="15">
        <v>10</v>
      </c>
      <c r="J9" s="4" t="s">
        <v>106</v>
      </c>
      <c r="K9" s="4"/>
      <c r="L9" s="4"/>
      <c r="M9" s="4"/>
      <c r="N9" s="4"/>
      <c r="O9" s="4"/>
      <c r="P9" s="4"/>
      <c r="Q9" s="4"/>
    </row>
    <row r="10" spans="1:17" ht="19.5" thickBot="1" x14ac:dyDescent="0.35">
      <c r="A10" s="4"/>
      <c r="B10" s="32">
        <v>3</v>
      </c>
      <c r="C10" s="33" t="s">
        <v>107</v>
      </c>
      <c r="D10" s="33" t="s">
        <v>108</v>
      </c>
      <c r="E10" s="33" t="s">
        <v>109</v>
      </c>
      <c r="F10" s="33" t="s">
        <v>110</v>
      </c>
      <c r="H10" s="15" t="s">
        <v>25</v>
      </c>
      <c r="I10" s="15">
        <v>2</v>
      </c>
      <c r="J10" s="4"/>
      <c r="K10" s="4"/>
      <c r="L10" s="4"/>
      <c r="M10" s="4"/>
      <c r="N10" s="4"/>
      <c r="O10" s="4"/>
      <c r="P10" s="4"/>
      <c r="Q10" s="4"/>
    </row>
    <row r="11" spans="1:17" ht="19.5" thickBot="1" x14ac:dyDescent="0.35">
      <c r="A11" s="4"/>
      <c r="B11" s="32">
        <v>4</v>
      </c>
      <c r="C11" s="33" t="s">
        <v>111</v>
      </c>
      <c r="D11" s="33" t="s">
        <v>112</v>
      </c>
      <c r="E11" s="33" t="s">
        <v>113</v>
      </c>
      <c r="F11" s="33" t="s">
        <v>114</v>
      </c>
      <c r="H11" s="15" t="s">
        <v>30</v>
      </c>
      <c r="I11" s="15">
        <v>4</v>
      </c>
      <c r="J11" s="4" t="s">
        <v>115</v>
      </c>
      <c r="K11" s="4"/>
      <c r="L11" s="4"/>
      <c r="M11" s="4"/>
      <c r="N11" s="4"/>
      <c r="O11" s="4"/>
      <c r="P11" s="4"/>
      <c r="Q11" s="4"/>
    </row>
    <row r="12" spans="1:17" ht="19.5" thickBot="1" x14ac:dyDescent="0.35">
      <c r="A12" s="4"/>
      <c r="B12" s="32">
        <v>5</v>
      </c>
      <c r="C12" s="33" t="s">
        <v>116</v>
      </c>
      <c r="D12" s="33" t="s">
        <v>117</v>
      </c>
      <c r="E12" s="33" t="s">
        <v>118</v>
      </c>
      <c r="F12" s="33" t="s">
        <v>119</v>
      </c>
      <c r="H12" s="147" t="s">
        <v>120</v>
      </c>
      <c r="I12" s="15" t="s">
        <v>121</v>
      </c>
      <c r="J12" s="4" t="s">
        <v>122</v>
      </c>
      <c r="K12" s="4"/>
      <c r="L12" s="4"/>
      <c r="M12" s="4"/>
      <c r="N12" s="4"/>
      <c r="O12" s="4"/>
      <c r="P12" s="4"/>
      <c r="Q12" s="4"/>
    </row>
    <row r="14" spans="1:17" ht="18.75" x14ac:dyDescent="0.3">
      <c r="B14" s="4"/>
      <c r="C14" s="4" t="s">
        <v>123</v>
      </c>
      <c r="D14" s="15"/>
      <c r="E14" s="15"/>
      <c r="F14" s="15"/>
      <c r="G14" s="15"/>
      <c r="H14" s="34"/>
      <c r="I14" s="35"/>
    </row>
    <row r="15" spans="1:17" ht="18.75" x14ac:dyDescent="0.3">
      <c r="B15" s="4"/>
      <c r="C15" s="15"/>
      <c r="D15" s="15"/>
      <c r="E15" s="15"/>
      <c r="F15" s="15"/>
      <c r="G15" s="15"/>
      <c r="H15" s="34"/>
      <c r="I15" s="35"/>
    </row>
    <row r="16" spans="1:17" ht="20.25" x14ac:dyDescent="0.35">
      <c r="B16" s="15" t="s">
        <v>292</v>
      </c>
      <c r="C16" s="15">
        <v>0</v>
      </c>
      <c r="D16" s="4" t="s">
        <v>124</v>
      </c>
      <c r="E16" s="4" t="s">
        <v>125</v>
      </c>
      <c r="F16" s="4"/>
      <c r="G16" s="4"/>
      <c r="H16" s="4"/>
    </row>
    <row r="17" spans="2:23" ht="20.25" x14ac:dyDescent="0.35">
      <c r="B17" s="15" t="s">
        <v>293</v>
      </c>
      <c r="C17" s="15">
        <v>1</v>
      </c>
      <c r="D17" s="4" t="s">
        <v>126</v>
      </c>
      <c r="E17" s="4" t="s">
        <v>127</v>
      </c>
      <c r="F17" s="4"/>
      <c r="G17" s="4"/>
      <c r="H17" s="4"/>
    </row>
    <row r="18" spans="2:23" ht="19.5" thickBot="1" x14ac:dyDescent="0.35">
      <c r="B18" s="4"/>
      <c r="C18" s="4"/>
      <c r="D18" s="4"/>
      <c r="E18" s="4"/>
      <c r="F18" s="4"/>
      <c r="G18" s="4"/>
      <c r="H18" s="4"/>
      <c r="I18" s="4"/>
    </row>
    <row r="19" spans="2:23" ht="21" thickBot="1" x14ac:dyDescent="0.35">
      <c r="B19" s="4"/>
      <c r="C19" s="36" t="s">
        <v>128</v>
      </c>
      <c r="D19" s="37" t="s">
        <v>129</v>
      </c>
      <c r="E19" s="38" t="s">
        <v>130</v>
      </c>
      <c r="F19" s="4"/>
      <c r="G19" s="4"/>
      <c r="H19" s="4"/>
      <c r="I19" s="4"/>
    </row>
    <row r="20" spans="2:23" ht="18.75" x14ac:dyDescent="0.3">
      <c r="B20" s="4"/>
      <c r="C20" s="39">
        <v>1</v>
      </c>
      <c r="D20" s="40" t="s">
        <v>131</v>
      </c>
      <c r="E20" s="41" t="s">
        <v>132</v>
      </c>
      <c r="F20" s="4"/>
      <c r="G20" t="s">
        <v>133</v>
      </c>
    </row>
    <row r="21" spans="2:23" ht="18.75" x14ac:dyDescent="0.3">
      <c r="B21" s="4"/>
      <c r="C21" s="39">
        <v>2</v>
      </c>
      <c r="D21" s="40" t="s">
        <v>134</v>
      </c>
      <c r="E21" s="41" t="s">
        <v>135</v>
      </c>
      <c r="F21" s="4"/>
      <c r="G21" t="s">
        <v>136</v>
      </c>
      <c r="H21" t="s">
        <v>137</v>
      </c>
      <c r="I21" t="s">
        <v>138</v>
      </c>
      <c r="K21" s="134">
        <v>0</v>
      </c>
      <c r="L21" s="134">
        <v>2</v>
      </c>
    </row>
    <row r="22" spans="2:23" ht="18.75" x14ac:dyDescent="0.3">
      <c r="B22" s="4"/>
      <c r="C22" s="39">
        <v>3</v>
      </c>
      <c r="D22" s="40" t="s">
        <v>139</v>
      </c>
      <c r="E22" s="41" t="s">
        <v>140</v>
      </c>
      <c r="F22" s="4"/>
      <c r="H22" t="s">
        <v>141</v>
      </c>
      <c r="I22" t="s">
        <v>142</v>
      </c>
      <c r="J22" s="134" t="s">
        <v>143</v>
      </c>
      <c r="K22" s="134">
        <v>2</v>
      </c>
      <c r="L22" s="134">
        <v>4</v>
      </c>
    </row>
    <row r="23" spans="2:23" ht="18.75" x14ac:dyDescent="0.3">
      <c r="B23" s="4"/>
      <c r="C23" s="39">
        <v>4</v>
      </c>
      <c r="D23" s="40" t="s">
        <v>144</v>
      </c>
      <c r="E23" s="41" t="s">
        <v>145</v>
      </c>
      <c r="F23" s="4"/>
      <c r="G23" s="124" t="s">
        <v>146</v>
      </c>
      <c r="H23" s="124"/>
      <c r="I23" s="124"/>
      <c r="J23" s="121"/>
      <c r="K23" s="121"/>
      <c r="L23" s="124"/>
      <c r="M23" s="124"/>
      <c r="N23" s="124"/>
      <c r="O23" s="148"/>
    </row>
    <row r="24" spans="2:23" ht="18.75" x14ac:dyDescent="0.3">
      <c r="B24" s="4"/>
      <c r="C24" s="39">
        <v>5</v>
      </c>
      <c r="D24" s="40" t="s">
        <v>147</v>
      </c>
      <c r="E24" s="41" t="s">
        <v>148</v>
      </c>
      <c r="F24" s="4"/>
      <c r="G24" t="s">
        <v>149</v>
      </c>
    </row>
    <row r="25" spans="2:23" ht="18.75" x14ac:dyDescent="0.3">
      <c r="B25" s="4"/>
      <c r="C25" s="39">
        <v>6</v>
      </c>
      <c r="D25" s="40" t="s">
        <v>150</v>
      </c>
      <c r="E25" s="41" t="s">
        <v>151</v>
      </c>
      <c r="F25" s="4"/>
      <c r="G25" t="s">
        <v>152</v>
      </c>
      <c r="H25" t="s">
        <v>153</v>
      </c>
      <c r="I25" t="s">
        <v>154</v>
      </c>
      <c r="J25" s="134" t="s">
        <v>143</v>
      </c>
      <c r="K25" s="134">
        <v>1</v>
      </c>
      <c r="L25" s="134">
        <v>2</v>
      </c>
    </row>
    <row r="26" spans="2:23" ht="18.75" x14ac:dyDescent="0.3">
      <c r="B26" s="4"/>
      <c r="C26" s="39">
        <v>7</v>
      </c>
      <c r="D26" s="40" t="s">
        <v>155</v>
      </c>
      <c r="E26" s="41" t="s">
        <v>156</v>
      </c>
      <c r="F26" s="4"/>
      <c r="H26" t="s">
        <v>157</v>
      </c>
      <c r="I26" t="s">
        <v>158</v>
      </c>
      <c r="J26" s="134"/>
      <c r="K26" s="134">
        <v>2</v>
      </c>
      <c r="L26" s="134">
        <v>3</v>
      </c>
    </row>
    <row r="27" spans="2:23" ht="18.75" x14ac:dyDescent="0.3">
      <c r="B27" s="4"/>
      <c r="C27" s="39">
        <v>8</v>
      </c>
      <c r="D27" s="40" t="s">
        <v>159</v>
      </c>
      <c r="E27" s="41" t="s">
        <v>160</v>
      </c>
      <c r="F27" s="4"/>
      <c r="G27" s="42" t="s">
        <v>161</v>
      </c>
      <c r="H27" s="42"/>
      <c r="I27" s="42"/>
      <c r="J27" s="42"/>
      <c r="K27" s="42"/>
      <c r="L27" s="42"/>
      <c r="M27" s="42"/>
      <c r="N27" s="42"/>
      <c r="O27" s="42"/>
      <c r="P27" s="43"/>
      <c r="Q27" s="44"/>
      <c r="R27" s="44"/>
      <c r="S27" s="44"/>
      <c r="T27" s="44"/>
      <c r="U27" s="44"/>
      <c r="V27" s="44"/>
      <c r="W27" s="44"/>
    </row>
    <row r="28" spans="2:23" ht="18.75" x14ac:dyDescent="0.3">
      <c r="B28" s="4"/>
      <c r="C28" s="39">
        <v>9</v>
      </c>
      <c r="D28" s="40" t="s">
        <v>162</v>
      </c>
      <c r="E28" s="41" t="s">
        <v>163</v>
      </c>
      <c r="F28" s="4"/>
    </row>
    <row r="29" spans="2:23" ht="19.5" thickBot="1" x14ac:dyDescent="0.35">
      <c r="B29" s="4"/>
      <c r="C29" s="45">
        <v>10</v>
      </c>
      <c r="D29" s="46" t="s">
        <v>164</v>
      </c>
      <c r="E29" s="47" t="s">
        <v>165</v>
      </c>
      <c r="F29" s="4"/>
    </row>
    <row r="30" spans="2:23" ht="19.5" thickBot="1" x14ac:dyDescent="0.35">
      <c r="B30" s="4"/>
      <c r="C30" s="4"/>
      <c r="D30" s="4"/>
      <c r="E30" s="4"/>
      <c r="F30" s="4"/>
    </row>
    <row r="31" spans="2:23" ht="19.5" thickBot="1" x14ac:dyDescent="0.35">
      <c r="B31" s="31" t="s">
        <v>96</v>
      </c>
      <c r="C31" s="199" t="s">
        <v>97</v>
      </c>
      <c r="D31" s="200"/>
      <c r="E31" s="200"/>
      <c r="F31" s="201"/>
      <c r="G31" s="149" t="s">
        <v>166</v>
      </c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2:23" ht="19.5" thickBot="1" x14ac:dyDescent="0.35">
      <c r="B32" s="150">
        <v>1</v>
      </c>
      <c r="C32" s="48">
        <v>89</v>
      </c>
      <c r="D32" s="48">
        <v>14</v>
      </c>
      <c r="E32" s="49">
        <v>45</v>
      </c>
      <c r="F32" s="50">
        <v>80</v>
      </c>
      <c r="G32" s="50">
        <f t="array" ref="G32">SUM(C32:F32)</f>
        <v>228</v>
      </c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2:17" ht="19.5" thickBot="1" x14ac:dyDescent="0.35">
      <c r="B33" s="150">
        <v>2</v>
      </c>
      <c r="C33" s="39">
        <v>43</v>
      </c>
      <c r="D33" s="39">
        <v>34</v>
      </c>
      <c r="E33" s="40">
        <v>36</v>
      </c>
      <c r="F33" s="41">
        <v>31</v>
      </c>
      <c r="G33" s="41">
        <f>SUM(C33:F33)</f>
        <v>144</v>
      </c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2:17" ht="19.5" thickBot="1" x14ac:dyDescent="0.35">
      <c r="B34" s="150">
        <v>3</v>
      </c>
      <c r="C34" s="39">
        <v>69</v>
      </c>
      <c r="D34" s="39">
        <v>69</v>
      </c>
      <c r="E34" s="40">
        <v>25</v>
      </c>
      <c r="F34" s="41">
        <v>52</v>
      </c>
      <c r="G34" s="41">
        <f>SUM(C34:F34)</f>
        <v>215</v>
      </c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2:17" ht="19.5" thickBot="1" x14ac:dyDescent="0.35">
      <c r="B35" s="150">
        <v>4</v>
      </c>
      <c r="C35" s="39">
        <v>51</v>
      </c>
      <c r="D35" s="39">
        <v>89</v>
      </c>
      <c r="E35" s="40">
        <v>17</v>
      </c>
      <c r="F35" s="41">
        <v>17</v>
      </c>
      <c r="G35" s="41">
        <f>SUM(C35:F35)</f>
        <v>174</v>
      </c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2:17" ht="19.5" thickBot="1" x14ac:dyDescent="0.35">
      <c r="B36" s="150">
        <v>5</v>
      </c>
      <c r="C36" s="45">
        <v>23</v>
      </c>
      <c r="D36" s="45">
        <v>32</v>
      </c>
      <c r="E36" s="46">
        <v>51</v>
      </c>
      <c r="F36" s="47">
        <v>63</v>
      </c>
      <c r="G36" s="47">
        <f>SUM(C36:F36)</f>
        <v>169</v>
      </c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2:17" ht="18.75" x14ac:dyDescent="0.3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2:17" ht="19.5" thickBot="1" x14ac:dyDescent="0.3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2:17" ht="21" thickBot="1" x14ac:dyDescent="0.35">
      <c r="B39" s="36" t="s">
        <v>128</v>
      </c>
      <c r="C39" s="51" t="s">
        <v>167</v>
      </c>
      <c r="D39" s="52" t="s">
        <v>168</v>
      </c>
      <c r="E39" s="37" t="s">
        <v>169</v>
      </c>
      <c r="F39" s="53" t="s">
        <v>170</v>
      </c>
      <c r="G39" s="37" t="s">
        <v>171</v>
      </c>
      <c r="H39" s="37" t="s">
        <v>172</v>
      </c>
      <c r="I39" s="4"/>
      <c r="Q39" s="4"/>
    </row>
    <row r="40" spans="2:17" ht="18.75" x14ac:dyDescent="0.3">
      <c r="B40" s="39">
        <v>1</v>
      </c>
      <c r="C40" s="40">
        <v>45</v>
      </c>
      <c r="D40" s="15">
        <f t="array" ref="D40">G32+G33</f>
        <v>372</v>
      </c>
      <c r="E40" s="40">
        <f t="array" ref="E40">(4*C40)-D40</f>
        <v>-192</v>
      </c>
      <c r="F40" s="15" t="s">
        <v>131</v>
      </c>
      <c r="G40" s="40">
        <f t="array" ref="G40">E47+E48+E49</f>
        <v>-260</v>
      </c>
      <c r="H40" s="40">
        <f t="shared" ref="H40:H49" si="0">E40*G40</f>
        <v>49920</v>
      </c>
      <c r="I40" s="4"/>
      <c r="Q40" s="4"/>
    </row>
    <row r="41" spans="2:17" ht="18.75" x14ac:dyDescent="0.3">
      <c r="B41" s="39">
        <v>2</v>
      </c>
      <c r="C41" s="40">
        <v>94</v>
      </c>
      <c r="D41" s="15">
        <f t="array" ref="D41">G33+G35</f>
        <v>318</v>
      </c>
      <c r="E41" s="40">
        <f t="shared" ref="E41:E49" si="1">(4*C41)-D41</f>
        <v>58</v>
      </c>
      <c r="F41" s="15" t="s">
        <v>134</v>
      </c>
      <c r="G41" s="40">
        <f>E45+E46+E47</f>
        <v>320</v>
      </c>
      <c r="H41" s="40">
        <f t="shared" si="0"/>
        <v>18560</v>
      </c>
      <c r="I41" s="4"/>
      <c r="Q41" s="4"/>
    </row>
    <row r="42" spans="2:17" ht="18.75" x14ac:dyDescent="0.3">
      <c r="B42" s="39">
        <v>3</v>
      </c>
      <c r="C42" s="40">
        <v>66</v>
      </c>
      <c r="D42" s="15">
        <f>G33+G36</f>
        <v>313</v>
      </c>
      <c r="E42" s="40">
        <f t="shared" si="1"/>
        <v>-49</v>
      </c>
      <c r="F42" s="15" t="s">
        <v>139</v>
      </c>
      <c r="G42" s="40">
        <f>E44+E45+E48</f>
        <v>242</v>
      </c>
      <c r="H42" s="40">
        <f t="shared" si="0"/>
        <v>-11858</v>
      </c>
      <c r="I42" s="4"/>
      <c r="Q42" s="4"/>
    </row>
    <row r="43" spans="2:17" ht="21" customHeight="1" x14ac:dyDescent="0.3">
      <c r="B43" s="39">
        <v>4</v>
      </c>
      <c r="C43" s="40">
        <v>88</v>
      </c>
      <c r="D43" s="15">
        <f>G33+G34</f>
        <v>359</v>
      </c>
      <c r="E43" s="40">
        <f t="shared" si="1"/>
        <v>-7</v>
      </c>
      <c r="F43" s="15" t="s">
        <v>144</v>
      </c>
      <c r="G43" s="40">
        <f>E44+E46+E49</f>
        <v>78</v>
      </c>
      <c r="H43" s="40">
        <f t="shared" si="0"/>
        <v>-546</v>
      </c>
      <c r="I43" s="4"/>
      <c r="Q43" s="4"/>
    </row>
    <row r="44" spans="2:17" ht="18.75" x14ac:dyDescent="0.3">
      <c r="B44" s="39">
        <v>5</v>
      </c>
      <c r="C44" s="40">
        <v>169</v>
      </c>
      <c r="D44" s="15">
        <f>G32+G35</f>
        <v>402</v>
      </c>
      <c r="E44" s="40">
        <f t="shared" si="1"/>
        <v>274</v>
      </c>
      <c r="F44" s="15" t="s">
        <v>147</v>
      </c>
      <c r="G44" s="40">
        <f>E42+E43+E47</f>
        <v>88</v>
      </c>
      <c r="H44" s="40">
        <f t="shared" si="0"/>
        <v>24112</v>
      </c>
      <c r="I44" s="4"/>
      <c r="J44" s="4"/>
      <c r="K44" s="4"/>
      <c r="L44" s="4"/>
      <c r="M44" s="4"/>
      <c r="N44" s="4"/>
      <c r="O44" s="4"/>
      <c r="P44" s="4"/>
      <c r="Q44" s="4"/>
    </row>
    <row r="45" spans="2:17" ht="18.75" x14ac:dyDescent="0.3">
      <c r="B45" s="39">
        <v>6</v>
      </c>
      <c r="C45" s="40">
        <v>158</v>
      </c>
      <c r="D45" s="15">
        <f>G32+G34</f>
        <v>443</v>
      </c>
      <c r="E45" s="40">
        <f t="shared" si="1"/>
        <v>189</v>
      </c>
      <c r="F45" s="15" t="s">
        <v>150</v>
      </c>
      <c r="G45" s="40">
        <f>E41+E42+E49</f>
        <v>-174</v>
      </c>
      <c r="H45" s="40">
        <f t="shared" si="0"/>
        <v>-32886</v>
      </c>
      <c r="I45" s="4"/>
      <c r="J45" s="4"/>
      <c r="K45" s="4"/>
      <c r="L45" s="4"/>
      <c r="M45" s="4"/>
      <c r="N45" s="4"/>
      <c r="O45" s="4"/>
      <c r="P45" s="4"/>
      <c r="Q45" s="4"/>
    </row>
    <row r="46" spans="2:17" ht="18.75" x14ac:dyDescent="0.3">
      <c r="B46" s="39">
        <v>7</v>
      </c>
      <c r="C46" s="40">
        <v>96</v>
      </c>
      <c r="D46" s="15">
        <f>G32+G36</f>
        <v>397</v>
      </c>
      <c r="E46" s="40">
        <f t="shared" si="1"/>
        <v>-13</v>
      </c>
      <c r="F46" s="15" t="s">
        <v>155</v>
      </c>
      <c r="G46" s="40">
        <f>E41+E43+E48</f>
        <v>-170</v>
      </c>
      <c r="H46" s="40">
        <f t="shared" si="0"/>
        <v>2210</v>
      </c>
      <c r="I46" s="4"/>
      <c r="J46" s="4"/>
      <c r="K46" s="4"/>
      <c r="L46" s="4"/>
      <c r="M46" s="4"/>
      <c r="N46" s="4"/>
      <c r="O46" s="4"/>
      <c r="P46" s="4"/>
      <c r="Q46" s="4"/>
    </row>
    <row r="47" spans="2:17" ht="18.75" x14ac:dyDescent="0.3">
      <c r="B47" s="39">
        <v>8</v>
      </c>
      <c r="C47" s="40">
        <v>132</v>
      </c>
      <c r="D47" s="15">
        <f>G34+G36</f>
        <v>384</v>
      </c>
      <c r="E47" s="40">
        <f t="shared" si="1"/>
        <v>144</v>
      </c>
      <c r="F47" s="15" t="s">
        <v>159</v>
      </c>
      <c r="G47" s="40">
        <f>E40+E41+E44</f>
        <v>140</v>
      </c>
      <c r="H47" s="40">
        <f t="shared" si="0"/>
        <v>20160</v>
      </c>
      <c r="I47" s="4"/>
      <c r="J47" s="4"/>
      <c r="K47" s="4"/>
      <c r="L47" s="4"/>
      <c r="M47" s="4"/>
      <c r="N47" s="4"/>
      <c r="O47" s="4"/>
      <c r="P47" s="4"/>
      <c r="Q47" s="4"/>
    </row>
    <row r="48" spans="2:17" ht="18.75" x14ac:dyDescent="0.3">
      <c r="B48" s="39">
        <v>9</v>
      </c>
      <c r="C48" s="40">
        <v>42</v>
      </c>
      <c r="D48" s="15">
        <f>G35+G34</f>
        <v>389</v>
      </c>
      <c r="E48" s="40">
        <f t="shared" si="1"/>
        <v>-221</v>
      </c>
      <c r="F48" s="15" t="s">
        <v>162</v>
      </c>
      <c r="G48" s="40">
        <f>E40+E42+E46</f>
        <v>-254</v>
      </c>
      <c r="H48" s="40">
        <f t="shared" si="0"/>
        <v>56134</v>
      </c>
      <c r="I48" s="4"/>
      <c r="J48" s="4"/>
      <c r="K48" s="4"/>
      <c r="L48" s="4"/>
      <c r="M48" s="4"/>
      <c r="N48" s="4"/>
      <c r="O48" s="4"/>
      <c r="P48" s="4"/>
      <c r="Q48" s="4"/>
    </row>
    <row r="49" spans="2:17" ht="19.5" thickBot="1" x14ac:dyDescent="0.35">
      <c r="B49" s="39">
        <v>10</v>
      </c>
      <c r="C49" s="40">
        <v>40</v>
      </c>
      <c r="D49" s="15">
        <f>G36+G35</f>
        <v>343</v>
      </c>
      <c r="E49" s="40">
        <f t="shared" si="1"/>
        <v>-183</v>
      </c>
      <c r="F49" s="15" t="s">
        <v>164</v>
      </c>
      <c r="G49" s="40">
        <f>E40+E43+E45</f>
        <v>-10</v>
      </c>
      <c r="H49" s="40">
        <f t="shared" si="0"/>
        <v>1830</v>
      </c>
      <c r="I49" s="4"/>
      <c r="J49" s="4"/>
      <c r="K49" s="4"/>
      <c r="L49" s="4"/>
      <c r="M49" s="4"/>
      <c r="N49" s="4"/>
      <c r="O49" s="4"/>
      <c r="P49" s="4"/>
      <c r="Q49" s="4"/>
    </row>
    <row r="50" spans="2:17" ht="19.5" thickBot="1" x14ac:dyDescent="0.35">
      <c r="B50" s="149" t="s">
        <v>173</v>
      </c>
      <c r="C50" s="62">
        <f>SUM(C40:C49)</f>
        <v>930</v>
      </c>
      <c r="D50" s="64">
        <f>SUM(D40:D49)</f>
        <v>3720</v>
      </c>
      <c r="E50" s="62">
        <f t="array" ref="E50">SUM(E40:E49)</f>
        <v>0</v>
      </c>
      <c r="F50" s="64"/>
      <c r="G50" s="62">
        <f>SUM(G40:G49)</f>
        <v>0</v>
      </c>
      <c r="H50" s="62">
        <f>SUM(H40:H49)</f>
        <v>127636</v>
      </c>
      <c r="I50" s="4"/>
      <c r="J50" s="4"/>
      <c r="K50" s="4"/>
      <c r="L50" s="4"/>
      <c r="M50" s="4"/>
      <c r="N50" s="4"/>
      <c r="O50" s="4"/>
      <c r="P50" s="4"/>
      <c r="Q50" s="4"/>
    </row>
    <row r="51" spans="2:17" ht="18.75" x14ac:dyDescent="0.3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2:17" ht="18.75" x14ac:dyDescent="0.3">
      <c r="C52" s="30" t="s">
        <v>174</v>
      </c>
      <c r="D52" s="54"/>
      <c r="E52" s="54"/>
      <c r="F52" s="54"/>
      <c r="G52" s="54"/>
      <c r="H52" s="4"/>
      <c r="I52" s="4"/>
    </row>
    <row r="53" spans="2:17" ht="18.75" x14ac:dyDescent="0.3">
      <c r="C53" s="5" t="s">
        <v>175</v>
      </c>
      <c r="D53" s="174" t="s">
        <v>176</v>
      </c>
      <c r="E53" s="174"/>
      <c r="F53" s="4"/>
      <c r="G53" s="4"/>
      <c r="H53" s="4"/>
      <c r="I53" s="4"/>
    </row>
    <row r="54" spans="2:17" ht="18.75" x14ac:dyDescent="0.3">
      <c r="C54" s="5" t="s">
        <v>177</v>
      </c>
      <c r="D54" s="174" t="s">
        <v>178</v>
      </c>
      <c r="E54" s="174"/>
      <c r="F54" s="4"/>
      <c r="G54" s="4"/>
      <c r="H54" s="4"/>
      <c r="I54" s="4"/>
    </row>
    <row r="55" spans="2:17" ht="21" x14ac:dyDescent="0.3">
      <c r="C55" s="55" t="s">
        <v>179</v>
      </c>
      <c r="D55" s="174" t="s">
        <v>180</v>
      </c>
      <c r="E55" s="174"/>
      <c r="F55" s="4"/>
      <c r="G55" s="4"/>
      <c r="H55" s="4"/>
      <c r="I55" s="4"/>
    </row>
    <row r="56" spans="2:17" ht="19.5" customHeight="1" x14ac:dyDescent="0.3">
      <c r="C56" s="55" t="s">
        <v>181</v>
      </c>
      <c r="D56" s="174" t="s">
        <v>182</v>
      </c>
      <c r="E56" s="174"/>
      <c r="F56" s="4"/>
      <c r="G56" s="4"/>
      <c r="H56" s="4"/>
      <c r="I56" s="4"/>
    </row>
    <row r="57" spans="2:17" ht="19.5" customHeight="1" x14ac:dyDescent="0.3">
      <c r="C57" s="56"/>
      <c r="D57" s="15"/>
      <c r="E57" s="15"/>
      <c r="F57" s="4"/>
      <c r="G57" s="4"/>
      <c r="H57" s="4"/>
      <c r="I57" s="4"/>
    </row>
    <row r="59" spans="2:17" ht="20.25" x14ac:dyDescent="0.35">
      <c r="B59" s="5" t="s">
        <v>183</v>
      </c>
      <c r="C59" s="5" t="s">
        <v>184</v>
      </c>
      <c r="D59" s="15">
        <f t="array" ref="D59">I10*(I11-1)+C17</f>
        <v>7</v>
      </c>
      <c r="F59" s="4"/>
      <c r="G59" s="4"/>
      <c r="H59" s="4"/>
      <c r="I59" s="4"/>
      <c r="J59" s="4"/>
      <c r="K59" s="4"/>
      <c r="L59" s="4"/>
    </row>
    <row r="60" spans="2:17" ht="20.25" x14ac:dyDescent="0.35">
      <c r="B60" s="5" t="s">
        <v>185</v>
      </c>
      <c r="C60" s="5" t="s">
        <v>186</v>
      </c>
      <c r="D60" s="15">
        <f t="array" ref="D60">C17-C16</f>
        <v>1</v>
      </c>
      <c r="F60" s="4"/>
      <c r="G60" s="4"/>
      <c r="H60" s="4"/>
      <c r="I60" s="4"/>
      <c r="J60" s="4"/>
      <c r="K60" s="4"/>
      <c r="L60" s="4"/>
    </row>
    <row r="61" spans="2:17" ht="21.75" x14ac:dyDescent="0.35">
      <c r="B61" s="5" t="s">
        <v>187</v>
      </c>
      <c r="C61" s="5" t="s">
        <v>188</v>
      </c>
      <c r="D61" s="15">
        <f>D60*L25</f>
        <v>2</v>
      </c>
      <c r="F61" s="4"/>
      <c r="G61" s="4"/>
      <c r="H61" s="4"/>
      <c r="I61" s="4"/>
      <c r="J61" s="4"/>
      <c r="K61" s="4"/>
      <c r="L61" s="4"/>
    </row>
    <row r="62" spans="2:17" ht="21.75" x14ac:dyDescent="0.35">
      <c r="B62" s="5" t="s">
        <v>189</v>
      </c>
      <c r="C62" s="5" t="s">
        <v>190</v>
      </c>
      <c r="D62" s="15">
        <f>D59+(D60*(K21-K25))</f>
        <v>6</v>
      </c>
      <c r="F62" s="4"/>
      <c r="G62" s="4"/>
      <c r="H62" s="4"/>
      <c r="I62" s="4"/>
      <c r="J62" s="4"/>
      <c r="K62" s="4"/>
      <c r="L62" s="4"/>
    </row>
    <row r="63" spans="2:17" ht="18.75" x14ac:dyDescent="0.3">
      <c r="B63" s="9" t="s">
        <v>191</v>
      </c>
      <c r="C63" s="5" t="s">
        <v>192</v>
      </c>
      <c r="D63" s="15">
        <f t="array" ref="D63">(D59*D62)-(D60*D61)</f>
        <v>40</v>
      </c>
      <c r="F63" s="4"/>
      <c r="G63" s="4"/>
      <c r="H63" s="4"/>
      <c r="I63" s="4"/>
      <c r="J63" s="4"/>
      <c r="K63" s="4"/>
      <c r="L63" s="4"/>
    </row>
    <row r="64" spans="2:17" ht="18.75" x14ac:dyDescent="0.3">
      <c r="B64" s="15"/>
      <c r="C64" s="15"/>
      <c r="D64" s="15"/>
      <c r="F64" s="4"/>
      <c r="G64" s="4"/>
      <c r="H64" s="4"/>
      <c r="I64" s="4"/>
      <c r="J64" s="4"/>
      <c r="K64" s="4"/>
      <c r="L64" s="4"/>
    </row>
    <row r="65" spans="2:12" ht="23.25" x14ac:dyDescent="0.35">
      <c r="B65" s="5" t="s">
        <v>193</v>
      </c>
      <c r="C65" s="57" t="s">
        <v>194</v>
      </c>
      <c r="D65" s="15">
        <f>C50*C50/20</f>
        <v>43245</v>
      </c>
      <c r="F65" s="4"/>
      <c r="G65" s="4"/>
      <c r="H65" s="4"/>
      <c r="I65" s="4"/>
      <c r="J65" s="4"/>
      <c r="K65" s="4"/>
      <c r="L65" s="4"/>
    </row>
    <row r="66" spans="2:12" ht="21" x14ac:dyDescent="0.35">
      <c r="B66" s="15"/>
      <c r="C66" s="58"/>
      <c r="D66" s="15"/>
      <c r="F66" s="4"/>
      <c r="G66" s="4"/>
      <c r="H66" s="4"/>
      <c r="I66" s="4"/>
      <c r="J66" s="4"/>
      <c r="K66" s="4"/>
      <c r="L66" s="4"/>
    </row>
    <row r="67" spans="2:12" ht="18.75" x14ac:dyDescent="0.3">
      <c r="B67" s="191" t="s">
        <v>195</v>
      </c>
      <c r="C67" s="191"/>
      <c r="D67" s="191"/>
      <c r="E67" s="191"/>
      <c r="F67" s="4"/>
      <c r="G67" s="4"/>
      <c r="H67" s="4"/>
      <c r="I67" s="4"/>
      <c r="J67" s="4"/>
      <c r="K67" s="4"/>
      <c r="L67" s="4"/>
    </row>
    <row r="68" spans="2:12" ht="21" customHeight="1" x14ac:dyDescent="0.3">
      <c r="B68" s="188" t="s">
        <v>196</v>
      </c>
      <c r="C68" s="190"/>
      <c r="D68" s="59" t="s">
        <v>294</v>
      </c>
      <c r="E68" s="15"/>
      <c r="F68" s="60">
        <f>D62*SUMSQ(E40:E49)-D60*SUM(H40:H49)</f>
        <v>1412624</v>
      </c>
      <c r="G68" s="15">
        <f>F68/F69</f>
        <v>8828.9</v>
      </c>
      <c r="H68" s="4"/>
      <c r="I68" s="4"/>
      <c r="J68" s="4"/>
      <c r="K68" s="4"/>
      <c r="L68" s="4"/>
    </row>
    <row r="69" spans="2:12" ht="18.75" x14ac:dyDescent="0.3">
      <c r="B69" s="15"/>
      <c r="C69" s="15"/>
      <c r="D69" s="15" t="s">
        <v>197</v>
      </c>
      <c r="E69" s="15"/>
      <c r="F69" s="15">
        <f>I11*D63</f>
        <v>160</v>
      </c>
      <c r="G69" s="15"/>
      <c r="H69" s="4"/>
      <c r="I69" s="4"/>
      <c r="J69" s="4"/>
      <c r="K69" s="4"/>
      <c r="L69" s="4"/>
    </row>
    <row r="70" spans="2:12" ht="18.75" x14ac:dyDescent="0.3">
      <c r="B70" s="15"/>
      <c r="C70" s="15"/>
      <c r="D70" s="15"/>
      <c r="E70" s="15"/>
      <c r="F70" s="15"/>
      <c r="G70" s="15"/>
      <c r="H70" s="4"/>
      <c r="I70" s="4"/>
      <c r="J70" s="4"/>
      <c r="K70" s="4"/>
      <c r="L70" s="4"/>
    </row>
    <row r="71" spans="2:12" ht="18.75" x14ac:dyDescent="0.3">
      <c r="B71" s="191" t="s">
        <v>198</v>
      </c>
      <c r="C71" s="191"/>
      <c r="D71" s="191"/>
      <c r="E71" s="191"/>
      <c r="F71" s="4"/>
      <c r="G71" s="4"/>
      <c r="H71" s="4"/>
      <c r="I71" s="4"/>
      <c r="J71" s="4"/>
      <c r="K71" s="4"/>
      <c r="L71" s="4"/>
    </row>
    <row r="72" spans="2:12" ht="21" customHeight="1" x14ac:dyDescent="0.3">
      <c r="B72" s="188" t="s">
        <v>199</v>
      </c>
      <c r="C72" s="190"/>
      <c r="D72" s="192"/>
      <c r="E72" s="4">
        <f>(SUMSQ(C40:C49)/I10)-D65</f>
        <v>10000</v>
      </c>
      <c r="F72" s="4"/>
      <c r="G72" s="4"/>
      <c r="H72" s="4"/>
      <c r="I72" s="4"/>
      <c r="J72" s="4"/>
      <c r="K72" s="4"/>
      <c r="L72" s="4"/>
    </row>
    <row r="73" spans="2:12" ht="21" x14ac:dyDescent="0.35">
      <c r="B73" s="15"/>
      <c r="C73" s="15"/>
      <c r="D73" s="193"/>
      <c r="E73" s="58"/>
      <c r="F73" s="4"/>
      <c r="G73" s="4"/>
      <c r="H73" s="4"/>
      <c r="I73" s="4"/>
      <c r="J73" s="4"/>
      <c r="K73" s="4"/>
      <c r="L73" s="4"/>
    </row>
    <row r="74" spans="2:12" ht="18.75" x14ac:dyDescent="0.3">
      <c r="B74" s="15"/>
      <c r="C74" s="15"/>
      <c r="D74" s="4"/>
      <c r="E74" s="4"/>
      <c r="F74" s="4"/>
      <c r="G74" s="4"/>
      <c r="H74" s="4"/>
      <c r="I74" s="4"/>
      <c r="J74" s="4"/>
      <c r="K74" s="4"/>
      <c r="L74" s="4"/>
    </row>
    <row r="75" spans="2:12" ht="18.75" x14ac:dyDescent="0.3">
      <c r="B75" s="191" t="s">
        <v>200</v>
      </c>
      <c r="C75" s="191"/>
      <c r="D75" s="191"/>
      <c r="E75" s="191"/>
      <c r="F75" s="4"/>
      <c r="G75" s="4"/>
      <c r="H75" s="4"/>
      <c r="I75" s="4"/>
      <c r="J75" s="4"/>
      <c r="K75" s="4"/>
      <c r="L75" s="4"/>
    </row>
    <row r="76" spans="2:12" ht="21" customHeight="1" x14ac:dyDescent="0.3">
      <c r="B76" s="188" t="s">
        <v>201</v>
      </c>
      <c r="C76" s="190"/>
      <c r="D76" s="192"/>
      <c r="E76" s="4">
        <f>(SUMSQ(G32:G36)/I11)-D65</f>
        <v>1200.5</v>
      </c>
      <c r="F76" s="4"/>
      <c r="G76" s="4"/>
      <c r="H76" s="4"/>
      <c r="I76" s="4"/>
      <c r="J76" s="4"/>
      <c r="K76" s="4"/>
      <c r="L76" s="4"/>
    </row>
    <row r="77" spans="2:12" ht="21" x14ac:dyDescent="0.35">
      <c r="B77" s="15"/>
      <c r="C77" s="15"/>
      <c r="D77" s="193"/>
      <c r="E77" s="58"/>
      <c r="F77" s="4"/>
      <c r="G77" s="4"/>
      <c r="H77" s="4"/>
      <c r="I77" s="4"/>
      <c r="J77" s="4"/>
      <c r="K77" s="4"/>
      <c r="L77" s="4"/>
    </row>
    <row r="78" spans="2:12" ht="18.75" x14ac:dyDescent="0.3">
      <c r="B78" s="15"/>
      <c r="C78" s="15"/>
      <c r="D78" s="4"/>
      <c r="E78" s="4"/>
      <c r="F78" s="4"/>
      <c r="G78" s="4"/>
      <c r="H78" s="4"/>
      <c r="I78" s="4"/>
      <c r="J78" s="4"/>
      <c r="K78" s="4"/>
      <c r="L78" s="4"/>
    </row>
    <row r="79" spans="2:12" ht="18.75" x14ac:dyDescent="0.3">
      <c r="B79" s="194" t="s">
        <v>202</v>
      </c>
      <c r="C79" s="194"/>
      <c r="D79" s="194"/>
      <c r="E79" s="4"/>
      <c r="F79" s="4"/>
      <c r="G79" s="4"/>
      <c r="H79" s="4"/>
      <c r="I79" s="4"/>
      <c r="J79" s="4"/>
      <c r="K79" s="4"/>
      <c r="L79" s="4"/>
    </row>
    <row r="80" spans="2:12" ht="18.75" x14ac:dyDescent="0.3">
      <c r="B80" s="174" t="s">
        <v>203</v>
      </c>
      <c r="C80" s="174"/>
      <c r="D80" s="61"/>
      <c r="E80" s="4">
        <f>SUMSQ(C32:F36)-D65</f>
        <v>10633</v>
      </c>
      <c r="F80" s="4"/>
      <c r="G80" s="4"/>
      <c r="H80" s="4"/>
      <c r="I80" s="4"/>
      <c r="J80" s="4"/>
      <c r="K80" s="4"/>
      <c r="L80" s="4"/>
    </row>
    <row r="81" spans="2:12" ht="18.75" x14ac:dyDescent="0.3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2:12" ht="18.75" x14ac:dyDescent="0.3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2:12" ht="18.75" x14ac:dyDescent="0.3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2:12" ht="18.75" x14ac:dyDescent="0.3">
      <c r="B84" s="174" t="s">
        <v>204</v>
      </c>
      <c r="C84" s="174"/>
      <c r="D84" s="174"/>
      <c r="E84" s="4"/>
      <c r="F84" s="4"/>
      <c r="G84" s="4"/>
      <c r="H84" s="4"/>
      <c r="I84" s="4"/>
      <c r="J84" s="4"/>
      <c r="K84" s="4"/>
      <c r="L84" s="4"/>
    </row>
    <row r="85" spans="2:12" ht="19.5" thickBot="1" x14ac:dyDescent="0.3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2:12" ht="19.5" thickBot="1" x14ac:dyDescent="0.35">
      <c r="B86" s="4"/>
      <c r="C86" s="4"/>
      <c r="D86" s="62" t="s">
        <v>205</v>
      </c>
      <c r="E86" s="63" t="s">
        <v>49</v>
      </c>
      <c r="F86" s="62" t="s">
        <v>206</v>
      </c>
      <c r="G86" s="64" t="s">
        <v>49</v>
      </c>
      <c r="H86" s="62" t="s">
        <v>205</v>
      </c>
      <c r="I86" s="4"/>
      <c r="J86" s="4"/>
      <c r="K86" s="4"/>
      <c r="L86" s="4"/>
    </row>
    <row r="87" spans="2:12" ht="18.75" x14ac:dyDescent="0.3">
      <c r="B87" s="4"/>
      <c r="C87" s="4"/>
      <c r="D87" s="65" t="s">
        <v>207</v>
      </c>
      <c r="E87" s="48">
        <f>E76</f>
        <v>1200.5</v>
      </c>
      <c r="F87" s="49">
        <f>I8-1</f>
        <v>4</v>
      </c>
      <c r="G87" s="50">
        <f>G90-G89-G88</f>
        <v>29.399999999999636</v>
      </c>
      <c r="H87" s="66" t="s">
        <v>208</v>
      </c>
      <c r="I87" s="4"/>
      <c r="J87" s="4"/>
      <c r="K87" s="4"/>
      <c r="L87" s="4"/>
    </row>
    <row r="88" spans="2:12" ht="18.75" x14ac:dyDescent="0.3">
      <c r="B88" s="4"/>
      <c r="C88" s="4"/>
      <c r="D88" s="65" t="s">
        <v>209</v>
      </c>
      <c r="E88" s="39">
        <f>G68</f>
        <v>8828.9</v>
      </c>
      <c r="F88" s="40">
        <f>I9-1</f>
        <v>9</v>
      </c>
      <c r="G88" s="41">
        <f>E72</f>
        <v>10000</v>
      </c>
      <c r="H88" s="66" t="s">
        <v>210</v>
      </c>
      <c r="I88" s="4"/>
      <c r="J88" s="4"/>
      <c r="K88" s="4"/>
      <c r="L88" s="4"/>
    </row>
    <row r="89" spans="2:12" ht="19.5" thickBot="1" x14ac:dyDescent="0.35">
      <c r="B89" s="4"/>
      <c r="C89" s="4"/>
      <c r="D89" s="65" t="s">
        <v>211</v>
      </c>
      <c r="E89" s="39">
        <f t="array" ref="E89">E90-(E87+E88)</f>
        <v>603.60000000000036</v>
      </c>
      <c r="F89" s="40">
        <f>20-I8-I9+1</f>
        <v>6</v>
      </c>
      <c r="G89" s="41">
        <f>E89</f>
        <v>603.60000000000036</v>
      </c>
      <c r="H89" s="66" t="s">
        <v>211</v>
      </c>
      <c r="I89" s="4"/>
      <c r="J89" s="4"/>
      <c r="K89" s="4"/>
      <c r="L89" s="4"/>
    </row>
    <row r="90" spans="2:12" ht="19.5" thickBot="1" x14ac:dyDescent="0.35">
      <c r="B90" s="4"/>
      <c r="C90" s="4"/>
      <c r="D90" s="149" t="s">
        <v>59</v>
      </c>
      <c r="E90" s="63">
        <f>E80</f>
        <v>10633</v>
      </c>
      <c r="F90" s="62">
        <f>F89+F88+F87</f>
        <v>19</v>
      </c>
      <c r="G90" s="67">
        <f>E90</f>
        <v>10633</v>
      </c>
      <c r="H90" s="151" t="s">
        <v>59</v>
      </c>
      <c r="I90" s="4"/>
      <c r="J90" s="4"/>
      <c r="K90" s="4"/>
      <c r="L90" s="4"/>
    </row>
    <row r="91" spans="2:12" ht="18.75" x14ac:dyDescent="0.3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2:12" ht="18.75" x14ac:dyDescent="0.3">
      <c r="B92" s="174" t="s">
        <v>212</v>
      </c>
      <c r="C92" s="174"/>
      <c r="D92" s="174"/>
      <c r="E92" s="4"/>
      <c r="F92" s="4"/>
      <c r="G92" s="4"/>
      <c r="H92" s="4"/>
      <c r="I92" s="4"/>
      <c r="J92" s="4"/>
      <c r="K92" s="4"/>
      <c r="L92" s="4"/>
    </row>
    <row r="93" spans="2:12" ht="20.25" x14ac:dyDescent="0.35">
      <c r="B93" s="4"/>
      <c r="C93" s="4" t="s">
        <v>213</v>
      </c>
      <c r="D93" s="4" t="s">
        <v>214</v>
      </c>
      <c r="E93" s="4"/>
      <c r="F93" s="4" t="s">
        <v>215</v>
      </c>
      <c r="G93" s="4"/>
      <c r="H93" s="4"/>
      <c r="I93" s="4"/>
      <c r="J93" s="4"/>
      <c r="K93" s="4"/>
      <c r="L93" s="4"/>
    </row>
    <row r="94" spans="2:12" ht="20.25" x14ac:dyDescent="0.35">
      <c r="B94" s="4"/>
      <c r="C94" s="4"/>
      <c r="D94" s="4" t="s">
        <v>216</v>
      </c>
      <c r="E94" s="4"/>
      <c r="F94" s="4"/>
      <c r="G94" s="4"/>
      <c r="H94" s="4"/>
      <c r="I94" s="4"/>
      <c r="J94" s="4"/>
      <c r="K94" s="4"/>
      <c r="L94" s="4"/>
    </row>
    <row r="95" spans="2:12" ht="18.75" x14ac:dyDescent="0.3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2:12" ht="19.5" thickBot="1" x14ac:dyDescent="0.35">
      <c r="B96" s="4"/>
      <c r="C96" s="4" t="s">
        <v>217</v>
      </c>
      <c r="D96" s="68" t="s">
        <v>218</v>
      </c>
      <c r="E96" s="68" t="s">
        <v>219</v>
      </c>
      <c r="F96" s="69">
        <f>E88/F88</f>
        <v>980.98888888888882</v>
      </c>
      <c r="G96" s="4">
        <f>F96/F97</f>
        <v>9.7513806052573386</v>
      </c>
      <c r="H96" s="4"/>
      <c r="I96" s="4"/>
      <c r="J96" s="4"/>
      <c r="K96" s="4"/>
      <c r="L96" s="4"/>
    </row>
    <row r="97" spans="2:12" ht="18.75" x14ac:dyDescent="0.3">
      <c r="B97" s="4"/>
      <c r="C97" s="4"/>
      <c r="D97" s="4" t="s">
        <v>220</v>
      </c>
      <c r="E97" s="4" t="s">
        <v>221</v>
      </c>
      <c r="F97" s="4">
        <f>E89/F89</f>
        <v>100.60000000000007</v>
      </c>
      <c r="G97" s="4"/>
      <c r="H97" s="4"/>
      <c r="I97" s="4"/>
      <c r="J97" s="4"/>
      <c r="K97" s="4"/>
      <c r="L97" s="4"/>
    </row>
    <row r="98" spans="2:12" ht="18.75" x14ac:dyDescent="0.3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2:12" ht="18.75" x14ac:dyDescent="0.3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2:12" ht="18.75" x14ac:dyDescent="0.3">
      <c r="B100" s="4"/>
      <c r="C100" s="4" t="s">
        <v>222</v>
      </c>
      <c r="D100" s="4">
        <f>_xlfn.F.INV.RT(0.05,F88,F89)</f>
        <v>4.099015541716521</v>
      </c>
      <c r="E100" s="4"/>
      <c r="F100" s="4"/>
      <c r="G100" s="4"/>
      <c r="H100" s="4"/>
      <c r="I100" s="4"/>
      <c r="J100" s="4"/>
      <c r="K100" s="4"/>
      <c r="L100" s="4"/>
    </row>
    <row r="101" spans="2:12" ht="18.75" x14ac:dyDescent="0.3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20.25" x14ac:dyDescent="0.35">
      <c r="B102" s="4" t="s">
        <v>223</v>
      </c>
      <c r="C102" s="4"/>
      <c r="D102" s="4" t="s">
        <v>224</v>
      </c>
      <c r="E102" s="4"/>
      <c r="F102" s="4" t="s">
        <v>295</v>
      </c>
      <c r="G102" s="4"/>
      <c r="H102" s="4"/>
      <c r="I102" s="4"/>
      <c r="J102" s="4"/>
      <c r="K102" s="4"/>
      <c r="L102" s="4"/>
    </row>
    <row r="103" spans="2:12" ht="18.75" x14ac:dyDescent="0.3">
      <c r="B103" s="4"/>
      <c r="C103" s="4"/>
      <c r="D103" s="4"/>
      <c r="E103" s="4"/>
      <c r="F103" s="4" t="s">
        <v>225</v>
      </c>
      <c r="G103" s="4"/>
      <c r="H103" s="4"/>
      <c r="I103" s="4"/>
      <c r="J103" s="4"/>
      <c r="K103" s="4"/>
      <c r="L103" s="4"/>
    </row>
    <row r="104" spans="2:12" ht="18.75" x14ac:dyDescent="0.3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8.75" x14ac:dyDescent="0.3">
      <c r="B105" s="188" t="s">
        <v>226</v>
      </c>
      <c r="C105" s="189"/>
      <c r="D105" s="190"/>
      <c r="E105" s="4"/>
      <c r="F105" s="4"/>
      <c r="G105" s="4"/>
      <c r="H105" s="4"/>
      <c r="I105" s="4"/>
      <c r="J105" s="4"/>
      <c r="K105" s="4"/>
      <c r="L105" s="4"/>
    </row>
    <row r="106" spans="2:12" ht="18.75" x14ac:dyDescent="0.3">
      <c r="B106" s="68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20.25" x14ac:dyDescent="0.35">
      <c r="B107" s="4"/>
      <c r="C107" s="4" t="s">
        <v>227</v>
      </c>
      <c r="D107" s="4" t="s">
        <v>228</v>
      </c>
      <c r="E107" s="4"/>
      <c r="F107" s="4"/>
      <c r="G107" s="4" t="s">
        <v>229</v>
      </c>
      <c r="H107" s="4" t="s">
        <v>230</v>
      </c>
      <c r="I107" s="4" t="s">
        <v>231</v>
      </c>
      <c r="J107" s="4"/>
      <c r="K107" s="4"/>
      <c r="L107" s="4"/>
    </row>
    <row r="108" spans="2:12" ht="20.25" x14ac:dyDescent="0.35">
      <c r="B108" s="4"/>
      <c r="C108" s="4"/>
      <c r="D108" s="4" t="s">
        <v>232</v>
      </c>
      <c r="E108" s="4"/>
      <c r="F108" s="4"/>
      <c r="G108" s="4"/>
      <c r="H108" s="4"/>
      <c r="I108" s="4"/>
      <c r="J108" s="4"/>
      <c r="K108" s="4"/>
      <c r="L108" s="4"/>
    </row>
    <row r="109" spans="2:12" ht="18.75" x14ac:dyDescent="0.3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2:12" ht="19.5" thickBot="1" x14ac:dyDescent="0.35">
      <c r="B110" s="4"/>
      <c r="C110" s="4" t="s">
        <v>217</v>
      </c>
      <c r="D110" s="68" t="s">
        <v>233</v>
      </c>
      <c r="E110" s="68" t="s">
        <v>234</v>
      </c>
      <c r="F110" s="70">
        <f>G87/F87</f>
        <v>7.3499999999999091</v>
      </c>
      <c r="G110" s="4">
        <f>F110/F111</f>
        <v>7.3061630218686918E-2</v>
      </c>
      <c r="H110" s="4"/>
      <c r="I110" s="4"/>
      <c r="J110" s="4"/>
      <c r="K110" s="4"/>
      <c r="L110" s="4"/>
    </row>
    <row r="111" spans="2:12" ht="21" x14ac:dyDescent="0.35">
      <c r="B111" s="4"/>
      <c r="C111" s="4"/>
      <c r="D111" s="4" t="s">
        <v>235</v>
      </c>
      <c r="E111" s="4" t="s">
        <v>221</v>
      </c>
      <c r="F111" s="15">
        <f>G89/F89</f>
        <v>100.60000000000007</v>
      </c>
      <c r="G111" s="71"/>
      <c r="H111" s="4"/>
      <c r="I111" s="4"/>
      <c r="J111" s="4"/>
      <c r="K111" s="4"/>
      <c r="L111" s="4"/>
    </row>
    <row r="112" spans="2:12" ht="21" x14ac:dyDescent="0.35">
      <c r="B112" s="4"/>
      <c r="C112" s="4"/>
      <c r="D112" s="4"/>
      <c r="E112" s="4"/>
      <c r="F112" s="4"/>
      <c r="G112" s="71"/>
      <c r="H112" s="4"/>
      <c r="I112" s="4"/>
      <c r="J112" s="4"/>
      <c r="K112" s="4"/>
      <c r="L112" s="4"/>
    </row>
    <row r="113" spans="1:12" ht="18.75" x14ac:dyDescent="0.3">
      <c r="B113" s="4"/>
      <c r="C113" s="4"/>
      <c r="D113" s="15" t="s">
        <v>236</v>
      </c>
      <c r="E113" s="4">
        <f>_xlfn.F.INV.RT(0.05,4,6)</f>
        <v>4.5336769502752441</v>
      </c>
      <c r="F113" s="4"/>
      <c r="G113" s="4"/>
      <c r="H113" s="4"/>
      <c r="I113" s="4"/>
      <c r="J113" s="4"/>
      <c r="K113" s="4"/>
      <c r="L113" s="4"/>
    </row>
    <row r="114" spans="1:12" ht="18.75" x14ac:dyDescent="0.3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12" ht="20.25" x14ac:dyDescent="0.35">
      <c r="B115" s="4" t="s">
        <v>223</v>
      </c>
      <c r="C115" s="4"/>
      <c r="D115" s="4" t="s">
        <v>237</v>
      </c>
      <c r="E115" s="4"/>
      <c r="F115" s="4" t="s">
        <v>296</v>
      </c>
      <c r="G115" s="4"/>
      <c r="H115" s="4"/>
      <c r="I115" s="4"/>
      <c r="J115" s="4"/>
      <c r="K115" s="4"/>
      <c r="L115" s="4"/>
    </row>
    <row r="116" spans="1:12" ht="19.5" thickBot="1" x14ac:dyDescent="0.35">
      <c r="B116" s="4"/>
      <c r="C116" s="4"/>
      <c r="D116" s="4"/>
      <c r="E116" s="4"/>
      <c r="F116" s="4" t="s">
        <v>238</v>
      </c>
      <c r="G116" s="4"/>
      <c r="H116" s="4"/>
      <c r="I116" s="4"/>
      <c r="J116" s="4"/>
      <c r="K116" s="4"/>
      <c r="L116" s="4"/>
    </row>
    <row r="117" spans="1:12" ht="19.5" thickBot="1" x14ac:dyDescent="0.35">
      <c r="A117" s="72" t="s">
        <v>239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ht="22.5" x14ac:dyDescent="0.3">
      <c r="B118" s="152" t="s">
        <v>240</v>
      </c>
      <c r="C118" s="73"/>
    </row>
    <row r="119" spans="1:12" ht="15.75" thickBot="1" x14ac:dyDescent="0.3">
      <c r="E119" s="73"/>
      <c r="F119" s="73"/>
    </row>
    <row r="120" spans="1:12" ht="18" x14ac:dyDescent="0.25">
      <c r="B120" s="74" t="s">
        <v>241</v>
      </c>
      <c r="C120" s="73"/>
      <c r="E120" s="153" t="s">
        <v>27</v>
      </c>
      <c r="F120" s="75">
        <v>10</v>
      </c>
    </row>
    <row r="121" spans="1:12" ht="18" x14ac:dyDescent="0.25">
      <c r="B121" s="74" t="s">
        <v>242</v>
      </c>
      <c r="C121" s="73"/>
      <c r="E121" s="154" t="s">
        <v>24</v>
      </c>
      <c r="F121" s="76">
        <v>5</v>
      </c>
    </row>
    <row r="122" spans="1:12" ht="18" x14ac:dyDescent="0.25">
      <c r="C122" s="73"/>
      <c r="E122" s="154" t="s">
        <v>25</v>
      </c>
      <c r="F122" s="76">
        <v>2</v>
      </c>
    </row>
    <row r="123" spans="1:12" ht="21" x14ac:dyDescent="0.35">
      <c r="B123" s="77" t="s">
        <v>297</v>
      </c>
      <c r="C123" s="77">
        <f>E89/F89</f>
        <v>100.60000000000007</v>
      </c>
      <c r="E123" s="154" t="s">
        <v>30</v>
      </c>
      <c r="F123" s="76">
        <v>4</v>
      </c>
    </row>
    <row r="124" spans="1:12" ht="21" x14ac:dyDescent="0.35">
      <c r="B124" s="77" t="s">
        <v>298</v>
      </c>
      <c r="C124" s="15">
        <f>G87/F87</f>
        <v>7.3499999999999091</v>
      </c>
      <c r="E124" s="154" t="s">
        <v>299</v>
      </c>
      <c r="F124" s="76">
        <v>0</v>
      </c>
    </row>
    <row r="125" spans="1:12" ht="21.75" thickBot="1" x14ac:dyDescent="0.4">
      <c r="E125" s="155" t="s">
        <v>300</v>
      </c>
      <c r="F125" s="78">
        <v>1</v>
      </c>
    </row>
    <row r="127" spans="1:12" x14ac:dyDescent="0.25">
      <c r="C127" s="163"/>
      <c r="F127" s="163"/>
      <c r="G127" s="163"/>
    </row>
    <row r="128" spans="1:12" ht="18" x14ac:dyDescent="0.25">
      <c r="C128" s="163"/>
      <c r="D128" s="98">
        <f>1/C123</f>
        <v>9.9403578528826971E-3</v>
      </c>
      <c r="F128" s="163"/>
      <c r="G128" s="163"/>
      <c r="H128" s="98">
        <f>(10/(((4*(5-1)*C124)-((10-4)*C123))))</f>
        <v>-2.0576131687242722E-2</v>
      </c>
    </row>
    <row r="129" spans="2:7" x14ac:dyDescent="0.25">
      <c r="C129" s="163"/>
      <c r="F129" s="163"/>
      <c r="G129" s="163"/>
    </row>
    <row r="130" spans="2:7" x14ac:dyDescent="0.25">
      <c r="E130" s="163"/>
    </row>
    <row r="131" spans="2:7" ht="18" x14ac:dyDescent="0.25">
      <c r="E131" s="163"/>
      <c r="F131" s="98">
        <f>((4-1)*D128) +H128</f>
        <v>9.2449418714053676E-3</v>
      </c>
    </row>
    <row r="132" spans="2:7" x14ac:dyDescent="0.25">
      <c r="B132" s="163"/>
      <c r="C132" s="163"/>
      <c r="E132" s="163"/>
    </row>
    <row r="133" spans="2:7" ht="18" x14ac:dyDescent="0.25">
      <c r="B133" s="163"/>
      <c r="C133" s="163"/>
      <c r="D133" s="79">
        <f>(F122*F131) +( F125*(D128-H128))</f>
        <v>4.9006373282936153E-2</v>
      </c>
      <c r="E133" s="134"/>
    </row>
    <row r="134" spans="2:7" ht="18" x14ac:dyDescent="0.25">
      <c r="B134" s="134"/>
      <c r="C134" s="134"/>
      <c r="D134" s="79"/>
      <c r="E134" s="134"/>
    </row>
    <row r="135" spans="2:7" ht="18" x14ac:dyDescent="0.25">
      <c r="B135" s="163"/>
      <c r="C135" s="163"/>
      <c r="D135" s="80"/>
    </row>
    <row r="136" spans="2:7" ht="18" x14ac:dyDescent="0.25">
      <c r="B136" s="163"/>
      <c r="C136" s="163"/>
      <c r="D136" s="79">
        <f>(D128-H128)*(F125-F124)</f>
        <v>3.0516489540125417E-2</v>
      </c>
    </row>
    <row r="137" spans="2:7" ht="18" x14ac:dyDescent="0.25">
      <c r="B137" s="134"/>
      <c r="C137" s="134"/>
      <c r="D137" s="79"/>
    </row>
    <row r="138" spans="2:7" ht="18" x14ac:dyDescent="0.25">
      <c r="B138" s="163"/>
      <c r="C138" s="163"/>
      <c r="D138" s="79"/>
    </row>
    <row r="139" spans="2:7" ht="18" x14ac:dyDescent="0.25">
      <c r="B139" s="163"/>
      <c r="C139" s="163"/>
      <c r="D139" s="79">
        <f>D136*L25</f>
        <v>6.1032979080250835E-2</v>
      </c>
    </row>
    <row r="140" spans="2:7" ht="18" x14ac:dyDescent="0.25">
      <c r="B140" s="134"/>
      <c r="C140" s="134"/>
      <c r="D140" s="79"/>
    </row>
    <row r="141" spans="2:7" ht="18" x14ac:dyDescent="0.25">
      <c r="B141" s="163"/>
      <c r="C141" s="163"/>
      <c r="D141" s="79"/>
    </row>
    <row r="142" spans="2:7" ht="18" x14ac:dyDescent="0.25">
      <c r="B142" s="163"/>
      <c r="C142" s="163"/>
      <c r="D142" s="79">
        <f>D133+D136*(K21-K25)</f>
        <v>1.8489883742810735E-2</v>
      </c>
    </row>
    <row r="143" spans="2:7" ht="18" x14ac:dyDescent="0.25">
      <c r="D143" s="80"/>
    </row>
    <row r="144" spans="2:7" x14ac:dyDescent="0.25">
      <c r="B144" s="163"/>
      <c r="C144" s="163"/>
    </row>
    <row r="145" spans="2:10" ht="18" x14ac:dyDescent="0.25">
      <c r="B145" s="163"/>
      <c r="C145" s="163"/>
      <c r="D145" s="79">
        <f>(D133*D142)-(D136*D139)</f>
        <v>-9.5639012304689255E-4</v>
      </c>
    </row>
    <row r="146" spans="2:10" ht="18" x14ac:dyDescent="0.25">
      <c r="B146" s="134"/>
      <c r="C146" s="134"/>
      <c r="D146" s="79"/>
    </row>
    <row r="147" spans="2:10" ht="15.75" thickBot="1" x14ac:dyDescent="0.3"/>
    <row r="148" spans="2:10" ht="66" customHeight="1" thickBot="1" x14ac:dyDescent="0.3">
      <c r="D148" s="81" t="s">
        <v>243</v>
      </c>
      <c r="E148" s="82" t="s">
        <v>244</v>
      </c>
      <c r="F148" s="82" t="s">
        <v>168</v>
      </c>
      <c r="G148" s="83"/>
      <c r="H148" s="83" t="s">
        <v>245</v>
      </c>
      <c r="I148" s="82" t="s">
        <v>246</v>
      </c>
      <c r="J148" s="84" t="s">
        <v>247</v>
      </c>
    </row>
    <row r="149" spans="2:10" ht="20.25" x14ac:dyDescent="0.25">
      <c r="D149" s="85">
        <v>1</v>
      </c>
      <c r="E149" s="86">
        <f>14+31</f>
        <v>45</v>
      </c>
      <c r="F149" s="86">
        <v>372</v>
      </c>
      <c r="G149" s="86">
        <f>($D$128*E149)-(($D$128-$H$128)*F149) -($H$128*930)</f>
        <v>8.2309844635887988</v>
      </c>
      <c r="H149" s="86" t="s">
        <v>131</v>
      </c>
      <c r="I149" s="86">
        <f>G156+G157+G158</f>
        <v>25.478241661144128</v>
      </c>
      <c r="J149" s="87">
        <f>G149*I149</f>
        <v>209.71101127243818</v>
      </c>
    </row>
    <row r="150" spans="2:10" ht="20.25" x14ac:dyDescent="0.25">
      <c r="D150" s="88">
        <v>2</v>
      </c>
      <c r="E150" s="89">
        <f>43+51</f>
        <v>94</v>
      </c>
      <c r="F150" s="89">
        <v>318</v>
      </c>
      <c r="G150" s="86">
        <f t="shared" ref="G150:G158" si="2">($D$128*E150)-(($D$128-$H$128)*F150) -($H$128*930)</f>
        <v>10.365952433546823</v>
      </c>
      <c r="H150" s="89" t="s">
        <v>134</v>
      </c>
      <c r="I150" s="89">
        <f>G154+G155+G156</f>
        <v>23.892202341506412</v>
      </c>
      <c r="J150" s="90">
        <f t="shared" ref="J150:J158" si="3">G150*I150</f>
        <v>247.66543300473151</v>
      </c>
    </row>
    <row r="151" spans="2:10" ht="20.25" x14ac:dyDescent="0.25">
      <c r="D151" s="88">
        <v>3</v>
      </c>
      <c r="E151" s="89">
        <f>34+32</f>
        <v>66</v>
      </c>
      <c r="F151" s="89">
        <v>313</v>
      </c>
      <c r="G151" s="86">
        <f t="shared" si="2"/>
        <v>10.240204861366735</v>
      </c>
      <c r="H151" s="89" t="s">
        <v>139</v>
      </c>
      <c r="I151" s="89">
        <f>G153+G154+G157</f>
        <v>23.41805136260615</v>
      </c>
      <c r="J151" s="90">
        <f t="shared" si="3"/>
        <v>239.80564340709537</v>
      </c>
    </row>
    <row r="152" spans="2:10" ht="20.25" x14ac:dyDescent="0.25">
      <c r="D152" s="88">
        <v>4</v>
      </c>
      <c r="E152" s="89">
        <f>36+52</f>
        <v>88</v>
      </c>
      <c r="F152" s="89">
        <v>359</v>
      </c>
      <c r="G152" s="86">
        <f t="shared" si="2"/>
        <v>9.0551342152843848</v>
      </c>
      <c r="H152" s="89" t="s">
        <v>144</v>
      </c>
      <c r="I152" s="89">
        <f>G153+G155+G158</f>
        <v>25.589385497713192</v>
      </c>
      <c r="J152" s="90">
        <f t="shared" si="3"/>
        <v>231.71532016844475</v>
      </c>
    </row>
    <row r="153" spans="2:10" ht="20.25" x14ac:dyDescent="0.25">
      <c r="D153" s="88">
        <v>5</v>
      </c>
      <c r="E153" s="89">
        <f>80+89</f>
        <v>169</v>
      </c>
      <c r="F153" s="89">
        <v>402</v>
      </c>
      <c r="G153" s="86">
        <f t="shared" si="2"/>
        <v>8.5480941511424895</v>
      </c>
      <c r="H153" s="89" t="s">
        <v>248</v>
      </c>
      <c r="I153" s="89">
        <f>G152+G151+G156</f>
        <v>28.024936798959207</v>
      </c>
      <c r="J153" s="90">
        <f t="shared" si="3"/>
        <v>239.55979833732113</v>
      </c>
    </row>
    <row r="154" spans="2:10" ht="20.25" x14ac:dyDescent="0.25">
      <c r="D154" s="88">
        <v>6</v>
      </c>
      <c r="E154" s="89">
        <f>69+89</f>
        <v>158</v>
      </c>
      <c r="F154" s="89">
        <v>443</v>
      </c>
      <c r="G154" s="86">
        <f t="shared" si="2"/>
        <v>7.18757414361564</v>
      </c>
      <c r="H154" s="89" t="s">
        <v>150</v>
      </c>
      <c r="I154" s="89">
        <f>G150+G151+G158</f>
        <v>29.672418165901579</v>
      </c>
      <c r="J154" s="90">
        <f t="shared" si="3"/>
        <v>213.2727055877852</v>
      </c>
    </row>
    <row r="155" spans="2:10" ht="20.25" x14ac:dyDescent="0.25">
      <c r="D155" s="88">
        <v>7</v>
      </c>
      <c r="E155" s="89">
        <f>45+51</f>
        <v>96</v>
      </c>
      <c r="F155" s="89">
        <v>397</v>
      </c>
      <c r="G155" s="86">
        <f t="shared" si="2"/>
        <v>7.9750304755826811</v>
      </c>
      <c r="H155" s="89" t="s">
        <v>155</v>
      </c>
      <c r="I155" s="89">
        <f>G150+G152+G157</f>
        <v>27.103469716679225</v>
      </c>
      <c r="J155" s="90">
        <f t="shared" si="3"/>
        <v>216.15099698454912</v>
      </c>
    </row>
    <row r="156" spans="2:10" ht="20.25" x14ac:dyDescent="0.25">
      <c r="D156" s="88">
        <v>8</v>
      </c>
      <c r="E156" s="89">
        <f>69+63</f>
        <v>132</v>
      </c>
      <c r="F156" s="89">
        <v>384</v>
      </c>
      <c r="G156" s="86">
        <f>($D$128*E156)-(($D$128-$H$128)*F156) -($H$128*930)</f>
        <v>8.7295977223080889</v>
      </c>
      <c r="H156" s="89" t="s">
        <v>159</v>
      </c>
      <c r="I156" s="89">
        <f>G149+G150+G153</f>
        <v>27.14503104827811</v>
      </c>
      <c r="J156" s="90">
        <f t="shared" si="3"/>
        <v>236.96520121103094</v>
      </c>
    </row>
    <row r="157" spans="2:10" ht="20.25" x14ac:dyDescent="0.25">
      <c r="D157" s="88">
        <v>9</v>
      </c>
      <c r="E157" s="89">
        <f>25+17</f>
        <v>42</v>
      </c>
      <c r="F157" s="89">
        <v>389</v>
      </c>
      <c r="G157" s="86">
        <f t="shared" si="2"/>
        <v>7.6823830678480185</v>
      </c>
      <c r="H157" s="89" t="s">
        <v>162</v>
      </c>
      <c r="I157" s="89">
        <f>G149+G151+G155</f>
        <v>26.446219800538213</v>
      </c>
      <c r="J157" s="90">
        <f t="shared" si="3"/>
        <v>203.16999120424177</v>
      </c>
    </row>
    <row r="158" spans="2:10" ht="21" thickBot="1" x14ac:dyDescent="0.3">
      <c r="D158" s="91">
        <v>10</v>
      </c>
      <c r="E158" s="92">
        <f>23+17</f>
        <v>40</v>
      </c>
      <c r="F158" s="92">
        <v>343</v>
      </c>
      <c r="G158" s="86">
        <f t="shared" si="2"/>
        <v>9.066260870988021</v>
      </c>
      <c r="H158" s="92" t="s">
        <v>164</v>
      </c>
      <c r="I158" s="92">
        <f>G149+G152+G154</f>
        <v>24.473692822488822</v>
      </c>
      <c r="J158" s="93">
        <f t="shared" si="3"/>
        <v>221.88488360511079</v>
      </c>
    </row>
    <row r="159" spans="2:10" ht="21" thickBot="1" x14ac:dyDescent="0.3">
      <c r="D159" s="94" t="s">
        <v>59</v>
      </c>
      <c r="E159" s="95">
        <f>SUM(E149:E158)</f>
        <v>930</v>
      </c>
      <c r="F159" s="95">
        <f>SUM(F149:F158)</f>
        <v>3720</v>
      </c>
      <c r="G159" s="95">
        <f>SUM(G149:G158)</f>
        <v>87.081216405271675</v>
      </c>
      <c r="H159" s="95"/>
      <c r="I159" s="95">
        <f>SUM(I149:I158)</f>
        <v>261.24364921581503</v>
      </c>
      <c r="J159" s="96">
        <f>SUM(J149:J158)</f>
        <v>2259.9009847827488</v>
      </c>
    </row>
    <row r="162" spans="3:12" ht="18" x14ac:dyDescent="0.25">
      <c r="C162" s="97" t="s">
        <v>249</v>
      </c>
      <c r="D162" s="98" t="s">
        <v>250</v>
      </c>
      <c r="E162" s="77"/>
      <c r="F162" s="98"/>
    </row>
    <row r="163" spans="3:12" ht="21" x14ac:dyDescent="0.35">
      <c r="D163" s="80" t="s">
        <v>251</v>
      </c>
      <c r="E163" s="77"/>
      <c r="F163" s="98"/>
    </row>
    <row r="164" spans="3:12" ht="21" x14ac:dyDescent="0.35">
      <c r="D164" s="98" t="s">
        <v>252</v>
      </c>
      <c r="E164" s="77"/>
      <c r="F164" s="98"/>
    </row>
    <row r="166" spans="3:12" x14ac:dyDescent="0.25">
      <c r="D166" s="163"/>
      <c r="E166" s="163"/>
    </row>
    <row r="167" spans="3:12" ht="18" x14ac:dyDescent="0.25">
      <c r="D167" s="163"/>
      <c r="E167" s="163"/>
      <c r="F167" s="156">
        <f>(((D142*SUMSQ(G149:G158)) - ((D136*SUM(J149:J158))))/(4*9*D145))</f>
        <v>1590.6880889127958</v>
      </c>
    </row>
    <row r="168" spans="3:12" x14ac:dyDescent="0.25">
      <c r="D168" s="163"/>
      <c r="E168" s="163"/>
    </row>
    <row r="170" spans="3:12" x14ac:dyDescent="0.25">
      <c r="D170" s="163"/>
      <c r="E170" s="163"/>
    </row>
    <row r="171" spans="3:12" ht="18" x14ac:dyDescent="0.25">
      <c r="D171" s="163"/>
      <c r="E171" s="163"/>
      <c r="F171" s="77">
        <f>_xlfn.F.INV.RT(0.05,9,6)</f>
        <v>4.099015541716521</v>
      </c>
    </row>
    <row r="173" spans="3:12" ht="20.25" x14ac:dyDescent="0.3">
      <c r="D173" s="99" t="s">
        <v>301</v>
      </c>
      <c r="E173" s="98"/>
      <c r="F173" s="98"/>
      <c r="G173" s="98"/>
      <c r="H173" s="98"/>
      <c r="I173" s="98"/>
      <c r="J173" s="98"/>
      <c r="K173" s="98"/>
      <c r="L173" s="73"/>
    </row>
    <row r="174" spans="3:12" ht="18" x14ac:dyDescent="0.25">
      <c r="D174" s="73"/>
      <c r="E174" s="98" t="s">
        <v>253</v>
      </c>
      <c r="F174" s="73"/>
      <c r="G174" s="73"/>
      <c r="H174" s="73"/>
      <c r="I174" s="73"/>
      <c r="J174" s="73"/>
      <c r="K174" s="73"/>
      <c r="L174" s="73"/>
    </row>
    <row r="175" spans="3:12" ht="18" x14ac:dyDescent="0.25">
      <c r="E175" s="98" t="s">
        <v>254</v>
      </c>
    </row>
  </sheetData>
  <mergeCells count="31">
    <mergeCell ref="D54:E54"/>
    <mergeCell ref="J1:K1"/>
    <mergeCell ref="J2:K2"/>
    <mergeCell ref="C7:F7"/>
    <mergeCell ref="C31:F31"/>
    <mergeCell ref="D53:E53"/>
    <mergeCell ref="B84:D84"/>
    <mergeCell ref="D55:E55"/>
    <mergeCell ref="D56:E56"/>
    <mergeCell ref="B67:E67"/>
    <mergeCell ref="B68:C68"/>
    <mergeCell ref="B71:E71"/>
    <mergeCell ref="B72:C72"/>
    <mergeCell ref="D72:D73"/>
    <mergeCell ref="B75:E75"/>
    <mergeCell ref="B76:C76"/>
    <mergeCell ref="D76:D77"/>
    <mergeCell ref="B79:D79"/>
    <mergeCell ref="B80:C80"/>
    <mergeCell ref="D170:E171"/>
    <mergeCell ref="B92:D92"/>
    <mergeCell ref="B105:D105"/>
    <mergeCell ref="C127:C129"/>
    <mergeCell ref="F127:G129"/>
    <mergeCell ref="E130:E132"/>
    <mergeCell ref="B132:C133"/>
    <mergeCell ref="B135:C136"/>
    <mergeCell ref="B138:C139"/>
    <mergeCell ref="B141:C142"/>
    <mergeCell ref="B144:C145"/>
    <mergeCell ref="D166:E16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8A24-F13F-4CD7-905D-DC0028BCE543}">
  <dimension ref="A1:S133"/>
  <sheetViews>
    <sheetView workbookViewId="0">
      <selection activeCell="M26" sqref="M26"/>
    </sheetView>
  </sheetViews>
  <sheetFormatPr defaultColWidth="12.140625" defaultRowHeight="15.75" x14ac:dyDescent="0.25"/>
  <cols>
    <col min="1" max="2" width="12.140625" style="44"/>
    <col min="3" max="3" width="16.5703125" style="44" customWidth="1"/>
    <col min="4" max="5" width="12.140625" style="44"/>
    <col min="6" max="6" width="15" style="44" bestFit="1" customWidth="1"/>
    <col min="7" max="16384" width="12.140625" style="44"/>
  </cols>
  <sheetData>
    <row r="1" spans="1:19" ht="15.75" customHeight="1" x14ac:dyDescent="0.25">
      <c r="A1" s="100"/>
      <c r="E1" s="203" t="s">
        <v>255</v>
      </c>
      <c r="F1" s="203"/>
      <c r="G1" s="203"/>
      <c r="H1" s="203"/>
      <c r="I1" s="203"/>
      <c r="J1" s="203"/>
      <c r="K1" s="203"/>
      <c r="N1" s="181"/>
      <c r="O1" s="181"/>
    </row>
    <row r="2" spans="1:19" x14ac:dyDescent="0.25">
      <c r="E2" s="203"/>
      <c r="F2" s="203"/>
      <c r="G2" s="203"/>
      <c r="H2" s="203"/>
      <c r="I2" s="203"/>
      <c r="J2" s="203"/>
      <c r="K2" s="203"/>
      <c r="N2" s="204"/>
      <c r="O2" s="204"/>
    </row>
    <row r="4" spans="1:19" x14ac:dyDescent="0.25">
      <c r="A4" s="157" t="s">
        <v>256</v>
      </c>
      <c r="B4" s="101" t="s">
        <v>257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</row>
    <row r="5" spans="1:19" x14ac:dyDescent="0.25">
      <c r="B5" s="101" t="s">
        <v>258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</row>
    <row r="6" spans="1:19" x14ac:dyDescent="0.25">
      <c r="B6" s="101" t="s">
        <v>259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</row>
    <row r="8" spans="1:19" ht="18.75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ht="18.75" x14ac:dyDescent="0.3">
      <c r="A9" s="4"/>
      <c r="B9" s="4"/>
      <c r="C9" s="205"/>
      <c r="D9" s="207" t="s">
        <v>260</v>
      </c>
      <c r="E9" s="207"/>
      <c r="F9" s="207"/>
      <c r="G9" s="207"/>
      <c r="H9" s="207"/>
      <c r="I9" s="207"/>
      <c r="J9" s="207"/>
      <c r="K9" s="207"/>
      <c r="L9" s="205" t="s">
        <v>261</v>
      </c>
      <c r="M9" s="174" t="s">
        <v>262</v>
      </c>
      <c r="N9" s="4"/>
      <c r="O9" s="4"/>
      <c r="P9" s="4"/>
      <c r="Q9" s="4"/>
      <c r="R9" s="4"/>
      <c r="S9" s="4"/>
    </row>
    <row r="10" spans="1:19" ht="18.75" x14ac:dyDescent="0.3">
      <c r="A10" s="4"/>
      <c r="B10" s="4"/>
      <c r="C10" s="206"/>
      <c r="D10" s="5">
        <v>1</v>
      </c>
      <c r="E10" s="5">
        <v>2</v>
      </c>
      <c r="F10" s="5">
        <v>3</v>
      </c>
      <c r="G10" s="5">
        <v>4</v>
      </c>
      <c r="H10" s="5">
        <v>5</v>
      </c>
      <c r="I10" s="5">
        <v>6</v>
      </c>
      <c r="J10" s="5">
        <v>7</v>
      </c>
      <c r="K10" s="5">
        <v>8</v>
      </c>
      <c r="L10" s="206"/>
      <c r="M10" s="174"/>
      <c r="N10" s="4"/>
      <c r="O10" s="4"/>
      <c r="P10" s="4"/>
      <c r="Q10" s="4"/>
      <c r="R10" s="4"/>
      <c r="S10" s="4"/>
    </row>
    <row r="11" spans="1:19" ht="18.75" x14ac:dyDescent="0.3">
      <c r="A11" s="4"/>
      <c r="B11" s="4"/>
      <c r="C11" s="102" t="s">
        <v>263</v>
      </c>
      <c r="D11" s="102">
        <v>0.8</v>
      </c>
      <c r="E11" s="102">
        <v>0.81899999999999995</v>
      </c>
      <c r="F11" s="102">
        <v>0.88600000000000001</v>
      </c>
      <c r="G11" s="102">
        <v>0.82399999999999995</v>
      </c>
      <c r="H11" s="102">
        <v>0.82</v>
      </c>
      <c r="I11" s="102">
        <v>0.90600000000000003</v>
      </c>
      <c r="J11" s="102">
        <v>0.8</v>
      </c>
      <c r="K11" s="102">
        <v>0.83699999999999997</v>
      </c>
      <c r="L11" s="5">
        <f t="array" ref="L11">SUM(D11:K11)</f>
        <v>6.6919999999999993</v>
      </c>
      <c r="M11" s="5">
        <f t="array" ref="M11">L11^2</f>
        <v>44.782863999999989</v>
      </c>
      <c r="Q11" s="4"/>
      <c r="R11" s="4"/>
      <c r="S11" s="4"/>
    </row>
    <row r="12" spans="1:19" ht="18.75" x14ac:dyDescent="0.3">
      <c r="A12" s="4"/>
      <c r="B12" s="4"/>
      <c r="C12" s="102" t="s">
        <v>264</v>
      </c>
      <c r="D12" s="102">
        <v>0.80900000000000005</v>
      </c>
      <c r="E12" s="102">
        <v>0.85799999999999998</v>
      </c>
      <c r="F12" s="102">
        <v>0.86499999999999999</v>
      </c>
      <c r="G12" s="102">
        <v>0.876</v>
      </c>
      <c r="H12" s="102">
        <v>0.90300000000000002</v>
      </c>
      <c r="I12" s="102">
        <v>0.82</v>
      </c>
      <c r="J12" s="102">
        <v>0.86699999999999999</v>
      </c>
      <c r="K12" s="102">
        <v>0.85199999999999998</v>
      </c>
      <c r="L12" s="5">
        <f t="shared" ref="L12:L13" si="0">SUM(D12:K12)</f>
        <v>6.8500000000000005</v>
      </c>
      <c r="M12" s="5">
        <f t="shared" ref="M12:M13" si="1">L12^2</f>
        <v>46.922500000000007</v>
      </c>
      <c r="Q12" s="4"/>
      <c r="R12" s="4"/>
      <c r="S12" s="4"/>
    </row>
    <row r="13" spans="1:19" ht="18.75" x14ac:dyDescent="0.3">
      <c r="A13" s="4"/>
      <c r="B13" s="4"/>
      <c r="C13" s="102" t="s">
        <v>265</v>
      </c>
      <c r="D13" s="102">
        <v>0.83199999999999996</v>
      </c>
      <c r="E13" s="102">
        <v>0.83499999999999996</v>
      </c>
      <c r="F13" s="102">
        <v>0.83699999999999997</v>
      </c>
      <c r="G13" s="102">
        <v>0.9</v>
      </c>
      <c r="H13" s="102">
        <v>0.877</v>
      </c>
      <c r="I13" s="102">
        <v>0.86499999999999999</v>
      </c>
      <c r="J13" s="102">
        <v>0.85699999999999998</v>
      </c>
      <c r="K13" s="102">
        <v>0.84699999999999998</v>
      </c>
      <c r="L13" s="5">
        <f t="shared" si="0"/>
        <v>6.85</v>
      </c>
      <c r="M13" s="5">
        <f t="shared" si="1"/>
        <v>46.922499999999992</v>
      </c>
      <c r="N13" s="4"/>
      <c r="O13" s="4"/>
      <c r="P13" s="4"/>
      <c r="Q13" s="4"/>
      <c r="R13" s="4"/>
      <c r="S13" s="4"/>
    </row>
    <row r="14" spans="1:19" ht="18.75" x14ac:dyDescent="0.3">
      <c r="A14" s="4"/>
      <c r="B14" s="4"/>
      <c r="C14" s="5" t="s">
        <v>43</v>
      </c>
      <c r="D14" s="5">
        <f t="array" ref="D14">SUM(D11:D13)</f>
        <v>2.4409999999999998</v>
      </c>
      <c r="E14" s="5">
        <f t="shared" ref="E14:K14" si="2">SUM(E11:E13)</f>
        <v>2.512</v>
      </c>
      <c r="F14" s="5">
        <f t="shared" si="2"/>
        <v>2.5880000000000001</v>
      </c>
      <c r="G14" s="5">
        <f t="shared" si="2"/>
        <v>2.6</v>
      </c>
      <c r="H14" s="5">
        <f t="shared" si="2"/>
        <v>2.5999999999999996</v>
      </c>
      <c r="I14" s="5">
        <f t="shared" si="2"/>
        <v>2.5910000000000002</v>
      </c>
      <c r="J14" s="5">
        <f t="shared" si="2"/>
        <v>2.524</v>
      </c>
      <c r="K14" s="5">
        <f t="shared" si="2"/>
        <v>2.536</v>
      </c>
      <c r="L14" s="5">
        <f>SUM(D11:K13)</f>
        <v>20.391999999999999</v>
      </c>
      <c r="M14" s="5">
        <f>SUM(M11:M13)</f>
        <v>138.62786399999999</v>
      </c>
      <c r="N14" s="4"/>
      <c r="O14" s="4"/>
      <c r="P14" s="4"/>
      <c r="Q14" s="4"/>
      <c r="R14" s="4"/>
      <c r="S14" s="4"/>
    </row>
    <row r="15" spans="1:19" ht="18.75" x14ac:dyDescent="0.3">
      <c r="A15" s="4"/>
      <c r="B15" s="4"/>
      <c r="C15" s="5" t="s">
        <v>266</v>
      </c>
      <c r="D15" s="5">
        <f t="array" ref="D15">D14^2</f>
        <v>5.958480999999999</v>
      </c>
      <c r="E15" s="5">
        <f t="shared" ref="E15:K15" si="3">E14^2</f>
        <v>6.3101440000000002</v>
      </c>
      <c r="F15" s="5">
        <f t="shared" si="3"/>
        <v>6.6977440000000001</v>
      </c>
      <c r="G15" s="5">
        <f t="shared" si="3"/>
        <v>6.7600000000000007</v>
      </c>
      <c r="H15" s="5">
        <f t="shared" si="3"/>
        <v>6.759999999999998</v>
      </c>
      <c r="I15" s="5">
        <f t="shared" si="3"/>
        <v>6.7132810000000012</v>
      </c>
      <c r="J15" s="5">
        <f t="shared" si="3"/>
        <v>6.3705759999999998</v>
      </c>
      <c r="K15" s="5">
        <f t="shared" si="3"/>
        <v>6.4312960000000006</v>
      </c>
      <c r="L15" s="5">
        <f>SUM(D15:K15)</f>
        <v>52.001522000000001</v>
      </c>
      <c r="M15" s="5"/>
      <c r="N15" s="4"/>
      <c r="O15" s="4"/>
      <c r="P15" s="4"/>
      <c r="Q15" s="4"/>
      <c r="R15" s="4"/>
      <c r="S15" s="4"/>
    </row>
    <row r="16" spans="1:19" ht="18.75" x14ac:dyDescent="0.3">
      <c r="A16" s="4"/>
      <c r="B16" s="4"/>
      <c r="C16" s="15"/>
      <c r="D16" s="15"/>
      <c r="H16" s="15"/>
      <c r="I16" s="15"/>
      <c r="J16" s="15"/>
      <c r="K16" s="15"/>
      <c r="L16" s="15"/>
      <c r="M16" s="134"/>
      <c r="N16" s="4"/>
      <c r="O16" s="4"/>
      <c r="P16" s="4"/>
      <c r="Q16" s="4"/>
      <c r="R16" s="4"/>
      <c r="S16" s="4"/>
    </row>
    <row r="17" spans="1:19" ht="18.75" x14ac:dyDescent="0.3">
      <c r="A17" s="4"/>
      <c r="B17" s="4"/>
      <c r="C17" s="15" t="s">
        <v>267</v>
      </c>
      <c r="D17" s="174" t="s">
        <v>268</v>
      </c>
      <c r="E17" s="174"/>
      <c r="F17" s="5" t="s">
        <v>269</v>
      </c>
      <c r="G17" s="5">
        <v>3</v>
      </c>
      <c r="H17" s="15"/>
      <c r="I17" s="157" t="s">
        <v>270</v>
      </c>
      <c r="J17" s="121">
        <f>L14</f>
        <v>20.391999999999999</v>
      </c>
      <c r="K17" s="15"/>
      <c r="L17" s="15"/>
      <c r="M17" s="4"/>
      <c r="N17" s="4"/>
      <c r="O17" s="4"/>
      <c r="P17" s="4"/>
      <c r="Q17" s="4"/>
      <c r="R17" s="4"/>
      <c r="S17" s="4"/>
    </row>
    <row r="18" spans="1:19" ht="18.75" x14ac:dyDescent="0.3">
      <c r="A18" s="4"/>
      <c r="B18" s="4"/>
      <c r="C18" s="15"/>
      <c r="D18" s="174" t="s">
        <v>271</v>
      </c>
      <c r="E18" s="174"/>
      <c r="F18" s="5" t="s">
        <v>272</v>
      </c>
      <c r="G18" s="5">
        <v>8</v>
      </c>
      <c r="H18" s="15"/>
      <c r="I18" s="157" t="s">
        <v>273</v>
      </c>
      <c r="J18" s="121">
        <f>(J17^2)/(8*3)</f>
        <v>17.326402666666667</v>
      </c>
      <c r="K18" s="15"/>
      <c r="L18" s="15"/>
      <c r="M18" s="4"/>
      <c r="N18" s="4"/>
      <c r="O18" s="4"/>
      <c r="P18" s="4"/>
      <c r="Q18" s="4"/>
      <c r="R18" s="4"/>
      <c r="S18" s="4"/>
    </row>
    <row r="19" spans="1:19" ht="18.75" x14ac:dyDescent="0.3">
      <c r="A19" s="4"/>
      <c r="B19" s="4"/>
      <c r="C19" s="4"/>
      <c r="D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ht="18.75" x14ac:dyDescent="0.3">
      <c r="A20" s="4"/>
      <c r="B20" s="4" t="s">
        <v>274</v>
      </c>
      <c r="C20" s="4"/>
      <c r="D20" s="4" t="s">
        <v>275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ht="18.75" x14ac:dyDescent="0.3">
      <c r="A21" s="4"/>
      <c r="B21" s="4"/>
      <c r="C21" s="4"/>
      <c r="D21" s="4" t="s">
        <v>276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ht="18.75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N22" s="4"/>
      <c r="O22" s="4"/>
      <c r="P22" s="4"/>
      <c r="Q22" s="4"/>
      <c r="R22" s="4"/>
      <c r="S22" s="4"/>
    </row>
    <row r="23" spans="1:19" ht="18.75" x14ac:dyDescent="0.3">
      <c r="A23" s="4"/>
      <c r="B23" s="4"/>
      <c r="C23" s="4" t="s">
        <v>277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ht="18.75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/>
      <c r="N24"/>
      <c r="O24"/>
      <c r="P24"/>
      <c r="Q24"/>
      <c r="R24"/>
      <c r="S24" s="4"/>
    </row>
    <row r="25" spans="1:19" ht="18.75" x14ac:dyDescent="0.3">
      <c r="A25" s="4"/>
      <c r="B25" s="4"/>
      <c r="C25" s="4"/>
      <c r="D25" s="174"/>
      <c r="E25" s="174"/>
      <c r="F25" s="174"/>
      <c r="G25" s="4"/>
      <c r="H25" s="4"/>
      <c r="I25" s="174"/>
      <c r="J25" s="174"/>
      <c r="K25" s="174"/>
      <c r="L25" s="174"/>
      <c r="M25"/>
      <c r="N25"/>
      <c r="O25"/>
      <c r="P25"/>
      <c r="Q25"/>
      <c r="R25"/>
      <c r="S25" s="4"/>
    </row>
    <row r="26" spans="1:19" ht="18.75" x14ac:dyDescent="0.3">
      <c r="A26" s="4"/>
      <c r="B26" s="4"/>
      <c r="C26" s="4"/>
      <c r="D26" s="174"/>
      <c r="E26" s="174"/>
      <c r="F26" s="174"/>
      <c r="G26" s="134">
        <f>(M14/8)-J18</f>
        <v>2.0803333333319074E-3</v>
      </c>
      <c r="H26" s="4"/>
      <c r="I26" s="174"/>
      <c r="J26" s="174"/>
      <c r="K26" s="174"/>
      <c r="L26" s="174"/>
      <c r="M26" s="134">
        <f>SUMSQ(D11:K13)-(L15/G17)</f>
        <v>1.5575333333330832E-2</v>
      </c>
      <c r="N26"/>
      <c r="O26"/>
      <c r="P26"/>
      <c r="R26"/>
      <c r="S26" s="4"/>
    </row>
    <row r="27" spans="1:19" ht="18.75" x14ac:dyDescent="0.3">
      <c r="A27" s="4"/>
      <c r="B27" s="4"/>
      <c r="C27" s="4"/>
      <c r="D27" s="174"/>
      <c r="E27" s="174"/>
      <c r="F27" s="174"/>
      <c r="G27" s="4"/>
      <c r="H27" s="4"/>
      <c r="I27" s="174"/>
      <c r="J27" s="174"/>
      <c r="K27" s="174"/>
      <c r="L27" s="174"/>
      <c r="M27"/>
      <c r="N27"/>
      <c r="O27"/>
      <c r="P27"/>
      <c r="Q27" s="134"/>
      <c r="R27"/>
      <c r="S27" s="4"/>
    </row>
    <row r="28" spans="1:19" ht="18.75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/>
      <c r="N28"/>
      <c r="O28"/>
      <c r="P28"/>
      <c r="Q28" s="134"/>
      <c r="R28"/>
      <c r="S28" s="4"/>
    </row>
    <row r="29" spans="1:19" ht="18.75" x14ac:dyDescent="0.3">
      <c r="A29" s="4"/>
      <c r="B29" s="4"/>
      <c r="C29" s="4"/>
      <c r="D29" s="174"/>
      <c r="E29" s="174"/>
      <c r="F29" s="174"/>
      <c r="G29" s="4"/>
      <c r="H29" s="4"/>
      <c r="I29" s="4"/>
      <c r="J29" s="4"/>
      <c r="K29" s="4"/>
      <c r="L29" s="4"/>
      <c r="M29"/>
      <c r="N29"/>
      <c r="O29"/>
      <c r="P29"/>
      <c r="Q29" s="134"/>
      <c r="R29"/>
      <c r="S29" s="4"/>
    </row>
    <row r="30" spans="1:19" ht="18.75" x14ac:dyDescent="0.3">
      <c r="A30" s="4"/>
      <c r="B30" s="4"/>
      <c r="C30" s="4"/>
      <c r="D30" s="174"/>
      <c r="E30" s="174"/>
      <c r="F30" s="174"/>
      <c r="G30" s="134">
        <f>(L15/G17)-J18</f>
        <v>7.4380000000004998E-3</v>
      </c>
      <c r="H30" s="4"/>
      <c r="I30" s="164" t="s">
        <v>278</v>
      </c>
      <c r="J30" s="164"/>
      <c r="K30" s="164"/>
      <c r="L30" s="164"/>
      <c r="M30">
        <f>M26-G26</f>
        <v>1.3494999999998925E-2</v>
      </c>
      <c r="N30"/>
      <c r="O30"/>
      <c r="P30"/>
      <c r="Q30" s="134"/>
      <c r="R30"/>
      <c r="S30" s="4"/>
    </row>
    <row r="31" spans="1:19" ht="18.75" x14ac:dyDescent="0.3">
      <c r="A31" s="4"/>
      <c r="B31" s="4"/>
      <c r="C31" s="4"/>
      <c r="D31" s="174"/>
      <c r="E31" s="174"/>
      <c r="F31" s="174"/>
      <c r="G31" s="4"/>
      <c r="H31" s="4"/>
      <c r="I31" s="4"/>
      <c r="J31" s="4"/>
      <c r="K31" s="4"/>
      <c r="L31" s="4"/>
      <c r="R31"/>
      <c r="S31" s="4"/>
    </row>
    <row r="32" spans="1:19" ht="18.75" x14ac:dyDescent="0.3">
      <c r="A32" s="4"/>
      <c r="B32" s="4"/>
      <c r="C32" s="4"/>
      <c r="D32" s="4"/>
      <c r="E32" s="4"/>
      <c r="F32" s="4"/>
      <c r="G32" s="4"/>
      <c r="I32" s="4"/>
      <c r="J32" s="4"/>
      <c r="K32" s="4"/>
      <c r="L32" s="4"/>
      <c r="M32"/>
      <c r="N32"/>
      <c r="O32"/>
      <c r="P32"/>
      <c r="R32"/>
      <c r="S32" s="4"/>
    </row>
    <row r="33" spans="1:19" ht="19.5" thickBot="1" x14ac:dyDescent="0.35">
      <c r="A33" s="4"/>
      <c r="B33" s="4"/>
      <c r="C33" s="4"/>
      <c r="D33" s="174"/>
      <c r="E33" s="174"/>
      <c r="F33" s="174"/>
      <c r="G33" s="4"/>
      <c r="H33" s="4"/>
      <c r="I33" s="34" t="s">
        <v>279</v>
      </c>
      <c r="J33" s="70" t="s">
        <v>280</v>
      </c>
      <c r="K33" s="4"/>
      <c r="L33" s="4"/>
      <c r="M33"/>
      <c r="N33"/>
      <c r="O33"/>
      <c r="P33"/>
      <c r="Q33" s="134"/>
      <c r="R33"/>
      <c r="S33" s="4"/>
    </row>
    <row r="34" spans="1:19" ht="18.75" x14ac:dyDescent="0.3">
      <c r="A34" s="4"/>
      <c r="B34" s="4"/>
      <c r="C34" s="4"/>
      <c r="D34" s="174"/>
      <c r="E34" s="174"/>
      <c r="F34" s="174"/>
      <c r="G34">
        <f t="array" ref="G34">SUMSQ(D11:K13)-J18</f>
        <v>2.3013333333331332E-2</v>
      </c>
      <c r="I34" s="4"/>
      <c r="J34" s="15" t="s">
        <v>281</v>
      </c>
      <c r="L34" s="4"/>
      <c r="M34"/>
      <c r="N34"/>
      <c r="O34"/>
      <c r="P34"/>
      <c r="Q34" s="134"/>
      <c r="R34"/>
      <c r="S34" s="4"/>
    </row>
    <row r="35" spans="1:19" ht="18.75" x14ac:dyDescent="0.3">
      <c r="A35" s="4"/>
      <c r="B35" s="4"/>
      <c r="C35" s="4"/>
      <c r="D35" s="174"/>
      <c r="E35" s="174"/>
      <c r="F35" s="174"/>
      <c r="I35" s="4"/>
      <c r="L35" s="4"/>
      <c r="M35"/>
      <c r="N35"/>
      <c r="O35"/>
      <c r="P35"/>
      <c r="Q35" s="134"/>
      <c r="R35"/>
      <c r="S35" s="4"/>
    </row>
    <row r="36" spans="1:19" ht="18.75" x14ac:dyDescent="0.3">
      <c r="A36" s="4"/>
      <c r="B36" s="4"/>
      <c r="C36" s="4"/>
      <c r="D36" s="15"/>
      <c r="E36" s="15"/>
      <c r="F36" s="15"/>
      <c r="I36" s="4"/>
      <c r="L36" s="4"/>
      <c r="M36"/>
      <c r="N36"/>
      <c r="O36"/>
      <c r="P36"/>
      <c r="Q36" s="134"/>
      <c r="R36"/>
      <c r="S36" s="4"/>
    </row>
    <row r="37" spans="1:19" ht="18.75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/>
      <c r="N37"/>
      <c r="O37"/>
      <c r="P37"/>
      <c r="R37"/>
      <c r="S37" s="4"/>
    </row>
    <row r="38" spans="1:19" ht="18.75" x14ac:dyDescent="0.3">
      <c r="A38" s="4"/>
      <c r="B38" s="4"/>
      <c r="C38" s="4"/>
      <c r="D38" s="103"/>
      <c r="E38" s="4" t="s">
        <v>282</v>
      </c>
      <c r="F38" s="103"/>
      <c r="G38" s="4"/>
      <c r="H38" s="4"/>
      <c r="I38" s="4"/>
      <c r="J38" s="4"/>
      <c r="K38" s="4"/>
      <c r="L38" s="4"/>
      <c r="M38"/>
      <c r="N38"/>
      <c r="O38"/>
      <c r="P38"/>
      <c r="Q38"/>
      <c r="R38"/>
      <c r="S38" s="4"/>
    </row>
    <row r="39" spans="1:19" ht="19.5" thickBot="1" x14ac:dyDescent="0.35">
      <c r="A39" s="4"/>
      <c r="B39" s="4"/>
      <c r="C39" s="4"/>
      <c r="D39" s="103"/>
      <c r="E39" s="103"/>
      <c r="F39" s="103"/>
      <c r="G39" s="4"/>
      <c r="H39" s="4"/>
      <c r="I39" s="4"/>
      <c r="J39" s="4"/>
      <c r="K39" s="4"/>
      <c r="L39" s="4"/>
      <c r="M39"/>
      <c r="N39"/>
      <c r="O39"/>
      <c r="P39"/>
      <c r="Q39"/>
      <c r="R39"/>
      <c r="S39" s="4"/>
    </row>
    <row r="40" spans="1:19" ht="19.5" thickBot="1" x14ac:dyDescent="0.35">
      <c r="A40" s="4"/>
      <c r="B40" s="4"/>
      <c r="C40" s="158" t="s">
        <v>283</v>
      </c>
      <c r="D40" s="159" t="s">
        <v>206</v>
      </c>
      <c r="E40" s="159" t="s">
        <v>49</v>
      </c>
      <c r="F40" s="159" t="s">
        <v>284</v>
      </c>
      <c r="G40" s="160" t="s">
        <v>285</v>
      </c>
      <c r="H40" s="151" t="s">
        <v>286</v>
      </c>
      <c r="I40" s="4"/>
      <c r="J40" s="4"/>
      <c r="K40" s="4"/>
      <c r="L40" s="4"/>
      <c r="M40"/>
      <c r="N40"/>
      <c r="O40"/>
      <c r="P40"/>
      <c r="Q40"/>
      <c r="R40"/>
      <c r="S40" s="4"/>
    </row>
    <row r="41" spans="1:19" ht="18.75" x14ac:dyDescent="0.3">
      <c r="A41" s="4"/>
      <c r="B41" s="4"/>
      <c r="C41" s="161" t="s">
        <v>287</v>
      </c>
      <c r="D41" s="30">
        <f>G18-1</f>
        <v>7</v>
      </c>
      <c r="E41" s="104">
        <f>(SUMSQ(D14:K14) /G17) - ((L14*L14)/(G17*G18))</f>
        <v>7.4380000000004998E-3</v>
      </c>
      <c r="F41" s="104">
        <f>E41/D41</f>
        <v>1.0625714285714999E-3</v>
      </c>
      <c r="G41" s="30"/>
      <c r="H41" s="105"/>
      <c r="I41" s="4" t="s">
        <v>302</v>
      </c>
      <c r="J41" s="4"/>
      <c r="K41" s="4"/>
      <c r="L41" s="4"/>
      <c r="R41"/>
      <c r="S41" s="4"/>
    </row>
    <row r="42" spans="1:19" ht="18.75" x14ac:dyDescent="0.3">
      <c r="A42" s="4"/>
      <c r="B42" s="4"/>
      <c r="C42" s="161" t="s">
        <v>288</v>
      </c>
      <c r="D42" s="104">
        <f>G18*(G17-1)</f>
        <v>16</v>
      </c>
      <c r="E42" s="104">
        <f>SUMSQ(D11:K13)-SUMSQ(D14:K14)/G17</f>
        <v>1.5575333333330832E-2</v>
      </c>
      <c r="F42" s="104">
        <f>E42/D42</f>
        <v>9.7345833333317699E-4</v>
      </c>
      <c r="G42" s="30"/>
      <c r="H42" s="105"/>
      <c r="I42" s="4" t="s">
        <v>303</v>
      </c>
      <c r="J42" s="4"/>
      <c r="K42" s="4"/>
      <c r="L42" s="4"/>
      <c r="M42"/>
      <c r="N42"/>
      <c r="O42"/>
      <c r="P42"/>
      <c r="Q42"/>
      <c r="R42"/>
      <c r="S42" s="4"/>
    </row>
    <row r="43" spans="1:19" ht="18.75" x14ac:dyDescent="0.3">
      <c r="A43" s="4"/>
      <c r="B43" s="4"/>
      <c r="C43" s="161" t="s">
        <v>289</v>
      </c>
      <c r="D43" s="104">
        <f>G17-1</f>
        <v>2</v>
      </c>
      <c r="E43" s="104">
        <f>(SUMSQ(L11:L13)/G18)-((L14*L14/(G17*G18)))</f>
        <v>2.0803333333319074E-3</v>
      </c>
      <c r="F43" s="104">
        <f t="shared" ref="F43" si="4">E43/D43</f>
        <v>1.0401666666659537E-3</v>
      </c>
      <c r="G43" s="30">
        <f>F43/F44</f>
        <v>1.0790910213652842</v>
      </c>
      <c r="H43" s="105">
        <f t="array" ref="H43">_xlfn.F.INV(0.05,D43,D44)</f>
        <v>5.1481682970467207E-2</v>
      </c>
      <c r="I43" s="4" t="s">
        <v>304</v>
      </c>
      <c r="J43" s="4"/>
      <c r="K43" s="4"/>
      <c r="L43" s="4"/>
      <c r="M43"/>
      <c r="N43"/>
      <c r="O43"/>
      <c r="P43"/>
      <c r="Q43"/>
      <c r="R43"/>
      <c r="S43" s="4"/>
    </row>
    <row r="44" spans="1:19" ht="18.75" x14ac:dyDescent="0.3">
      <c r="A44" s="4"/>
      <c r="B44" s="4"/>
      <c r="C44" s="161" t="s">
        <v>211</v>
      </c>
      <c r="D44" s="104">
        <f>(G17-1)*(G18-1)</f>
        <v>14</v>
      </c>
      <c r="E44" s="104">
        <f>E42-E43</f>
        <v>1.3494999999998925E-2</v>
      </c>
      <c r="F44" s="104">
        <f>E44/D44</f>
        <v>9.6392857142849466E-4</v>
      </c>
      <c r="G44" s="30"/>
      <c r="H44" s="105"/>
      <c r="I44" s="4" t="s">
        <v>305</v>
      </c>
      <c r="J44" s="4"/>
      <c r="K44" s="4"/>
      <c r="L44" s="4"/>
      <c r="M44"/>
      <c r="N44"/>
      <c r="O44"/>
      <c r="P44"/>
      <c r="R44"/>
      <c r="S44" s="4"/>
    </row>
    <row r="45" spans="1:19" ht="19.5" thickBot="1" x14ac:dyDescent="0.35">
      <c r="A45" s="4"/>
      <c r="B45" s="4"/>
      <c r="C45" s="162" t="s">
        <v>59</v>
      </c>
      <c r="D45" s="106">
        <f>(G17*G18)-1</f>
        <v>23</v>
      </c>
      <c r="E45" s="106">
        <f>SUMSQ(D11:K13)-((L14*L14/(G17*G18)))</f>
        <v>2.3013333333331332E-2</v>
      </c>
      <c r="F45" s="106">
        <f>E45/D45</f>
        <v>1.0005797101448404E-3</v>
      </c>
      <c r="G45" s="107"/>
      <c r="H45" s="108"/>
      <c r="I45" s="4" t="s">
        <v>306</v>
      </c>
      <c r="J45" s="4"/>
      <c r="K45" s="4"/>
      <c r="L45" s="4"/>
      <c r="M45"/>
      <c r="N45"/>
      <c r="O45"/>
      <c r="P45"/>
      <c r="Q45"/>
      <c r="R45"/>
      <c r="S45" s="4"/>
    </row>
    <row r="46" spans="1:19" ht="18.75" x14ac:dyDescent="0.3">
      <c r="A46" s="4"/>
      <c r="B46" s="4"/>
      <c r="C46" s="4"/>
      <c r="D46" s="103"/>
      <c r="E46" s="103"/>
      <c r="F46" s="10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19" ht="18.75" x14ac:dyDescent="0.3">
      <c r="A47" s="202" t="s">
        <v>223</v>
      </c>
      <c r="B47" s="202"/>
      <c r="C47" s="4" t="s">
        <v>290</v>
      </c>
      <c r="D47" s="103"/>
      <c r="E47" s="103"/>
      <c r="F47" s="10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1:19" ht="18.75" x14ac:dyDescent="0.3">
      <c r="C48" s="4" t="s">
        <v>291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19" ht="18.75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19" ht="18.75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1:19" ht="18.75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 ht="18.75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 ht="18.75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19" ht="18.75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19" ht="18.75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19" ht="18.75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19" ht="18.75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19" ht="18.75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19" ht="18.75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19" ht="18.75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19" ht="18.75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19" ht="18.75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 ht="18.75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 ht="18.75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1:19" ht="18.75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1:19" ht="18.75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1:19" ht="18.75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1:19" ht="18.75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1:19" ht="18.75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1:19" ht="18.75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1:19" ht="18.75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1:19" ht="18.75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1:19" ht="18.75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19" ht="18.75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1:19" ht="18.75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1:19" ht="18.75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1:19" ht="18.75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1:19" ht="18.75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1:19" ht="18.75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1:19" ht="18.75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1:19" ht="18.75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1:19" ht="18.75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spans="1:19" ht="18.75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spans="1:19" ht="18.75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spans="1:19" ht="18.75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1:19" ht="18.75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spans="1:19" ht="18.75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 ht="18.75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19" ht="18.75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19" ht="18.75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spans="1:19" ht="18.75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1:19" ht="18.75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spans="1:19" ht="18.75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1:19" ht="18.75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spans="1:19" ht="18.75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1:19" ht="18.75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spans="1:19" ht="18.75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spans="1:19" ht="18.75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spans="1:19" ht="18.75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spans="1:19" ht="18.75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spans="1:19" ht="18.75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spans="1:19" ht="18.75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spans="1:19" ht="18.75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spans="1:19" ht="18.75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spans="1:19" ht="18.75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spans="1:19" ht="18.75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spans="1:19" ht="18.75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spans="1:19" ht="18.75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spans="1:19" ht="18.75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spans="1:19" ht="18.75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spans="1:19" ht="18.75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spans="1:19" ht="18.75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spans="1:19" ht="18.75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spans="1:19" ht="18.75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spans="1:19" ht="18.75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spans="1:19" ht="18.75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spans="1:19" ht="18.75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spans="1:19" ht="18.75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spans="1:19" ht="18.75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spans="1:19" ht="18.75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spans="1:19" ht="18.75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spans="1:19" ht="18.75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spans="1:19" ht="18.75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spans="1:19" ht="18.75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spans="1:19" ht="18.75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spans="1:19" ht="18.75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spans="1:19" ht="18.75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spans="1:19" ht="18.75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spans="1:19" ht="18.75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spans="1:19" ht="18.75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spans="1:19" ht="18.75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spans="1:19" ht="18.75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spans="1:19" ht="18.75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</sheetData>
  <mergeCells count="15">
    <mergeCell ref="C9:C10"/>
    <mergeCell ref="D9:K9"/>
    <mergeCell ref="L9:L10"/>
    <mergeCell ref="M9:M10"/>
    <mergeCell ref="I25:L27"/>
    <mergeCell ref="D29:F31"/>
    <mergeCell ref="I30:L30"/>
    <mergeCell ref="E1:K2"/>
    <mergeCell ref="N1:O1"/>
    <mergeCell ref="N2:O2"/>
    <mergeCell ref="D33:F35"/>
    <mergeCell ref="A47:B47"/>
    <mergeCell ref="D17:E17"/>
    <mergeCell ref="D18:E18"/>
    <mergeCell ref="D25:F2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 2</vt:lpstr>
      <vt:lpstr>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2022-08-23T15:11:27Z</dcterms:created>
  <dcterms:modified xsi:type="dcterms:W3CDTF">2022-08-23T16:21:57Z</dcterms:modified>
</cp:coreProperties>
</file>