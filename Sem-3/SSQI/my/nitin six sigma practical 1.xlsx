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Lab\Desktop\"/>
    </mc:Choice>
  </mc:AlternateContent>
  <xr:revisionPtr revIDLastSave="0" documentId="13_ncr:1_{8B6D57F1-4486-4169-8B53-FF688160CC49}" xr6:coauthVersionLast="47" xr6:coauthVersionMax="47" xr10:uidLastSave="{00000000-0000-0000-0000-000000000000}"/>
  <bookViews>
    <workbookView xWindow="-120" yWindow="-120" windowWidth="29040" windowHeight="15840" xr2:uid="{7DF5461B-3433-411C-A602-C00CDA6620B3}"/>
  </bookViews>
  <sheets>
    <sheet name="Sheet2" sheetId="2" r:id="rId1"/>
    <sheet name="Sheet4" sheetId="4" r:id="rId2"/>
    <sheet name="Sheet1" sheetId="1" r:id="rId3"/>
  </sheets>
  <calcPr calcId="191029"/>
  <pivotCaches>
    <pivotCache cacheId="13" r:id="rId4"/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02" i="1" l="1"/>
  <c r="G118" i="2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3" i="1"/>
</calcChain>
</file>

<file path=xl/sharedStrings.xml><?xml version="1.0" encoding="utf-8"?>
<sst xmlns="http://schemas.openxmlformats.org/spreadsheetml/2006/main" count="2094" uniqueCount="291">
  <si>
    <t xml:space="preserve">Name </t>
  </si>
  <si>
    <t>surname</t>
  </si>
  <si>
    <t>gender</t>
  </si>
  <si>
    <t>religion</t>
  </si>
  <si>
    <t>faculty</t>
  </si>
  <si>
    <t>age</t>
  </si>
  <si>
    <t>category</t>
  </si>
  <si>
    <t>board groups</t>
  </si>
  <si>
    <t xml:space="preserve">board percentage </t>
  </si>
  <si>
    <t xml:space="preserve">Medium of instructions </t>
  </si>
  <si>
    <t xml:space="preserve">native states </t>
  </si>
  <si>
    <t>native place</t>
  </si>
  <si>
    <t xml:space="preserve">fitness </t>
  </si>
  <si>
    <t>hobbies</t>
  </si>
  <si>
    <t>family income</t>
  </si>
  <si>
    <t xml:space="preserve">family type </t>
  </si>
  <si>
    <t>mode of transportation</t>
  </si>
  <si>
    <t>Nitin</t>
  </si>
  <si>
    <t>Omkar</t>
  </si>
  <si>
    <t>Palak</t>
  </si>
  <si>
    <t>Riona</t>
  </si>
  <si>
    <t>Preeti</t>
  </si>
  <si>
    <t>Dhriti</t>
  </si>
  <si>
    <t>Yathidev</t>
  </si>
  <si>
    <t>Dhiraj</t>
  </si>
  <si>
    <t>Adarsh</t>
  </si>
  <si>
    <t>Jay</t>
  </si>
  <si>
    <t>Nirmanyu</t>
  </si>
  <si>
    <t>Harsh</t>
  </si>
  <si>
    <t>Priyanshi</t>
  </si>
  <si>
    <t>Rajan</t>
  </si>
  <si>
    <t>Priyanka</t>
  </si>
  <si>
    <t xml:space="preserve">Soham </t>
  </si>
  <si>
    <t>Om</t>
  </si>
  <si>
    <t>Dhuraval</t>
  </si>
  <si>
    <t>Shrey</t>
  </si>
  <si>
    <t>Dimple</t>
  </si>
  <si>
    <t>Rohit</t>
  </si>
  <si>
    <t>Harshit</t>
  </si>
  <si>
    <t>Nimita</t>
  </si>
  <si>
    <t>Kinnari</t>
  </si>
  <si>
    <t>Nikhal</t>
  </si>
  <si>
    <t>Akshay</t>
  </si>
  <si>
    <t>Aakash</t>
  </si>
  <si>
    <t>Amit</t>
  </si>
  <si>
    <t>Pratiksha</t>
  </si>
  <si>
    <t>Shreyanshi</t>
  </si>
  <si>
    <t>Irshad</t>
  </si>
  <si>
    <t>sheila</t>
  </si>
  <si>
    <t>Claire</t>
  </si>
  <si>
    <t>Abbas</t>
  </si>
  <si>
    <t>Mahendra</t>
  </si>
  <si>
    <t>Darshil</t>
  </si>
  <si>
    <t>Yogesh</t>
  </si>
  <si>
    <t>Deep</t>
  </si>
  <si>
    <t>Yash</t>
  </si>
  <si>
    <t>Bhavil</t>
  </si>
  <si>
    <t>Pankaj</t>
  </si>
  <si>
    <t>Omprakash</t>
  </si>
  <si>
    <t>Olivia</t>
  </si>
  <si>
    <t>Noah</t>
  </si>
  <si>
    <t>Emma</t>
  </si>
  <si>
    <t>Oliver</t>
  </si>
  <si>
    <t>Charlotte</t>
  </si>
  <si>
    <t>Elijah</t>
  </si>
  <si>
    <t>Amelia</t>
  </si>
  <si>
    <t>James</t>
  </si>
  <si>
    <t>Ava</t>
  </si>
  <si>
    <t>William</t>
  </si>
  <si>
    <t>Sophia</t>
  </si>
  <si>
    <t>Benjamin</t>
  </si>
  <si>
    <t>Isabella</t>
  </si>
  <si>
    <t>Lucas</t>
  </si>
  <si>
    <t>Mia</t>
  </si>
  <si>
    <t>Henry</t>
  </si>
  <si>
    <t>Evelyn</t>
  </si>
  <si>
    <t>Theodore</t>
  </si>
  <si>
    <t>Harper</t>
  </si>
  <si>
    <t>alap</t>
  </si>
  <si>
    <t>Hindu</t>
  </si>
  <si>
    <t>Aalap</t>
  </si>
  <si>
    <t>Aalim</t>
  </si>
  <si>
    <t>Muslim</t>
  </si>
  <si>
    <t>Aalok</t>
  </si>
  <si>
    <t>Aaman</t>
  </si>
  <si>
    <t>Aamil</t>
  </si>
  <si>
    <t>Aamir</t>
  </si>
  <si>
    <t>Aamod</t>
  </si>
  <si>
    <t>Aanan</t>
  </si>
  <si>
    <t>Aanand</t>
  </si>
  <si>
    <t>Aapt</t>
  </si>
  <si>
    <t>Aaqil</t>
  </si>
  <si>
    <t>Aaraadhak</t>
  </si>
  <si>
    <t>Aaranyan</t>
  </si>
  <si>
    <t>Aarav</t>
  </si>
  <si>
    <t>Aardik</t>
  </si>
  <si>
    <t>Aarhant</t>
  </si>
  <si>
    <t>Aari</t>
  </si>
  <si>
    <t>Christian</t>
  </si>
  <si>
    <t>Aaric</t>
  </si>
  <si>
    <t>Aarif</t>
  </si>
  <si>
    <t>Aarin</t>
  </si>
  <si>
    <t>Aaris</t>
  </si>
  <si>
    <t>Aarit</t>
  </si>
  <si>
    <t>Aariv</t>
  </si>
  <si>
    <t>Aariz</t>
  </si>
  <si>
    <t>Aarnav</t>
  </si>
  <si>
    <t>Aarodeep</t>
  </si>
  <si>
    <t>Aaroha</t>
  </si>
  <si>
    <t>Aaromal</t>
  </si>
  <si>
    <t>Aaron</t>
  </si>
  <si>
    <t>Aaronn</t>
  </si>
  <si>
    <t>Aarpit</t>
  </si>
  <si>
    <t>Aarron</t>
  </si>
  <si>
    <t>Nishita</t>
  </si>
  <si>
    <t>Acharya</t>
  </si>
  <si>
    <t>Agarwal</t>
  </si>
  <si>
    <t>Agate</t>
  </si>
  <si>
    <t>Aggarwal</t>
  </si>
  <si>
    <t>Agrawal</t>
  </si>
  <si>
    <t>Ahluwalia</t>
  </si>
  <si>
    <t>Ahuja</t>
  </si>
  <si>
    <t>Amble</t>
  </si>
  <si>
    <t>Anand</t>
  </si>
  <si>
    <t>Andra</t>
  </si>
  <si>
    <t>Anne</t>
  </si>
  <si>
    <t>Apte</t>
  </si>
  <si>
    <t>Arora</t>
  </si>
  <si>
    <t>Arya</t>
  </si>
  <si>
    <t>Atwal</t>
  </si>
  <si>
    <t>Aurora</t>
  </si>
  <si>
    <t>Babu</t>
  </si>
  <si>
    <t>Badal</t>
  </si>
  <si>
    <t>Badami</t>
  </si>
  <si>
    <t>Bahl</t>
  </si>
  <si>
    <t>Bahri</t>
  </si>
  <si>
    <t>Bail</t>
  </si>
  <si>
    <t>Bains</t>
  </si>
  <si>
    <t>Bajaj</t>
  </si>
  <si>
    <t>Bajwa</t>
  </si>
  <si>
    <t>Bakshi</t>
  </si>
  <si>
    <t>Bal</t>
  </si>
  <si>
    <t>Bala</t>
  </si>
  <si>
    <t>Balakrishnan</t>
  </si>
  <si>
    <t>Balan</t>
  </si>
  <si>
    <t>Balasubramanian</t>
  </si>
  <si>
    <t>Balay</t>
  </si>
  <si>
    <t>Bali</t>
  </si>
  <si>
    <t>Bandi</t>
  </si>
  <si>
    <t>Banerjee</t>
  </si>
  <si>
    <t>Banik</t>
  </si>
  <si>
    <t>Bansal</t>
  </si>
  <si>
    <t>Barad</t>
  </si>
  <si>
    <t>Baral</t>
  </si>
  <si>
    <t>Baria</t>
  </si>
  <si>
    <t>Barman</t>
  </si>
  <si>
    <t>Basak</t>
  </si>
  <si>
    <t>Bassi</t>
  </si>
  <si>
    <t>Basu</t>
  </si>
  <si>
    <t>Bath</t>
  </si>
  <si>
    <t>Batra</t>
  </si>
  <si>
    <t>Batta</t>
  </si>
  <si>
    <t>Bava</t>
  </si>
  <si>
    <t>Bawa</t>
  </si>
  <si>
    <t>Bedi</t>
  </si>
  <si>
    <t>Behl</t>
  </si>
  <si>
    <t>Ben</t>
  </si>
  <si>
    <t>Bera</t>
  </si>
  <si>
    <t>Bhagat</t>
  </si>
  <si>
    <t>Bhakta</t>
  </si>
  <si>
    <t>Bhalla</t>
  </si>
  <si>
    <t>Bhandari</t>
  </si>
  <si>
    <t>Bhardwaj</t>
  </si>
  <si>
    <t>Bhargava</t>
  </si>
  <si>
    <t>Bhasin</t>
  </si>
  <si>
    <t>Bhat</t>
  </si>
  <si>
    <t>Bhatia</t>
  </si>
  <si>
    <t>Bhatnagar</t>
  </si>
  <si>
    <t>Bhatt</t>
  </si>
  <si>
    <t>Bhattacharyya</t>
  </si>
  <si>
    <t>Bhatti</t>
  </si>
  <si>
    <t>Bhavsar</t>
  </si>
  <si>
    <t>Bir</t>
  </si>
  <si>
    <t>Biswas</t>
  </si>
  <si>
    <t>Boase</t>
  </si>
  <si>
    <t>Bobal</t>
  </si>
  <si>
    <t>Bora</t>
  </si>
  <si>
    <t>Borah</t>
  </si>
  <si>
    <t>Borde</t>
  </si>
  <si>
    <t>Borra</t>
  </si>
  <si>
    <t>Bose</t>
  </si>
  <si>
    <t>Brahmbhatt</t>
  </si>
  <si>
    <t>Brar</t>
  </si>
  <si>
    <t>Buch</t>
  </si>
  <si>
    <t>Bumb</t>
  </si>
  <si>
    <t>Butala</t>
  </si>
  <si>
    <t>Chacko</t>
  </si>
  <si>
    <t>Chad</t>
  </si>
  <si>
    <t>Chada</t>
  </si>
  <si>
    <t>Chadha</t>
  </si>
  <si>
    <t>Chahal</t>
  </si>
  <si>
    <t>Chakrabarti</t>
  </si>
  <si>
    <t>Chakraborty</t>
  </si>
  <si>
    <t>Chana</t>
  </si>
  <si>
    <t>Chand</t>
  </si>
  <si>
    <t>Chanda</t>
  </si>
  <si>
    <t>Chander</t>
  </si>
  <si>
    <t>Chandra</t>
  </si>
  <si>
    <t>Chandran</t>
  </si>
  <si>
    <t>Char</t>
  </si>
  <si>
    <t>Male</t>
  </si>
  <si>
    <t>Female</t>
  </si>
  <si>
    <t>Science</t>
  </si>
  <si>
    <t>Commerce</t>
  </si>
  <si>
    <t>Arts</t>
  </si>
  <si>
    <t>Psychology</t>
  </si>
  <si>
    <t>law</t>
  </si>
  <si>
    <t>social work</t>
  </si>
  <si>
    <t>sikh</t>
  </si>
  <si>
    <t>jain</t>
  </si>
  <si>
    <t>General</t>
  </si>
  <si>
    <t>SC/ST</t>
  </si>
  <si>
    <t>OBC</t>
  </si>
  <si>
    <t>B</t>
  </si>
  <si>
    <t>AB</t>
  </si>
  <si>
    <t>A</t>
  </si>
  <si>
    <t>English</t>
  </si>
  <si>
    <t>Hindi</t>
  </si>
  <si>
    <t>Gujurati</t>
  </si>
  <si>
    <t>Marathi</t>
  </si>
  <si>
    <t>kerala</t>
  </si>
  <si>
    <t>MP</t>
  </si>
  <si>
    <t>Bihar</t>
  </si>
  <si>
    <t>Maharashtra</t>
  </si>
  <si>
    <t>Haryana</t>
  </si>
  <si>
    <t>Gujurat</t>
  </si>
  <si>
    <t>Delhi</t>
  </si>
  <si>
    <t>UP</t>
  </si>
  <si>
    <t>Cochi</t>
  </si>
  <si>
    <t>Ratlam</t>
  </si>
  <si>
    <t>Patna</t>
  </si>
  <si>
    <t>Pune</t>
  </si>
  <si>
    <t>Gurugram</t>
  </si>
  <si>
    <t>New Delhi</t>
  </si>
  <si>
    <t>Lucknow</t>
  </si>
  <si>
    <t>Athletic</t>
  </si>
  <si>
    <t>Non-Athletic</t>
  </si>
  <si>
    <t>Sports</t>
  </si>
  <si>
    <t>Gaming</t>
  </si>
  <si>
    <t>Drawing</t>
  </si>
  <si>
    <t>Reading</t>
  </si>
  <si>
    <t>Joint</t>
  </si>
  <si>
    <t>Nuclear</t>
  </si>
  <si>
    <t>8lac-12lac</t>
  </si>
  <si>
    <t>More than12 lac</t>
  </si>
  <si>
    <t>4 lac-8 lac</t>
  </si>
  <si>
    <t>1 lac-4lac</t>
  </si>
  <si>
    <t>surat</t>
  </si>
  <si>
    <t>Food habits</t>
  </si>
  <si>
    <t>Campus habits</t>
  </si>
  <si>
    <t>vital statistics</t>
  </si>
  <si>
    <t>Non- Vegetarians</t>
  </si>
  <si>
    <t>Vegetarian</t>
  </si>
  <si>
    <t xml:space="preserve">Weight </t>
  </si>
  <si>
    <t>BMI</t>
  </si>
  <si>
    <t>smokers</t>
  </si>
  <si>
    <t>non smokers</t>
  </si>
  <si>
    <t>Heigt( in metres)</t>
  </si>
  <si>
    <t>C</t>
  </si>
  <si>
    <t>V</t>
  </si>
  <si>
    <t>Row Labels</t>
  </si>
  <si>
    <t>Grand Total</t>
  </si>
  <si>
    <t>Q.2</t>
  </si>
  <si>
    <t>Q.1</t>
  </si>
  <si>
    <t>General Total</t>
  </si>
  <si>
    <t>OBC Total</t>
  </si>
  <si>
    <t>SC/ST Total</t>
  </si>
  <si>
    <t>Q.3</t>
  </si>
  <si>
    <t>Count of age</t>
  </si>
  <si>
    <t>Q.4</t>
  </si>
  <si>
    <t>Q.5</t>
  </si>
  <si>
    <t>Q.6 correlation with age and %</t>
  </si>
  <si>
    <t>Q.7</t>
  </si>
  <si>
    <t>Q.8</t>
  </si>
  <si>
    <t>Count of religion</t>
  </si>
  <si>
    <t>Q.9</t>
  </si>
  <si>
    <t>Q.10</t>
  </si>
  <si>
    <t>Count of mode of transportation</t>
  </si>
  <si>
    <t>Column Labels</t>
  </si>
  <si>
    <t>Q.11</t>
  </si>
  <si>
    <t>Q.12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</si>
</sst>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Border="1"/>
    <xf numFmtId="0" fontId="1" fillId="2" borderId="0" xfId="0" applyFont="1" applyFill="1" applyBorder="1"/>
    <xf numFmtId="1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64E6EAE-26F2-4A6C-A2AA-05B187DEC96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171450</xdr:rowOff>
    </xdr:from>
    <xdr:to>
      <xdr:col>12</xdr:col>
      <xdr:colOff>1019571</xdr:colOff>
      <xdr:row>15</xdr:row>
      <xdr:rowOff>57388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7C160D-13F0-4ABD-C7EA-7B20DA361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7075" y="171450"/>
          <a:ext cx="4572396" cy="2743438"/>
        </a:xfrm>
        <a:prstGeom prst="rect">
          <a:avLst/>
        </a:prstGeom>
      </xdr:spPr>
    </xdr:pic>
    <xdr:clientData/>
  </xdr:twoCellAnchor>
  <xdr:twoCellAnchor editAs="oneCell">
    <xdr:from>
      <xdr:col>5</xdr:col>
      <xdr:colOff>733425</xdr:colOff>
      <xdr:row>118</xdr:row>
      <xdr:rowOff>180975</xdr:rowOff>
    </xdr:from>
    <xdr:to>
      <xdr:col>9</xdr:col>
      <xdr:colOff>650764</xdr:colOff>
      <xdr:row>133</xdr:row>
      <xdr:rowOff>79106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730E9A-111A-4098-4982-1D90DD2B3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5725" y="226599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134</xdr:row>
      <xdr:rowOff>171450</xdr:rowOff>
    </xdr:from>
    <xdr:to>
      <xdr:col>9</xdr:col>
      <xdr:colOff>679339</xdr:colOff>
      <xdr:row>149</xdr:row>
      <xdr:rowOff>69581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0CE6AE-B8BE-A136-F661-DFF674184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9850" y="25698450"/>
          <a:ext cx="4584589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tLab" refreshedDate="44793.637115972226" createdVersion="8" refreshedVersion="8" minRefreshableVersion="3" recordCount="99" xr:uid="{2B440BBB-45F3-42C1-9CE2-6FDFA2EFACC7}">
  <cacheSource type="worksheet">
    <worksheetSource ref="A2:V101" sheet="Sheet1"/>
  </cacheSource>
  <cacheFields count="22">
    <cacheField name="Name " numFmtId="0">
      <sharedItems count="95">
        <s v="Nitin"/>
        <s v="Omkar"/>
        <s v="Palak"/>
        <s v="Riona"/>
        <s v="Preeti"/>
        <s v="Dhriti"/>
        <s v="Yathidev"/>
        <s v="Dhiraj"/>
        <s v="Adarsh"/>
        <s v="Jay"/>
        <s v="Nirmanyu"/>
        <s v="Harsh"/>
        <s v="Priyanshi"/>
        <s v="Rajan"/>
        <s v="Priyanka"/>
        <s v="Soham "/>
        <s v="Om"/>
        <s v="Dhuraval"/>
        <s v="Shrey"/>
        <s v="Dimple"/>
        <s v="Rohit"/>
        <s v="Harshit"/>
        <s v="Nimita"/>
        <s v="Kinnari"/>
        <s v="Nikhal"/>
        <s v="Akshay"/>
        <s v="Aakash"/>
        <s v="Amit"/>
        <s v="Pratiksha"/>
        <s v="Shreyanshi"/>
        <s v="Irshad"/>
        <s v="sheila"/>
        <s v="Claire"/>
        <s v="Abbas"/>
        <s v="Mahendra"/>
        <s v="Darshil"/>
        <s v="Yogesh"/>
        <s v="Deep"/>
        <s v="Yash"/>
        <s v="Bhavil"/>
        <s v="Pankaj"/>
        <s v="Omprakash"/>
        <s v="Olivia"/>
        <s v="Noah"/>
        <s v="Oliver"/>
        <s v="Elijah"/>
        <s v="James"/>
        <s v="William"/>
        <s v="Benjamin"/>
        <s v="Lucas"/>
        <s v="Henry"/>
        <s v="Theodore"/>
        <s v="Emma"/>
        <s v="Charlotte"/>
        <s v="Amelia"/>
        <s v="Ava"/>
        <s v="Sophia"/>
        <s v="Isabella"/>
        <s v="Mia"/>
        <s v="Evelyn"/>
        <s v="Harper"/>
        <s v="alap"/>
        <s v="Aalap"/>
        <s v="Aalim"/>
        <s v="Aalok"/>
        <s v="Aaman"/>
        <s v="Aamil"/>
        <s v="Aamir"/>
        <s v="Aamod"/>
        <s v="Aanan"/>
        <s v="Aanand"/>
        <s v="Aapt"/>
        <s v="Aaqil"/>
        <s v="Aaraadhak"/>
        <s v="Aaranyan"/>
        <s v="Aarav"/>
        <s v="Aardik"/>
        <s v="Aarhant"/>
        <s v="Aari"/>
        <s v="Aaric"/>
        <s v="Aarif"/>
        <s v="Aarin"/>
        <s v="Aaris"/>
        <s v="Aarit"/>
        <s v="Aariv"/>
        <s v="Aariz"/>
        <s v="Aarnav"/>
        <s v="Aarodeep"/>
        <s v="Aaroha"/>
        <s v="Aaromal"/>
        <s v="Aaron"/>
        <s v="Aaronn"/>
        <s v="Aarpit"/>
        <s v="Aarron"/>
        <s v="Nishita"/>
      </sharedItems>
    </cacheField>
    <cacheField name="surname" numFmtId="0">
      <sharedItems count="95">
        <s v="Acharya"/>
        <s v="Agarwal"/>
        <s v="Agate"/>
        <s v="Aggarwal"/>
        <s v="Agrawal"/>
        <s v="Ahluwalia"/>
        <s v="Ahuja"/>
        <s v="Amble"/>
        <s v="Anand"/>
        <s v="Andra"/>
        <s v="Anne"/>
        <s v="Apte"/>
        <s v="Arora"/>
        <s v="Arya"/>
        <s v="Atwal"/>
        <s v="Aurora"/>
        <s v="Babu"/>
        <s v="Badal"/>
        <s v="Badami"/>
        <s v="Bahl"/>
        <s v="Bahri"/>
        <s v="Bail"/>
        <s v="Bains"/>
        <s v="Bajaj"/>
        <s v="Bajwa"/>
        <s v="Bakshi"/>
        <s v="Bal"/>
        <s v="Bala"/>
        <s v="Balakrishnan"/>
        <s v="Balan"/>
        <s v="Balasubramanian"/>
        <s v="Balay"/>
        <s v="Bali"/>
        <s v="Bandi"/>
        <s v="Banerjee"/>
        <s v="Banik"/>
        <s v="Bansal"/>
        <s v="Barad"/>
        <s v="Baral"/>
        <s v="Baria"/>
        <s v="Barman"/>
        <s v="Basak"/>
        <s v="Bassi"/>
        <s v="Basu"/>
        <s v="Bath"/>
        <s v="Batra"/>
        <s v="Batta"/>
        <s v="Bava"/>
        <s v="Bawa"/>
        <s v="Bedi"/>
        <s v="Behl"/>
        <s v="Ben"/>
        <s v="Bera"/>
        <s v="Bhagat"/>
        <s v="Bhakta"/>
        <s v="Bhalla"/>
        <s v="Bhandari"/>
        <s v="Bhardwaj"/>
        <s v="Bhargava"/>
        <s v="Bhasin"/>
        <s v="Bhat"/>
        <s v="Bhatia"/>
        <s v="Bhatnagar"/>
        <s v="Bhatt"/>
        <s v="Bhattacharyya"/>
        <s v="Bhatti"/>
        <s v="Bhavsar"/>
        <s v="Bir"/>
        <s v="Biswas"/>
        <s v="Boase"/>
        <s v="Bobal"/>
        <s v="Bora"/>
        <s v="Borah"/>
        <s v="Borde"/>
        <s v="Borra"/>
        <s v="Bose"/>
        <s v="Brahmbhatt"/>
        <s v="Brar"/>
        <s v="Buch"/>
        <s v="Bumb"/>
        <s v="Butala"/>
        <s v="Chacko"/>
        <s v="Chad"/>
        <s v="Chada"/>
        <s v="Chadha"/>
        <s v="Chahal"/>
        <s v="Chakrabarti"/>
        <s v="Chakraborty"/>
        <s v="Chana"/>
        <s v="Chand"/>
        <s v="Chanda"/>
        <s v="Chander"/>
        <s v="Chandra"/>
        <s v="Chandran"/>
        <s v="Char"/>
      </sharedItems>
    </cacheField>
    <cacheField name="gender" numFmtId="0">
      <sharedItems count="2">
        <s v="Male"/>
        <s v="Female"/>
      </sharedItems>
    </cacheField>
    <cacheField name="religion" numFmtId="0">
      <sharedItems count="5">
        <s v="Christian"/>
        <s v="sikh"/>
        <s v="jain"/>
        <s v="Muslim"/>
        <s v="Hindu"/>
      </sharedItems>
    </cacheField>
    <cacheField name="faculty" numFmtId="0">
      <sharedItems/>
    </cacheField>
    <cacheField name="age" numFmtId="0">
      <sharedItems containsSemiMixedTypes="0" containsString="0" containsNumber="1" containsInteger="1" minValue="18" maxValue="23" count="6">
        <n v="22"/>
        <n v="19"/>
        <n v="18"/>
        <n v="20"/>
        <n v="21"/>
        <n v="23"/>
      </sharedItems>
    </cacheField>
    <cacheField name="category" numFmtId="0">
      <sharedItems count="3">
        <s v="General"/>
        <s v="SC/ST"/>
        <s v="OBC"/>
      </sharedItems>
    </cacheField>
    <cacheField name="board groups" numFmtId="0">
      <sharedItems/>
    </cacheField>
    <cacheField name="board percentage " numFmtId="0">
      <sharedItems containsSemiMixedTypes="0" containsString="0" containsNumber="1" containsInteger="1" minValue="46" maxValue="94" count="40">
        <n v="47"/>
        <n v="71"/>
        <n v="68"/>
        <n v="75"/>
        <n v="79"/>
        <n v="51"/>
        <n v="83"/>
        <n v="81"/>
        <n v="65"/>
        <n v="49"/>
        <n v="72"/>
        <n v="63"/>
        <n v="77"/>
        <n v="56"/>
        <n v="61"/>
        <n v="90"/>
        <n v="52"/>
        <n v="78"/>
        <n v="84"/>
        <n v="93"/>
        <n v="88"/>
        <n v="70"/>
        <n v="62"/>
        <n v="59"/>
        <n v="87"/>
        <n v="89"/>
        <n v="86"/>
        <n v="58"/>
        <n v="76"/>
        <n v="91"/>
        <n v="69"/>
        <n v="73"/>
        <n v="46"/>
        <n v="82"/>
        <n v="80"/>
        <n v="94"/>
        <n v="85"/>
        <n v="57"/>
        <n v="55"/>
        <n v="60"/>
      </sharedItems>
    </cacheField>
    <cacheField name="Medium of instructions " numFmtId="0">
      <sharedItems count="4">
        <s v="English"/>
        <s v="Hindi"/>
        <s v="Gujurati"/>
        <s v="Marathi"/>
      </sharedItems>
    </cacheField>
    <cacheField name="native states " numFmtId="0">
      <sharedItems count="8">
        <s v="kerala"/>
        <s v="MP"/>
        <s v="Bihar"/>
        <s v="Maharashtra"/>
        <s v="Haryana"/>
        <s v="Gujurat"/>
        <s v="Delhi"/>
        <s v="UP"/>
      </sharedItems>
    </cacheField>
    <cacheField name="native place" numFmtId="0">
      <sharedItems/>
    </cacheField>
    <cacheField name="fitness " numFmtId="0">
      <sharedItems/>
    </cacheField>
    <cacheField name="hobbies" numFmtId="0">
      <sharedItems count="4">
        <s v="Sports"/>
        <s v="Gaming"/>
        <s v="Drawing"/>
        <s v="Reading"/>
      </sharedItems>
    </cacheField>
    <cacheField name="family income" numFmtId="0">
      <sharedItems/>
    </cacheField>
    <cacheField name="family type " numFmtId="0">
      <sharedItems count="2">
        <s v="Joint"/>
        <s v="Nuclear"/>
      </sharedItems>
    </cacheField>
    <cacheField name="mode of transportation" numFmtId="0">
      <sharedItems count="3">
        <s v="Bus"/>
        <s v="Car"/>
        <s v="scooty"/>
      </sharedItems>
    </cacheField>
    <cacheField name="Food habits" numFmtId="0">
      <sharedItems/>
    </cacheField>
    <cacheField name="Campus habits" numFmtId="0">
      <sharedItems/>
    </cacheField>
    <cacheField name="Heigt( in metres)" numFmtId="0">
      <sharedItems containsSemiMixedTypes="0" containsString="0" containsNumber="1" minValue="1.3" maxValue="1.9"/>
    </cacheField>
    <cacheField name="Weight " numFmtId="0">
      <sharedItems containsSemiMixedTypes="0" containsString="0" containsNumber="1" containsInteger="1" minValue="35" maxValue="80"/>
    </cacheField>
    <cacheField name="BMI" numFmtId="0">
      <sharedItems containsSemiMixedTypes="0" containsString="0" containsNumber="1" minValue="10.526315789473685" maxValue="46.153846153846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tLab" refreshedDate="44793.688559027774" createdVersion="8" refreshedVersion="8" minRefreshableVersion="3" recordCount="100" xr:uid="{958DB1CF-EB4B-41DA-B7A0-2695C8C94500}">
  <cacheSource type="worksheet">
    <worksheetSource ref="A2:V102" sheet="Sheet1"/>
  </cacheSource>
  <cacheFields count="22">
    <cacheField name="Name " numFmtId="0">
      <sharedItems count="95">
        <s v="Nitin"/>
        <s v="Omkar"/>
        <s v="Palak"/>
        <s v="Riona"/>
        <s v="Preeti"/>
        <s v="Dhriti"/>
        <s v="Yathidev"/>
        <s v="Dhiraj"/>
        <s v="Adarsh"/>
        <s v="Jay"/>
        <s v="Nirmanyu"/>
        <s v="Harsh"/>
        <s v="Priyanshi"/>
        <s v="Rajan"/>
        <s v="Priyanka"/>
        <s v="Soham "/>
        <s v="Om"/>
        <s v="Dhuraval"/>
        <s v="Shrey"/>
        <s v="Dimple"/>
        <s v="Rohit"/>
        <s v="Harshit"/>
        <s v="Nimita"/>
        <s v="Kinnari"/>
        <s v="Nikhal"/>
        <s v="Akshay"/>
        <s v="Aakash"/>
        <s v="Amit"/>
        <s v="Pratiksha"/>
        <s v="Shreyanshi"/>
        <s v="Irshad"/>
        <s v="sheila"/>
        <s v="Claire"/>
        <s v="Abbas"/>
        <s v="Mahendra"/>
        <s v="Darshil"/>
        <s v="Yogesh"/>
        <s v="Deep"/>
        <s v="Yash"/>
        <s v="Bhavil"/>
        <s v="Pankaj"/>
        <s v="Omprakash"/>
        <s v="Olivia"/>
        <s v="Noah"/>
        <s v="Oliver"/>
        <s v="Elijah"/>
        <s v="James"/>
        <s v="William"/>
        <s v="Benjamin"/>
        <s v="Lucas"/>
        <s v="Henry"/>
        <s v="Theodore"/>
        <s v="Emma"/>
        <s v="Charlotte"/>
        <s v="Amelia"/>
        <s v="Ava"/>
        <s v="Sophia"/>
        <s v="Isabella"/>
        <s v="Mia"/>
        <s v="Evelyn"/>
        <s v="Harper"/>
        <s v="alap"/>
        <s v="Aalap"/>
        <s v="Aalim"/>
        <s v="Aalok"/>
        <s v="Aaman"/>
        <s v="Aamil"/>
        <s v="Aamir"/>
        <s v="Aamod"/>
        <s v="Aanan"/>
        <s v="Aanand"/>
        <s v="Aapt"/>
        <s v="Aaqil"/>
        <s v="Aaraadhak"/>
        <s v="Aaranyan"/>
        <s v="Aarav"/>
        <s v="Aardik"/>
        <s v="Aarhant"/>
        <s v="Aari"/>
        <s v="Aaric"/>
        <s v="Aarif"/>
        <s v="Aarin"/>
        <s v="Aaris"/>
        <s v="Aarit"/>
        <s v="Aariv"/>
        <s v="Aariz"/>
        <s v="Aarnav"/>
        <s v="Aarodeep"/>
        <s v="Aaroha"/>
        <s v="Aaromal"/>
        <s v="Aaron"/>
        <s v="Aaronn"/>
        <s v="Aarpit"/>
        <s v="Aarron"/>
        <s v="Nishita"/>
      </sharedItems>
    </cacheField>
    <cacheField name="surname" numFmtId="0">
      <sharedItems/>
    </cacheField>
    <cacheField name="gender" numFmtId="0">
      <sharedItems count="2">
        <s v="Male"/>
        <s v="Female"/>
      </sharedItems>
    </cacheField>
    <cacheField name="religion" numFmtId="0">
      <sharedItems/>
    </cacheField>
    <cacheField name="faculty" numFmtId="0">
      <sharedItems/>
    </cacheField>
    <cacheField name="age" numFmtId="0">
      <sharedItems containsSemiMixedTypes="0" containsString="0" containsNumber="1" containsInteger="1" minValue="18" maxValue="23"/>
    </cacheField>
    <cacheField name="category" numFmtId="0">
      <sharedItems/>
    </cacheField>
    <cacheField name="board groups" numFmtId="0">
      <sharedItems/>
    </cacheField>
    <cacheField name="board percentage " numFmtId="0">
      <sharedItems containsSemiMixedTypes="0" containsString="0" containsNumber="1" containsInteger="1" minValue="46" maxValue="94"/>
    </cacheField>
    <cacheField name="Medium of instructions " numFmtId="0">
      <sharedItems/>
    </cacheField>
    <cacheField name="native states " numFmtId="0">
      <sharedItems/>
    </cacheField>
    <cacheField name="native place" numFmtId="0">
      <sharedItems/>
    </cacheField>
    <cacheField name="fitness " numFmtId="0">
      <sharedItems/>
    </cacheField>
    <cacheField name="hobbies" numFmtId="0">
      <sharedItems/>
    </cacheField>
    <cacheField name="family income" numFmtId="0">
      <sharedItems/>
    </cacheField>
    <cacheField name="family type " numFmtId="0">
      <sharedItems/>
    </cacheField>
    <cacheField name="mode of transportation" numFmtId="0">
      <sharedItems count="3">
        <s v="B"/>
        <s v="C"/>
        <s v="V"/>
      </sharedItems>
    </cacheField>
    <cacheField name="Food habits" numFmtId="0">
      <sharedItems/>
    </cacheField>
    <cacheField name="Campus habits" numFmtId="0">
      <sharedItems/>
    </cacheField>
    <cacheField name="Heigt( in metres)" numFmtId="0">
      <sharedItems containsSemiMixedTypes="0" containsString="0" containsNumber="1" minValue="1.3" maxValue="1.9"/>
    </cacheField>
    <cacheField name="Weight " numFmtId="0">
      <sharedItems containsSemiMixedTypes="0" containsString="0" containsNumber="1" containsInteger="1" minValue="35" maxValue="80"/>
    </cacheField>
    <cacheField name="BMI" numFmtId="0">
      <sharedItems containsSemiMixedTypes="0" containsString="0" containsNumber="1" minValue="10.526315789473685" maxValue="46.153846153846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x v="0"/>
    <x v="0"/>
    <s v="Commerce"/>
    <x v="0"/>
    <x v="0"/>
    <s v="B"/>
    <x v="0"/>
    <x v="0"/>
    <x v="0"/>
    <s v="Cochi"/>
    <s v="Athletic"/>
    <x v="0"/>
    <s v="8lac-12lac"/>
    <x v="0"/>
    <x v="0"/>
    <s v="Non- Vegetarians"/>
    <s v="smokers"/>
    <n v="1.9"/>
    <n v="67"/>
    <n v="18.559556786703602"/>
  </r>
  <r>
    <x v="1"/>
    <x v="1"/>
    <x v="0"/>
    <x v="1"/>
    <s v="social work"/>
    <x v="0"/>
    <x v="1"/>
    <s v="B"/>
    <x v="1"/>
    <x v="1"/>
    <x v="1"/>
    <s v="Ratlam"/>
    <s v="Athletic"/>
    <x v="1"/>
    <s v="More than12 lac"/>
    <x v="0"/>
    <x v="1"/>
    <s v="Non- Vegetarians"/>
    <s v="smokers"/>
    <n v="1.4"/>
    <n v="80"/>
    <n v="40.816326530612251"/>
  </r>
  <r>
    <x v="2"/>
    <x v="2"/>
    <x v="1"/>
    <x v="0"/>
    <s v="Science"/>
    <x v="1"/>
    <x v="1"/>
    <s v="AB"/>
    <x v="2"/>
    <x v="2"/>
    <x v="2"/>
    <s v="Patna"/>
    <s v="Athletic"/>
    <x v="2"/>
    <s v="8lac-12lac"/>
    <x v="0"/>
    <x v="1"/>
    <s v="Non- Vegetarians"/>
    <s v="smokers"/>
    <n v="1.6"/>
    <n v="72"/>
    <n v="28.124999999999993"/>
  </r>
  <r>
    <x v="3"/>
    <x v="3"/>
    <x v="1"/>
    <x v="2"/>
    <s v="Psychology"/>
    <x v="2"/>
    <x v="2"/>
    <s v="AB"/>
    <x v="3"/>
    <x v="0"/>
    <x v="3"/>
    <s v="Pune"/>
    <s v="Non-Athletic"/>
    <x v="0"/>
    <s v="8lac-12lac"/>
    <x v="0"/>
    <x v="1"/>
    <s v="Vegetarian"/>
    <s v="non smokers"/>
    <n v="1.8"/>
    <n v="80"/>
    <n v="24.691358024691358"/>
  </r>
  <r>
    <x v="4"/>
    <x v="4"/>
    <x v="1"/>
    <x v="2"/>
    <s v="Psychology"/>
    <x v="1"/>
    <x v="0"/>
    <s v="B"/>
    <x v="4"/>
    <x v="0"/>
    <x v="4"/>
    <s v="Gurugram"/>
    <s v="Athletic"/>
    <x v="1"/>
    <s v="4 lac-8 lac"/>
    <x v="0"/>
    <x v="0"/>
    <s v="Non- Vegetarians"/>
    <s v="smokers"/>
    <n v="1.4"/>
    <n v="49"/>
    <n v="25.000000000000004"/>
  </r>
  <r>
    <x v="5"/>
    <x v="5"/>
    <x v="1"/>
    <x v="1"/>
    <s v="Arts"/>
    <x v="0"/>
    <x v="0"/>
    <s v="B"/>
    <x v="1"/>
    <x v="2"/>
    <x v="4"/>
    <s v="Gurugram"/>
    <s v="Non-Athletic"/>
    <x v="3"/>
    <s v="1 lac-4lac"/>
    <x v="0"/>
    <x v="2"/>
    <s v="Non- Vegetarians"/>
    <s v="smokers"/>
    <n v="1.6"/>
    <n v="70"/>
    <n v="27.343749999999996"/>
  </r>
  <r>
    <x v="6"/>
    <x v="6"/>
    <x v="1"/>
    <x v="2"/>
    <s v="social work"/>
    <x v="3"/>
    <x v="0"/>
    <s v="A"/>
    <x v="5"/>
    <x v="3"/>
    <x v="5"/>
    <s v="surat"/>
    <s v="Athletic"/>
    <x v="1"/>
    <s v="More than12 lac"/>
    <x v="1"/>
    <x v="0"/>
    <s v="Vegetarian"/>
    <s v="non smokers"/>
    <n v="1.3"/>
    <n v="78"/>
    <n v="46.153846153846146"/>
  </r>
  <r>
    <x v="7"/>
    <x v="7"/>
    <x v="0"/>
    <x v="0"/>
    <s v="Psychology"/>
    <x v="1"/>
    <x v="0"/>
    <s v="A"/>
    <x v="6"/>
    <x v="3"/>
    <x v="0"/>
    <s v="Cochi"/>
    <s v="Athletic"/>
    <x v="2"/>
    <s v="1 lac-4lac"/>
    <x v="0"/>
    <x v="1"/>
    <s v="Non- Vegetarians"/>
    <s v="non smokers"/>
    <n v="1.5"/>
    <n v="49"/>
    <n v="21.777777777777779"/>
  </r>
  <r>
    <x v="8"/>
    <x v="8"/>
    <x v="0"/>
    <x v="1"/>
    <s v="Psychology"/>
    <x v="2"/>
    <x v="0"/>
    <s v="B"/>
    <x v="7"/>
    <x v="1"/>
    <x v="2"/>
    <s v="Patna"/>
    <s v="Athletic"/>
    <x v="1"/>
    <s v="1 lac-4lac"/>
    <x v="0"/>
    <x v="0"/>
    <s v="Non- Vegetarians"/>
    <s v="non smokers"/>
    <n v="1.4"/>
    <n v="48"/>
    <n v="24.489795918367349"/>
  </r>
  <r>
    <x v="9"/>
    <x v="9"/>
    <x v="0"/>
    <x v="0"/>
    <s v="Commerce"/>
    <x v="4"/>
    <x v="1"/>
    <s v="A"/>
    <x v="8"/>
    <x v="0"/>
    <x v="3"/>
    <s v="Pune"/>
    <s v="Non-Athletic"/>
    <x v="3"/>
    <s v="4 lac-8 lac"/>
    <x v="0"/>
    <x v="0"/>
    <s v="Non- Vegetarians"/>
    <s v="smokers"/>
    <n v="1.6"/>
    <n v="35"/>
    <n v="13.671874999999998"/>
  </r>
  <r>
    <x v="10"/>
    <x v="10"/>
    <x v="0"/>
    <x v="3"/>
    <s v="Psychology"/>
    <x v="5"/>
    <x v="2"/>
    <s v="A"/>
    <x v="6"/>
    <x v="0"/>
    <x v="1"/>
    <s v="Ratlam"/>
    <s v="Non-Athletic"/>
    <x v="2"/>
    <s v="More than12 lac"/>
    <x v="1"/>
    <x v="1"/>
    <s v="Non- Vegetarians"/>
    <s v="non smokers"/>
    <n v="1.6"/>
    <n v="45"/>
    <n v="17.578124999999996"/>
  </r>
  <r>
    <x v="11"/>
    <x v="11"/>
    <x v="0"/>
    <x v="1"/>
    <s v="Commerce"/>
    <x v="4"/>
    <x v="1"/>
    <s v="AB"/>
    <x v="9"/>
    <x v="1"/>
    <x v="6"/>
    <s v="New Delhi"/>
    <s v="Non-Athletic"/>
    <x v="0"/>
    <s v="8lac-12lac"/>
    <x v="1"/>
    <x v="0"/>
    <s v="Non- Vegetarians"/>
    <s v="non smokers"/>
    <n v="1.8"/>
    <n v="50"/>
    <n v="15.432098765432098"/>
  </r>
  <r>
    <x v="12"/>
    <x v="12"/>
    <x v="0"/>
    <x v="0"/>
    <s v="Science"/>
    <x v="4"/>
    <x v="2"/>
    <s v="B"/>
    <x v="1"/>
    <x v="2"/>
    <x v="3"/>
    <s v="Pune"/>
    <s v="Non-Athletic"/>
    <x v="1"/>
    <s v="More than12 lac"/>
    <x v="0"/>
    <x v="2"/>
    <s v="Vegetarian"/>
    <s v="non smokers"/>
    <n v="1.4"/>
    <n v="54"/>
    <n v="27.551020408163268"/>
  </r>
  <r>
    <x v="13"/>
    <x v="13"/>
    <x v="0"/>
    <x v="4"/>
    <s v="law"/>
    <x v="5"/>
    <x v="2"/>
    <s v="A"/>
    <x v="5"/>
    <x v="2"/>
    <x v="7"/>
    <s v="Lucknow"/>
    <s v="Athletic"/>
    <x v="0"/>
    <s v="More than12 lac"/>
    <x v="1"/>
    <x v="2"/>
    <s v="Vegetarian"/>
    <s v="non smokers"/>
    <n v="1.5"/>
    <n v="38"/>
    <n v="16.888888888888889"/>
  </r>
  <r>
    <x v="14"/>
    <x v="14"/>
    <x v="0"/>
    <x v="4"/>
    <s v="law"/>
    <x v="3"/>
    <x v="0"/>
    <s v="AB"/>
    <x v="10"/>
    <x v="3"/>
    <x v="4"/>
    <s v="Gurugram"/>
    <s v="Athletic"/>
    <x v="3"/>
    <s v="8lac-12lac"/>
    <x v="1"/>
    <x v="0"/>
    <s v="Vegetarian"/>
    <s v="smokers"/>
    <n v="1.6"/>
    <n v="60"/>
    <n v="23.437499999999996"/>
  </r>
  <r>
    <x v="15"/>
    <x v="15"/>
    <x v="0"/>
    <x v="3"/>
    <s v="Arts"/>
    <x v="3"/>
    <x v="1"/>
    <s v="B"/>
    <x v="10"/>
    <x v="0"/>
    <x v="4"/>
    <s v="Gurugram"/>
    <s v="Athletic"/>
    <x v="3"/>
    <s v="More than12 lac"/>
    <x v="0"/>
    <x v="1"/>
    <s v="Non- Vegetarians"/>
    <s v="non smokers"/>
    <n v="1.4"/>
    <n v="46"/>
    <n v="23.469387755102044"/>
  </r>
  <r>
    <x v="16"/>
    <x v="16"/>
    <x v="1"/>
    <x v="0"/>
    <s v="Commerce"/>
    <x v="0"/>
    <x v="0"/>
    <s v="AB"/>
    <x v="11"/>
    <x v="2"/>
    <x v="6"/>
    <s v="New Delhi"/>
    <s v="Athletic"/>
    <x v="1"/>
    <s v="1 lac-4lac"/>
    <x v="0"/>
    <x v="2"/>
    <s v="Vegetarian"/>
    <s v="non smokers"/>
    <n v="1.3"/>
    <n v="74"/>
    <n v="43.786982248520708"/>
  </r>
  <r>
    <x v="17"/>
    <x v="17"/>
    <x v="1"/>
    <x v="0"/>
    <s v="Arts"/>
    <x v="0"/>
    <x v="1"/>
    <s v="A"/>
    <x v="12"/>
    <x v="0"/>
    <x v="2"/>
    <s v="Patna"/>
    <s v="Non-Athletic"/>
    <x v="2"/>
    <s v="More than12 lac"/>
    <x v="1"/>
    <x v="0"/>
    <s v="Vegetarian"/>
    <s v="non smokers"/>
    <n v="1.3"/>
    <n v="69"/>
    <n v="40.828402366863898"/>
  </r>
  <r>
    <x v="18"/>
    <x v="18"/>
    <x v="1"/>
    <x v="0"/>
    <s v="Commerce"/>
    <x v="5"/>
    <x v="2"/>
    <s v="A"/>
    <x v="9"/>
    <x v="1"/>
    <x v="6"/>
    <s v="New Delhi"/>
    <s v="Non-Athletic"/>
    <x v="1"/>
    <s v="More than12 lac"/>
    <x v="1"/>
    <x v="1"/>
    <s v="Non- Vegetarians"/>
    <s v="non smokers"/>
    <n v="1.3"/>
    <n v="66"/>
    <n v="39.053254437869818"/>
  </r>
  <r>
    <x v="19"/>
    <x v="19"/>
    <x v="1"/>
    <x v="3"/>
    <s v="Commerce"/>
    <x v="3"/>
    <x v="2"/>
    <s v="B"/>
    <x v="1"/>
    <x v="2"/>
    <x v="7"/>
    <s v="Lucknow"/>
    <s v="Athletic"/>
    <x v="0"/>
    <s v="1 lac-4lac"/>
    <x v="0"/>
    <x v="0"/>
    <s v="Non- Vegetarians"/>
    <s v="non smokers"/>
    <n v="1.3"/>
    <n v="64"/>
    <n v="37.869822485207095"/>
  </r>
  <r>
    <x v="20"/>
    <x v="20"/>
    <x v="1"/>
    <x v="2"/>
    <s v="Science"/>
    <x v="0"/>
    <x v="0"/>
    <s v="A"/>
    <x v="13"/>
    <x v="2"/>
    <x v="6"/>
    <s v="New Delhi"/>
    <s v="Athletic"/>
    <x v="1"/>
    <s v="1 lac-4lac"/>
    <x v="0"/>
    <x v="1"/>
    <s v="Vegetarian"/>
    <s v="smokers"/>
    <n v="1.5"/>
    <n v="76"/>
    <n v="33.777777777777779"/>
  </r>
  <r>
    <x v="21"/>
    <x v="21"/>
    <x v="1"/>
    <x v="4"/>
    <s v="Commerce"/>
    <x v="5"/>
    <x v="0"/>
    <s v="A"/>
    <x v="10"/>
    <x v="0"/>
    <x v="3"/>
    <s v="Pune"/>
    <s v="Athletic"/>
    <x v="2"/>
    <s v="4 lac-8 lac"/>
    <x v="1"/>
    <x v="1"/>
    <s v="Non- Vegetarians"/>
    <s v="smokers"/>
    <n v="1.5"/>
    <n v="55"/>
    <n v="24.444444444444443"/>
  </r>
  <r>
    <x v="22"/>
    <x v="22"/>
    <x v="0"/>
    <x v="1"/>
    <s v="Psychology"/>
    <x v="1"/>
    <x v="1"/>
    <s v="B"/>
    <x v="14"/>
    <x v="0"/>
    <x v="5"/>
    <s v="surat"/>
    <s v="Athletic"/>
    <x v="2"/>
    <s v="4 lac-8 lac"/>
    <x v="0"/>
    <x v="1"/>
    <s v="Vegetarian"/>
    <s v="smokers"/>
    <n v="1.7"/>
    <n v="43"/>
    <n v="14.878892733564015"/>
  </r>
  <r>
    <x v="23"/>
    <x v="23"/>
    <x v="0"/>
    <x v="1"/>
    <s v="Commerce"/>
    <x v="4"/>
    <x v="2"/>
    <s v="A"/>
    <x v="11"/>
    <x v="3"/>
    <x v="5"/>
    <s v="surat"/>
    <s v="Non-Athletic"/>
    <x v="2"/>
    <s v="More than12 lac"/>
    <x v="1"/>
    <x v="2"/>
    <s v="Non- Vegetarians"/>
    <s v="smokers"/>
    <n v="1.3"/>
    <n v="51"/>
    <n v="30.177514792899405"/>
  </r>
  <r>
    <x v="24"/>
    <x v="24"/>
    <x v="0"/>
    <x v="4"/>
    <s v="Arts"/>
    <x v="3"/>
    <x v="1"/>
    <s v="A"/>
    <x v="15"/>
    <x v="2"/>
    <x v="2"/>
    <s v="Patna"/>
    <s v="Athletic"/>
    <x v="1"/>
    <s v="More than12 lac"/>
    <x v="1"/>
    <x v="2"/>
    <s v="Non- Vegetarians"/>
    <s v="non smokers"/>
    <n v="1.3"/>
    <n v="38"/>
    <n v="22.485207100591715"/>
  </r>
  <r>
    <x v="25"/>
    <x v="25"/>
    <x v="0"/>
    <x v="4"/>
    <s v="Science"/>
    <x v="5"/>
    <x v="0"/>
    <s v="A"/>
    <x v="16"/>
    <x v="0"/>
    <x v="1"/>
    <s v="Ratlam"/>
    <s v="Non-Athletic"/>
    <x v="2"/>
    <s v="4 lac-8 lac"/>
    <x v="1"/>
    <x v="0"/>
    <s v="Non- Vegetarians"/>
    <s v="non smokers"/>
    <n v="1.5"/>
    <n v="69"/>
    <n v="30.666666666666668"/>
  </r>
  <r>
    <x v="26"/>
    <x v="26"/>
    <x v="0"/>
    <x v="1"/>
    <s v="social work"/>
    <x v="4"/>
    <x v="1"/>
    <s v="AB"/>
    <x v="0"/>
    <x v="3"/>
    <x v="6"/>
    <s v="New Delhi"/>
    <s v="Athletic"/>
    <x v="0"/>
    <s v="More than12 lac"/>
    <x v="1"/>
    <x v="1"/>
    <s v="Vegetarian"/>
    <s v="non smokers"/>
    <n v="1.9"/>
    <n v="57"/>
    <n v="15.789473684210527"/>
  </r>
  <r>
    <x v="27"/>
    <x v="27"/>
    <x v="1"/>
    <x v="3"/>
    <s v="law"/>
    <x v="4"/>
    <x v="1"/>
    <s v="A"/>
    <x v="17"/>
    <x v="1"/>
    <x v="3"/>
    <s v="Pune"/>
    <s v="Non-Athletic"/>
    <x v="2"/>
    <s v="4 lac-8 lac"/>
    <x v="1"/>
    <x v="2"/>
    <s v="Non- Vegetarians"/>
    <s v="smokers"/>
    <n v="1.9"/>
    <n v="62"/>
    <n v="17.174515235457065"/>
  </r>
  <r>
    <x v="28"/>
    <x v="27"/>
    <x v="1"/>
    <x v="3"/>
    <s v="Science"/>
    <x v="3"/>
    <x v="0"/>
    <s v="B"/>
    <x v="18"/>
    <x v="0"/>
    <x v="1"/>
    <s v="Ratlam"/>
    <s v="Non-Athletic"/>
    <x v="1"/>
    <s v="1 lac-4lac"/>
    <x v="0"/>
    <x v="1"/>
    <s v="Vegetarian"/>
    <s v="non smokers"/>
    <n v="1.8"/>
    <n v="42"/>
    <n v="12.962962962962962"/>
  </r>
  <r>
    <x v="29"/>
    <x v="28"/>
    <x v="1"/>
    <x v="3"/>
    <s v="Arts"/>
    <x v="0"/>
    <x v="2"/>
    <s v="B"/>
    <x v="19"/>
    <x v="3"/>
    <x v="0"/>
    <s v="Cochi"/>
    <s v="Non-Athletic"/>
    <x v="1"/>
    <s v="More than12 lac"/>
    <x v="0"/>
    <x v="2"/>
    <s v="Vegetarian"/>
    <s v="smokers"/>
    <n v="1.3"/>
    <n v="64"/>
    <n v="37.869822485207095"/>
  </r>
  <r>
    <x v="30"/>
    <x v="29"/>
    <x v="1"/>
    <x v="1"/>
    <s v="Arts"/>
    <x v="5"/>
    <x v="1"/>
    <s v="A"/>
    <x v="9"/>
    <x v="0"/>
    <x v="2"/>
    <s v="Patna"/>
    <s v="Athletic"/>
    <x v="3"/>
    <s v="1 lac-4lac"/>
    <x v="0"/>
    <x v="1"/>
    <s v="Non- Vegetarians"/>
    <s v="smokers"/>
    <n v="1.9"/>
    <n v="43"/>
    <n v="11.911357340720222"/>
  </r>
  <r>
    <x v="31"/>
    <x v="30"/>
    <x v="1"/>
    <x v="1"/>
    <s v="law"/>
    <x v="2"/>
    <x v="2"/>
    <s v="A"/>
    <x v="20"/>
    <x v="0"/>
    <x v="6"/>
    <s v="New Delhi"/>
    <s v="Athletic"/>
    <x v="1"/>
    <s v="4 lac-8 lac"/>
    <x v="1"/>
    <x v="0"/>
    <s v="Non- Vegetarians"/>
    <s v="smokers"/>
    <n v="1.9"/>
    <n v="40"/>
    <n v="11.0803324099723"/>
  </r>
  <r>
    <x v="32"/>
    <x v="31"/>
    <x v="1"/>
    <x v="0"/>
    <s v="law"/>
    <x v="1"/>
    <x v="1"/>
    <s v="B"/>
    <x v="15"/>
    <x v="1"/>
    <x v="0"/>
    <s v="Cochi"/>
    <s v="Athletic"/>
    <x v="0"/>
    <s v="8lac-12lac"/>
    <x v="1"/>
    <x v="0"/>
    <s v="Non- Vegetarians"/>
    <s v="smokers"/>
    <n v="1.7"/>
    <n v="54"/>
    <n v="18.68512110726644"/>
  </r>
  <r>
    <x v="33"/>
    <x v="32"/>
    <x v="0"/>
    <x v="1"/>
    <s v="law"/>
    <x v="0"/>
    <x v="1"/>
    <s v="AB"/>
    <x v="15"/>
    <x v="0"/>
    <x v="0"/>
    <s v="Cochi"/>
    <s v="Non-Athletic"/>
    <x v="2"/>
    <s v="1 lac-4lac"/>
    <x v="1"/>
    <x v="0"/>
    <s v="Non- Vegetarians"/>
    <s v="smokers"/>
    <n v="1.7"/>
    <n v="57"/>
    <n v="19.723183391003463"/>
  </r>
  <r>
    <x v="34"/>
    <x v="33"/>
    <x v="0"/>
    <x v="4"/>
    <s v="law"/>
    <x v="4"/>
    <x v="0"/>
    <s v="AB"/>
    <x v="15"/>
    <x v="3"/>
    <x v="5"/>
    <s v="surat"/>
    <s v="Athletic"/>
    <x v="2"/>
    <s v="4 lac-8 lac"/>
    <x v="1"/>
    <x v="1"/>
    <s v="Vegetarian"/>
    <s v="smokers"/>
    <n v="1.6"/>
    <n v="37"/>
    <n v="14.453124999999996"/>
  </r>
  <r>
    <x v="35"/>
    <x v="34"/>
    <x v="0"/>
    <x v="0"/>
    <s v="law"/>
    <x v="4"/>
    <x v="0"/>
    <s v="AB"/>
    <x v="13"/>
    <x v="0"/>
    <x v="7"/>
    <s v="Lucknow"/>
    <s v="Athletic"/>
    <x v="1"/>
    <s v="4 lac-8 lac"/>
    <x v="1"/>
    <x v="2"/>
    <s v="Vegetarian"/>
    <s v="non smokers"/>
    <n v="1.7"/>
    <n v="78"/>
    <n v="26.989619377162633"/>
  </r>
  <r>
    <x v="36"/>
    <x v="35"/>
    <x v="0"/>
    <x v="0"/>
    <s v="Commerce"/>
    <x v="4"/>
    <x v="0"/>
    <s v="A"/>
    <x v="0"/>
    <x v="3"/>
    <x v="3"/>
    <s v="Pune"/>
    <s v="Athletic"/>
    <x v="2"/>
    <s v="4 lac-8 lac"/>
    <x v="1"/>
    <x v="2"/>
    <s v="Non- Vegetarians"/>
    <s v="smokers"/>
    <n v="1.6"/>
    <n v="58"/>
    <n v="22.656249999999996"/>
  </r>
  <r>
    <x v="37"/>
    <x v="36"/>
    <x v="1"/>
    <x v="3"/>
    <s v="law"/>
    <x v="3"/>
    <x v="0"/>
    <s v="A"/>
    <x v="21"/>
    <x v="2"/>
    <x v="3"/>
    <s v="Pune"/>
    <s v="Athletic"/>
    <x v="2"/>
    <s v="4 lac-8 lac"/>
    <x v="0"/>
    <x v="0"/>
    <s v="Non- Vegetarians"/>
    <s v="non smokers"/>
    <n v="1.8"/>
    <n v="38"/>
    <n v="11.728395061728394"/>
  </r>
  <r>
    <x v="38"/>
    <x v="37"/>
    <x v="1"/>
    <x v="3"/>
    <s v="social work"/>
    <x v="4"/>
    <x v="1"/>
    <s v="A"/>
    <x v="22"/>
    <x v="3"/>
    <x v="4"/>
    <s v="Gurugram"/>
    <s v="Athletic"/>
    <x v="1"/>
    <s v="4 lac-8 lac"/>
    <x v="0"/>
    <x v="1"/>
    <s v="Vegetarian"/>
    <s v="smokers"/>
    <n v="1.8"/>
    <n v="53"/>
    <n v="16.358024691358022"/>
  </r>
  <r>
    <x v="39"/>
    <x v="37"/>
    <x v="1"/>
    <x v="3"/>
    <s v="social work"/>
    <x v="0"/>
    <x v="2"/>
    <s v="AB"/>
    <x v="10"/>
    <x v="1"/>
    <x v="4"/>
    <s v="Gurugram"/>
    <s v="Non-Athletic"/>
    <x v="3"/>
    <s v="More than12 lac"/>
    <x v="1"/>
    <x v="1"/>
    <s v="Vegetarian"/>
    <s v="non smokers"/>
    <n v="1.4"/>
    <n v="42"/>
    <n v="21.428571428571431"/>
  </r>
  <r>
    <x v="40"/>
    <x v="38"/>
    <x v="1"/>
    <x v="0"/>
    <s v="Arts"/>
    <x v="3"/>
    <x v="1"/>
    <s v="A"/>
    <x v="23"/>
    <x v="0"/>
    <x v="0"/>
    <s v="Cochi"/>
    <s v="Non-Athletic"/>
    <x v="2"/>
    <s v="More than12 lac"/>
    <x v="0"/>
    <x v="1"/>
    <s v="Non- Vegetarians"/>
    <s v="non smokers"/>
    <n v="1.8"/>
    <n v="75"/>
    <n v="23.148148148148145"/>
  </r>
  <r>
    <x v="41"/>
    <x v="39"/>
    <x v="1"/>
    <x v="1"/>
    <s v="social work"/>
    <x v="1"/>
    <x v="2"/>
    <s v="A"/>
    <x v="17"/>
    <x v="0"/>
    <x v="6"/>
    <s v="New Delhi"/>
    <s v="Athletic"/>
    <x v="3"/>
    <s v="1 lac-4lac"/>
    <x v="0"/>
    <x v="1"/>
    <s v="Vegetarian"/>
    <s v="smokers"/>
    <n v="1.8"/>
    <n v="45"/>
    <n v="13.888888888888888"/>
  </r>
  <r>
    <x v="42"/>
    <x v="40"/>
    <x v="1"/>
    <x v="3"/>
    <s v="Arts"/>
    <x v="4"/>
    <x v="1"/>
    <s v="B"/>
    <x v="10"/>
    <x v="2"/>
    <x v="3"/>
    <s v="Pune"/>
    <s v="Athletic"/>
    <x v="1"/>
    <s v="4 lac-8 lac"/>
    <x v="0"/>
    <x v="1"/>
    <s v="Vegetarian"/>
    <s v="non smokers"/>
    <n v="1.7"/>
    <n v="40"/>
    <n v="13.84083044982699"/>
  </r>
  <r>
    <x v="43"/>
    <x v="41"/>
    <x v="1"/>
    <x v="0"/>
    <s v="Psychology"/>
    <x v="3"/>
    <x v="1"/>
    <s v="AB"/>
    <x v="24"/>
    <x v="1"/>
    <x v="5"/>
    <s v="surat"/>
    <s v="Athletic"/>
    <x v="1"/>
    <s v="4 lac-8 lac"/>
    <x v="0"/>
    <x v="0"/>
    <s v="Vegetarian"/>
    <s v="non smokers"/>
    <n v="1.9"/>
    <n v="53"/>
    <n v="14.681440443213297"/>
  </r>
  <r>
    <x v="44"/>
    <x v="42"/>
    <x v="0"/>
    <x v="3"/>
    <s v="law"/>
    <x v="4"/>
    <x v="1"/>
    <s v="B"/>
    <x v="25"/>
    <x v="0"/>
    <x v="7"/>
    <s v="Lucknow"/>
    <s v="Athletic"/>
    <x v="3"/>
    <s v="1 lac-4lac"/>
    <x v="0"/>
    <x v="1"/>
    <s v="Vegetarian"/>
    <s v="smokers"/>
    <n v="1.7"/>
    <n v="72"/>
    <n v="24.913494809688583"/>
  </r>
  <r>
    <x v="45"/>
    <x v="43"/>
    <x v="0"/>
    <x v="0"/>
    <s v="Arts"/>
    <x v="4"/>
    <x v="2"/>
    <s v="AB"/>
    <x v="26"/>
    <x v="1"/>
    <x v="3"/>
    <s v="Pune"/>
    <s v="Athletic"/>
    <x v="3"/>
    <s v="4 lac-8 lac"/>
    <x v="0"/>
    <x v="1"/>
    <s v="Non- Vegetarians"/>
    <s v="non smokers"/>
    <n v="1.6"/>
    <n v="47"/>
    <n v="18.359374999999996"/>
  </r>
  <r>
    <x v="46"/>
    <x v="44"/>
    <x v="0"/>
    <x v="0"/>
    <s v="Science"/>
    <x v="3"/>
    <x v="1"/>
    <s v="B"/>
    <x v="27"/>
    <x v="3"/>
    <x v="5"/>
    <s v="surat"/>
    <s v="Athletic"/>
    <x v="0"/>
    <s v="4 lac-8 lac"/>
    <x v="0"/>
    <x v="1"/>
    <s v="Vegetarian"/>
    <s v="smokers"/>
    <n v="1.8"/>
    <n v="70"/>
    <n v="21.604938271604937"/>
  </r>
  <r>
    <x v="47"/>
    <x v="45"/>
    <x v="0"/>
    <x v="4"/>
    <s v="Commerce"/>
    <x v="4"/>
    <x v="0"/>
    <s v="AB"/>
    <x v="28"/>
    <x v="0"/>
    <x v="3"/>
    <s v="Pune"/>
    <s v="Athletic"/>
    <x v="3"/>
    <s v="4 lac-8 lac"/>
    <x v="0"/>
    <x v="2"/>
    <s v="Vegetarian"/>
    <s v="non smokers"/>
    <n v="1.7"/>
    <n v="71"/>
    <n v="24.567474048442911"/>
  </r>
  <r>
    <x v="48"/>
    <x v="46"/>
    <x v="0"/>
    <x v="3"/>
    <s v="law"/>
    <x v="3"/>
    <x v="1"/>
    <s v="B"/>
    <x v="3"/>
    <x v="3"/>
    <x v="0"/>
    <s v="Cochi"/>
    <s v="Athletic"/>
    <x v="2"/>
    <s v="1 lac-4lac"/>
    <x v="1"/>
    <x v="2"/>
    <s v="Non- Vegetarians"/>
    <s v="non smokers"/>
    <n v="1.3"/>
    <n v="52"/>
    <n v="30.769230769230766"/>
  </r>
  <r>
    <x v="49"/>
    <x v="47"/>
    <x v="0"/>
    <x v="0"/>
    <s v="social work"/>
    <x v="5"/>
    <x v="2"/>
    <s v="A"/>
    <x v="12"/>
    <x v="0"/>
    <x v="5"/>
    <s v="surat"/>
    <s v="Non-Athletic"/>
    <x v="0"/>
    <s v="4 lac-8 lac"/>
    <x v="0"/>
    <x v="1"/>
    <s v="Vegetarian"/>
    <s v="non smokers"/>
    <n v="1.6"/>
    <n v="60"/>
    <n v="23.437499999999996"/>
  </r>
  <r>
    <x v="50"/>
    <x v="48"/>
    <x v="0"/>
    <x v="4"/>
    <s v="law"/>
    <x v="4"/>
    <x v="1"/>
    <s v="B"/>
    <x v="3"/>
    <x v="0"/>
    <x v="1"/>
    <s v="Ratlam"/>
    <s v="Athletic"/>
    <x v="2"/>
    <s v="8lac-12lac"/>
    <x v="1"/>
    <x v="1"/>
    <s v="Vegetarian"/>
    <s v="smokers"/>
    <n v="1.5"/>
    <n v="44"/>
    <n v="19.555555555555557"/>
  </r>
  <r>
    <x v="51"/>
    <x v="49"/>
    <x v="0"/>
    <x v="4"/>
    <s v="law"/>
    <x v="3"/>
    <x v="0"/>
    <s v="AB"/>
    <x v="9"/>
    <x v="3"/>
    <x v="7"/>
    <s v="Lucknow"/>
    <s v="Non-Athletic"/>
    <x v="0"/>
    <s v="1 lac-4lac"/>
    <x v="1"/>
    <x v="1"/>
    <s v="Non- Vegetarians"/>
    <s v="non smokers"/>
    <n v="1.9"/>
    <n v="75"/>
    <n v="20.775623268698062"/>
  </r>
  <r>
    <x v="52"/>
    <x v="50"/>
    <x v="0"/>
    <x v="2"/>
    <s v="Arts"/>
    <x v="0"/>
    <x v="0"/>
    <s v="AB"/>
    <x v="10"/>
    <x v="2"/>
    <x v="5"/>
    <s v="surat"/>
    <s v="Non-Athletic"/>
    <x v="0"/>
    <s v="4 lac-8 lac"/>
    <x v="0"/>
    <x v="1"/>
    <s v="Vegetarian"/>
    <s v="non smokers"/>
    <n v="1.7"/>
    <n v="69"/>
    <n v="23.87543252595156"/>
  </r>
  <r>
    <x v="53"/>
    <x v="51"/>
    <x v="0"/>
    <x v="3"/>
    <s v="social work"/>
    <x v="5"/>
    <x v="0"/>
    <s v="AB"/>
    <x v="6"/>
    <x v="0"/>
    <x v="2"/>
    <s v="Patna"/>
    <s v="Athletic"/>
    <x v="1"/>
    <s v="8lac-12lac"/>
    <x v="1"/>
    <x v="1"/>
    <s v="Non- Vegetarians"/>
    <s v="non smokers"/>
    <n v="1.6"/>
    <n v="59"/>
    <n v="23.046874999999996"/>
  </r>
  <r>
    <x v="54"/>
    <x v="52"/>
    <x v="1"/>
    <x v="4"/>
    <s v="social work"/>
    <x v="0"/>
    <x v="0"/>
    <s v="A"/>
    <x v="29"/>
    <x v="3"/>
    <x v="6"/>
    <s v="New Delhi"/>
    <s v="Non-Athletic"/>
    <x v="0"/>
    <s v="1 lac-4lac"/>
    <x v="0"/>
    <x v="0"/>
    <s v="Non- Vegetarians"/>
    <s v="smokers"/>
    <n v="1.6"/>
    <n v="38"/>
    <n v="14.843749999999996"/>
  </r>
  <r>
    <x v="55"/>
    <x v="53"/>
    <x v="1"/>
    <x v="2"/>
    <s v="social work"/>
    <x v="0"/>
    <x v="0"/>
    <s v="A"/>
    <x v="6"/>
    <x v="1"/>
    <x v="7"/>
    <s v="Lucknow"/>
    <s v="Athletic"/>
    <x v="2"/>
    <s v="4 lac-8 lac"/>
    <x v="0"/>
    <x v="2"/>
    <s v="Non- Vegetarians"/>
    <s v="non smokers"/>
    <n v="1.5"/>
    <n v="67"/>
    <n v="29.777777777777779"/>
  </r>
  <r>
    <x v="56"/>
    <x v="54"/>
    <x v="1"/>
    <x v="2"/>
    <s v="Science"/>
    <x v="5"/>
    <x v="0"/>
    <s v="AB"/>
    <x v="4"/>
    <x v="0"/>
    <x v="1"/>
    <s v="Ratlam"/>
    <s v="Athletic"/>
    <x v="2"/>
    <s v="4 lac-8 lac"/>
    <x v="1"/>
    <x v="2"/>
    <s v="Non- Vegetarians"/>
    <s v="non smokers"/>
    <n v="1.7"/>
    <n v="76"/>
    <n v="26.297577854671282"/>
  </r>
  <r>
    <x v="57"/>
    <x v="55"/>
    <x v="1"/>
    <x v="4"/>
    <s v="Commerce"/>
    <x v="4"/>
    <x v="0"/>
    <s v="B"/>
    <x v="21"/>
    <x v="3"/>
    <x v="7"/>
    <s v="Lucknow"/>
    <s v="Non-Athletic"/>
    <x v="3"/>
    <s v="4 lac-8 lac"/>
    <x v="0"/>
    <x v="0"/>
    <s v="Vegetarian"/>
    <s v="smokers"/>
    <n v="1.8"/>
    <n v="43"/>
    <n v="13.271604938271604"/>
  </r>
  <r>
    <x v="58"/>
    <x v="56"/>
    <x v="1"/>
    <x v="2"/>
    <s v="social work"/>
    <x v="3"/>
    <x v="1"/>
    <s v="B"/>
    <x v="6"/>
    <x v="2"/>
    <x v="4"/>
    <s v="Gurugram"/>
    <s v="Non-Athletic"/>
    <x v="3"/>
    <s v="More than12 lac"/>
    <x v="1"/>
    <x v="0"/>
    <s v="Non- Vegetarians"/>
    <s v="smokers"/>
    <n v="1.5"/>
    <n v="55"/>
    <n v="24.444444444444443"/>
  </r>
  <r>
    <x v="59"/>
    <x v="57"/>
    <x v="1"/>
    <x v="0"/>
    <s v="Psychology"/>
    <x v="1"/>
    <x v="2"/>
    <s v="B"/>
    <x v="20"/>
    <x v="2"/>
    <x v="4"/>
    <s v="Gurugram"/>
    <s v="Non-Athletic"/>
    <x v="2"/>
    <s v="4 lac-8 lac"/>
    <x v="1"/>
    <x v="2"/>
    <s v="Vegetarian"/>
    <s v="non smokers"/>
    <n v="1.4"/>
    <n v="44"/>
    <n v="22.448979591836739"/>
  </r>
  <r>
    <x v="60"/>
    <x v="58"/>
    <x v="1"/>
    <x v="0"/>
    <s v="law"/>
    <x v="2"/>
    <x v="1"/>
    <s v="AB"/>
    <x v="8"/>
    <x v="3"/>
    <x v="2"/>
    <s v="Patna"/>
    <s v="Non-Athletic"/>
    <x v="3"/>
    <s v="8lac-12lac"/>
    <x v="0"/>
    <x v="1"/>
    <s v="Non- Vegetarians"/>
    <s v="non smokers"/>
    <n v="1.7"/>
    <n v="55"/>
    <n v="19.031141868512112"/>
  </r>
  <r>
    <x v="61"/>
    <x v="59"/>
    <x v="0"/>
    <x v="3"/>
    <s v="Arts"/>
    <x v="0"/>
    <x v="2"/>
    <s v="AB"/>
    <x v="16"/>
    <x v="3"/>
    <x v="2"/>
    <s v="Patna"/>
    <s v="Athletic"/>
    <x v="0"/>
    <s v="More than12 lac"/>
    <x v="1"/>
    <x v="2"/>
    <s v="Vegetarian"/>
    <s v="smokers"/>
    <n v="1.4"/>
    <n v="57"/>
    <n v="29.081632653061227"/>
  </r>
  <r>
    <x v="62"/>
    <x v="60"/>
    <x v="0"/>
    <x v="3"/>
    <s v="Commerce"/>
    <x v="1"/>
    <x v="2"/>
    <s v="B"/>
    <x v="28"/>
    <x v="0"/>
    <x v="4"/>
    <s v="Gurugram"/>
    <s v="Non-Athletic"/>
    <x v="2"/>
    <s v="1 lac-4lac"/>
    <x v="0"/>
    <x v="0"/>
    <s v="Vegetarian"/>
    <s v="smokers"/>
    <n v="1.9"/>
    <n v="73"/>
    <n v="20.221606648199447"/>
  </r>
  <r>
    <x v="63"/>
    <x v="61"/>
    <x v="0"/>
    <x v="3"/>
    <s v="social work"/>
    <x v="4"/>
    <x v="2"/>
    <s v="B"/>
    <x v="30"/>
    <x v="3"/>
    <x v="6"/>
    <s v="New Delhi"/>
    <s v="Non-Athletic"/>
    <x v="3"/>
    <s v="1 lac-4lac"/>
    <x v="1"/>
    <x v="2"/>
    <s v="Vegetarian"/>
    <s v="non smokers"/>
    <n v="1.8"/>
    <n v="37"/>
    <n v="11.419753086419753"/>
  </r>
  <r>
    <x v="64"/>
    <x v="62"/>
    <x v="0"/>
    <x v="2"/>
    <s v="Science"/>
    <x v="3"/>
    <x v="1"/>
    <s v="AB"/>
    <x v="31"/>
    <x v="0"/>
    <x v="1"/>
    <s v="Ratlam"/>
    <s v="Athletic"/>
    <x v="3"/>
    <s v="4 lac-8 lac"/>
    <x v="1"/>
    <x v="2"/>
    <s v="Non- Vegetarians"/>
    <s v="non smokers"/>
    <n v="1.5"/>
    <n v="43"/>
    <n v="19.111111111111111"/>
  </r>
  <r>
    <x v="65"/>
    <x v="63"/>
    <x v="0"/>
    <x v="2"/>
    <s v="social work"/>
    <x v="2"/>
    <x v="1"/>
    <s v="B"/>
    <x v="32"/>
    <x v="2"/>
    <x v="5"/>
    <s v="surat"/>
    <s v="Athletic"/>
    <x v="3"/>
    <s v="1 lac-4lac"/>
    <x v="0"/>
    <x v="0"/>
    <s v="Vegetarian"/>
    <s v="smokers"/>
    <n v="1.4"/>
    <n v="79"/>
    <n v="40.3061224489796"/>
  </r>
  <r>
    <x v="66"/>
    <x v="64"/>
    <x v="0"/>
    <x v="4"/>
    <s v="Arts"/>
    <x v="4"/>
    <x v="0"/>
    <s v="B"/>
    <x v="15"/>
    <x v="1"/>
    <x v="4"/>
    <s v="Gurugram"/>
    <s v="Athletic"/>
    <x v="1"/>
    <s v="1 lac-4lac"/>
    <x v="0"/>
    <x v="2"/>
    <s v="Vegetarian"/>
    <s v="non smokers"/>
    <n v="1.3"/>
    <n v="67"/>
    <n v="39.644970414201183"/>
  </r>
  <r>
    <x v="67"/>
    <x v="65"/>
    <x v="0"/>
    <x v="2"/>
    <s v="law"/>
    <x v="3"/>
    <x v="0"/>
    <s v="AB"/>
    <x v="28"/>
    <x v="2"/>
    <x v="0"/>
    <s v="Cochi"/>
    <s v="Athletic"/>
    <x v="0"/>
    <s v="More than12 lac"/>
    <x v="0"/>
    <x v="2"/>
    <s v="Non- Vegetarians"/>
    <s v="smokers"/>
    <n v="1.3"/>
    <n v="55"/>
    <n v="32.544378698224847"/>
  </r>
  <r>
    <x v="68"/>
    <x v="66"/>
    <x v="0"/>
    <x v="3"/>
    <s v="social work"/>
    <x v="0"/>
    <x v="0"/>
    <s v="A"/>
    <x v="24"/>
    <x v="1"/>
    <x v="3"/>
    <s v="Pune"/>
    <s v="Non-Athletic"/>
    <x v="1"/>
    <s v="More than12 lac"/>
    <x v="0"/>
    <x v="2"/>
    <s v="Vegetarian"/>
    <s v="smokers"/>
    <n v="1.4"/>
    <n v="66"/>
    <n v="33.673469387755105"/>
  </r>
  <r>
    <x v="69"/>
    <x v="67"/>
    <x v="0"/>
    <x v="2"/>
    <s v="law"/>
    <x v="5"/>
    <x v="1"/>
    <s v="B"/>
    <x v="5"/>
    <x v="0"/>
    <x v="2"/>
    <s v="Patna"/>
    <s v="Non-Athletic"/>
    <x v="3"/>
    <s v="8lac-12lac"/>
    <x v="1"/>
    <x v="0"/>
    <s v="Vegetarian"/>
    <s v="smokers"/>
    <n v="1.9"/>
    <n v="75"/>
    <n v="20.775623268698062"/>
  </r>
  <r>
    <x v="70"/>
    <x v="68"/>
    <x v="1"/>
    <x v="1"/>
    <s v="Science"/>
    <x v="3"/>
    <x v="1"/>
    <s v="AB"/>
    <x v="33"/>
    <x v="2"/>
    <x v="4"/>
    <s v="Gurugram"/>
    <s v="Non-Athletic"/>
    <x v="2"/>
    <s v="8lac-12lac"/>
    <x v="1"/>
    <x v="1"/>
    <s v="Non- Vegetarians"/>
    <s v="smokers"/>
    <n v="1.3"/>
    <n v="35"/>
    <n v="20.710059171597631"/>
  </r>
  <r>
    <x v="71"/>
    <x v="69"/>
    <x v="1"/>
    <x v="3"/>
    <s v="Psychology"/>
    <x v="2"/>
    <x v="2"/>
    <s v="B"/>
    <x v="24"/>
    <x v="3"/>
    <x v="1"/>
    <s v="Ratlam"/>
    <s v="Non-Athletic"/>
    <x v="3"/>
    <s v="8lac-12lac"/>
    <x v="1"/>
    <x v="2"/>
    <s v="Non- Vegetarians"/>
    <s v="smokers"/>
    <n v="1.8"/>
    <n v="66"/>
    <n v="20.37037037037037"/>
  </r>
  <r>
    <x v="72"/>
    <x v="70"/>
    <x v="1"/>
    <x v="2"/>
    <s v="Psychology"/>
    <x v="0"/>
    <x v="1"/>
    <s v="AB"/>
    <x v="10"/>
    <x v="0"/>
    <x v="7"/>
    <s v="Lucknow"/>
    <s v="Athletic"/>
    <x v="2"/>
    <s v="8lac-12lac"/>
    <x v="0"/>
    <x v="0"/>
    <s v="Non- Vegetarians"/>
    <s v="non smokers"/>
    <n v="1.7"/>
    <n v="79"/>
    <n v="27.335640138408309"/>
  </r>
  <r>
    <x v="72"/>
    <x v="71"/>
    <x v="1"/>
    <x v="1"/>
    <s v="Arts"/>
    <x v="3"/>
    <x v="1"/>
    <s v="B"/>
    <x v="12"/>
    <x v="0"/>
    <x v="0"/>
    <s v="Cochi"/>
    <s v="Athletic"/>
    <x v="3"/>
    <s v="8lac-12lac"/>
    <x v="0"/>
    <x v="2"/>
    <s v="Non- Vegetarians"/>
    <s v="smokers"/>
    <n v="1.8"/>
    <n v="57"/>
    <n v="17.592592592592592"/>
  </r>
  <r>
    <x v="73"/>
    <x v="71"/>
    <x v="1"/>
    <x v="2"/>
    <s v="social work"/>
    <x v="1"/>
    <x v="0"/>
    <s v="AB"/>
    <x v="14"/>
    <x v="2"/>
    <x v="7"/>
    <s v="Lucknow"/>
    <s v="Athletic"/>
    <x v="3"/>
    <s v="8lac-12lac"/>
    <x v="0"/>
    <x v="2"/>
    <s v="Vegetarian"/>
    <s v="non smokers"/>
    <n v="1.4"/>
    <n v="78"/>
    <n v="39.795918367346943"/>
  </r>
  <r>
    <x v="74"/>
    <x v="72"/>
    <x v="1"/>
    <x v="2"/>
    <s v="Commerce"/>
    <x v="3"/>
    <x v="1"/>
    <s v="AB"/>
    <x v="34"/>
    <x v="1"/>
    <x v="4"/>
    <s v="Gurugram"/>
    <s v="Athletic"/>
    <x v="3"/>
    <s v="8lac-12lac"/>
    <x v="0"/>
    <x v="2"/>
    <s v="Vegetarian"/>
    <s v="smokers"/>
    <n v="1.9"/>
    <n v="80"/>
    <n v="22.1606648199446"/>
  </r>
  <r>
    <x v="75"/>
    <x v="73"/>
    <x v="1"/>
    <x v="1"/>
    <s v="Science"/>
    <x v="0"/>
    <x v="2"/>
    <s v="A"/>
    <x v="35"/>
    <x v="3"/>
    <x v="2"/>
    <s v="Patna"/>
    <s v="Athletic"/>
    <x v="1"/>
    <s v="8lac-12lac"/>
    <x v="1"/>
    <x v="0"/>
    <s v="Vegetarian"/>
    <s v="non smokers"/>
    <n v="1.6"/>
    <n v="49"/>
    <n v="19.140624999999996"/>
  </r>
  <r>
    <x v="76"/>
    <x v="74"/>
    <x v="1"/>
    <x v="3"/>
    <s v="Commerce"/>
    <x v="0"/>
    <x v="2"/>
    <s v="AB"/>
    <x v="36"/>
    <x v="3"/>
    <x v="0"/>
    <s v="Cochi"/>
    <s v="Athletic"/>
    <x v="2"/>
    <s v="8lac-12lac"/>
    <x v="1"/>
    <x v="2"/>
    <s v="Non- Vegetarians"/>
    <s v="non smokers"/>
    <n v="1.9"/>
    <n v="44"/>
    <n v="12.18836565096953"/>
  </r>
  <r>
    <x v="77"/>
    <x v="75"/>
    <x v="0"/>
    <x v="0"/>
    <s v="Arts"/>
    <x v="0"/>
    <x v="1"/>
    <s v="AB"/>
    <x v="18"/>
    <x v="0"/>
    <x v="7"/>
    <s v="Lucknow"/>
    <s v="Athletic"/>
    <x v="2"/>
    <s v="4 lac-8 lac"/>
    <x v="0"/>
    <x v="0"/>
    <s v="Non- Vegetarians"/>
    <s v="non smokers"/>
    <n v="1.7"/>
    <n v="62"/>
    <n v="21.453287197231838"/>
  </r>
  <r>
    <x v="78"/>
    <x v="76"/>
    <x v="1"/>
    <x v="3"/>
    <s v="Psychology"/>
    <x v="3"/>
    <x v="2"/>
    <s v="AB"/>
    <x v="23"/>
    <x v="2"/>
    <x v="2"/>
    <s v="Patna"/>
    <s v="Athletic"/>
    <x v="1"/>
    <s v="4 lac-8 lac"/>
    <x v="1"/>
    <x v="0"/>
    <s v="Non- Vegetarians"/>
    <s v="non smokers"/>
    <n v="1.8"/>
    <n v="72"/>
    <n v="22.222222222222221"/>
  </r>
  <r>
    <x v="79"/>
    <x v="77"/>
    <x v="0"/>
    <x v="2"/>
    <s v="Psychology"/>
    <x v="1"/>
    <x v="1"/>
    <s v="B"/>
    <x v="18"/>
    <x v="0"/>
    <x v="6"/>
    <s v="New Delhi"/>
    <s v="Non-Athletic"/>
    <x v="0"/>
    <s v="4 lac-8 lac"/>
    <x v="0"/>
    <x v="1"/>
    <s v="Vegetarian"/>
    <s v="non smokers"/>
    <n v="1.9"/>
    <n v="53"/>
    <n v="14.681440443213297"/>
  </r>
  <r>
    <x v="80"/>
    <x v="78"/>
    <x v="1"/>
    <x v="4"/>
    <s v="law"/>
    <x v="0"/>
    <x v="1"/>
    <s v="A"/>
    <x v="36"/>
    <x v="3"/>
    <x v="4"/>
    <s v="Gurugram"/>
    <s v="Non-Athletic"/>
    <x v="3"/>
    <s v="1 lac-4lac"/>
    <x v="1"/>
    <x v="2"/>
    <s v="Non- Vegetarians"/>
    <s v="non smokers"/>
    <n v="1.8"/>
    <n v="43"/>
    <n v="13.271604938271604"/>
  </r>
  <r>
    <x v="81"/>
    <x v="78"/>
    <x v="0"/>
    <x v="2"/>
    <s v="Science"/>
    <x v="0"/>
    <x v="2"/>
    <s v="B"/>
    <x v="24"/>
    <x v="1"/>
    <x v="4"/>
    <s v="Gurugram"/>
    <s v="Athletic"/>
    <x v="0"/>
    <s v="4 lac-8 lac"/>
    <x v="1"/>
    <x v="2"/>
    <s v="Vegetarian"/>
    <s v="smokers"/>
    <n v="1.6"/>
    <n v="78"/>
    <n v="30.468749999999993"/>
  </r>
  <r>
    <x v="82"/>
    <x v="79"/>
    <x v="0"/>
    <x v="4"/>
    <s v="Commerce"/>
    <x v="2"/>
    <x v="2"/>
    <s v="A"/>
    <x v="37"/>
    <x v="3"/>
    <x v="4"/>
    <s v="Gurugram"/>
    <s v="Non-Athletic"/>
    <x v="1"/>
    <s v="8lac-12lac"/>
    <x v="1"/>
    <x v="2"/>
    <s v="Vegetarian"/>
    <s v="non smokers"/>
    <n v="1.4"/>
    <n v="38"/>
    <n v="19.387755102040821"/>
  </r>
  <r>
    <x v="83"/>
    <x v="80"/>
    <x v="0"/>
    <x v="3"/>
    <s v="social work"/>
    <x v="5"/>
    <x v="2"/>
    <s v="A"/>
    <x v="24"/>
    <x v="0"/>
    <x v="1"/>
    <s v="Ratlam"/>
    <s v="Non-Athletic"/>
    <x v="2"/>
    <s v="1 lac-4lac"/>
    <x v="1"/>
    <x v="0"/>
    <s v="Non- Vegetarians"/>
    <s v="smokers"/>
    <n v="1.3"/>
    <n v="58"/>
    <n v="34.319526627218934"/>
  </r>
  <r>
    <x v="84"/>
    <x v="81"/>
    <x v="0"/>
    <x v="2"/>
    <s v="Science"/>
    <x v="4"/>
    <x v="1"/>
    <s v="AB"/>
    <x v="17"/>
    <x v="2"/>
    <x v="7"/>
    <s v="Lucknow"/>
    <s v="Non-Athletic"/>
    <x v="2"/>
    <s v="4 lac-8 lac"/>
    <x v="1"/>
    <x v="0"/>
    <s v="Non- Vegetarians"/>
    <s v="smokers"/>
    <n v="1.8"/>
    <n v="79"/>
    <n v="24.382716049382715"/>
  </r>
  <r>
    <x v="85"/>
    <x v="82"/>
    <x v="0"/>
    <x v="4"/>
    <s v="Science"/>
    <x v="4"/>
    <x v="1"/>
    <s v="AB"/>
    <x v="22"/>
    <x v="1"/>
    <x v="7"/>
    <s v="Lucknow"/>
    <s v="Athletic"/>
    <x v="2"/>
    <s v="1 lac-4lac"/>
    <x v="1"/>
    <x v="2"/>
    <s v="Vegetarian"/>
    <s v="non smokers"/>
    <n v="1.8"/>
    <n v="41"/>
    <n v="12.654320987654319"/>
  </r>
  <r>
    <x v="86"/>
    <x v="83"/>
    <x v="0"/>
    <x v="2"/>
    <s v="Arts"/>
    <x v="5"/>
    <x v="2"/>
    <s v="A"/>
    <x v="9"/>
    <x v="3"/>
    <x v="0"/>
    <s v="Cochi"/>
    <s v="Athletic"/>
    <x v="1"/>
    <s v="More than12 lac"/>
    <x v="1"/>
    <x v="1"/>
    <s v="Non- Vegetarians"/>
    <s v="non smokers"/>
    <n v="1.5"/>
    <n v="42"/>
    <n v="18.666666666666668"/>
  </r>
  <r>
    <x v="87"/>
    <x v="84"/>
    <x v="1"/>
    <x v="3"/>
    <s v="law"/>
    <x v="4"/>
    <x v="2"/>
    <s v="AB"/>
    <x v="17"/>
    <x v="3"/>
    <x v="0"/>
    <s v="Cochi"/>
    <s v="Non-Athletic"/>
    <x v="0"/>
    <s v="1 lac-4lac"/>
    <x v="0"/>
    <x v="1"/>
    <s v="Non- Vegetarians"/>
    <s v="smokers"/>
    <n v="1.4"/>
    <n v="35"/>
    <n v="17.857142857142861"/>
  </r>
  <r>
    <x v="88"/>
    <x v="85"/>
    <x v="1"/>
    <x v="0"/>
    <s v="Psychology"/>
    <x v="4"/>
    <x v="1"/>
    <s v="B"/>
    <x v="30"/>
    <x v="0"/>
    <x v="2"/>
    <s v="Patna"/>
    <s v="Athletic"/>
    <x v="2"/>
    <s v="More than12 lac"/>
    <x v="0"/>
    <x v="2"/>
    <s v="Vegetarian"/>
    <s v="smokers"/>
    <n v="1.9"/>
    <n v="47"/>
    <n v="13.019390581717452"/>
  </r>
  <r>
    <x v="89"/>
    <x v="86"/>
    <x v="1"/>
    <x v="2"/>
    <s v="Science"/>
    <x v="4"/>
    <x v="1"/>
    <s v="B"/>
    <x v="37"/>
    <x v="0"/>
    <x v="3"/>
    <s v="Pune"/>
    <s v="Athletic"/>
    <x v="1"/>
    <s v="More than12 lac"/>
    <x v="0"/>
    <x v="0"/>
    <s v="Vegetarian"/>
    <s v="smokers"/>
    <n v="1.4"/>
    <n v="77"/>
    <n v="39.285714285714292"/>
  </r>
  <r>
    <x v="90"/>
    <x v="87"/>
    <x v="1"/>
    <x v="3"/>
    <s v="Science"/>
    <x v="1"/>
    <x v="1"/>
    <s v="A"/>
    <x v="38"/>
    <x v="0"/>
    <x v="3"/>
    <s v="Pune"/>
    <s v="Non-Athletic"/>
    <x v="0"/>
    <s v="1 lac-4lac"/>
    <x v="0"/>
    <x v="2"/>
    <s v="Non- Vegetarians"/>
    <s v="smokers"/>
    <n v="1.4"/>
    <n v="53"/>
    <n v="27.040816326530617"/>
  </r>
  <r>
    <x v="90"/>
    <x v="88"/>
    <x v="1"/>
    <x v="1"/>
    <s v="Psychology"/>
    <x v="3"/>
    <x v="1"/>
    <s v="B"/>
    <x v="13"/>
    <x v="0"/>
    <x v="4"/>
    <s v="Gurugram"/>
    <s v="Non-Athletic"/>
    <x v="2"/>
    <s v="1 lac-4lac"/>
    <x v="0"/>
    <x v="0"/>
    <s v="Vegetarian"/>
    <s v="non smokers"/>
    <n v="1.9"/>
    <n v="70"/>
    <n v="19.390581717451525"/>
  </r>
  <r>
    <x v="91"/>
    <x v="89"/>
    <x v="1"/>
    <x v="0"/>
    <s v="law"/>
    <x v="0"/>
    <x v="2"/>
    <s v="AB"/>
    <x v="6"/>
    <x v="0"/>
    <x v="4"/>
    <s v="Gurugram"/>
    <s v="Non-Athletic"/>
    <x v="2"/>
    <s v="More than12 lac"/>
    <x v="0"/>
    <x v="0"/>
    <s v="Non- Vegetarians"/>
    <s v="smokers"/>
    <n v="1.5"/>
    <n v="61"/>
    <n v="27.111111111111111"/>
  </r>
  <r>
    <x v="92"/>
    <x v="90"/>
    <x v="1"/>
    <x v="3"/>
    <s v="Science"/>
    <x v="1"/>
    <x v="1"/>
    <s v="A"/>
    <x v="36"/>
    <x v="2"/>
    <x v="7"/>
    <s v="Lucknow"/>
    <s v="Athletic"/>
    <x v="3"/>
    <s v="8lac-12lac"/>
    <x v="1"/>
    <x v="0"/>
    <s v="Non- Vegetarians"/>
    <s v="smokers"/>
    <n v="1.5"/>
    <n v="50"/>
    <n v="22.222222222222221"/>
  </r>
  <r>
    <x v="93"/>
    <x v="91"/>
    <x v="1"/>
    <x v="2"/>
    <s v="Arts"/>
    <x v="1"/>
    <x v="1"/>
    <s v="B"/>
    <x v="30"/>
    <x v="1"/>
    <x v="1"/>
    <s v="Ratlam"/>
    <s v="Athletic"/>
    <x v="3"/>
    <s v="8lac-12lac"/>
    <x v="1"/>
    <x v="1"/>
    <s v="Non- Vegetarians"/>
    <s v="smokers"/>
    <n v="1.6"/>
    <n v="66"/>
    <n v="25.781249999999996"/>
  </r>
  <r>
    <x v="1"/>
    <x v="92"/>
    <x v="0"/>
    <x v="3"/>
    <s v="law"/>
    <x v="1"/>
    <x v="0"/>
    <s v="B"/>
    <x v="34"/>
    <x v="1"/>
    <x v="2"/>
    <s v="Patna"/>
    <s v="Non-Athletic"/>
    <x v="3"/>
    <s v="1 lac-4lac"/>
    <x v="1"/>
    <x v="2"/>
    <s v="Non- Vegetarians"/>
    <s v="smokers"/>
    <n v="1.4"/>
    <n v="36"/>
    <n v="18.367346938775512"/>
  </r>
  <r>
    <x v="0"/>
    <x v="93"/>
    <x v="0"/>
    <x v="1"/>
    <s v="Commerce"/>
    <x v="4"/>
    <x v="2"/>
    <s v="AB"/>
    <x v="38"/>
    <x v="3"/>
    <x v="2"/>
    <s v="Patna"/>
    <s v="Athletic"/>
    <x v="0"/>
    <s v="8lac-12lac"/>
    <x v="0"/>
    <x v="1"/>
    <s v="Vegetarian"/>
    <s v="smokers"/>
    <n v="1.9"/>
    <n v="38"/>
    <n v="10.526315789473685"/>
  </r>
  <r>
    <x v="94"/>
    <x v="94"/>
    <x v="1"/>
    <x v="1"/>
    <s v="Arts"/>
    <x v="4"/>
    <x v="2"/>
    <s v="A"/>
    <x v="39"/>
    <x v="3"/>
    <x v="0"/>
    <s v="Cochi"/>
    <s v="Non-Athletic"/>
    <x v="3"/>
    <s v="8lac-12lac"/>
    <x v="1"/>
    <x v="1"/>
    <s v="Vegetarian"/>
    <s v="non smokers"/>
    <n v="1.4"/>
    <n v="54"/>
    <n v="27.5510204081632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Acharya"/>
    <x v="0"/>
    <s v="Christian"/>
    <s v="Commerce"/>
    <n v="22"/>
    <s v="General"/>
    <s v="B"/>
    <n v="47"/>
    <s v="English"/>
    <s v="kerala"/>
    <s v="Cochi"/>
    <s v="Athletic"/>
    <s v="Sports"/>
    <s v="8lac-12lac"/>
    <s v="Joint"/>
    <x v="0"/>
    <s v="Non- Vegetarians"/>
    <s v="smokers"/>
    <n v="1.9"/>
    <n v="67"/>
    <n v="18.559556786703602"/>
  </r>
  <r>
    <x v="1"/>
    <s v="Agarwal"/>
    <x v="0"/>
    <s v="sikh"/>
    <s v="social work"/>
    <n v="22"/>
    <s v="SC/ST"/>
    <s v="B"/>
    <n v="71"/>
    <s v="Hindi"/>
    <s v="MP"/>
    <s v="Ratlam"/>
    <s v="Athletic"/>
    <s v="Gaming"/>
    <s v="More than12 lac"/>
    <s v="Joint"/>
    <x v="0"/>
    <s v="Non- Vegetarians"/>
    <s v="smokers"/>
    <n v="1.4"/>
    <n v="80"/>
    <n v="40.816326530612251"/>
  </r>
  <r>
    <x v="2"/>
    <s v="Agate"/>
    <x v="1"/>
    <s v="Christian"/>
    <s v="Science"/>
    <n v="19"/>
    <s v="SC/ST"/>
    <s v="AB"/>
    <n v="68"/>
    <s v="Gujurati"/>
    <s v="Bihar"/>
    <s v="Patna"/>
    <s v="Athletic"/>
    <s v="Drawing"/>
    <s v="8lac-12lac"/>
    <s v="Joint"/>
    <x v="1"/>
    <s v="Non- Vegetarians"/>
    <s v="smokers"/>
    <n v="1.6"/>
    <n v="72"/>
    <n v="28.124999999999993"/>
  </r>
  <r>
    <x v="3"/>
    <s v="Aggarwal"/>
    <x v="1"/>
    <s v="jain"/>
    <s v="Psychology"/>
    <n v="18"/>
    <s v="OBC"/>
    <s v="AB"/>
    <n v="75"/>
    <s v="English"/>
    <s v="Maharashtra"/>
    <s v="Pune"/>
    <s v="Non-Athletic"/>
    <s v="Sports"/>
    <s v="8lac-12lac"/>
    <s v="Joint"/>
    <x v="0"/>
    <s v="Vegetarian"/>
    <s v="non smokers"/>
    <n v="1.8"/>
    <n v="80"/>
    <n v="24.691358024691358"/>
  </r>
  <r>
    <x v="4"/>
    <s v="Agrawal"/>
    <x v="1"/>
    <s v="jain"/>
    <s v="Psychology"/>
    <n v="19"/>
    <s v="General"/>
    <s v="B"/>
    <n v="79"/>
    <s v="English"/>
    <s v="Haryana"/>
    <s v="Gurugram"/>
    <s v="Athletic"/>
    <s v="Gaming"/>
    <s v="4 lac-8 lac"/>
    <s v="Joint"/>
    <x v="1"/>
    <s v="Non- Vegetarians"/>
    <s v="smokers"/>
    <n v="1.4"/>
    <n v="49"/>
    <n v="25.000000000000004"/>
  </r>
  <r>
    <x v="5"/>
    <s v="Ahluwalia"/>
    <x v="1"/>
    <s v="sikh"/>
    <s v="Arts"/>
    <n v="22"/>
    <s v="General"/>
    <s v="B"/>
    <n v="71"/>
    <s v="Gujurati"/>
    <s v="Haryana"/>
    <s v="Gurugram"/>
    <s v="Non-Athletic"/>
    <s v="Reading"/>
    <s v="1 lac-4lac"/>
    <s v="Joint"/>
    <x v="1"/>
    <s v="Non- Vegetarians"/>
    <s v="smokers"/>
    <n v="1.6"/>
    <n v="70"/>
    <n v="27.343749999999996"/>
  </r>
  <r>
    <x v="6"/>
    <s v="Ahuja"/>
    <x v="1"/>
    <s v="jain"/>
    <s v="social work"/>
    <n v="20"/>
    <s v="General"/>
    <s v="A"/>
    <n v="51"/>
    <s v="Marathi"/>
    <s v="Gujurat"/>
    <s v="surat"/>
    <s v="Athletic"/>
    <s v="Gaming"/>
    <s v="More than12 lac"/>
    <s v="Nuclear"/>
    <x v="0"/>
    <s v="Vegetarian"/>
    <s v="non smokers"/>
    <n v="1.3"/>
    <n v="78"/>
    <n v="46.153846153846146"/>
  </r>
  <r>
    <x v="7"/>
    <s v="Amble"/>
    <x v="0"/>
    <s v="Christian"/>
    <s v="Psychology"/>
    <n v="19"/>
    <s v="General"/>
    <s v="A"/>
    <n v="83"/>
    <s v="Marathi"/>
    <s v="kerala"/>
    <s v="Cochi"/>
    <s v="Athletic"/>
    <s v="Drawing"/>
    <s v="1 lac-4lac"/>
    <s v="Joint"/>
    <x v="2"/>
    <s v="Non- Vegetarians"/>
    <s v="non smokers"/>
    <n v="1.5"/>
    <n v="49"/>
    <n v="21.777777777777779"/>
  </r>
  <r>
    <x v="8"/>
    <s v="Anand"/>
    <x v="0"/>
    <s v="sikh"/>
    <s v="Psychology"/>
    <n v="18"/>
    <s v="General"/>
    <s v="B"/>
    <n v="81"/>
    <s v="Hindi"/>
    <s v="Bihar"/>
    <s v="Patna"/>
    <s v="Athletic"/>
    <s v="Gaming"/>
    <s v="1 lac-4lac"/>
    <s v="Joint"/>
    <x v="1"/>
    <s v="Non- Vegetarians"/>
    <s v="non smokers"/>
    <n v="1.4"/>
    <n v="48"/>
    <n v="24.489795918367349"/>
  </r>
  <r>
    <x v="9"/>
    <s v="Andra"/>
    <x v="0"/>
    <s v="Christian"/>
    <s v="Commerce"/>
    <n v="21"/>
    <s v="SC/ST"/>
    <s v="A"/>
    <n v="65"/>
    <s v="English"/>
    <s v="Maharashtra"/>
    <s v="Pune"/>
    <s v="Non-Athletic"/>
    <s v="Reading"/>
    <s v="4 lac-8 lac"/>
    <s v="Joint"/>
    <x v="2"/>
    <s v="Non- Vegetarians"/>
    <s v="smokers"/>
    <n v="1.6"/>
    <n v="35"/>
    <n v="13.671874999999998"/>
  </r>
  <r>
    <x v="10"/>
    <s v="Anne"/>
    <x v="0"/>
    <s v="Muslim"/>
    <s v="Psychology"/>
    <n v="23"/>
    <s v="OBC"/>
    <s v="A"/>
    <n v="83"/>
    <s v="English"/>
    <s v="MP"/>
    <s v="Ratlam"/>
    <s v="Non-Athletic"/>
    <s v="Drawing"/>
    <s v="More than12 lac"/>
    <s v="Nuclear"/>
    <x v="1"/>
    <s v="Non- Vegetarians"/>
    <s v="non smokers"/>
    <n v="1.6"/>
    <n v="45"/>
    <n v="17.578124999999996"/>
  </r>
  <r>
    <x v="11"/>
    <s v="Apte"/>
    <x v="0"/>
    <s v="sikh"/>
    <s v="Commerce"/>
    <n v="21"/>
    <s v="SC/ST"/>
    <s v="AB"/>
    <n v="49"/>
    <s v="Hindi"/>
    <s v="Delhi"/>
    <s v="New Delhi"/>
    <s v="Non-Athletic"/>
    <s v="Sports"/>
    <s v="8lac-12lac"/>
    <s v="Nuclear"/>
    <x v="2"/>
    <s v="Non- Vegetarians"/>
    <s v="non smokers"/>
    <n v="1.8"/>
    <n v="50"/>
    <n v="15.432098765432098"/>
  </r>
  <r>
    <x v="12"/>
    <s v="Arora"/>
    <x v="0"/>
    <s v="Christian"/>
    <s v="Science"/>
    <n v="21"/>
    <s v="OBC"/>
    <s v="B"/>
    <n v="71"/>
    <s v="Gujurati"/>
    <s v="Maharashtra"/>
    <s v="Pune"/>
    <s v="Non-Athletic"/>
    <s v="Gaming"/>
    <s v="More than12 lac"/>
    <s v="Joint"/>
    <x v="0"/>
    <s v="Vegetarian"/>
    <s v="non smokers"/>
    <n v="1.4"/>
    <n v="54"/>
    <n v="27.551020408163268"/>
  </r>
  <r>
    <x v="13"/>
    <s v="Arya"/>
    <x v="0"/>
    <s v="Hindu"/>
    <s v="law"/>
    <n v="23"/>
    <s v="OBC"/>
    <s v="A"/>
    <n v="51"/>
    <s v="Gujurati"/>
    <s v="UP"/>
    <s v="Lucknow"/>
    <s v="Athletic"/>
    <s v="Sports"/>
    <s v="More than12 lac"/>
    <s v="Nuclear"/>
    <x v="2"/>
    <s v="Vegetarian"/>
    <s v="non smokers"/>
    <n v="1.5"/>
    <n v="38"/>
    <n v="16.888888888888889"/>
  </r>
  <r>
    <x v="14"/>
    <s v="Atwal"/>
    <x v="0"/>
    <s v="Hindu"/>
    <s v="law"/>
    <n v="20"/>
    <s v="General"/>
    <s v="AB"/>
    <n v="72"/>
    <s v="Marathi"/>
    <s v="Haryana"/>
    <s v="Gurugram"/>
    <s v="Athletic"/>
    <s v="Reading"/>
    <s v="8lac-12lac"/>
    <s v="Nuclear"/>
    <x v="2"/>
    <s v="Vegetarian"/>
    <s v="smokers"/>
    <n v="1.6"/>
    <n v="60"/>
    <n v="23.437499999999996"/>
  </r>
  <r>
    <x v="15"/>
    <s v="Aurora"/>
    <x v="0"/>
    <s v="Muslim"/>
    <s v="Arts"/>
    <n v="20"/>
    <s v="SC/ST"/>
    <s v="B"/>
    <n v="72"/>
    <s v="English"/>
    <s v="Haryana"/>
    <s v="Gurugram"/>
    <s v="Athletic"/>
    <s v="Reading"/>
    <s v="More than12 lac"/>
    <s v="Joint"/>
    <x v="1"/>
    <s v="Non- Vegetarians"/>
    <s v="non smokers"/>
    <n v="1.4"/>
    <n v="46"/>
    <n v="23.469387755102044"/>
  </r>
  <r>
    <x v="16"/>
    <s v="Babu"/>
    <x v="1"/>
    <s v="Christian"/>
    <s v="Commerce"/>
    <n v="22"/>
    <s v="General"/>
    <s v="AB"/>
    <n v="63"/>
    <s v="Gujurati"/>
    <s v="Delhi"/>
    <s v="New Delhi"/>
    <s v="Athletic"/>
    <s v="Gaming"/>
    <s v="1 lac-4lac"/>
    <s v="Joint"/>
    <x v="0"/>
    <s v="Vegetarian"/>
    <s v="non smokers"/>
    <n v="1.3"/>
    <n v="74"/>
    <n v="43.786982248520708"/>
  </r>
  <r>
    <x v="17"/>
    <s v="Badal"/>
    <x v="1"/>
    <s v="Christian"/>
    <s v="Arts"/>
    <n v="22"/>
    <s v="SC/ST"/>
    <s v="A"/>
    <n v="77"/>
    <s v="English"/>
    <s v="Bihar"/>
    <s v="Patna"/>
    <s v="Non-Athletic"/>
    <s v="Drawing"/>
    <s v="More than12 lac"/>
    <s v="Nuclear"/>
    <x v="0"/>
    <s v="Vegetarian"/>
    <s v="non smokers"/>
    <n v="1.3"/>
    <n v="69"/>
    <n v="40.828402366863898"/>
  </r>
  <r>
    <x v="18"/>
    <s v="Badami"/>
    <x v="1"/>
    <s v="Christian"/>
    <s v="Commerce"/>
    <n v="23"/>
    <s v="OBC"/>
    <s v="A"/>
    <n v="49"/>
    <s v="Hindi"/>
    <s v="Delhi"/>
    <s v="New Delhi"/>
    <s v="Non-Athletic"/>
    <s v="Gaming"/>
    <s v="More than12 lac"/>
    <s v="Nuclear"/>
    <x v="2"/>
    <s v="Non- Vegetarians"/>
    <s v="non smokers"/>
    <n v="1.3"/>
    <n v="66"/>
    <n v="39.053254437869818"/>
  </r>
  <r>
    <x v="19"/>
    <s v="Bahl"/>
    <x v="1"/>
    <s v="Muslim"/>
    <s v="Commerce"/>
    <n v="20"/>
    <s v="OBC"/>
    <s v="B"/>
    <n v="71"/>
    <s v="Gujurati"/>
    <s v="UP"/>
    <s v="Lucknow"/>
    <s v="Athletic"/>
    <s v="Sports"/>
    <s v="1 lac-4lac"/>
    <s v="Joint"/>
    <x v="2"/>
    <s v="Non- Vegetarians"/>
    <s v="non smokers"/>
    <n v="1.3"/>
    <n v="64"/>
    <n v="37.869822485207095"/>
  </r>
  <r>
    <x v="20"/>
    <s v="Bahri"/>
    <x v="1"/>
    <s v="jain"/>
    <s v="Science"/>
    <n v="22"/>
    <s v="General"/>
    <s v="A"/>
    <n v="56"/>
    <s v="Gujurati"/>
    <s v="Delhi"/>
    <s v="New Delhi"/>
    <s v="Athletic"/>
    <s v="Gaming"/>
    <s v="1 lac-4lac"/>
    <s v="Joint"/>
    <x v="2"/>
    <s v="Vegetarian"/>
    <s v="smokers"/>
    <n v="1.5"/>
    <n v="76"/>
    <n v="33.777777777777779"/>
  </r>
  <r>
    <x v="21"/>
    <s v="Bail"/>
    <x v="1"/>
    <s v="Hindu"/>
    <s v="Commerce"/>
    <n v="23"/>
    <s v="General"/>
    <s v="A"/>
    <n v="72"/>
    <s v="English"/>
    <s v="Maharashtra"/>
    <s v="Pune"/>
    <s v="Athletic"/>
    <s v="Drawing"/>
    <s v="4 lac-8 lac"/>
    <s v="Nuclear"/>
    <x v="2"/>
    <s v="Non- Vegetarians"/>
    <s v="smokers"/>
    <n v="1.5"/>
    <n v="55"/>
    <n v="24.444444444444443"/>
  </r>
  <r>
    <x v="22"/>
    <s v="Bains"/>
    <x v="0"/>
    <s v="sikh"/>
    <s v="Psychology"/>
    <n v="19"/>
    <s v="SC/ST"/>
    <s v="B"/>
    <n v="61"/>
    <s v="English"/>
    <s v="Gujurat"/>
    <s v="surat"/>
    <s v="Athletic"/>
    <s v="Drawing"/>
    <s v="4 lac-8 lac"/>
    <s v="Joint"/>
    <x v="0"/>
    <s v="Vegetarian"/>
    <s v="smokers"/>
    <n v="1.7"/>
    <n v="43"/>
    <n v="14.878892733564015"/>
  </r>
  <r>
    <x v="23"/>
    <s v="Bajaj"/>
    <x v="0"/>
    <s v="sikh"/>
    <s v="Commerce"/>
    <n v="21"/>
    <s v="OBC"/>
    <s v="A"/>
    <n v="63"/>
    <s v="Marathi"/>
    <s v="Gujurat"/>
    <s v="surat"/>
    <s v="Non-Athletic"/>
    <s v="Drawing"/>
    <s v="More than12 lac"/>
    <s v="Nuclear"/>
    <x v="2"/>
    <s v="Non- Vegetarians"/>
    <s v="smokers"/>
    <n v="1.3"/>
    <n v="51"/>
    <n v="30.177514792899405"/>
  </r>
  <r>
    <x v="24"/>
    <s v="Bajwa"/>
    <x v="0"/>
    <s v="Hindu"/>
    <s v="Arts"/>
    <n v="20"/>
    <s v="SC/ST"/>
    <s v="A"/>
    <n v="90"/>
    <s v="Gujurati"/>
    <s v="Bihar"/>
    <s v="Patna"/>
    <s v="Athletic"/>
    <s v="Gaming"/>
    <s v="More than12 lac"/>
    <s v="Nuclear"/>
    <x v="0"/>
    <s v="Non- Vegetarians"/>
    <s v="non smokers"/>
    <n v="1.3"/>
    <n v="38"/>
    <n v="22.485207100591715"/>
  </r>
  <r>
    <x v="25"/>
    <s v="Bakshi"/>
    <x v="0"/>
    <s v="Hindu"/>
    <s v="Science"/>
    <n v="23"/>
    <s v="General"/>
    <s v="A"/>
    <n v="52"/>
    <s v="English"/>
    <s v="MP"/>
    <s v="Ratlam"/>
    <s v="Non-Athletic"/>
    <s v="Drawing"/>
    <s v="4 lac-8 lac"/>
    <s v="Nuclear"/>
    <x v="1"/>
    <s v="Non- Vegetarians"/>
    <s v="non smokers"/>
    <n v="1.5"/>
    <n v="69"/>
    <n v="30.666666666666668"/>
  </r>
  <r>
    <x v="26"/>
    <s v="Bal"/>
    <x v="0"/>
    <s v="sikh"/>
    <s v="social work"/>
    <n v="21"/>
    <s v="SC/ST"/>
    <s v="AB"/>
    <n v="47"/>
    <s v="Marathi"/>
    <s v="Delhi"/>
    <s v="New Delhi"/>
    <s v="Athletic"/>
    <s v="Sports"/>
    <s v="More than12 lac"/>
    <s v="Nuclear"/>
    <x v="0"/>
    <s v="Vegetarian"/>
    <s v="non smokers"/>
    <n v="1.9"/>
    <n v="57"/>
    <n v="15.789473684210527"/>
  </r>
  <r>
    <x v="27"/>
    <s v="Bala"/>
    <x v="1"/>
    <s v="Muslim"/>
    <s v="law"/>
    <n v="21"/>
    <s v="SC/ST"/>
    <s v="A"/>
    <n v="78"/>
    <s v="Hindi"/>
    <s v="Maharashtra"/>
    <s v="Pune"/>
    <s v="Non-Athletic"/>
    <s v="Drawing"/>
    <s v="4 lac-8 lac"/>
    <s v="Nuclear"/>
    <x v="1"/>
    <s v="Non- Vegetarians"/>
    <s v="smokers"/>
    <n v="1.9"/>
    <n v="62"/>
    <n v="17.174515235457065"/>
  </r>
  <r>
    <x v="28"/>
    <s v="Bala"/>
    <x v="1"/>
    <s v="Muslim"/>
    <s v="Science"/>
    <n v="20"/>
    <s v="General"/>
    <s v="B"/>
    <n v="84"/>
    <s v="English"/>
    <s v="MP"/>
    <s v="Ratlam"/>
    <s v="Non-Athletic"/>
    <s v="Gaming"/>
    <s v="1 lac-4lac"/>
    <s v="Joint"/>
    <x v="2"/>
    <s v="Vegetarian"/>
    <s v="non smokers"/>
    <n v="1.8"/>
    <n v="42"/>
    <n v="12.962962962962962"/>
  </r>
  <r>
    <x v="29"/>
    <s v="Balakrishnan"/>
    <x v="1"/>
    <s v="Muslim"/>
    <s v="Arts"/>
    <n v="22"/>
    <s v="OBC"/>
    <s v="B"/>
    <n v="93"/>
    <s v="Marathi"/>
    <s v="kerala"/>
    <s v="Cochi"/>
    <s v="Non-Athletic"/>
    <s v="Gaming"/>
    <s v="More than12 lac"/>
    <s v="Joint"/>
    <x v="1"/>
    <s v="Vegetarian"/>
    <s v="smokers"/>
    <n v="1.3"/>
    <n v="64"/>
    <n v="37.869822485207095"/>
  </r>
  <r>
    <x v="30"/>
    <s v="Balan"/>
    <x v="1"/>
    <s v="sikh"/>
    <s v="Arts"/>
    <n v="23"/>
    <s v="SC/ST"/>
    <s v="A"/>
    <n v="49"/>
    <s v="English"/>
    <s v="Bihar"/>
    <s v="Patna"/>
    <s v="Athletic"/>
    <s v="Reading"/>
    <s v="1 lac-4lac"/>
    <s v="Joint"/>
    <x v="1"/>
    <s v="Non- Vegetarians"/>
    <s v="smokers"/>
    <n v="1.9"/>
    <n v="43"/>
    <n v="11.911357340720222"/>
  </r>
  <r>
    <x v="31"/>
    <s v="Balasubramanian"/>
    <x v="1"/>
    <s v="sikh"/>
    <s v="law"/>
    <n v="18"/>
    <s v="OBC"/>
    <s v="A"/>
    <n v="88"/>
    <s v="English"/>
    <s v="Delhi"/>
    <s v="New Delhi"/>
    <s v="Athletic"/>
    <s v="Gaming"/>
    <s v="4 lac-8 lac"/>
    <s v="Nuclear"/>
    <x v="2"/>
    <s v="Non- Vegetarians"/>
    <s v="smokers"/>
    <n v="1.9"/>
    <n v="40"/>
    <n v="11.0803324099723"/>
  </r>
  <r>
    <x v="32"/>
    <s v="Balay"/>
    <x v="1"/>
    <s v="Christian"/>
    <s v="law"/>
    <n v="19"/>
    <s v="SC/ST"/>
    <s v="B"/>
    <n v="90"/>
    <s v="Hindi"/>
    <s v="kerala"/>
    <s v="Cochi"/>
    <s v="Athletic"/>
    <s v="Sports"/>
    <s v="8lac-12lac"/>
    <s v="Nuclear"/>
    <x v="1"/>
    <s v="Non- Vegetarians"/>
    <s v="smokers"/>
    <n v="1.7"/>
    <n v="54"/>
    <n v="18.68512110726644"/>
  </r>
  <r>
    <x v="33"/>
    <s v="Bali"/>
    <x v="0"/>
    <s v="sikh"/>
    <s v="law"/>
    <n v="22"/>
    <s v="SC/ST"/>
    <s v="AB"/>
    <n v="90"/>
    <s v="English"/>
    <s v="kerala"/>
    <s v="Cochi"/>
    <s v="Non-Athletic"/>
    <s v="Drawing"/>
    <s v="1 lac-4lac"/>
    <s v="Nuclear"/>
    <x v="1"/>
    <s v="Non- Vegetarians"/>
    <s v="smokers"/>
    <n v="1.7"/>
    <n v="57"/>
    <n v="19.723183391003463"/>
  </r>
  <r>
    <x v="34"/>
    <s v="Bandi"/>
    <x v="0"/>
    <s v="Hindu"/>
    <s v="law"/>
    <n v="21"/>
    <s v="General"/>
    <s v="AB"/>
    <n v="90"/>
    <s v="Marathi"/>
    <s v="Gujurat"/>
    <s v="surat"/>
    <s v="Athletic"/>
    <s v="Drawing"/>
    <s v="4 lac-8 lac"/>
    <s v="Nuclear"/>
    <x v="1"/>
    <s v="Vegetarian"/>
    <s v="smokers"/>
    <n v="1.6"/>
    <n v="37"/>
    <n v="14.453124999999996"/>
  </r>
  <r>
    <x v="35"/>
    <s v="Banerjee"/>
    <x v="0"/>
    <s v="Christian"/>
    <s v="law"/>
    <n v="21"/>
    <s v="General"/>
    <s v="AB"/>
    <n v="56"/>
    <s v="English"/>
    <s v="UP"/>
    <s v="Lucknow"/>
    <s v="Athletic"/>
    <s v="Gaming"/>
    <s v="4 lac-8 lac"/>
    <s v="Nuclear"/>
    <x v="0"/>
    <s v="Vegetarian"/>
    <s v="non smokers"/>
    <n v="1.7"/>
    <n v="78"/>
    <n v="26.989619377162633"/>
  </r>
  <r>
    <x v="36"/>
    <s v="Banik"/>
    <x v="0"/>
    <s v="Christian"/>
    <s v="Commerce"/>
    <n v="21"/>
    <s v="General"/>
    <s v="A"/>
    <n v="47"/>
    <s v="Marathi"/>
    <s v="Maharashtra"/>
    <s v="Pune"/>
    <s v="Athletic"/>
    <s v="Drawing"/>
    <s v="4 lac-8 lac"/>
    <s v="Nuclear"/>
    <x v="2"/>
    <s v="Non- Vegetarians"/>
    <s v="smokers"/>
    <n v="1.6"/>
    <n v="58"/>
    <n v="22.656249999999996"/>
  </r>
  <r>
    <x v="37"/>
    <s v="Bansal"/>
    <x v="1"/>
    <s v="Muslim"/>
    <s v="law"/>
    <n v="20"/>
    <s v="General"/>
    <s v="A"/>
    <n v="70"/>
    <s v="Gujurati"/>
    <s v="Maharashtra"/>
    <s v="Pune"/>
    <s v="Athletic"/>
    <s v="Drawing"/>
    <s v="4 lac-8 lac"/>
    <s v="Joint"/>
    <x v="2"/>
    <s v="Non- Vegetarians"/>
    <s v="non smokers"/>
    <n v="1.8"/>
    <n v="38"/>
    <n v="11.728395061728394"/>
  </r>
  <r>
    <x v="38"/>
    <s v="Barad"/>
    <x v="1"/>
    <s v="Muslim"/>
    <s v="social work"/>
    <n v="21"/>
    <s v="SC/ST"/>
    <s v="A"/>
    <n v="62"/>
    <s v="Marathi"/>
    <s v="Haryana"/>
    <s v="Gurugram"/>
    <s v="Athletic"/>
    <s v="Gaming"/>
    <s v="4 lac-8 lac"/>
    <s v="Joint"/>
    <x v="1"/>
    <s v="Vegetarian"/>
    <s v="smokers"/>
    <n v="1.8"/>
    <n v="53"/>
    <n v="16.358024691358022"/>
  </r>
  <r>
    <x v="39"/>
    <s v="Barad"/>
    <x v="1"/>
    <s v="Muslim"/>
    <s v="social work"/>
    <n v="22"/>
    <s v="OBC"/>
    <s v="AB"/>
    <n v="72"/>
    <s v="Hindi"/>
    <s v="Haryana"/>
    <s v="Gurugram"/>
    <s v="Non-Athletic"/>
    <s v="Reading"/>
    <s v="More than12 lac"/>
    <s v="Nuclear"/>
    <x v="1"/>
    <s v="Vegetarian"/>
    <s v="non smokers"/>
    <n v="1.4"/>
    <n v="42"/>
    <n v="21.428571428571431"/>
  </r>
  <r>
    <x v="40"/>
    <s v="Baral"/>
    <x v="1"/>
    <s v="Christian"/>
    <s v="Arts"/>
    <n v="20"/>
    <s v="SC/ST"/>
    <s v="A"/>
    <n v="59"/>
    <s v="English"/>
    <s v="kerala"/>
    <s v="Cochi"/>
    <s v="Non-Athletic"/>
    <s v="Drawing"/>
    <s v="More than12 lac"/>
    <s v="Joint"/>
    <x v="0"/>
    <s v="Non- Vegetarians"/>
    <s v="non smokers"/>
    <n v="1.8"/>
    <n v="75"/>
    <n v="23.148148148148145"/>
  </r>
  <r>
    <x v="41"/>
    <s v="Baria"/>
    <x v="1"/>
    <s v="sikh"/>
    <s v="social work"/>
    <n v="19"/>
    <s v="OBC"/>
    <s v="A"/>
    <n v="78"/>
    <s v="English"/>
    <s v="Delhi"/>
    <s v="New Delhi"/>
    <s v="Athletic"/>
    <s v="Reading"/>
    <s v="1 lac-4lac"/>
    <s v="Joint"/>
    <x v="0"/>
    <s v="Vegetarian"/>
    <s v="smokers"/>
    <n v="1.8"/>
    <n v="45"/>
    <n v="13.888888888888888"/>
  </r>
  <r>
    <x v="42"/>
    <s v="Barman"/>
    <x v="1"/>
    <s v="Muslim"/>
    <s v="Arts"/>
    <n v="21"/>
    <s v="SC/ST"/>
    <s v="B"/>
    <n v="72"/>
    <s v="Gujurati"/>
    <s v="Maharashtra"/>
    <s v="Pune"/>
    <s v="Athletic"/>
    <s v="Gaming"/>
    <s v="4 lac-8 lac"/>
    <s v="Joint"/>
    <x v="0"/>
    <s v="Vegetarian"/>
    <s v="non smokers"/>
    <n v="1.7"/>
    <n v="40"/>
    <n v="13.84083044982699"/>
  </r>
  <r>
    <x v="43"/>
    <s v="Basak"/>
    <x v="1"/>
    <s v="Christian"/>
    <s v="Psychology"/>
    <n v="20"/>
    <s v="SC/ST"/>
    <s v="AB"/>
    <n v="87"/>
    <s v="Hindi"/>
    <s v="Gujurat"/>
    <s v="surat"/>
    <s v="Athletic"/>
    <s v="Gaming"/>
    <s v="4 lac-8 lac"/>
    <s v="Joint"/>
    <x v="1"/>
    <s v="Vegetarian"/>
    <s v="non smokers"/>
    <n v="1.9"/>
    <n v="53"/>
    <n v="14.681440443213297"/>
  </r>
  <r>
    <x v="44"/>
    <s v="Bassi"/>
    <x v="0"/>
    <s v="Muslim"/>
    <s v="law"/>
    <n v="21"/>
    <s v="SC/ST"/>
    <s v="B"/>
    <n v="89"/>
    <s v="English"/>
    <s v="UP"/>
    <s v="Lucknow"/>
    <s v="Athletic"/>
    <s v="Reading"/>
    <s v="1 lac-4lac"/>
    <s v="Joint"/>
    <x v="2"/>
    <s v="Vegetarian"/>
    <s v="smokers"/>
    <n v="1.7"/>
    <n v="72"/>
    <n v="24.913494809688583"/>
  </r>
  <r>
    <x v="45"/>
    <s v="Basu"/>
    <x v="0"/>
    <s v="Christian"/>
    <s v="Arts"/>
    <n v="21"/>
    <s v="OBC"/>
    <s v="AB"/>
    <n v="86"/>
    <s v="Hindi"/>
    <s v="Maharashtra"/>
    <s v="Pune"/>
    <s v="Athletic"/>
    <s v="Reading"/>
    <s v="4 lac-8 lac"/>
    <s v="Joint"/>
    <x v="2"/>
    <s v="Non- Vegetarians"/>
    <s v="non smokers"/>
    <n v="1.6"/>
    <n v="47"/>
    <n v="18.359374999999996"/>
  </r>
  <r>
    <x v="46"/>
    <s v="Bath"/>
    <x v="0"/>
    <s v="Christian"/>
    <s v="Science"/>
    <n v="20"/>
    <s v="SC/ST"/>
    <s v="B"/>
    <n v="58"/>
    <s v="Marathi"/>
    <s v="Gujurat"/>
    <s v="surat"/>
    <s v="Athletic"/>
    <s v="Sports"/>
    <s v="4 lac-8 lac"/>
    <s v="Joint"/>
    <x v="1"/>
    <s v="Vegetarian"/>
    <s v="smokers"/>
    <n v="1.8"/>
    <n v="70"/>
    <n v="21.604938271604937"/>
  </r>
  <r>
    <x v="47"/>
    <s v="Batra"/>
    <x v="0"/>
    <s v="Hindu"/>
    <s v="Commerce"/>
    <n v="21"/>
    <s v="General"/>
    <s v="AB"/>
    <n v="76"/>
    <s v="English"/>
    <s v="Maharashtra"/>
    <s v="Pune"/>
    <s v="Athletic"/>
    <s v="Reading"/>
    <s v="4 lac-8 lac"/>
    <s v="Joint"/>
    <x v="0"/>
    <s v="Vegetarian"/>
    <s v="non smokers"/>
    <n v="1.7"/>
    <n v="71"/>
    <n v="24.567474048442911"/>
  </r>
  <r>
    <x v="48"/>
    <s v="Batta"/>
    <x v="0"/>
    <s v="Muslim"/>
    <s v="law"/>
    <n v="20"/>
    <s v="SC/ST"/>
    <s v="B"/>
    <n v="75"/>
    <s v="Marathi"/>
    <s v="kerala"/>
    <s v="Cochi"/>
    <s v="Athletic"/>
    <s v="Drawing"/>
    <s v="1 lac-4lac"/>
    <s v="Nuclear"/>
    <x v="1"/>
    <s v="Non- Vegetarians"/>
    <s v="non smokers"/>
    <n v="1.3"/>
    <n v="52"/>
    <n v="30.769230769230766"/>
  </r>
  <r>
    <x v="49"/>
    <s v="Bava"/>
    <x v="0"/>
    <s v="Christian"/>
    <s v="social work"/>
    <n v="23"/>
    <s v="OBC"/>
    <s v="A"/>
    <n v="77"/>
    <s v="English"/>
    <s v="Gujurat"/>
    <s v="surat"/>
    <s v="Non-Athletic"/>
    <s v="Sports"/>
    <s v="4 lac-8 lac"/>
    <s v="Joint"/>
    <x v="0"/>
    <s v="Vegetarian"/>
    <s v="non smokers"/>
    <n v="1.6"/>
    <n v="60"/>
    <n v="23.437499999999996"/>
  </r>
  <r>
    <x v="50"/>
    <s v="Bawa"/>
    <x v="0"/>
    <s v="Hindu"/>
    <s v="law"/>
    <n v="21"/>
    <s v="SC/ST"/>
    <s v="B"/>
    <n v="75"/>
    <s v="English"/>
    <s v="MP"/>
    <s v="Ratlam"/>
    <s v="Athletic"/>
    <s v="Drawing"/>
    <s v="8lac-12lac"/>
    <s v="Nuclear"/>
    <x v="2"/>
    <s v="Vegetarian"/>
    <s v="smokers"/>
    <n v="1.5"/>
    <n v="44"/>
    <n v="19.555555555555557"/>
  </r>
  <r>
    <x v="51"/>
    <s v="Bedi"/>
    <x v="0"/>
    <s v="Hindu"/>
    <s v="law"/>
    <n v="20"/>
    <s v="General"/>
    <s v="AB"/>
    <n v="49"/>
    <s v="Marathi"/>
    <s v="UP"/>
    <s v="Lucknow"/>
    <s v="Non-Athletic"/>
    <s v="Sports"/>
    <s v="1 lac-4lac"/>
    <s v="Nuclear"/>
    <x v="1"/>
    <s v="Non- Vegetarians"/>
    <s v="non smokers"/>
    <n v="1.9"/>
    <n v="75"/>
    <n v="20.775623268698062"/>
  </r>
  <r>
    <x v="52"/>
    <s v="Behl"/>
    <x v="0"/>
    <s v="jain"/>
    <s v="Arts"/>
    <n v="22"/>
    <s v="General"/>
    <s v="AB"/>
    <n v="72"/>
    <s v="Gujurati"/>
    <s v="Gujurat"/>
    <s v="surat"/>
    <s v="Non-Athletic"/>
    <s v="Sports"/>
    <s v="4 lac-8 lac"/>
    <s v="Joint"/>
    <x v="2"/>
    <s v="Vegetarian"/>
    <s v="non smokers"/>
    <n v="1.7"/>
    <n v="69"/>
    <n v="23.87543252595156"/>
  </r>
  <r>
    <x v="53"/>
    <s v="Ben"/>
    <x v="0"/>
    <s v="Muslim"/>
    <s v="social work"/>
    <n v="23"/>
    <s v="General"/>
    <s v="AB"/>
    <n v="83"/>
    <s v="English"/>
    <s v="Bihar"/>
    <s v="Patna"/>
    <s v="Athletic"/>
    <s v="Gaming"/>
    <s v="8lac-12lac"/>
    <s v="Nuclear"/>
    <x v="1"/>
    <s v="Non- Vegetarians"/>
    <s v="non smokers"/>
    <n v="1.6"/>
    <n v="59"/>
    <n v="23.046874999999996"/>
  </r>
  <r>
    <x v="54"/>
    <s v="Bera"/>
    <x v="1"/>
    <s v="Hindu"/>
    <s v="social work"/>
    <n v="22"/>
    <s v="General"/>
    <s v="A"/>
    <n v="91"/>
    <s v="Marathi"/>
    <s v="Delhi"/>
    <s v="New Delhi"/>
    <s v="Non-Athletic"/>
    <s v="Sports"/>
    <s v="1 lac-4lac"/>
    <s v="Joint"/>
    <x v="2"/>
    <s v="Non- Vegetarians"/>
    <s v="smokers"/>
    <n v="1.6"/>
    <n v="38"/>
    <n v="14.843749999999996"/>
  </r>
  <r>
    <x v="55"/>
    <s v="Bhagat"/>
    <x v="1"/>
    <s v="jain"/>
    <s v="social work"/>
    <n v="22"/>
    <s v="General"/>
    <s v="A"/>
    <n v="83"/>
    <s v="Hindi"/>
    <s v="UP"/>
    <s v="Lucknow"/>
    <s v="Athletic"/>
    <s v="Drawing"/>
    <s v="4 lac-8 lac"/>
    <s v="Joint"/>
    <x v="1"/>
    <s v="Non- Vegetarians"/>
    <s v="non smokers"/>
    <n v="1.5"/>
    <n v="67"/>
    <n v="29.777777777777779"/>
  </r>
  <r>
    <x v="56"/>
    <s v="Bhakta"/>
    <x v="1"/>
    <s v="jain"/>
    <s v="Science"/>
    <n v="23"/>
    <s v="General"/>
    <s v="AB"/>
    <n v="79"/>
    <s v="English"/>
    <s v="MP"/>
    <s v="Ratlam"/>
    <s v="Athletic"/>
    <s v="Drawing"/>
    <s v="4 lac-8 lac"/>
    <s v="Nuclear"/>
    <x v="2"/>
    <s v="Non- Vegetarians"/>
    <s v="non smokers"/>
    <n v="1.7"/>
    <n v="76"/>
    <n v="26.297577854671282"/>
  </r>
  <r>
    <x v="57"/>
    <s v="Bhalla"/>
    <x v="1"/>
    <s v="Hindu"/>
    <s v="Commerce"/>
    <n v="21"/>
    <s v="General"/>
    <s v="B"/>
    <n v="70"/>
    <s v="Marathi"/>
    <s v="UP"/>
    <s v="Lucknow"/>
    <s v="Non-Athletic"/>
    <s v="Reading"/>
    <s v="4 lac-8 lac"/>
    <s v="Joint"/>
    <x v="2"/>
    <s v="Vegetarian"/>
    <s v="smokers"/>
    <n v="1.8"/>
    <n v="43"/>
    <n v="13.271604938271604"/>
  </r>
  <r>
    <x v="58"/>
    <s v="Bhandari"/>
    <x v="1"/>
    <s v="jain"/>
    <s v="social work"/>
    <n v="20"/>
    <s v="SC/ST"/>
    <s v="B"/>
    <n v="83"/>
    <s v="Gujurati"/>
    <s v="Haryana"/>
    <s v="Gurugram"/>
    <s v="Non-Athletic"/>
    <s v="Reading"/>
    <s v="More than12 lac"/>
    <s v="Nuclear"/>
    <x v="1"/>
    <s v="Non- Vegetarians"/>
    <s v="smokers"/>
    <n v="1.5"/>
    <n v="55"/>
    <n v="24.444444444444443"/>
  </r>
  <r>
    <x v="59"/>
    <s v="Bhardwaj"/>
    <x v="1"/>
    <s v="Christian"/>
    <s v="Psychology"/>
    <n v="19"/>
    <s v="OBC"/>
    <s v="B"/>
    <n v="88"/>
    <s v="Gujurati"/>
    <s v="Haryana"/>
    <s v="Gurugram"/>
    <s v="Non-Athletic"/>
    <s v="Drawing"/>
    <s v="4 lac-8 lac"/>
    <s v="Nuclear"/>
    <x v="2"/>
    <s v="Vegetarian"/>
    <s v="non smokers"/>
    <n v="1.4"/>
    <n v="44"/>
    <n v="22.448979591836739"/>
  </r>
  <r>
    <x v="60"/>
    <s v="Bhargava"/>
    <x v="1"/>
    <s v="Christian"/>
    <s v="law"/>
    <n v="18"/>
    <s v="SC/ST"/>
    <s v="AB"/>
    <n v="65"/>
    <s v="Marathi"/>
    <s v="Bihar"/>
    <s v="Patna"/>
    <s v="Non-Athletic"/>
    <s v="Reading"/>
    <s v="8lac-12lac"/>
    <s v="Joint"/>
    <x v="1"/>
    <s v="Non- Vegetarians"/>
    <s v="non smokers"/>
    <n v="1.7"/>
    <n v="55"/>
    <n v="19.031141868512112"/>
  </r>
  <r>
    <x v="61"/>
    <s v="Bhasin"/>
    <x v="0"/>
    <s v="Muslim"/>
    <s v="Arts"/>
    <n v="22"/>
    <s v="OBC"/>
    <s v="AB"/>
    <n v="52"/>
    <s v="Marathi"/>
    <s v="Bihar"/>
    <s v="Patna"/>
    <s v="Athletic"/>
    <s v="Sports"/>
    <s v="More than12 lac"/>
    <s v="Nuclear"/>
    <x v="2"/>
    <s v="Vegetarian"/>
    <s v="smokers"/>
    <n v="1.4"/>
    <n v="57"/>
    <n v="29.081632653061227"/>
  </r>
  <r>
    <x v="62"/>
    <s v="Bhat"/>
    <x v="0"/>
    <s v="Muslim"/>
    <s v="Commerce"/>
    <n v="19"/>
    <s v="OBC"/>
    <s v="B"/>
    <n v="76"/>
    <s v="English"/>
    <s v="Haryana"/>
    <s v="Gurugram"/>
    <s v="Non-Athletic"/>
    <s v="Drawing"/>
    <s v="1 lac-4lac"/>
    <s v="Joint"/>
    <x v="1"/>
    <s v="Vegetarian"/>
    <s v="smokers"/>
    <n v="1.9"/>
    <n v="73"/>
    <n v="20.221606648199447"/>
  </r>
  <r>
    <x v="63"/>
    <s v="Bhatia"/>
    <x v="0"/>
    <s v="Muslim"/>
    <s v="social work"/>
    <n v="21"/>
    <s v="OBC"/>
    <s v="B"/>
    <n v="69"/>
    <s v="Marathi"/>
    <s v="Delhi"/>
    <s v="New Delhi"/>
    <s v="Non-Athletic"/>
    <s v="Reading"/>
    <s v="1 lac-4lac"/>
    <s v="Nuclear"/>
    <x v="1"/>
    <s v="Vegetarian"/>
    <s v="non smokers"/>
    <n v="1.8"/>
    <n v="37"/>
    <n v="11.419753086419753"/>
  </r>
  <r>
    <x v="64"/>
    <s v="Bhatnagar"/>
    <x v="0"/>
    <s v="jain"/>
    <s v="Science"/>
    <n v="20"/>
    <s v="SC/ST"/>
    <s v="AB"/>
    <n v="73"/>
    <s v="English"/>
    <s v="MP"/>
    <s v="Ratlam"/>
    <s v="Athletic"/>
    <s v="Reading"/>
    <s v="4 lac-8 lac"/>
    <s v="Nuclear"/>
    <x v="0"/>
    <s v="Non- Vegetarians"/>
    <s v="non smokers"/>
    <n v="1.5"/>
    <n v="43"/>
    <n v="19.111111111111111"/>
  </r>
  <r>
    <x v="65"/>
    <s v="Bhatt"/>
    <x v="0"/>
    <s v="jain"/>
    <s v="social work"/>
    <n v="18"/>
    <s v="SC/ST"/>
    <s v="B"/>
    <n v="46"/>
    <s v="Gujurati"/>
    <s v="Gujurat"/>
    <s v="surat"/>
    <s v="Athletic"/>
    <s v="Reading"/>
    <s v="1 lac-4lac"/>
    <s v="Joint"/>
    <x v="0"/>
    <s v="Vegetarian"/>
    <s v="smokers"/>
    <n v="1.4"/>
    <n v="79"/>
    <n v="40.3061224489796"/>
  </r>
  <r>
    <x v="66"/>
    <s v="Bhattacharyya"/>
    <x v="0"/>
    <s v="Hindu"/>
    <s v="Arts"/>
    <n v="21"/>
    <s v="General"/>
    <s v="B"/>
    <n v="90"/>
    <s v="Hindi"/>
    <s v="Haryana"/>
    <s v="Gurugram"/>
    <s v="Athletic"/>
    <s v="Gaming"/>
    <s v="1 lac-4lac"/>
    <s v="Joint"/>
    <x v="2"/>
    <s v="Vegetarian"/>
    <s v="non smokers"/>
    <n v="1.3"/>
    <n v="67"/>
    <n v="39.644970414201183"/>
  </r>
  <r>
    <x v="67"/>
    <s v="Bhatti"/>
    <x v="0"/>
    <s v="jain"/>
    <s v="law"/>
    <n v="20"/>
    <s v="General"/>
    <s v="AB"/>
    <n v="76"/>
    <s v="Gujurati"/>
    <s v="kerala"/>
    <s v="Cochi"/>
    <s v="Athletic"/>
    <s v="Sports"/>
    <s v="More than12 lac"/>
    <s v="Joint"/>
    <x v="1"/>
    <s v="Non- Vegetarians"/>
    <s v="smokers"/>
    <n v="1.3"/>
    <n v="55"/>
    <n v="32.544378698224847"/>
  </r>
  <r>
    <x v="68"/>
    <s v="Bhavsar"/>
    <x v="0"/>
    <s v="Muslim"/>
    <s v="social work"/>
    <n v="22"/>
    <s v="General"/>
    <s v="A"/>
    <n v="87"/>
    <s v="Hindi"/>
    <s v="Maharashtra"/>
    <s v="Pune"/>
    <s v="Non-Athletic"/>
    <s v="Gaming"/>
    <s v="More than12 lac"/>
    <s v="Joint"/>
    <x v="0"/>
    <s v="Vegetarian"/>
    <s v="smokers"/>
    <n v="1.4"/>
    <n v="66"/>
    <n v="33.673469387755105"/>
  </r>
  <r>
    <x v="69"/>
    <s v="Bir"/>
    <x v="0"/>
    <s v="jain"/>
    <s v="law"/>
    <n v="23"/>
    <s v="SC/ST"/>
    <s v="B"/>
    <n v="51"/>
    <s v="English"/>
    <s v="Bihar"/>
    <s v="Patna"/>
    <s v="Non-Athletic"/>
    <s v="Reading"/>
    <s v="8lac-12lac"/>
    <s v="Nuclear"/>
    <x v="0"/>
    <s v="Vegetarian"/>
    <s v="smokers"/>
    <n v="1.9"/>
    <n v="75"/>
    <n v="20.775623268698062"/>
  </r>
  <r>
    <x v="70"/>
    <s v="Biswas"/>
    <x v="1"/>
    <s v="sikh"/>
    <s v="Science"/>
    <n v="20"/>
    <s v="SC/ST"/>
    <s v="AB"/>
    <n v="82"/>
    <s v="Gujurati"/>
    <s v="Haryana"/>
    <s v="Gurugram"/>
    <s v="Non-Athletic"/>
    <s v="Drawing"/>
    <s v="8lac-12lac"/>
    <s v="Nuclear"/>
    <x v="2"/>
    <s v="Non- Vegetarians"/>
    <s v="smokers"/>
    <n v="1.3"/>
    <n v="35"/>
    <n v="20.710059171597631"/>
  </r>
  <r>
    <x v="71"/>
    <s v="Boase"/>
    <x v="1"/>
    <s v="Muslim"/>
    <s v="Psychology"/>
    <n v="18"/>
    <s v="OBC"/>
    <s v="B"/>
    <n v="87"/>
    <s v="Marathi"/>
    <s v="MP"/>
    <s v="Ratlam"/>
    <s v="Non-Athletic"/>
    <s v="Reading"/>
    <s v="8lac-12lac"/>
    <s v="Nuclear"/>
    <x v="2"/>
    <s v="Non- Vegetarians"/>
    <s v="smokers"/>
    <n v="1.8"/>
    <n v="66"/>
    <n v="20.37037037037037"/>
  </r>
  <r>
    <x v="72"/>
    <s v="Bobal"/>
    <x v="1"/>
    <s v="jain"/>
    <s v="Psychology"/>
    <n v="22"/>
    <s v="SC/ST"/>
    <s v="AB"/>
    <n v="72"/>
    <s v="English"/>
    <s v="UP"/>
    <s v="Lucknow"/>
    <s v="Athletic"/>
    <s v="Drawing"/>
    <s v="8lac-12lac"/>
    <s v="Joint"/>
    <x v="1"/>
    <s v="Non- Vegetarians"/>
    <s v="non smokers"/>
    <n v="1.7"/>
    <n v="79"/>
    <n v="27.335640138408309"/>
  </r>
  <r>
    <x v="72"/>
    <s v="Bora"/>
    <x v="1"/>
    <s v="sikh"/>
    <s v="Arts"/>
    <n v="20"/>
    <s v="SC/ST"/>
    <s v="B"/>
    <n v="77"/>
    <s v="English"/>
    <s v="kerala"/>
    <s v="Cochi"/>
    <s v="Athletic"/>
    <s v="Reading"/>
    <s v="8lac-12lac"/>
    <s v="Joint"/>
    <x v="2"/>
    <s v="Non- Vegetarians"/>
    <s v="smokers"/>
    <n v="1.8"/>
    <n v="57"/>
    <n v="17.592592592592592"/>
  </r>
  <r>
    <x v="73"/>
    <s v="Bora"/>
    <x v="1"/>
    <s v="jain"/>
    <s v="social work"/>
    <n v="19"/>
    <s v="General"/>
    <s v="AB"/>
    <n v="61"/>
    <s v="Gujurati"/>
    <s v="UP"/>
    <s v="Lucknow"/>
    <s v="Athletic"/>
    <s v="Reading"/>
    <s v="8lac-12lac"/>
    <s v="Joint"/>
    <x v="1"/>
    <s v="Vegetarian"/>
    <s v="non smokers"/>
    <n v="1.4"/>
    <n v="78"/>
    <n v="39.795918367346943"/>
  </r>
  <r>
    <x v="74"/>
    <s v="Borah"/>
    <x v="1"/>
    <s v="jain"/>
    <s v="Commerce"/>
    <n v="20"/>
    <s v="SC/ST"/>
    <s v="AB"/>
    <n v="80"/>
    <s v="Hindi"/>
    <s v="Haryana"/>
    <s v="Gurugram"/>
    <s v="Athletic"/>
    <s v="Reading"/>
    <s v="8lac-12lac"/>
    <s v="Joint"/>
    <x v="2"/>
    <s v="Vegetarian"/>
    <s v="smokers"/>
    <n v="1.9"/>
    <n v="80"/>
    <n v="22.1606648199446"/>
  </r>
  <r>
    <x v="75"/>
    <s v="Borde"/>
    <x v="1"/>
    <s v="sikh"/>
    <s v="Science"/>
    <n v="22"/>
    <s v="OBC"/>
    <s v="A"/>
    <n v="94"/>
    <s v="Marathi"/>
    <s v="Bihar"/>
    <s v="Patna"/>
    <s v="Athletic"/>
    <s v="Gaming"/>
    <s v="8lac-12lac"/>
    <s v="Nuclear"/>
    <x v="1"/>
    <s v="Vegetarian"/>
    <s v="non smokers"/>
    <n v="1.6"/>
    <n v="49"/>
    <n v="19.140624999999996"/>
  </r>
  <r>
    <x v="76"/>
    <s v="Borra"/>
    <x v="1"/>
    <s v="Muslim"/>
    <s v="Commerce"/>
    <n v="22"/>
    <s v="OBC"/>
    <s v="AB"/>
    <n v="85"/>
    <s v="Marathi"/>
    <s v="kerala"/>
    <s v="Cochi"/>
    <s v="Athletic"/>
    <s v="Drawing"/>
    <s v="8lac-12lac"/>
    <s v="Nuclear"/>
    <x v="0"/>
    <s v="Non- Vegetarians"/>
    <s v="non smokers"/>
    <n v="1.9"/>
    <n v="44"/>
    <n v="12.18836565096953"/>
  </r>
  <r>
    <x v="77"/>
    <s v="Bose"/>
    <x v="0"/>
    <s v="Christian"/>
    <s v="Arts"/>
    <n v="22"/>
    <s v="SC/ST"/>
    <s v="AB"/>
    <n v="84"/>
    <s v="English"/>
    <s v="UP"/>
    <s v="Lucknow"/>
    <s v="Athletic"/>
    <s v="Drawing"/>
    <s v="4 lac-8 lac"/>
    <s v="Joint"/>
    <x v="2"/>
    <s v="Non- Vegetarians"/>
    <s v="non smokers"/>
    <n v="1.7"/>
    <n v="62"/>
    <n v="21.453287197231838"/>
  </r>
  <r>
    <x v="78"/>
    <s v="Brahmbhatt"/>
    <x v="1"/>
    <s v="Muslim"/>
    <s v="Psychology"/>
    <n v="20"/>
    <s v="OBC"/>
    <s v="AB"/>
    <n v="59"/>
    <s v="Gujurati"/>
    <s v="Bihar"/>
    <s v="Patna"/>
    <s v="Athletic"/>
    <s v="Gaming"/>
    <s v="4 lac-8 lac"/>
    <s v="Nuclear"/>
    <x v="1"/>
    <s v="Non- Vegetarians"/>
    <s v="non smokers"/>
    <n v="1.8"/>
    <n v="72"/>
    <n v="22.222222222222221"/>
  </r>
  <r>
    <x v="79"/>
    <s v="Brar"/>
    <x v="0"/>
    <s v="jain"/>
    <s v="Psychology"/>
    <n v="19"/>
    <s v="SC/ST"/>
    <s v="B"/>
    <n v="84"/>
    <s v="English"/>
    <s v="Delhi"/>
    <s v="New Delhi"/>
    <s v="Non-Athletic"/>
    <s v="Sports"/>
    <s v="4 lac-8 lac"/>
    <s v="Joint"/>
    <x v="0"/>
    <s v="Vegetarian"/>
    <s v="non smokers"/>
    <n v="1.9"/>
    <n v="53"/>
    <n v="14.681440443213297"/>
  </r>
  <r>
    <x v="80"/>
    <s v="Buch"/>
    <x v="1"/>
    <s v="Hindu"/>
    <s v="law"/>
    <n v="22"/>
    <s v="SC/ST"/>
    <s v="A"/>
    <n v="85"/>
    <s v="Marathi"/>
    <s v="Haryana"/>
    <s v="Gurugram"/>
    <s v="Non-Athletic"/>
    <s v="Reading"/>
    <s v="1 lac-4lac"/>
    <s v="Nuclear"/>
    <x v="0"/>
    <s v="Non- Vegetarians"/>
    <s v="non smokers"/>
    <n v="1.8"/>
    <n v="43"/>
    <n v="13.271604938271604"/>
  </r>
  <r>
    <x v="81"/>
    <s v="Buch"/>
    <x v="0"/>
    <s v="jain"/>
    <s v="Science"/>
    <n v="22"/>
    <s v="OBC"/>
    <s v="B"/>
    <n v="87"/>
    <s v="Hindi"/>
    <s v="Haryana"/>
    <s v="Gurugram"/>
    <s v="Athletic"/>
    <s v="Sports"/>
    <s v="4 lac-8 lac"/>
    <s v="Nuclear"/>
    <x v="1"/>
    <s v="Vegetarian"/>
    <s v="smokers"/>
    <n v="1.6"/>
    <n v="78"/>
    <n v="30.468749999999993"/>
  </r>
  <r>
    <x v="82"/>
    <s v="Bumb"/>
    <x v="0"/>
    <s v="Hindu"/>
    <s v="Commerce"/>
    <n v="18"/>
    <s v="OBC"/>
    <s v="A"/>
    <n v="57"/>
    <s v="Marathi"/>
    <s v="Haryana"/>
    <s v="Gurugram"/>
    <s v="Non-Athletic"/>
    <s v="Gaming"/>
    <s v="8lac-12lac"/>
    <s v="Nuclear"/>
    <x v="0"/>
    <s v="Vegetarian"/>
    <s v="non smokers"/>
    <n v="1.4"/>
    <n v="38"/>
    <n v="19.387755102040821"/>
  </r>
  <r>
    <x v="83"/>
    <s v="Butala"/>
    <x v="0"/>
    <s v="Muslim"/>
    <s v="social work"/>
    <n v="23"/>
    <s v="OBC"/>
    <s v="A"/>
    <n v="87"/>
    <s v="English"/>
    <s v="MP"/>
    <s v="Ratlam"/>
    <s v="Non-Athletic"/>
    <s v="Drawing"/>
    <s v="1 lac-4lac"/>
    <s v="Nuclear"/>
    <x v="0"/>
    <s v="Non- Vegetarians"/>
    <s v="smokers"/>
    <n v="1.3"/>
    <n v="58"/>
    <n v="34.319526627218934"/>
  </r>
  <r>
    <x v="84"/>
    <s v="Chacko"/>
    <x v="0"/>
    <s v="jain"/>
    <s v="Science"/>
    <n v="21"/>
    <s v="SC/ST"/>
    <s v="AB"/>
    <n v="78"/>
    <s v="Gujurati"/>
    <s v="UP"/>
    <s v="Lucknow"/>
    <s v="Non-Athletic"/>
    <s v="Drawing"/>
    <s v="4 lac-8 lac"/>
    <s v="Nuclear"/>
    <x v="0"/>
    <s v="Non- Vegetarians"/>
    <s v="smokers"/>
    <n v="1.8"/>
    <n v="79"/>
    <n v="24.382716049382715"/>
  </r>
  <r>
    <x v="85"/>
    <s v="Chad"/>
    <x v="0"/>
    <s v="Hindu"/>
    <s v="Science"/>
    <n v="21"/>
    <s v="SC/ST"/>
    <s v="AB"/>
    <n v="62"/>
    <s v="Hindi"/>
    <s v="UP"/>
    <s v="Lucknow"/>
    <s v="Athletic"/>
    <s v="Drawing"/>
    <s v="1 lac-4lac"/>
    <s v="Nuclear"/>
    <x v="1"/>
    <s v="Vegetarian"/>
    <s v="non smokers"/>
    <n v="1.8"/>
    <n v="41"/>
    <n v="12.654320987654319"/>
  </r>
  <r>
    <x v="86"/>
    <s v="Chada"/>
    <x v="0"/>
    <s v="jain"/>
    <s v="Arts"/>
    <n v="23"/>
    <s v="OBC"/>
    <s v="A"/>
    <n v="49"/>
    <s v="Marathi"/>
    <s v="kerala"/>
    <s v="Cochi"/>
    <s v="Athletic"/>
    <s v="Gaming"/>
    <s v="More than12 lac"/>
    <s v="Nuclear"/>
    <x v="2"/>
    <s v="Non- Vegetarians"/>
    <s v="non smokers"/>
    <n v="1.5"/>
    <n v="42"/>
    <n v="18.666666666666668"/>
  </r>
  <r>
    <x v="87"/>
    <s v="Chadha"/>
    <x v="1"/>
    <s v="Muslim"/>
    <s v="law"/>
    <n v="21"/>
    <s v="OBC"/>
    <s v="AB"/>
    <n v="78"/>
    <s v="Marathi"/>
    <s v="kerala"/>
    <s v="Cochi"/>
    <s v="Non-Athletic"/>
    <s v="Sports"/>
    <s v="1 lac-4lac"/>
    <s v="Joint"/>
    <x v="1"/>
    <s v="Non- Vegetarians"/>
    <s v="smokers"/>
    <n v="1.4"/>
    <n v="35"/>
    <n v="17.857142857142861"/>
  </r>
  <r>
    <x v="88"/>
    <s v="Chahal"/>
    <x v="1"/>
    <s v="Christian"/>
    <s v="Psychology"/>
    <n v="21"/>
    <s v="SC/ST"/>
    <s v="B"/>
    <n v="69"/>
    <s v="English"/>
    <s v="Bihar"/>
    <s v="Patna"/>
    <s v="Athletic"/>
    <s v="Drawing"/>
    <s v="More than12 lac"/>
    <s v="Joint"/>
    <x v="1"/>
    <s v="Vegetarian"/>
    <s v="smokers"/>
    <n v="1.9"/>
    <n v="47"/>
    <n v="13.019390581717452"/>
  </r>
  <r>
    <x v="89"/>
    <s v="Chakrabarti"/>
    <x v="1"/>
    <s v="jain"/>
    <s v="Science"/>
    <n v="21"/>
    <s v="SC/ST"/>
    <s v="B"/>
    <n v="57"/>
    <s v="English"/>
    <s v="Maharashtra"/>
    <s v="Pune"/>
    <s v="Athletic"/>
    <s v="Gaming"/>
    <s v="More than12 lac"/>
    <s v="Joint"/>
    <x v="1"/>
    <s v="Vegetarian"/>
    <s v="smokers"/>
    <n v="1.4"/>
    <n v="77"/>
    <n v="39.285714285714292"/>
  </r>
  <r>
    <x v="90"/>
    <s v="Chakraborty"/>
    <x v="1"/>
    <s v="Muslim"/>
    <s v="Science"/>
    <n v="19"/>
    <s v="SC/ST"/>
    <s v="A"/>
    <n v="55"/>
    <s v="English"/>
    <s v="Maharashtra"/>
    <s v="Pune"/>
    <s v="Non-Athletic"/>
    <s v="Sports"/>
    <s v="1 lac-4lac"/>
    <s v="Joint"/>
    <x v="1"/>
    <s v="Non- Vegetarians"/>
    <s v="smokers"/>
    <n v="1.4"/>
    <n v="53"/>
    <n v="27.040816326530617"/>
  </r>
  <r>
    <x v="90"/>
    <s v="Chana"/>
    <x v="1"/>
    <s v="sikh"/>
    <s v="Psychology"/>
    <n v="20"/>
    <s v="SC/ST"/>
    <s v="B"/>
    <n v="56"/>
    <s v="English"/>
    <s v="Haryana"/>
    <s v="Gurugram"/>
    <s v="Non-Athletic"/>
    <s v="Drawing"/>
    <s v="1 lac-4lac"/>
    <s v="Joint"/>
    <x v="2"/>
    <s v="Vegetarian"/>
    <s v="non smokers"/>
    <n v="1.9"/>
    <n v="70"/>
    <n v="19.390581717451525"/>
  </r>
  <r>
    <x v="91"/>
    <s v="Chand"/>
    <x v="1"/>
    <s v="Christian"/>
    <s v="law"/>
    <n v="22"/>
    <s v="OBC"/>
    <s v="AB"/>
    <n v="83"/>
    <s v="English"/>
    <s v="Haryana"/>
    <s v="Gurugram"/>
    <s v="Non-Athletic"/>
    <s v="Drawing"/>
    <s v="More than12 lac"/>
    <s v="Joint"/>
    <x v="0"/>
    <s v="Non- Vegetarians"/>
    <s v="smokers"/>
    <n v="1.5"/>
    <n v="61"/>
    <n v="27.111111111111111"/>
  </r>
  <r>
    <x v="92"/>
    <s v="Chanda"/>
    <x v="1"/>
    <s v="Muslim"/>
    <s v="Science"/>
    <n v="19"/>
    <s v="SC/ST"/>
    <s v="A"/>
    <n v="85"/>
    <s v="Gujurati"/>
    <s v="UP"/>
    <s v="Lucknow"/>
    <s v="Athletic"/>
    <s v="Reading"/>
    <s v="8lac-12lac"/>
    <s v="Nuclear"/>
    <x v="2"/>
    <s v="Non- Vegetarians"/>
    <s v="smokers"/>
    <n v="1.5"/>
    <n v="50"/>
    <n v="22.222222222222221"/>
  </r>
  <r>
    <x v="93"/>
    <s v="Chander"/>
    <x v="1"/>
    <s v="jain"/>
    <s v="Arts"/>
    <n v="19"/>
    <s v="SC/ST"/>
    <s v="B"/>
    <n v="69"/>
    <s v="Hindi"/>
    <s v="MP"/>
    <s v="Ratlam"/>
    <s v="Athletic"/>
    <s v="Reading"/>
    <s v="8lac-12lac"/>
    <s v="Nuclear"/>
    <x v="0"/>
    <s v="Non- Vegetarians"/>
    <s v="smokers"/>
    <n v="1.6"/>
    <n v="66"/>
    <n v="25.781249999999996"/>
  </r>
  <r>
    <x v="1"/>
    <s v="Chandra"/>
    <x v="0"/>
    <s v="Muslim"/>
    <s v="law"/>
    <n v="19"/>
    <s v="General"/>
    <s v="B"/>
    <n v="80"/>
    <s v="Hindi"/>
    <s v="Bihar"/>
    <s v="Patna"/>
    <s v="Non-Athletic"/>
    <s v="Reading"/>
    <s v="1 lac-4lac"/>
    <s v="Nuclear"/>
    <x v="1"/>
    <s v="Non- Vegetarians"/>
    <s v="smokers"/>
    <n v="1.4"/>
    <n v="36"/>
    <n v="18.367346938775512"/>
  </r>
  <r>
    <x v="0"/>
    <s v="Chandran"/>
    <x v="0"/>
    <s v="sikh"/>
    <s v="Commerce"/>
    <n v="21"/>
    <s v="OBC"/>
    <s v="AB"/>
    <n v="55"/>
    <s v="Marathi"/>
    <s v="Bihar"/>
    <s v="Patna"/>
    <s v="Athletic"/>
    <s v="Sports"/>
    <s v="8lac-12lac"/>
    <s v="Joint"/>
    <x v="1"/>
    <s v="Vegetarian"/>
    <s v="smokers"/>
    <n v="1.9"/>
    <n v="38"/>
    <n v="10.526315789473685"/>
  </r>
  <r>
    <x v="94"/>
    <s v="Char"/>
    <x v="1"/>
    <s v="sikh"/>
    <s v="Arts"/>
    <n v="21"/>
    <s v="OBC"/>
    <s v="A"/>
    <n v="60"/>
    <s v="Marathi"/>
    <s v="kerala"/>
    <s v="Cochi"/>
    <s v="Non-Athletic"/>
    <s v="Reading"/>
    <s v="8lac-12lac"/>
    <s v="Nuclear"/>
    <x v="0"/>
    <s v="Vegetarian"/>
    <s v="non smokers"/>
    <n v="1.4"/>
    <n v="54"/>
    <n v="27.551020408163268"/>
  </r>
  <r>
    <x v="84"/>
    <s v="Chacko"/>
    <x v="0"/>
    <s v="jain"/>
    <s v="Science"/>
    <n v="21"/>
    <s v="SC/ST"/>
    <s v="AB"/>
    <n v="78"/>
    <s v="Gujurati"/>
    <s v="UP"/>
    <s v="Lucknow"/>
    <s v="Non-Athletic"/>
    <s v="Drawing"/>
    <s v="4 lac-8 lac"/>
    <s v="Nuclear"/>
    <x v="0"/>
    <s v="Non- Vegetarians"/>
    <s v="smokers"/>
    <n v="1.8"/>
    <n v="79"/>
    <n v="24.3827160493827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2CB64-706D-4C7F-8CF8-16C0AA8B0FC4}" name="PivotTable1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1:K175" firstHeaderRow="1" firstDataRow="2" firstDataCol="1"/>
  <pivotFields count="22">
    <pivotField showAll="0">
      <items count="96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mode of transportation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DB712-CEDA-4B1B-BEDF-214D490CFA7C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65:H169" firstHeaderRow="1" firstDataRow="1" firstDataCol="1"/>
  <pivotFields count="22">
    <pivotField showAll="0">
      <items count="96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e of transportation" fld="16" subtotal="count" showDataAs="percentOfTotal" baseField="1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790D0-479A-43D6-B732-61A2F0F70D7D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G159:M163" firstHeaderRow="1" firstDataRow="2" firstDataCol="1"/>
  <pivotFields count="22">
    <pivotField compact="0" outline="0" showAll="0" defaultSubtotal="0">
      <items count="95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</items>
    </pivotField>
    <pivotField compact="0" outline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outline="0" showAll="0">
      <items count="3">
        <item x="1"/>
        <item x="0"/>
        <item t="default"/>
      </items>
    </pivotField>
    <pivotField axis="axisCol" dataField="1" compact="0" outline="0" showAll="0">
      <items count="6">
        <item x="0"/>
        <item x="4"/>
        <item x="2"/>
        <item x="3"/>
        <item x="1"/>
        <item t="default"/>
      </items>
    </pivotField>
    <pivotField compact="0" outline="0" showAll="0"/>
    <pivotField compact="0" outline="0" showAll="0">
      <items count="7">
        <item x="2"/>
        <item x="1"/>
        <item x="3"/>
        <item x="4"/>
        <item x="0"/>
        <item x="5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41">
        <item x="32"/>
        <item x="0"/>
        <item x="9"/>
        <item x="5"/>
        <item x="16"/>
        <item x="38"/>
        <item x="13"/>
        <item x="37"/>
        <item x="27"/>
        <item x="23"/>
        <item x="39"/>
        <item x="14"/>
        <item x="22"/>
        <item x="11"/>
        <item x="8"/>
        <item x="2"/>
        <item x="30"/>
        <item x="21"/>
        <item x="1"/>
        <item x="10"/>
        <item x="31"/>
        <item x="3"/>
        <item x="28"/>
        <item x="12"/>
        <item x="17"/>
        <item x="4"/>
        <item x="34"/>
        <item x="7"/>
        <item x="33"/>
        <item x="6"/>
        <item x="18"/>
        <item x="36"/>
        <item x="26"/>
        <item x="24"/>
        <item x="20"/>
        <item x="25"/>
        <item x="15"/>
        <item x="29"/>
        <item x="19"/>
        <item x="35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9">
        <item x="2"/>
        <item x="6"/>
        <item x="5"/>
        <item x="4"/>
        <item x="0"/>
        <item x="3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3"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ligion" fld="3" subtotal="count" baseField="0" baseItem="0"/>
  </dataFields>
  <chartFormats count="15">
    <chartFormat chart="14" format="7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14" format="10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14" format="11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10" format="18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10" format="19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10" format="2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10" format="21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10" format="22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7" format="8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7" format="11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7" format="12" series="1">
      <pivotArea type="data" outline="0" fieldPosition="0">
        <references count="1">
          <reference field="3" count="1" selected="0">
            <x v="4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2CA8D-42E8-4ACE-B052-58676E6F1EA9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G152:M156" firstHeaderRow="1" firstDataRow="2" firstDataCol="1"/>
  <pivotFields count="22">
    <pivotField compact="0" outline="0" showAll="0" defaultSubtotal="0">
      <items count="95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</items>
    </pivotField>
    <pivotField compact="0" outline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axis="axisRow" compact="0" outline="0" showAll="0">
      <items count="3">
        <item x="1"/>
        <item x="0"/>
        <item t="default"/>
      </items>
    </pivotField>
    <pivotField axis="axisCol" dataField="1" compact="0" outline="0" showAll="0">
      <items count="6">
        <item x="0"/>
        <item x="4"/>
        <item x="2"/>
        <item x="3"/>
        <item x="1"/>
        <item t="default"/>
      </items>
    </pivotField>
    <pivotField compact="0" outline="0" showAll="0"/>
    <pivotField compact="0" outline="0" showAll="0">
      <items count="7">
        <item x="2"/>
        <item x="1"/>
        <item x="3"/>
        <item x="4"/>
        <item x="0"/>
        <item x="5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41">
        <item x="32"/>
        <item x="0"/>
        <item x="9"/>
        <item x="5"/>
        <item x="16"/>
        <item x="38"/>
        <item x="13"/>
        <item x="37"/>
        <item x="27"/>
        <item x="23"/>
        <item x="39"/>
        <item x="14"/>
        <item x="22"/>
        <item x="11"/>
        <item x="8"/>
        <item x="2"/>
        <item x="30"/>
        <item x="21"/>
        <item x="1"/>
        <item x="10"/>
        <item x="31"/>
        <item x="3"/>
        <item x="28"/>
        <item x="12"/>
        <item x="17"/>
        <item x="4"/>
        <item x="34"/>
        <item x="7"/>
        <item x="33"/>
        <item x="6"/>
        <item x="18"/>
        <item x="36"/>
        <item x="26"/>
        <item x="24"/>
        <item x="20"/>
        <item x="25"/>
        <item x="15"/>
        <item x="29"/>
        <item x="19"/>
        <item x="35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9">
        <item x="2"/>
        <item x="6"/>
        <item x="5"/>
        <item x="4"/>
        <item x="0"/>
        <item x="3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ligion" fld="3" subtotal="count" baseField="0" baseItem="0"/>
  </dataFields>
  <chartFormats count="15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9E324-DCA7-4AA9-81C3-47429404C7E9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J108:K115" firstHeaderRow="1" firstDataRow="1" firstDataCol="1"/>
  <pivotFields count="22">
    <pivotField compact="0" outline="0" showAll="0" defaultSubtotal="0">
      <items count="95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</items>
    </pivotField>
    <pivotField compact="0" outline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dataField="1" compact="0" outline="0" showAll="0">
      <items count="7">
        <item x="2"/>
        <item x="1"/>
        <item x="3"/>
        <item x="4"/>
        <item x="0"/>
        <item x="5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41">
        <item x="32"/>
        <item x="0"/>
        <item x="9"/>
        <item x="5"/>
        <item x="16"/>
        <item x="38"/>
        <item x="13"/>
        <item x="37"/>
        <item x="27"/>
        <item x="23"/>
        <item x="39"/>
        <item x="14"/>
        <item x="22"/>
        <item x="11"/>
        <item x="8"/>
        <item x="2"/>
        <item x="30"/>
        <item x="21"/>
        <item x="1"/>
        <item x="10"/>
        <item x="31"/>
        <item x="3"/>
        <item x="28"/>
        <item x="12"/>
        <item x="17"/>
        <item x="4"/>
        <item x="34"/>
        <item x="7"/>
        <item x="33"/>
        <item x="6"/>
        <item x="18"/>
        <item x="36"/>
        <item x="26"/>
        <item x="24"/>
        <item x="20"/>
        <item x="25"/>
        <item x="15"/>
        <item x="29"/>
        <item x="19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ge" fld="5" subtotal="count" baseField="5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1A62A-0494-4D6D-8666-E8F166E00DE7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G108:H115" firstHeaderRow="1" firstDataRow="1" firstDataCol="1"/>
  <pivotFields count="22">
    <pivotField compact="0" outline="0" showAll="0" defaultSubtotal="0">
      <items count="95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</items>
    </pivotField>
    <pivotField compact="0" outline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dataField="1" compact="0" outline="0" showAll="0">
      <items count="7">
        <item x="2"/>
        <item x="1"/>
        <item x="3"/>
        <item x="4"/>
        <item x="0"/>
        <item x="5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41">
        <item x="32"/>
        <item x="0"/>
        <item x="9"/>
        <item x="5"/>
        <item x="16"/>
        <item x="38"/>
        <item x="13"/>
        <item x="37"/>
        <item x="27"/>
        <item x="23"/>
        <item x="39"/>
        <item x="14"/>
        <item x="22"/>
        <item x="11"/>
        <item x="8"/>
        <item x="2"/>
        <item x="30"/>
        <item x="21"/>
        <item x="1"/>
        <item x="10"/>
        <item x="31"/>
        <item x="3"/>
        <item x="28"/>
        <item x="12"/>
        <item x="17"/>
        <item x="4"/>
        <item x="34"/>
        <item x="7"/>
        <item x="33"/>
        <item x="6"/>
        <item x="18"/>
        <item x="36"/>
        <item x="26"/>
        <item x="24"/>
        <item x="20"/>
        <item x="25"/>
        <item x="15"/>
        <item x="29"/>
        <item x="19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ge" fld="5" subtotal="count" showDataAs="percentOfTotal" baseField="5" baseItem="0" numFmtId="10"/>
  </dataFields>
  <chartFormats count="1"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E1CB8-3613-44E1-A5B8-18066A5C0295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D108:E209" firstHeaderRow="1" firstDataRow="1" firstDataCol="2"/>
  <pivotFields count="22">
    <pivotField axis="axisRow" compact="0" outline="0" showAll="0" defaultSubtotal="0">
      <items count="95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</items>
    </pivotField>
    <pivotField compact="0" outline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7">
        <item x="2"/>
        <item x="1"/>
        <item x="3"/>
        <item x="4"/>
        <item x="0"/>
        <item x="5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0"/>
  </rowFields>
  <rowItems count="101">
    <i>
      <x/>
      <x v="5"/>
    </i>
    <i r="1">
      <x v="6"/>
    </i>
    <i r="1">
      <x v="7"/>
    </i>
    <i r="1">
      <x v="12"/>
    </i>
    <i r="1">
      <x v="34"/>
    </i>
    <i r="1">
      <x v="35"/>
    </i>
    <i r="1">
      <x v="37"/>
    </i>
    <i r="1">
      <x v="39"/>
    </i>
    <i r="1">
      <x v="42"/>
    </i>
    <i r="1">
      <x v="44"/>
    </i>
    <i r="1">
      <x v="45"/>
    </i>
    <i r="1">
      <x v="46"/>
    </i>
    <i r="1">
      <x v="47"/>
    </i>
    <i r="1">
      <x v="51"/>
    </i>
    <i r="1">
      <x v="55"/>
    </i>
    <i r="1">
      <x v="58"/>
    </i>
    <i r="1">
      <x v="63"/>
    </i>
    <i r="1">
      <x v="69"/>
    </i>
    <i r="1">
      <x v="73"/>
    </i>
    <i r="1">
      <x v="74"/>
    </i>
    <i r="1">
      <x v="78"/>
    </i>
    <i r="1">
      <x v="79"/>
    </i>
    <i r="1">
      <x v="80"/>
    </i>
    <i r="1">
      <x v="84"/>
    </i>
    <i r="1">
      <x v="89"/>
    </i>
    <i r="1">
      <x v="90"/>
    </i>
    <i r="1">
      <x v="91"/>
    </i>
    <i r="1">
      <x v="93"/>
    </i>
    <i r="1">
      <x v="94"/>
    </i>
    <i t="default">
      <x/>
    </i>
    <i>
      <x v="1"/>
      <x v="1"/>
    </i>
    <i r="1">
      <x v="2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5"/>
    </i>
    <i r="1">
      <x v="26"/>
    </i>
    <i r="1">
      <x v="30"/>
    </i>
    <i r="1">
      <x v="36"/>
    </i>
    <i r="1">
      <x v="41"/>
    </i>
    <i r="1">
      <x v="49"/>
    </i>
    <i r="1">
      <x v="50"/>
    </i>
    <i r="1">
      <x v="52"/>
    </i>
    <i r="1">
      <x v="61"/>
    </i>
    <i r="1">
      <x v="62"/>
    </i>
    <i r="1">
      <x v="67"/>
    </i>
    <i r="1">
      <x v="68"/>
    </i>
    <i r="1">
      <x v="69"/>
    </i>
    <i r="1">
      <x v="75"/>
    </i>
    <i r="1">
      <x v="81"/>
    </i>
    <i r="1">
      <x v="82"/>
    </i>
    <i r="1">
      <x v="83"/>
    </i>
    <i r="1">
      <x v="85"/>
    </i>
    <i r="1">
      <x v="86"/>
    </i>
    <i r="1">
      <x v="87"/>
    </i>
    <i t="default">
      <x v="1"/>
    </i>
    <i>
      <x v="2"/>
      <x/>
    </i>
    <i r="1">
      <x v="3"/>
    </i>
    <i r="1">
      <x v="4"/>
    </i>
    <i r="1">
      <x v="8"/>
    </i>
    <i r="1">
      <x v="9"/>
    </i>
    <i r="1">
      <x v="11"/>
    </i>
    <i r="1">
      <x v="13"/>
    </i>
    <i r="1">
      <x v="16"/>
    </i>
    <i r="1">
      <x v="18"/>
    </i>
    <i r="1">
      <x v="19"/>
    </i>
    <i r="1">
      <x v="23"/>
    </i>
    <i r="1">
      <x v="24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8"/>
    </i>
    <i r="1">
      <x v="40"/>
    </i>
    <i r="1">
      <x v="43"/>
    </i>
    <i r="1">
      <x v="48"/>
    </i>
    <i r="1">
      <x v="53"/>
    </i>
    <i r="1">
      <x v="54"/>
    </i>
    <i r="1">
      <x v="56"/>
    </i>
    <i r="1">
      <x v="57"/>
    </i>
    <i r="1">
      <x v="59"/>
    </i>
    <i r="1">
      <x v="60"/>
    </i>
    <i r="1">
      <x v="64"/>
    </i>
    <i r="1">
      <x v="65"/>
    </i>
    <i r="1">
      <x v="66"/>
    </i>
    <i r="1">
      <x v="70"/>
    </i>
    <i r="1">
      <x v="71"/>
    </i>
    <i r="1">
      <x v="72"/>
    </i>
    <i r="1">
      <x v="74"/>
    </i>
    <i r="1">
      <x v="76"/>
    </i>
    <i r="1">
      <x v="77"/>
    </i>
    <i r="1">
      <x v="88"/>
    </i>
    <i r="1">
      <x v="92"/>
    </i>
    <i t="default">
      <x v="2"/>
    </i>
    <i t="grand">
      <x/>
    </i>
  </rowItems>
  <colItems count="1">
    <i/>
  </colItem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378EB-6D23-4AE5-8EEA-F75677F2B8C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D3:F20" firstHeaderRow="1" firstDataRow="1" firstDataCol="0"/>
  <pivotFields count="22">
    <pivotField compact="0" outline="0" showAll="0" defaultSubtotal="0">
      <items count="95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</items>
    </pivotField>
    <pivotField compact="0" outline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6">
        <item x="0"/>
        <item x="4"/>
        <item x="2"/>
        <item x="3"/>
        <item x="1"/>
        <item t="default"/>
      </items>
    </pivotField>
    <pivotField compact="0" outline="0" showAll="0"/>
    <pivotField compact="0" outline="0" showAll="0">
      <items count="7">
        <item x="2"/>
        <item x="1"/>
        <item x="3"/>
        <item x="4"/>
        <item x="0"/>
        <item x="5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41">
        <item x="32"/>
        <item x="0"/>
        <item x="9"/>
        <item x="5"/>
        <item x="16"/>
        <item x="38"/>
        <item x="13"/>
        <item x="37"/>
        <item x="27"/>
        <item x="23"/>
        <item x="39"/>
        <item x="14"/>
        <item x="22"/>
        <item x="11"/>
        <item x="8"/>
        <item x="2"/>
        <item x="30"/>
        <item x="21"/>
        <item x="1"/>
        <item x="10"/>
        <item x="31"/>
        <item x="3"/>
        <item x="28"/>
        <item x="12"/>
        <item x="17"/>
        <item x="4"/>
        <item x="34"/>
        <item x="7"/>
        <item x="33"/>
        <item x="6"/>
        <item x="18"/>
        <item x="36"/>
        <item x="26"/>
        <item x="24"/>
        <item x="20"/>
        <item x="25"/>
        <item x="15"/>
        <item x="29"/>
        <item x="19"/>
        <item x="35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9">
        <item x="2"/>
        <item x="6"/>
        <item x="5"/>
        <item x="4"/>
        <item x="0"/>
        <item x="3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9FB32-F3F4-4475-B9FF-F2F9626AD99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03" firstHeaderRow="1" firstDataRow="1" firstDataCol="2"/>
  <pivotFields count="22">
    <pivotField axis="axisRow" compact="0" outline="0" showAll="0" defaultSubtotal="0">
      <items count="95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</items>
    </pivotField>
    <pivotField axis="axisRow" compact="0" outline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00">
    <i>
      <x/>
      <x v="26"/>
    </i>
    <i>
      <x v="1"/>
      <x v="60"/>
    </i>
    <i>
      <x v="2"/>
      <x v="61"/>
    </i>
    <i>
      <x v="3"/>
      <x v="62"/>
    </i>
    <i>
      <x v="4"/>
      <x v="63"/>
    </i>
    <i>
      <x v="5"/>
      <x v="64"/>
    </i>
    <i>
      <x v="6"/>
      <x v="65"/>
    </i>
    <i>
      <x v="7"/>
      <x v="66"/>
    </i>
    <i>
      <x v="8"/>
      <x v="67"/>
    </i>
    <i>
      <x v="9"/>
      <x v="68"/>
    </i>
    <i>
      <x v="10"/>
      <x v="69"/>
    </i>
    <i>
      <x v="11"/>
      <x v="70"/>
    </i>
    <i r="1">
      <x v="71"/>
    </i>
    <i>
      <x v="12"/>
      <x v="71"/>
    </i>
    <i>
      <x v="13"/>
      <x v="72"/>
    </i>
    <i>
      <x v="14"/>
      <x v="73"/>
    </i>
    <i>
      <x v="15"/>
      <x v="74"/>
    </i>
    <i>
      <x v="16"/>
      <x v="75"/>
    </i>
    <i>
      <x v="17"/>
      <x v="76"/>
    </i>
    <i>
      <x v="18"/>
      <x v="77"/>
    </i>
    <i>
      <x v="19"/>
      <x v="78"/>
    </i>
    <i>
      <x v="20"/>
      <x v="78"/>
    </i>
    <i>
      <x v="21"/>
      <x v="79"/>
    </i>
    <i>
      <x v="22"/>
      <x v="80"/>
    </i>
    <i>
      <x v="23"/>
      <x v="81"/>
    </i>
    <i>
      <x v="24"/>
      <x v="82"/>
    </i>
    <i>
      <x v="25"/>
      <x v="83"/>
    </i>
    <i>
      <x v="26"/>
      <x v="84"/>
    </i>
    <i>
      <x v="27"/>
      <x v="85"/>
    </i>
    <i>
      <x v="28"/>
      <x v="86"/>
    </i>
    <i>
      <x v="29"/>
      <x v="87"/>
    </i>
    <i r="1">
      <x v="88"/>
    </i>
    <i>
      <x v="30"/>
      <x v="89"/>
    </i>
    <i>
      <x v="31"/>
      <x v="90"/>
    </i>
    <i>
      <x v="32"/>
      <x v="91"/>
    </i>
    <i>
      <x v="33"/>
      <x v="32"/>
    </i>
    <i>
      <x v="34"/>
      <x v="8"/>
    </i>
    <i>
      <x v="35"/>
      <x v="25"/>
    </i>
    <i>
      <x v="36"/>
      <x v="59"/>
    </i>
    <i>
      <x v="37"/>
      <x v="52"/>
    </i>
    <i>
      <x v="38"/>
      <x v="27"/>
    </i>
    <i>
      <x v="39"/>
      <x v="53"/>
    </i>
    <i>
      <x v="40"/>
      <x v="46"/>
    </i>
    <i>
      <x v="41"/>
      <x v="37"/>
    </i>
    <i>
      <x v="42"/>
      <x v="51"/>
    </i>
    <i>
      <x v="43"/>
      <x v="31"/>
    </i>
    <i>
      <x v="44"/>
      <x v="34"/>
    </i>
    <i>
      <x v="45"/>
      <x v="36"/>
    </i>
    <i>
      <x v="46"/>
      <x v="7"/>
    </i>
    <i>
      <x v="47"/>
      <x v="5"/>
    </i>
    <i>
      <x v="48"/>
      <x v="17"/>
    </i>
    <i>
      <x v="49"/>
      <x v="19"/>
    </i>
    <i>
      <x v="50"/>
      <x v="43"/>
    </i>
    <i>
      <x v="51"/>
      <x v="50"/>
    </i>
    <i>
      <x v="52"/>
      <x v="57"/>
    </i>
    <i>
      <x v="53"/>
      <x v="58"/>
    </i>
    <i>
      <x v="54"/>
      <x v="11"/>
    </i>
    <i>
      <x v="55"/>
      <x v="21"/>
    </i>
    <i>
      <x v="56"/>
      <x v="48"/>
    </i>
    <i>
      <x v="57"/>
      <x v="29"/>
    </i>
    <i>
      <x v="58"/>
      <x v="55"/>
    </i>
    <i>
      <x v="59"/>
      <x v="44"/>
    </i>
    <i>
      <x v="60"/>
      <x v="9"/>
    </i>
    <i>
      <x v="61"/>
      <x v="23"/>
    </i>
    <i>
      <x v="62"/>
      <x v="47"/>
    </i>
    <i>
      <x v="63"/>
      <x v="33"/>
    </i>
    <i>
      <x v="64"/>
      <x v="56"/>
    </i>
    <i>
      <x v="65"/>
      <x v="24"/>
    </i>
    <i>
      <x v="66"/>
      <x v="22"/>
    </i>
    <i>
      <x v="67"/>
      <x v="10"/>
    </i>
    <i>
      <x v="68"/>
      <x v="94"/>
    </i>
    <i>
      <x v="69"/>
      <x/>
    </i>
    <i r="1">
      <x v="93"/>
    </i>
    <i>
      <x v="70"/>
      <x v="41"/>
    </i>
    <i>
      <x v="71"/>
      <x v="42"/>
    </i>
    <i>
      <x v="72"/>
      <x v="40"/>
    </i>
    <i>
      <x v="73"/>
      <x v="16"/>
    </i>
    <i>
      <x v="74"/>
      <x v="1"/>
    </i>
    <i r="1">
      <x v="92"/>
    </i>
    <i>
      <x v="75"/>
      <x v="39"/>
    </i>
    <i>
      <x v="76"/>
      <x v="2"/>
    </i>
    <i>
      <x v="77"/>
      <x v="38"/>
    </i>
    <i>
      <x v="78"/>
      <x v="27"/>
    </i>
    <i>
      <x v="79"/>
      <x v="4"/>
    </i>
    <i>
      <x v="80"/>
      <x v="14"/>
    </i>
    <i>
      <x v="81"/>
      <x v="12"/>
    </i>
    <i>
      <x v="82"/>
      <x v="13"/>
    </i>
    <i>
      <x v="83"/>
      <x v="3"/>
    </i>
    <i>
      <x v="84"/>
      <x v="20"/>
    </i>
    <i>
      <x v="85"/>
      <x v="30"/>
    </i>
    <i>
      <x v="86"/>
      <x v="18"/>
    </i>
    <i>
      <x v="87"/>
      <x v="28"/>
    </i>
    <i>
      <x v="88"/>
      <x v="15"/>
    </i>
    <i>
      <x v="89"/>
      <x v="54"/>
    </i>
    <i>
      <x v="90"/>
      <x v="49"/>
    </i>
    <i>
      <x v="91"/>
      <x v="45"/>
    </i>
    <i>
      <x v="92"/>
      <x v="37"/>
    </i>
    <i>
      <x v="93"/>
      <x v="6"/>
    </i>
    <i>
      <x v="94"/>
      <x v="35"/>
    </i>
    <i t="grand">
      <x/>
    </i>
  </rowItems>
  <colItems count="1">
    <i/>
  </colItem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5C496-4EA1-4AAA-A7B2-356FEAEFBD10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22">
    <pivotField showAll="0">
      <items count="96">
        <item x="2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33"/>
        <item x="8"/>
        <item x="25"/>
        <item x="61"/>
        <item x="54"/>
        <item x="27"/>
        <item x="55"/>
        <item x="48"/>
        <item x="39"/>
        <item x="53"/>
        <item x="32"/>
        <item x="35"/>
        <item x="37"/>
        <item x="7"/>
        <item x="5"/>
        <item x="17"/>
        <item x="19"/>
        <item x="45"/>
        <item x="52"/>
        <item x="59"/>
        <item x="60"/>
        <item x="11"/>
        <item x="21"/>
        <item x="50"/>
        <item x="30"/>
        <item x="57"/>
        <item x="46"/>
        <item x="9"/>
        <item x="23"/>
        <item x="49"/>
        <item x="34"/>
        <item x="58"/>
        <item x="24"/>
        <item x="22"/>
        <item x="10"/>
        <item x="94"/>
        <item x="0"/>
        <item x="43"/>
        <item x="44"/>
        <item x="42"/>
        <item x="16"/>
        <item x="1"/>
        <item x="41"/>
        <item x="2"/>
        <item x="40"/>
        <item x="28"/>
        <item x="4"/>
        <item x="14"/>
        <item x="12"/>
        <item x="13"/>
        <item x="3"/>
        <item x="20"/>
        <item x="31"/>
        <item x="18"/>
        <item x="29"/>
        <item x="15"/>
        <item x="56"/>
        <item x="51"/>
        <item x="47"/>
        <item x="38"/>
        <item x="6"/>
        <item x="36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mode of transportation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95AD-3E5E-4E88-9BED-30307474C68A}">
  <dimension ref="A2:M209"/>
  <sheetViews>
    <sheetView tabSelected="1" workbookViewId="0">
      <selection activeCell="F175" sqref="F175"/>
    </sheetView>
  </sheetViews>
  <sheetFormatPr defaultRowHeight="15" x14ac:dyDescent="0.25"/>
  <cols>
    <col min="1" max="3" width="16.28515625" bestFit="1" customWidth="1"/>
    <col min="4" max="4" width="30.28515625" bestFit="1" customWidth="1"/>
    <col min="5" max="7" width="24.28515625" bestFit="1" customWidth="1"/>
    <col min="8" max="8" width="11.28515625" bestFit="1" customWidth="1"/>
    <col min="9" max="9" width="10.140625" bestFit="1" customWidth="1"/>
    <col min="10" max="10" width="11.28515625" bestFit="1" customWidth="1"/>
    <col min="11" max="95" width="16.28515625" bestFit="1" customWidth="1"/>
    <col min="96" max="96" width="11.28515625" bestFit="1" customWidth="1"/>
  </cols>
  <sheetData>
    <row r="2" spans="1:8" x14ac:dyDescent="0.25">
      <c r="A2" t="s">
        <v>272</v>
      </c>
      <c r="H2" t="s">
        <v>273</v>
      </c>
    </row>
    <row r="3" spans="1:8" x14ac:dyDescent="0.25">
      <c r="A3" s="12" t="s">
        <v>0</v>
      </c>
      <c r="B3" s="12" t="s">
        <v>1</v>
      </c>
      <c r="D3" s="3"/>
      <c r="E3" s="4"/>
      <c r="F3" s="5"/>
    </row>
    <row r="4" spans="1:8" x14ac:dyDescent="0.25">
      <c r="A4" t="s">
        <v>43</v>
      </c>
      <c r="B4" t="s">
        <v>141</v>
      </c>
      <c r="D4" s="6"/>
      <c r="E4" s="7"/>
      <c r="F4" s="8"/>
    </row>
    <row r="5" spans="1:8" x14ac:dyDescent="0.25">
      <c r="A5" t="s">
        <v>80</v>
      </c>
      <c r="B5" t="s">
        <v>175</v>
      </c>
      <c r="D5" s="6"/>
      <c r="E5" s="7"/>
      <c r="F5" s="8"/>
    </row>
    <row r="6" spans="1:8" x14ac:dyDescent="0.25">
      <c r="A6" t="s">
        <v>81</v>
      </c>
      <c r="B6" t="s">
        <v>176</v>
      </c>
      <c r="D6" s="6"/>
      <c r="E6" s="7"/>
      <c r="F6" s="8"/>
    </row>
    <row r="7" spans="1:8" x14ac:dyDescent="0.25">
      <c r="A7" t="s">
        <v>83</v>
      </c>
      <c r="B7" t="s">
        <v>177</v>
      </c>
      <c r="D7" s="6"/>
      <c r="E7" s="7"/>
      <c r="F7" s="8"/>
    </row>
    <row r="8" spans="1:8" x14ac:dyDescent="0.25">
      <c r="A8" t="s">
        <v>84</v>
      </c>
      <c r="B8" t="s">
        <v>178</v>
      </c>
      <c r="D8" s="6"/>
      <c r="E8" s="7"/>
      <c r="F8" s="8"/>
    </row>
    <row r="9" spans="1:8" x14ac:dyDescent="0.25">
      <c r="A9" t="s">
        <v>85</v>
      </c>
      <c r="B9" t="s">
        <v>179</v>
      </c>
      <c r="D9" s="6"/>
      <c r="E9" s="7"/>
      <c r="F9" s="8"/>
    </row>
    <row r="10" spans="1:8" x14ac:dyDescent="0.25">
      <c r="A10" t="s">
        <v>86</v>
      </c>
      <c r="B10" t="s">
        <v>180</v>
      </c>
      <c r="D10" s="6"/>
      <c r="E10" s="7"/>
      <c r="F10" s="8"/>
    </row>
    <row r="11" spans="1:8" x14ac:dyDescent="0.25">
      <c r="A11" t="s">
        <v>87</v>
      </c>
      <c r="B11" t="s">
        <v>181</v>
      </c>
      <c r="D11" s="6"/>
      <c r="E11" s="7"/>
      <c r="F11" s="8"/>
    </row>
    <row r="12" spans="1:8" x14ac:dyDescent="0.25">
      <c r="A12" t="s">
        <v>88</v>
      </c>
      <c r="B12" t="s">
        <v>182</v>
      </c>
      <c r="D12" s="6"/>
      <c r="E12" s="7"/>
      <c r="F12" s="8"/>
    </row>
    <row r="13" spans="1:8" x14ac:dyDescent="0.25">
      <c r="A13" t="s">
        <v>89</v>
      </c>
      <c r="B13" t="s">
        <v>183</v>
      </c>
      <c r="D13" s="6"/>
      <c r="E13" s="7"/>
      <c r="F13" s="8"/>
    </row>
    <row r="14" spans="1:8" x14ac:dyDescent="0.25">
      <c r="A14" t="s">
        <v>90</v>
      </c>
      <c r="B14" t="s">
        <v>184</v>
      </c>
      <c r="D14" s="6"/>
      <c r="E14" s="7"/>
      <c r="F14" s="8"/>
    </row>
    <row r="15" spans="1:8" x14ac:dyDescent="0.25">
      <c r="A15" t="s">
        <v>91</v>
      </c>
      <c r="B15" t="s">
        <v>185</v>
      </c>
      <c r="D15" s="6"/>
      <c r="E15" s="7"/>
      <c r="F15" s="8"/>
    </row>
    <row r="16" spans="1:8" x14ac:dyDescent="0.25">
      <c r="B16" t="s">
        <v>186</v>
      </c>
      <c r="D16" s="6"/>
      <c r="E16" s="7"/>
      <c r="F16" s="8"/>
    </row>
    <row r="17" spans="1:6" x14ac:dyDescent="0.25">
      <c r="A17" t="s">
        <v>92</v>
      </c>
      <c r="B17" t="s">
        <v>186</v>
      </c>
      <c r="D17" s="6"/>
      <c r="E17" s="7"/>
      <c r="F17" s="8"/>
    </row>
    <row r="18" spans="1:6" x14ac:dyDescent="0.25">
      <c r="A18" t="s">
        <v>93</v>
      </c>
      <c r="B18" t="s">
        <v>187</v>
      </c>
      <c r="D18" s="6"/>
      <c r="E18" s="7"/>
      <c r="F18" s="8"/>
    </row>
    <row r="19" spans="1:6" x14ac:dyDescent="0.25">
      <c r="A19" t="s">
        <v>94</v>
      </c>
      <c r="B19" t="s">
        <v>188</v>
      </c>
      <c r="D19" s="6"/>
      <c r="E19" s="7"/>
      <c r="F19" s="8"/>
    </row>
    <row r="20" spans="1:6" x14ac:dyDescent="0.25">
      <c r="A20" t="s">
        <v>95</v>
      </c>
      <c r="B20" t="s">
        <v>189</v>
      </c>
      <c r="D20" s="9"/>
      <c r="E20" s="10"/>
      <c r="F20" s="11"/>
    </row>
    <row r="21" spans="1:6" x14ac:dyDescent="0.25">
      <c r="A21" t="s">
        <v>96</v>
      </c>
      <c r="B21" t="s">
        <v>190</v>
      </c>
    </row>
    <row r="22" spans="1:6" x14ac:dyDescent="0.25">
      <c r="A22" t="s">
        <v>97</v>
      </c>
      <c r="B22" t="s">
        <v>191</v>
      </c>
    </row>
    <row r="23" spans="1:6" x14ac:dyDescent="0.25">
      <c r="A23" t="s">
        <v>99</v>
      </c>
      <c r="B23" t="s">
        <v>192</v>
      </c>
    </row>
    <row r="24" spans="1:6" x14ac:dyDescent="0.25">
      <c r="A24" t="s">
        <v>100</v>
      </c>
      <c r="B24" t="s">
        <v>193</v>
      </c>
    </row>
    <row r="25" spans="1:6" x14ac:dyDescent="0.25">
      <c r="A25" t="s">
        <v>101</v>
      </c>
      <c r="B25" t="s">
        <v>193</v>
      </c>
    </row>
    <row r="26" spans="1:6" x14ac:dyDescent="0.25">
      <c r="A26" t="s">
        <v>102</v>
      </c>
      <c r="B26" t="s">
        <v>194</v>
      </c>
    </row>
    <row r="27" spans="1:6" x14ac:dyDescent="0.25">
      <c r="A27" t="s">
        <v>103</v>
      </c>
      <c r="B27" t="s">
        <v>195</v>
      </c>
    </row>
    <row r="28" spans="1:6" x14ac:dyDescent="0.25">
      <c r="A28" t="s">
        <v>104</v>
      </c>
      <c r="B28" t="s">
        <v>196</v>
      </c>
    </row>
    <row r="29" spans="1:6" x14ac:dyDescent="0.25">
      <c r="A29" t="s">
        <v>105</v>
      </c>
      <c r="B29" t="s">
        <v>197</v>
      </c>
    </row>
    <row r="30" spans="1:6" x14ac:dyDescent="0.25">
      <c r="A30" t="s">
        <v>106</v>
      </c>
      <c r="B30" t="s">
        <v>198</v>
      </c>
    </row>
    <row r="31" spans="1:6" x14ac:dyDescent="0.25">
      <c r="A31" t="s">
        <v>107</v>
      </c>
      <c r="B31" t="s">
        <v>199</v>
      </c>
    </row>
    <row r="32" spans="1:6" x14ac:dyDescent="0.25">
      <c r="A32" t="s">
        <v>108</v>
      </c>
      <c r="B32" t="s">
        <v>200</v>
      </c>
    </row>
    <row r="33" spans="1:2" x14ac:dyDescent="0.25">
      <c r="A33" t="s">
        <v>109</v>
      </c>
      <c r="B33" t="s">
        <v>201</v>
      </c>
    </row>
    <row r="34" spans="1:2" x14ac:dyDescent="0.25">
      <c r="A34" t="s">
        <v>110</v>
      </c>
      <c r="B34" t="s">
        <v>202</v>
      </c>
    </row>
    <row r="35" spans="1:2" x14ac:dyDescent="0.25">
      <c r="B35" t="s">
        <v>203</v>
      </c>
    </row>
    <row r="36" spans="1:2" x14ac:dyDescent="0.25">
      <c r="A36" t="s">
        <v>111</v>
      </c>
      <c r="B36" t="s">
        <v>204</v>
      </c>
    </row>
    <row r="37" spans="1:2" x14ac:dyDescent="0.25">
      <c r="A37" t="s">
        <v>112</v>
      </c>
      <c r="B37" t="s">
        <v>205</v>
      </c>
    </row>
    <row r="38" spans="1:2" x14ac:dyDescent="0.25">
      <c r="A38" t="s">
        <v>113</v>
      </c>
      <c r="B38" t="s">
        <v>206</v>
      </c>
    </row>
    <row r="39" spans="1:2" x14ac:dyDescent="0.25">
      <c r="A39" t="s">
        <v>50</v>
      </c>
      <c r="B39" t="s">
        <v>147</v>
      </c>
    </row>
    <row r="40" spans="1:2" x14ac:dyDescent="0.25">
      <c r="A40" t="s">
        <v>25</v>
      </c>
      <c r="B40" t="s">
        <v>123</v>
      </c>
    </row>
    <row r="41" spans="1:2" x14ac:dyDescent="0.25">
      <c r="A41" t="s">
        <v>42</v>
      </c>
      <c r="B41" t="s">
        <v>140</v>
      </c>
    </row>
    <row r="42" spans="1:2" x14ac:dyDescent="0.25">
      <c r="A42" t="s">
        <v>78</v>
      </c>
      <c r="B42" t="s">
        <v>174</v>
      </c>
    </row>
    <row r="43" spans="1:2" x14ac:dyDescent="0.25">
      <c r="A43" t="s">
        <v>65</v>
      </c>
      <c r="B43" t="s">
        <v>167</v>
      </c>
    </row>
    <row r="44" spans="1:2" x14ac:dyDescent="0.25">
      <c r="A44" t="s">
        <v>44</v>
      </c>
      <c r="B44" t="s">
        <v>142</v>
      </c>
    </row>
    <row r="45" spans="1:2" x14ac:dyDescent="0.25">
      <c r="A45" t="s">
        <v>67</v>
      </c>
      <c r="B45" t="s">
        <v>168</v>
      </c>
    </row>
    <row r="46" spans="1:2" x14ac:dyDescent="0.25">
      <c r="A46" t="s">
        <v>70</v>
      </c>
      <c r="B46" t="s">
        <v>161</v>
      </c>
    </row>
    <row r="47" spans="1:2" x14ac:dyDescent="0.25">
      <c r="A47" t="s">
        <v>56</v>
      </c>
      <c r="B47" t="s">
        <v>152</v>
      </c>
    </row>
    <row r="48" spans="1:2" x14ac:dyDescent="0.25">
      <c r="A48" t="s">
        <v>63</v>
      </c>
      <c r="B48" t="s">
        <v>166</v>
      </c>
    </row>
    <row r="49" spans="1:2" x14ac:dyDescent="0.25">
      <c r="A49" t="s">
        <v>49</v>
      </c>
      <c r="B49" t="s">
        <v>146</v>
      </c>
    </row>
    <row r="50" spans="1:2" x14ac:dyDescent="0.25">
      <c r="A50" t="s">
        <v>52</v>
      </c>
      <c r="B50" t="s">
        <v>149</v>
      </c>
    </row>
    <row r="51" spans="1:2" x14ac:dyDescent="0.25">
      <c r="A51" t="s">
        <v>54</v>
      </c>
      <c r="B51" t="s">
        <v>151</v>
      </c>
    </row>
    <row r="52" spans="1:2" x14ac:dyDescent="0.25">
      <c r="A52" t="s">
        <v>24</v>
      </c>
      <c r="B52" t="s">
        <v>122</v>
      </c>
    </row>
    <row r="53" spans="1:2" x14ac:dyDescent="0.25">
      <c r="A53" t="s">
        <v>22</v>
      </c>
      <c r="B53" t="s">
        <v>120</v>
      </c>
    </row>
    <row r="54" spans="1:2" x14ac:dyDescent="0.25">
      <c r="A54" t="s">
        <v>34</v>
      </c>
      <c r="B54" t="s">
        <v>132</v>
      </c>
    </row>
    <row r="55" spans="1:2" x14ac:dyDescent="0.25">
      <c r="A55" t="s">
        <v>36</v>
      </c>
      <c r="B55" t="s">
        <v>134</v>
      </c>
    </row>
    <row r="56" spans="1:2" x14ac:dyDescent="0.25">
      <c r="A56" t="s">
        <v>64</v>
      </c>
      <c r="B56" t="s">
        <v>158</v>
      </c>
    </row>
    <row r="57" spans="1:2" x14ac:dyDescent="0.25">
      <c r="A57" t="s">
        <v>61</v>
      </c>
      <c r="B57" t="s">
        <v>165</v>
      </c>
    </row>
    <row r="58" spans="1:2" x14ac:dyDescent="0.25">
      <c r="A58" t="s">
        <v>75</v>
      </c>
      <c r="B58" t="s">
        <v>172</v>
      </c>
    </row>
    <row r="59" spans="1:2" x14ac:dyDescent="0.25">
      <c r="A59" t="s">
        <v>77</v>
      </c>
      <c r="B59" t="s">
        <v>173</v>
      </c>
    </row>
    <row r="60" spans="1:2" x14ac:dyDescent="0.25">
      <c r="A60" t="s">
        <v>28</v>
      </c>
      <c r="B60" t="s">
        <v>126</v>
      </c>
    </row>
    <row r="61" spans="1:2" x14ac:dyDescent="0.25">
      <c r="A61" t="s">
        <v>38</v>
      </c>
      <c r="B61" t="s">
        <v>136</v>
      </c>
    </row>
    <row r="62" spans="1:2" x14ac:dyDescent="0.25">
      <c r="A62" t="s">
        <v>74</v>
      </c>
      <c r="B62" t="s">
        <v>163</v>
      </c>
    </row>
    <row r="63" spans="1:2" x14ac:dyDescent="0.25">
      <c r="A63" t="s">
        <v>47</v>
      </c>
      <c r="B63" t="s">
        <v>144</v>
      </c>
    </row>
    <row r="64" spans="1:2" x14ac:dyDescent="0.25">
      <c r="A64" t="s">
        <v>71</v>
      </c>
      <c r="B64" t="s">
        <v>170</v>
      </c>
    </row>
    <row r="65" spans="1:2" x14ac:dyDescent="0.25">
      <c r="A65" t="s">
        <v>66</v>
      </c>
      <c r="B65" t="s">
        <v>159</v>
      </c>
    </row>
    <row r="66" spans="1:2" x14ac:dyDescent="0.25">
      <c r="A66" t="s">
        <v>26</v>
      </c>
      <c r="B66" t="s">
        <v>124</v>
      </c>
    </row>
    <row r="67" spans="1:2" x14ac:dyDescent="0.25">
      <c r="A67" t="s">
        <v>40</v>
      </c>
      <c r="B67" t="s">
        <v>138</v>
      </c>
    </row>
    <row r="68" spans="1:2" x14ac:dyDescent="0.25">
      <c r="A68" t="s">
        <v>72</v>
      </c>
      <c r="B68" t="s">
        <v>162</v>
      </c>
    </row>
    <row r="69" spans="1:2" x14ac:dyDescent="0.25">
      <c r="A69" t="s">
        <v>51</v>
      </c>
      <c r="B69" t="s">
        <v>148</v>
      </c>
    </row>
    <row r="70" spans="1:2" x14ac:dyDescent="0.25">
      <c r="A70" t="s">
        <v>73</v>
      </c>
      <c r="B70" t="s">
        <v>171</v>
      </c>
    </row>
    <row r="71" spans="1:2" x14ac:dyDescent="0.25">
      <c r="A71" t="s">
        <v>41</v>
      </c>
      <c r="B71" t="s">
        <v>139</v>
      </c>
    </row>
    <row r="72" spans="1:2" x14ac:dyDescent="0.25">
      <c r="A72" t="s">
        <v>39</v>
      </c>
      <c r="B72" t="s">
        <v>137</v>
      </c>
    </row>
    <row r="73" spans="1:2" x14ac:dyDescent="0.25">
      <c r="A73" t="s">
        <v>27</v>
      </c>
      <c r="B73" t="s">
        <v>125</v>
      </c>
    </row>
    <row r="74" spans="1:2" x14ac:dyDescent="0.25">
      <c r="A74" t="s">
        <v>114</v>
      </c>
      <c r="B74" t="s">
        <v>209</v>
      </c>
    </row>
    <row r="75" spans="1:2" x14ac:dyDescent="0.25">
      <c r="A75" t="s">
        <v>17</v>
      </c>
      <c r="B75" t="s">
        <v>115</v>
      </c>
    </row>
    <row r="76" spans="1:2" x14ac:dyDescent="0.25">
      <c r="B76" t="s">
        <v>208</v>
      </c>
    </row>
    <row r="77" spans="1:2" x14ac:dyDescent="0.25">
      <c r="A77" t="s">
        <v>60</v>
      </c>
      <c r="B77" t="s">
        <v>156</v>
      </c>
    </row>
    <row r="78" spans="1:2" x14ac:dyDescent="0.25">
      <c r="A78" t="s">
        <v>62</v>
      </c>
      <c r="B78" t="s">
        <v>157</v>
      </c>
    </row>
    <row r="79" spans="1:2" x14ac:dyDescent="0.25">
      <c r="A79" t="s">
        <v>59</v>
      </c>
      <c r="B79" t="s">
        <v>155</v>
      </c>
    </row>
    <row r="80" spans="1:2" x14ac:dyDescent="0.25">
      <c r="A80" t="s">
        <v>33</v>
      </c>
      <c r="B80" t="s">
        <v>131</v>
      </c>
    </row>
    <row r="81" spans="1:2" x14ac:dyDescent="0.25">
      <c r="A81" t="s">
        <v>18</v>
      </c>
      <c r="B81" t="s">
        <v>116</v>
      </c>
    </row>
    <row r="82" spans="1:2" x14ac:dyDescent="0.25">
      <c r="B82" t="s">
        <v>207</v>
      </c>
    </row>
    <row r="83" spans="1:2" x14ac:dyDescent="0.25">
      <c r="A83" t="s">
        <v>58</v>
      </c>
      <c r="B83" t="s">
        <v>154</v>
      </c>
    </row>
    <row r="84" spans="1:2" x14ac:dyDescent="0.25">
      <c r="A84" t="s">
        <v>19</v>
      </c>
      <c r="B84" t="s">
        <v>117</v>
      </c>
    </row>
    <row r="85" spans="1:2" x14ac:dyDescent="0.25">
      <c r="A85" t="s">
        <v>57</v>
      </c>
      <c r="B85" t="s">
        <v>153</v>
      </c>
    </row>
    <row r="86" spans="1:2" x14ac:dyDescent="0.25">
      <c r="A86" t="s">
        <v>45</v>
      </c>
      <c r="B86" t="s">
        <v>142</v>
      </c>
    </row>
    <row r="87" spans="1:2" x14ac:dyDescent="0.25">
      <c r="A87" t="s">
        <v>21</v>
      </c>
      <c r="B87" t="s">
        <v>119</v>
      </c>
    </row>
    <row r="88" spans="1:2" x14ac:dyDescent="0.25">
      <c r="A88" t="s">
        <v>31</v>
      </c>
      <c r="B88" t="s">
        <v>129</v>
      </c>
    </row>
    <row r="89" spans="1:2" x14ac:dyDescent="0.25">
      <c r="A89" t="s">
        <v>29</v>
      </c>
      <c r="B89" t="s">
        <v>127</v>
      </c>
    </row>
    <row r="90" spans="1:2" x14ac:dyDescent="0.25">
      <c r="A90" t="s">
        <v>30</v>
      </c>
      <c r="B90" t="s">
        <v>128</v>
      </c>
    </row>
    <row r="91" spans="1:2" x14ac:dyDescent="0.25">
      <c r="A91" t="s">
        <v>20</v>
      </c>
      <c r="B91" t="s">
        <v>118</v>
      </c>
    </row>
    <row r="92" spans="1:2" x14ac:dyDescent="0.25">
      <c r="A92" t="s">
        <v>37</v>
      </c>
      <c r="B92" t="s">
        <v>135</v>
      </c>
    </row>
    <row r="93" spans="1:2" x14ac:dyDescent="0.25">
      <c r="A93" t="s">
        <v>48</v>
      </c>
      <c r="B93" t="s">
        <v>145</v>
      </c>
    </row>
    <row r="94" spans="1:2" x14ac:dyDescent="0.25">
      <c r="A94" t="s">
        <v>35</v>
      </c>
      <c r="B94" t="s">
        <v>133</v>
      </c>
    </row>
    <row r="95" spans="1:2" x14ac:dyDescent="0.25">
      <c r="A95" t="s">
        <v>46</v>
      </c>
      <c r="B95" t="s">
        <v>143</v>
      </c>
    </row>
    <row r="96" spans="1:2" x14ac:dyDescent="0.25">
      <c r="A96" t="s">
        <v>32</v>
      </c>
      <c r="B96" t="s">
        <v>130</v>
      </c>
    </row>
    <row r="97" spans="1:11" x14ac:dyDescent="0.25">
      <c r="A97" t="s">
        <v>69</v>
      </c>
      <c r="B97" t="s">
        <v>169</v>
      </c>
    </row>
    <row r="98" spans="1:11" x14ac:dyDescent="0.25">
      <c r="A98" t="s">
        <v>76</v>
      </c>
      <c r="B98" t="s">
        <v>164</v>
      </c>
    </row>
    <row r="99" spans="1:11" x14ac:dyDescent="0.25">
      <c r="A99" t="s">
        <v>68</v>
      </c>
      <c r="B99" t="s">
        <v>160</v>
      </c>
    </row>
    <row r="100" spans="1:11" x14ac:dyDescent="0.25">
      <c r="A100" t="s">
        <v>55</v>
      </c>
      <c r="B100" t="s">
        <v>152</v>
      </c>
    </row>
    <row r="101" spans="1:11" x14ac:dyDescent="0.25">
      <c r="A101" t="s">
        <v>23</v>
      </c>
      <c r="B101" t="s">
        <v>121</v>
      </c>
    </row>
    <row r="102" spans="1:11" x14ac:dyDescent="0.25">
      <c r="A102" t="s">
        <v>53</v>
      </c>
      <c r="B102" t="s">
        <v>150</v>
      </c>
    </row>
    <row r="103" spans="1:11" x14ac:dyDescent="0.25">
      <c r="A103" t="s">
        <v>271</v>
      </c>
    </row>
    <row r="108" spans="1:11" x14ac:dyDescent="0.25">
      <c r="A108" t="s">
        <v>277</v>
      </c>
      <c r="B108" s="16"/>
      <c r="C108" s="16"/>
      <c r="D108" s="12" t="s">
        <v>6</v>
      </c>
      <c r="E108" s="12" t="s">
        <v>0</v>
      </c>
      <c r="F108" t="s">
        <v>280</v>
      </c>
      <c r="G108" s="12" t="s">
        <v>5</v>
      </c>
      <c r="H108" t="s">
        <v>278</v>
      </c>
      <c r="I108" t="s">
        <v>279</v>
      </c>
      <c r="J108" s="12" t="s">
        <v>5</v>
      </c>
      <c r="K108" t="s">
        <v>278</v>
      </c>
    </row>
    <row r="109" spans="1:11" x14ac:dyDescent="0.25">
      <c r="B109" s="1"/>
      <c r="D109" t="s">
        <v>220</v>
      </c>
      <c r="E109" t="s">
        <v>85</v>
      </c>
      <c r="G109">
        <v>18</v>
      </c>
      <c r="H109" s="17">
        <v>7.0707070707070704E-2</v>
      </c>
      <c r="J109">
        <v>18</v>
      </c>
      <c r="K109" s="14">
        <v>7</v>
      </c>
    </row>
    <row r="110" spans="1:11" x14ac:dyDescent="0.25">
      <c r="B110" s="1"/>
      <c r="E110" t="s">
        <v>86</v>
      </c>
      <c r="G110">
        <v>19</v>
      </c>
      <c r="H110" s="17">
        <v>0.14141414141414141</v>
      </c>
      <c r="J110">
        <v>19</v>
      </c>
      <c r="K110" s="14">
        <v>14</v>
      </c>
    </row>
    <row r="111" spans="1:11" x14ac:dyDescent="0.25">
      <c r="B111" s="1"/>
      <c r="E111" t="s">
        <v>87</v>
      </c>
      <c r="G111">
        <v>20</v>
      </c>
      <c r="H111" s="17">
        <v>0.20202020202020202</v>
      </c>
      <c r="J111">
        <v>20</v>
      </c>
      <c r="K111" s="14">
        <v>20</v>
      </c>
    </row>
    <row r="112" spans="1:11" x14ac:dyDescent="0.25">
      <c r="B112" s="1"/>
      <c r="E112" t="s">
        <v>92</v>
      </c>
      <c r="G112">
        <v>21</v>
      </c>
      <c r="H112" s="17">
        <v>0.25252525252525254</v>
      </c>
      <c r="J112">
        <v>21</v>
      </c>
      <c r="K112" s="14">
        <v>25</v>
      </c>
    </row>
    <row r="113" spans="2:11" x14ac:dyDescent="0.25">
      <c r="B113" s="1"/>
      <c r="E113" t="s">
        <v>25</v>
      </c>
      <c r="G113">
        <v>22</v>
      </c>
      <c r="H113" s="17">
        <v>0.21212121212121213</v>
      </c>
      <c r="J113">
        <v>22</v>
      </c>
      <c r="K113" s="14">
        <v>21</v>
      </c>
    </row>
    <row r="114" spans="2:11" x14ac:dyDescent="0.25">
      <c r="B114" s="1"/>
      <c r="E114" t="s">
        <v>42</v>
      </c>
      <c r="G114">
        <v>23</v>
      </c>
      <c r="H114" s="17">
        <v>0.12121212121212122</v>
      </c>
      <c r="J114">
        <v>23</v>
      </c>
      <c r="K114" s="14">
        <v>12</v>
      </c>
    </row>
    <row r="115" spans="2:11" x14ac:dyDescent="0.25">
      <c r="B115" s="1"/>
      <c r="E115" t="s">
        <v>65</v>
      </c>
      <c r="G115" t="s">
        <v>271</v>
      </c>
      <c r="H115" s="17">
        <v>1</v>
      </c>
      <c r="J115" t="s">
        <v>271</v>
      </c>
      <c r="K115" s="14">
        <v>99</v>
      </c>
    </row>
    <row r="116" spans="2:11" x14ac:dyDescent="0.25">
      <c r="B116" s="1"/>
      <c r="E116" t="s">
        <v>67</v>
      </c>
    </row>
    <row r="117" spans="2:11" x14ac:dyDescent="0.25">
      <c r="B117" s="1"/>
      <c r="E117" t="s">
        <v>63</v>
      </c>
    </row>
    <row r="118" spans="2:11" x14ac:dyDescent="0.25">
      <c r="B118" s="1"/>
      <c r="E118" t="s">
        <v>52</v>
      </c>
      <c r="F118" t="s">
        <v>281</v>
      </c>
      <c r="G118">
        <f>CORREL(G109:G114,H109:H114)</f>
        <v>0.40957580245358521</v>
      </c>
    </row>
    <row r="119" spans="2:11" x14ac:dyDescent="0.25">
      <c r="B119" s="1"/>
      <c r="E119" t="s">
        <v>54</v>
      </c>
    </row>
    <row r="120" spans="2:11" x14ac:dyDescent="0.25">
      <c r="B120" s="1"/>
      <c r="E120" t="s">
        <v>24</v>
      </c>
      <c r="F120" t="s">
        <v>282</v>
      </c>
    </row>
    <row r="121" spans="2:11" x14ac:dyDescent="0.25">
      <c r="B121" s="1"/>
      <c r="E121" t="s">
        <v>22</v>
      </c>
    </row>
    <row r="122" spans="2:11" x14ac:dyDescent="0.25">
      <c r="B122" s="1"/>
      <c r="E122" t="s">
        <v>61</v>
      </c>
    </row>
    <row r="123" spans="2:11" x14ac:dyDescent="0.25">
      <c r="B123" s="1"/>
      <c r="E123" t="s">
        <v>38</v>
      </c>
    </row>
    <row r="124" spans="2:11" x14ac:dyDescent="0.25">
      <c r="B124" s="1"/>
      <c r="E124" t="s">
        <v>71</v>
      </c>
    </row>
    <row r="125" spans="2:11" x14ac:dyDescent="0.25">
      <c r="B125" s="1"/>
      <c r="E125" t="s">
        <v>51</v>
      </c>
    </row>
    <row r="126" spans="2:11" x14ac:dyDescent="0.25">
      <c r="B126" s="1"/>
      <c r="E126" t="s">
        <v>17</v>
      </c>
    </row>
    <row r="127" spans="2:11" x14ac:dyDescent="0.25">
      <c r="B127" s="1"/>
      <c r="E127" t="s">
        <v>33</v>
      </c>
    </row>
    <row r="128" spans="2:11" x14ac:dyDescent="0.25">
      <c r="B128" s="1"/>
      <c r="E128" t="s">
        <v>18</v>
      </c>
    </row>
    <row r="129" spans="2:6" x14ac:dyDescent="0.25">
      <c r="B129" s="1"/>
      <c r="E129" t="s">
        <v>45</v>
      </c>
    </row>
    <row r="130" spans="2:6" x14ac:dyDescent="0.25">
      <c r="B130" s="1"/>
      <c r="E130" t="s">
        <v>21</v>
      </c>
    </row>
    <row r="131" spans="2:6" x14ac:dyDescent="0.25">
      <c r="B131" s="1"/>
      <c r="E131" t="s">
        <v>31</v>
      </c>
    </row>
    <row r="132" spans="2:6" x14ac:dyDescent="0.25">
      <c r="B132" s="1"/>
      <c r="E132" t="s">
        <v>37</v>
      </c>
    </row>
    <row r="133" spans="2:6" x14ac:dyDescent="0.25">
      <c r="B133" s="1"/>
      <c r="E133" t="s">
        <v>69</v>
      </c>
    </row>
    <row r="134" spans="2:6" x14ac:dyDescent="0.25">
      <c r="B134" s="1"/>
      <c r="E134" t="s">
        <v>76</v>
      </c>
    </row>
    <row r="135" spans="2:6" x14ac:dyDescent="0.25">
      <c r="B135" s="1"/>
      <c r="E135" t="s">
        <v>68</v>
      </c>
    </row>
    <row r="136" spans="2:6" x14ac:dyDescent="0.25">
      <c r="B136" s="1"/>
      <c r="E136" t="s">
        <v>23</v>
      </c>
      <c r="F136" t="s">
        <v>283</v>
      </c>
    </row>
    <row r="137" spans="2:6" x14ac:dyDescent="0.25">
      <c r="B137" s="15"/>
      <c r="E137" t="s">
        <v>53</v>
      </c>
    </row>
    <row r="138" spans="2:6" x14ac:dyDescent="0.25">
      <c r="D138" t="s">
        <v>274</v>
      </c>
    </row>
    <row r="139" spans="2:6" x14ac:dyDescent="0.25">
      <c r="B139" s="1"/>
      <c r="D139" t="s">
        <v>222</v>
      </c>
      <c r="E139" t="s">
        <v>80</v>
      </c>
    </row>
    <row r="140" spans="2:6" x14ac:dyDescent="0.25">
      <c r="B140" s="1"/>
      <c r="E140" t="s">
        <v>81</v>
      </c>
    </row>
    <row r="141" spans="2:6" x14ac:dyDescent="0.25">
      <c r="B141" s="1"/>
      <c r="E141" t="s">
        <v>90</v>
      </c>
    </row>
    <row r="142" spans="2:6" x14ac:dyDescent="0.25">
      <c r="B142" s="1"/>
      <c r="E142" t="s">
        <v>94</v>
      </c>
    </row>
    <row r="143" spans="2:6" x14ac:dyDescent="0.25">
      <c r="B143" s="1"/>
      <c r="E143" t="s">
        <v>95</v>
      </c>
    </row>
    <row r="144" spans="2:6" x14ac:dyDescent="0.25">
      <c r="B144" s="1"/>
      <c r="E144" t="s">
        <v>97</v>
      </c>
    </row>
    <row r="145" spans="2:13" x14ac:dyDescent="0.25">
      <c r="B145" s="1"/>
      <c r="E145" t="s">
        <v>101</v>
      </c>
    </row>
    <row r="146" spans="2:13" x14ac:dyDescent="0.25">
      <c r="B146" s="1"/>
      <c r="E146" t="s">
        <v>102</v>
      </c>
    </row>
    <row r="147" spans="2:13" x14ac:dyDescent="0.25">
      <c r="B147" s="1"/>
      <c r="E147" t="s">
        <v>103</v>
      </c>
    </row>
    <row r="148" spans="2:13" x14ac:dyDescent="0.25">
      <c r="B148" s="1"/>
      <c r="E148" t="s">
        <v>106</v>
      </c>
    </row>
    <row r="149" spans="2:13" x14ac:dyDescent="0.25">
      <c r="B149" s="1"/>
      <c r="E149" t="s">
        <v>107</v>
      </c>
    </row>
    <row r="150" spans="2:13" x14ac:dyDescent="0.25">
      <c r="B150" s="1"/>
      <c r="E150" t="s">
        <v>111</v>
      </c>
    </row>
    <row r="151" spans="2:13" x14ac:dyDescent="0.25">
      <c r="B151" s="1"/>
      <c r="E151" t="s">
        <v>78</v>
      </c>
    </row>
    <row r="152" spans="2:13" x14ac:dyDescent="0.25">
      <c r="B152" s="1"/>
      <c r="E152" t="s">
        <v>56</v>
      </c>
      <c r="F152" t="s">
        <v>285</v>
      </c>
      <c r="G152" s="12" t="s">
        <v>284</v>
      </c>
      <c r="H152" s="12" t="s">
        <v>3</v>
      </c>
    </row>
    <row r="153" spans="2:13" x14ac:dyDescent="0.25">
      <c r="B153" s="1"/>
      <c r="E153" t="s">
        <v>36</v>
      </c>
      <c r="G153" s="12" t="s">
        <v>2</v>
      </c>
      <c r="H153" t="s">
        <v>98</v>
      </c>
      <c r="I153" t="s">
        <v>79</v>
      </c>
      <c r="J153" t="s">
        <v>219</v>
      </c>
      <c r="K153" t="s">
        <v>82</v>
      </c>
      <c r="L153" t="s">
        <v>218</v>
      </c>
      <c r="M153" t="s">
        <v>271</v>
      </c>
    </row>
    <row r="154" spans="2:13" x14ac:dyDescent="0.25">
      <c r="B154" s="1"/>
      <c r="E154" t="s">
        <v>64</v>
      </c>
      <c r="G154" t="s">
        <v>211</v>
      </c>
      <c r="H154" s="14">
        <v>11</v>
      </c>
      <c r="I154" s="14">
        <v>4</v>
      </c>
      <c r="J154" s="14">
        <v>12</v>
      </c>
      <c r="K154" s="14">
        <v>14</v>
      </c>
      <c r="L154" s="14">
        <v>9</v>
      </c>
      <c r="M154" s="14">
        <v>50</v>
      </c>
    </row>
    <row r="155" spans="2:13" x14ac:dyDescent="0.25">
      <c r="B155" s="1"/>
      <c r="E155" t="s">
        <v>75</v>
      </c>
      <c r="G155" t="s">
        <v>210</v>
      </c>
      <c r="H155" s="14">
        <v>10</v>
      </c>
      <c r="I155" s="14">
        <v>11</v>
      </c>
      <c r="J155" s="14">
        <v>9</v>
      </c>
      <c r="K155" s="14">
        <v>11</v>
      </c>
      <c r="L155" s="14">
        <v>8</v>
      </c>
      <c r="M155" s="14">
        <v>49</v>
      </c>
    </row>
    <row r="156" spans="2:13" x14ac:dyDescent="0.25">
      <c r="B156" s="1"/>
      <c r="E156" t="s">
        <v>40</v>
      </c>
      <c r="G156" t="s">
        <v>271</v>
      </c>
      <c r="H156" s="14">
        <v>21</v>
      </c>
      <c r="I156" s="14">
        <v>15</v>
      </c>
      <c r="J156" s="14">
        <v>21</v>
      </c>
      <c r="K156" s="14">
        <v>25</v>
      </c>
      <c r="L156" s="14">
        <v>17</v>
      </c>
      <c r="M156" s="14">
        <v>99</v>
      </c>
    </row>
    <row r="157" spans="2:13" x14ac:dyDescent="0.25">
      <c r="B157" s="1"/>
      <c r="E157" t="s">
        <v>72</v>
      </c>
    </row>
    <row r="158" spans="2:13" x14ac:dyDescent="0.25">
      <c r="B158" s="1"/>
      <c r="E158" t="s">
        <v>27</v>
      </c>
    </row>
    <row r="159" spans="2:13" x14ac:dyDescent="0.25">
      <c r="B159" s="1"/>
      <c r="E159" t="s">
        <v>114</v>
      </c>
      <c r="F159" t="s">
        <v>286</v>
      </c>
      <c r="G159" s="12" t="s">
        <v>284</v>
      </c>
      <c r="H159" s="12" t="s">
        <v>3</v>
      </c>
    </row>
    <row r="160" spans="2:13" x14ac:dyDescent="0.25">
      <c r="B160" s="1"/>
      <c r="E160" t="s">
        <v>17</v>
      </c>
      <c r="G160" s="12" t="s">
        <v>15</v>
      </c>
      <c r="H160" t="s">
        <v>98</v>
      </c>
      <c r="I160" t="s">
        <v>79</v>
      </c>
      <c r="J160" t="s">
        <v>219</v>
      </c>
      <c r="K160" t="s">
        <v>82</v>
      </c>
      <c r="L160" t="s">
        <v>218</v>
      </c>
      <c r="M160" t="s">
        <v>271</v>
      </c>
    </row>
    <row r="161" spans="2:13" x14ac:dyDescent="0.25">
      <c r="B161" s="1"/>
      <c r="E161" t="s">
        <v>58</v>
      </c>
      <c r="G161" t="s">
        <v>251</v>
      </c>
      <c r="H161" s="14">
        <v>15</v>
      </c>
      <c r="I161" s="14">
        <v>4</v>
      </c>
      <c r="J161" s="14">
        <v>12</v>
      </c>
      <c r="K161" s="14">
        <v>12</v>
      </c>
      <c r="L161" s="14">
        <v>9</v>
      </c>
      <c r="M161" s="14">
        <v>52</v>
      </c>
    </row>
    <row r="162" spans="2:13" x14ac:dyDescent="0.25">
      <c r="B162" s="1"/>
      <c r="E162" t="s">
        <v>29</v>
      </c>
      <c r="G162" t="s">
        <v>252</v>
      </c>
      <c r="H162" s="14">
        <v>6</v>
      </c>
      <c r="I162" s="14">
        <v>11</v>
      </c>
      <c r="J162" s="14">
        <v>9</v>
      </c>
      <c r="K162" s="14">
        <v>13</v>
      </c>
      <c r="L162" s="14">
        <v>8</v>
      </c>
      <c r="M162" s="14">
        <v>47</v>
      </c>
    </row>
    <row r="163" spans="2:13" x14ac:dyDescent="0.25">
      <c r="B163" s="1"/>
      <c r="E163" t="s">
        <v>30</v>
      </c>
      <c r="G163" t="s">
        <v>271</v>
      </c>
      <c r="H163" s="14">
        <v>21</v>
      </c>
      <c r="I163" s="14">
        <v>15</v>
      </c>
      <c r="J163" s="14">
        <v>21</v>
      </c>
      <c r="K163" s="14">
        <v>25</v>
      </c>
      <c r="L163" s="14">
        <v>17</v>
      </c>
      <c r="M163" s="14">
        <v>99</v>
      </c>
    </row>
    <row r="164" spans="2:13" x14ac:dyDescent="0.25">
      <c r="B164" s="1"/>
      <c r="E164" t="s">
        <v>20</v>
      </c>
    </row>
    <row r="165" spans="2:13" x14ac:dyDescent="0.25">
      <c r="B165" s="1"/>
      <c r="E165" t="s">
        <v>48</v>
      </c>
      <c r="F165" t="s">
        <v>289</v>
      </c>
      <c r="G165" s="12" t="s">
        <v>270</v>
      </c>
      <c r="H165" t="s">
        <v>287</v>
      </c>
    </row>
    <row r="166" spans="2:13" x14ac:dyDescent="0.25">
      <c r="B166" s="1"/>
      <c r="E166" t="s">
        <v>35</v>
      </c>
      <c r="G166" s="13" t="s">
        <v>223</v>
      </c>
      <c r="H166" s="17">
        <v>0.3</v>
      </c>
    </row>
    <row r="167" spans="2:13" x14ac:dyDescent="0.25">
      <c r="B167" s="15"/>
      <c r="E167" t="s">
        <v>46</v>
      </c>
      <c r="G167" s="13" t="s">
        <v>268</v>
      </c>
      <c r="H167" s="17">
        <v>0.38</v>
      </c>
    </row>
    <row r="168" spans="2:13" x14ac:dyDescent="0.25">
      <c r="D168" t="s">
        <v>275</v>
      </c>
      <c r="G168" s="13" t="s">
        <v>269</v>
      </c>
      <c r="H168" s="17">
        <v>0.32</v>
      </c>
    </row>
    <row r="169" spans="2:13" x14ac:dyDescent="0.25">
      <c r="B169" s="1"/>
      <c r="D169" t="s">
        <v>221</v>
      </c>
      <c r="E169" t="s">
        <v>43</v>
      </c>
      <c r="G169" s="13" t="s">
        <v>271</v>
      </c>
      <c r="H169" s="17">
        <v>1</v>
      </c>
    </row>
    <row r="170" spans="2:13" x14ac:dyDescent="0.25">
      <c r="E170" t="s">
        <v>83</v>
      </c>
    </row>
    <row r="171" spans="2:13" x14ac:dyDescent="0.25">
      <c r="E171" t="s">
        <v>84</v>
      </c>
      <c r="F171" t="s">
        <v>290</v>
      </c>
      <c r="G171" s="12" t="s">
        <v>287</v>
      </c>
      <c r="H171" s="12" t="s">
        <v>288</v>
      </c>
    </row>
    <row r="172" spans="2:13" x14ac:dyDescent="0.25">
      <c r="E172" t="s">
        <v>88</v>
      </c>
      <c r="G172" s="12" t="s">
        <v>270</v>
      </c>
      <c r="H172" t="s">
        <v>223</v>
      </c>
      <c r="I172" t="s">
        <v>268</v>
      </c>
      <c r="J172" t="s">
        <v>269</v>
      </c>
      <c r="K172" t="s">
        <v>271</v>
      </c>
    </row>
    <row r="173" spans="2:13" x14ac:dyDescent="0.25">
      <c r="E173" t="s">
        <v>89</v>
      </c>
      <c r="G173" s="13" t="s">
        <v>211</v>
      </c>
      <c r="H173" s="14">
        <v>12</v>
      </c>
      <c r="I173" s="14">
        <v>21</v>
      </c>
      <c r="J173" s="14">
        <v>17</v>
      </c>
      <c r="K173" s="14">
        <v>50</v>
      </c>
    </row>
    <row r="174" spans="2:13" x14ac:dyDescent="0.25">
      <c r="E174" t="s">
        <v>91</v>
      </c>
      <c r="G174" s="13" t="s">
        <v>210</v>
      </c>
      <c r="H174" s="14">
        <v>18</v>
      </c>
      <c r="I174" s="14">
        <v>17</v>
      </c>
      <c r="J174" s="14">
        <v>15</v>
      </c>
      <c r="K174" s="14">
        <v>50</v>
      </c>
    </row>
    <row r="175" spans="2:13" x14ac:dyDescent="0.25">
      <c r="E175" t="s">
        <v>93</v>
      </c>
      <c r="G175" s="13" t="s">
        <v>271</v>
      </c>
      <c r="H175" s="14">
        <v>30</v>
      </c>
      <c r="I175" s="14">
        <v>38</v>
      </c>
      <c r="J175" s="14">
        <v>32</v>
      </c>
      <c r="K175" s="14">
        <v>100</v>
      </c>
    </row>
    <row r="176" spans="2:13" x14ac:dyDescent="0.25">
      <c r="E176" t="s">
        <v>96</v>
      </c>
    </row>
    <row r="177" spans="5:5" x14ac:dyDescent="0.25">
      <c r="E177" t="s">
        <v>99</v>
      </c>
    </row>
    <row r="178" spans="5:5" x14ac:dyDescent="0.25">
      <c r="E178" t="s">
        <v>100</v>
      </c>
    </row>
    <row r="179" spans="5:5" x14ac:dyDescent="0.25">
      <c r="E179" t="s">
        <v>104</v>
      </c>
    </row>
    <row r="180" spans="5:5" x14ac:dyDescent="0.25">
      <c r="E180" t="s">
        <v>105</v>
      </c>
    </row>
    <row r="181" spans="5:5" x14ac:dyDescent="0.25">
      <c r="E181" t="s">
        <v>108</v>
      </c>
    </row>
    <row r="182" spans="5:5" x14ac:dyDescent="0.25">
      <c r="E182" t="s">
        <v>109</v>
      </c>
    </row>
    <row r="183" spans="5:5" x14ac:dyDescent="0.25">
      <c r="E183" t="s">
        <v>110</v>
      </c>
    </row>
    <row r="184" spans="5:5" x14ac:dyDescent="0.25">
      <c r="E184" t="s">
        <v>112</v>
      </c>
    </row>
    <row r="185" spans="5:5" x14ac:dyDescent="0.25">
      <c r="E185" t="s">
        <v>113</v>
      </c>
    </row>
    <row r="186" spans="5:5" x14ac:dyDescent="0.25">
      <c r="E186" t="s">
        <v>50</v>
      </c>
    </row>
    <row r="187" spans="5:5" x14ac:dyDescent="0.25">
      <c r="E187" t="s">
        <v>44</v>
      </c>
    </row>
    <row r="188" spans="5:5" x14ac:dyDescent="0.25">
      <c r="E188" t="s">
        <v>70</v>
      </c>
    </row>
    <row r="189" spans="5:5" x14ac:dyDescent="0.25">
      <c r="E189" t="s">
        <v>49</v>
      </c>
    </row>
    <row r="190" spans="5:5" x14ac:dyDescent="0.25">
      <c r="E190" t="s">
        <v>34</v>
      </c>
    </row>
    <row r="191" spans="5:5" x14ac:dyDescent="0.25">
      <c r="E191" t="s">
        <v>77</v>
      </c>
    </row>
    <row r="192" spans="5:5" x14ac:dyDescent="0.25">
      <c r="E192" t="s">
        <v>28</v>
      </c>
    </row>
    <row r="193" spans="4:5" x14ac:dyDescent="0.25">
      <c r="E193" t="s">
        <v>74</v>
      </c>
    </row>
    <row r="194" spans="4:5" x14ac:dyDescent="0.25">
      <c r="E194" t="s">
        <v>47</v>
      </c>
    </row>
    <row r="195" spans="4:5" x14ac:dyDescent="0.25">
      <c r="E195" t="s">
        <v>66</v>
      </c>
    </row>
    <row r="196" spans="4:5" x14ac:dyDescent="0.25">
      <c r="E196" t="s">
        <v>26</v>
      </c>
    </row>
    <row r="197" spans="4:5" x14ac:dyDescent="0.25">
      <c r="E197" t="s">
        <v>73</v>
      </c>
    </row>
    <row r="198" spans="4:5" x14ac:dyDescent="0.25">
      <c r="E198" t="s">
        <v>41</v>
      </c>
    </row>
    <row r="199" spans="4:5" x14ac:dyDescent="0.25">
      <c r="E199" t="s">
        <v>39</v>
      </c>
    </row>
    <row r="200" spans="4:5" x14ac:dyDescent="0.25">
      <c r="E200" t="s">
        <v>60</v>
      </c>
    </row>
    <row r="201" spans="4:5" x14ac:dyDescent="0.25">
      <c r="E201" t="s">
        <v>62</v>
      </c>
    </row>
    <row r="202" spans="4:5" x14ac:dyDescent="0.25">
      <c r="E202" t="s">
        <v>59</v>
      </c>
    </row>
    <row r="203" spans="4:5" x14ac:dyDescent="0.25">
      <c r="E203" t="s">
        <v>18</v>
      </c>
    </row>
    <row r="204" spans="4:5" x14ac:dyDescent="0.25">
      <c r="E204" t="s">
        <v>19</v>
      </c>
    </row>
    <row r="205" spans="4:5" x14ac:dyDescent="0.25">
      <c r="E205" t="s">
        <v>57</v>
      </c>
    </row>
    <row r="206" spans="4:5" x14ac:dyDescent="0.25">
      <c r="E206" t="s">
        <v>32</v>
      </c>
    </row>
    <row r="207" spans="4:5" x14ac:dyDescent="0.25">
      <c r="E207" t="s">
        <v>55</v>
      </c>
    </row>
    <row r="208" spans="4:5" x14ac:dyDescent="0.25">
      <c r="D208" t="s">
        <v>276</v>
      </c>
    </row>
    <row r="209" spans="4:4" x14ac:dyDescent="0.25">
      <c r="D209" t="s">
        <v>271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4292-8760-499F-A078-00E3DD930E68}">
  <dimension ref="A3:E7"/>
  <sheetViews>
    <sheetView workbookViewId="0">
      <selection activeCell="A3" sqref="A3:E7"/>
    </sheetView>
  </sheetViews>
  <sheetFormatPr defaultRowHeight="15" x14ac:dyDescent="0.25"/>
  <cols>
    <col min="1" max="1" width="30.28515625" bestFit="1" customWidth="1"/>
    <col min="2" max="2" width="16.28515625" bestFit="1" customWidth="1"/>
    <col min="3" max="4" width="3" bestFit="1" customWidth="1"/>
    <col min="5" max="5" width="11.28515625" bestFit="1" customWidth="1"/>
    <col min="6" max="6" width="6.5703125" bestFit="1" customWidth="1"/>
    <col min="7" max="7" width="6.7109375" bestFit="1" customWidth="1"/>
    <col min="8" max="12" width="6.140625" bestFit="1" customWidth="1"/>
    <col min="13" max="13" width="7.42578125" bestFit="1" customWidth="1"/>
    <col min="14" max="14" width="7" bestFit="1" customWidth="1"/>
    <col min="15" max="15" width="7.140625" bestFit="1" customWidth="1"/>
    <col min="16" max="16" width="8.85546875" bestFit="1" customWidth="1"/>
    <col min="17" max="17" width="6.140625" bestFit="1" customWidth="1"/>
    <col min="18" max="18" width="6.7109375" bestFit="1" customWidth="1"/>
    <col min="19" max="19" width="7" bestFit="1" customWidth="1"/>
    <col min="20" max="20" width="7.28515625" bestFit="1" customWidth="1"/>
    <col min="21" max="23" width="6.140625" bestFit="1" customWidth="1"/>
    <col min="24" max="24" width="6.85546875" bestFit="1" customWidth="1"/>
    <col min="25" max="25" width="11" bestFit="1" customWidth="1"/>
    <col min="26" max="26" width="6.85546875" bestFit="1" customWidth="1"/>
    <col min="28" max="28" width="6.140625" bestFit="1" customWidth="1"/>
    <col min="29" max="29" width="8" bestFit="1" customWidth="1"/>
    <col min="30" max="30" width="8.85546875" bestFit="1" customWidth="1"/>
    <col min="31" max="31" width="11.28515625" bestFit="1" customWidth="1"/>
  </cols>
  <sheetData>
    <row r="3" spans="1:5" x14ac:dyDescent="0.25">
      <c r="A3" s="12" t="s">
        <v>287</v>
      </c>
      <c r="B3" s="12" t="s">
        <v>288</v>
      </c>
    </row>
    <row r="4" spans="1:5" x14ac:dyDescent="0.25">
      <c r="A4" s="12" t="s">
        <v>270</v>
      </c>
      <c r="B4" t="s">
        <v>223</v>
      </c>
      <c r="C4" t="s">
        <v>268</v>
      </c>
      <c r="D4" t="s">
        <v>269</v>
      </c>
      <c r="E4" t="s">
        <v>271</v>
      </c>
    </row>
    <row r="5" spans="1:5" x14ac:dyDescent="0.25">
      <c r="A5" s="13" t="s">
        <v>211</v>
      </c>
      <c r="B5" s="14">
        <v>12</v>
      </c>
      <c r="C5" s="14">
        <v>21</v>
      </c>
      <c r="D5" s="14">
        <v>17</v>
      </c>
      <c r="E5" s="14">
        <v>50</v>
      </c>
    </row>
    <row r="6" spans="1:5" x14ac:dyDescent="0.25">
      <c r="A6" s="13" t="s">
        <v>210</v>
      </c>
      <c r="B6" s="14">
        <v>18</v>
      </c>
      <c r="C6" s="14">
        <v>17</v>
      </c>
      <c r="D6" s="14">
        <v>15</v>
      </c>
      <c r="E6" s="14">
        <v>50</v>
      </c>
    </row>
    <row r="7" spans="1:5" x14ac:dyDescent="0.25">
      <c r="A7" s="13" t="s">
        <v>271</v>
      </c>
      <c r="B7" s="14">
        <v>30</v>
      </c>
      <c r="C7" s="14">
        <v>38</v>
      </c>
      <c r="D7" s="14">
        <v>32</v>
      </c>
      <c r="E7" s="1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8D40-2CC7-47B6-87A5-52A8192B3BB7}">
  <dimension ref="A1:V102"/>
  <sheetViews>
    <sheetView topLeftCell="A2" workbookViewId="0">
      <selection activeCell="G22" sqref="A1:V102"/>
    </sheetView>
  </sheetViews>
  <sheetFormatPr defaultRowHeight="15" x14ac:dyDescent="0.25"/>
  <cols>
    <col min="5" max="5" width="10.85546875" bestFit="1" customWidth="1"/>
    <col min="8" max="8" width="12.5703125" bestFit="1" customWidth="1"/>
    <col min="9" max="9" width="17.28515625" bestFit="1" customWidth="1"/>
    <col min="10" max="10" width="22.42578125" bestFit="1" customWidth="1"/>
    <col min="11" max="11" width="12.7109375" bestFit="1" customWidth="1"/>
    <col min="12" max="12" width="11.7109375" bestFit="1" customWidth="1"/>
    <col min="15" max="15" width="13.7109375" bestFit="1" customWidth="1"/>
    <col min="16" max="16" width="11.42578125" bestFit="1" customWidth="1"/>
    <col min="17" max="17" width="22" bestFit="1" customWidth="1"/>
    <col min="18" max="18" width="17.140625" customWidth="1"/>
    <col min="19" max="19" width="14" bestFit="1" customWidth="1"/>
    <col min="20" max="20" width="16.140625" bestFit="1" customWidth="1"/>
  </cols>
  <sheetData>
    <row r="1" spans="1:22" x14ac:dyDescent="0.25">
      <c r="T1" s="2" t="s">
        <v>260</v>
      </c>
      <c r="U1" s="2"/>
      <c r="V1" s="2"/>
    </row>
    <row r="2" spans="1:2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258</v>
      </c>
      <c r="S2" s="1" t="s">
        <v>259</v>
      </c>
      <c r="T2" s="1" t="s">
        <v>267</v>
      </c>
      <c r="U2" s="1" t="s">
        <v>263</v>
      </c>
      <c r="V2" s="1" t="s">
        <v>264</v>
      </c>
    </row>
    <row r="3" spans="1:22" x14ac:dyDescent="0.25">
      <c r="A3" t="s">
        <v>17</v>
      </c>
      <c r="B3" t="s">
        <v>115</v>
      </c>
      <c r="C3" t="s">
        <v>210</v>
      </c>
      <c r="D3" t="s">
        <v>98</v>
      </c>
      <c r="E3" t="s">
        <v>213</v>
      </c>
      <c r="F3">
        <v>22</v>
      </c>
      <c r="G3" t="s">
        <v>220</v>
      </c>
      <c r="H3" t="s">
        <v>223</v>
      </c>
      <c r="I3">
        <v>47</v>
      </c>
      <c r="J3" t="s">
        <v>226</v>
      </c>
      <c r="K3" t="s">
        <v>230</v>
      </c>
      <c r="L3" t="s">
        <v>238</v>
      </c>
      <c r="M3" t="s">
        <v>245</v>
      </c>
      <c r="N3" t="s">
        <v>247</v>
      </c>
      <c r="O3" t="s">
        <v>253</v>
      </c>
      <c r="P3" t="s">
        <v>251</v>
      </c>
      <c r="Q3" t="s">
        <v>223</v>
      </c>
      <c r="R3" t="s">
        <v>261</v>
      </c>
      <c r="S3" t="s">
        <v>265</v>
      </c>
      <c r="T3">
        <v>1.9</v>
      </c>
      <c r="U3">
        <v>67</v>
      </c>
      <c r="V3">
        <f>U3/(T3)^2</f>
        <v>18.559556786703602</v>
      </c>
    </row>
    <row r="4" spans="1:22" x14ac:dyDescent="0.25">
      <c r="A4" t="s">
        <v>18</v>
      </c>
      <c r="B4" t="s">
        <v>116</v>
      </c>
      <c r="C4" t="s">
        <v>210</v>
      </c>
      <c r="D4" t="s">
        <v>218</v>
      </c>
      <c r="E4" t="s">
        <v>217</v>
      </c>
      <c r="F4">
        <v>22</v>
      </c>
      <c r="G4" t="s">
        <v>221</v>
      </c>
      <c r="H4" t="s">
        <v>223</v>
      </c>
      <c r="I4">
        <v>71</v>
      </c>
      <c r="J4" t="s">
        <v>227</v>
      </c>
      <c r="K4" t="s">
        <v>231</v>
      </c>
      <c r="L4" t="s">
        <v>239</v>
      </c>
      <c r="M4" t="s">
        <v>245</v>
      </c>
      <c r="N4" t="s">
        <v>248</v>
      </c>
      <c r="O4" t="s">
        <v>254</v>
      </c>
      <c r="P4" t="s">
        <v>251</v>
      </c>
      <c r="Q4" t="s">
        <v>223</v>
      </c>
      <c r="R4" t="s">
        <v>261</v>
      </c>
      <c r="S4" t="s">
        <v>265</v>
      </c>
      <c r="T4">
        <v>1.4</v>
      </c>
      <c r="U4">
        <v>80</v>
      </c>
      <c r="V4">
        <f t="shared" ref="V4:V67" si="0">U4/(T4)^2</f>
        <v>40.816326530612251</v>
      </c>
    </row>
    <row r="5" spans="1:22" x14ac:dyDescent="0.25">
      <c r="A5" t="s">
        <v>19</v>
      </c>
      <c r="B5" t="s">
        <v>117</v>
      </c>
      <c r="C5" t="s">
        <v>211</v>
      </c>
      <c r="D5" t="s">
        <v>98</v>
      </c>
      <c r="E5" t="s">
        <v>212</v>
      </c>
      <c r="F5">
        <v>19</v>
      </c>
      <c r="G5" t="s">
        <v>221</v>
      </c>
      <c r="H5" t="s">
        <v>224</v>
      </c>
      <c r="I5">
        <v>68</v>
      </c>
      <c r="J5" t="s">
        <v>228</v>
      </c>
      <c r="K5" t="s">
        <v>232</v>
      </c>
      <c r="L5" t="s">
        <v>240</v>
      </c>
      <c r="M5" t="s">
        <v>245</v>
      </c>
      <c r="N5" t="s">
        <v>249</v>
      </c>
      <c r="O5" t="s">
        <v>253</v>
      </c>
      <c r="P5" t="s">
        <v>251</v>
      </c>
      <c r="Q5" t="s">
        <v>268</v>
      </c>
      <c r="R5" t="s">
        <v>261</v>
      </c>
      <c r="S5" t="s">
        <v>265</v>
      </c>
      <c r="T5">
        <v>1.6</v>
      </c>
      <c r="U5">
        <v>72</v>
      </c>
      <c r="V5">
        <f t="shared" si="0"/>
        <v>28.124999999999993</v>
      </c>
    </row>
    <row r="6" spans="1:22" x14ac:dyDescent="0.25">
      <c r="A6" t="s">
        <v>20</v>
      </c>
      <c r="B6" t="s">
        <v>118</v>
      </c>
      <c r="C6" t="s">
        <v>211</v>
      </c>
      <c r="D6" t="s">
        <v>219</v>
      </c>
      <c r="E6" t="s">
        <v>215</v>
      </c>
      <c r="F6">
        <v>18</v>
      </c>
      <c r="G6" t="s">
        <v>222</v>
      </c>
      <c r="H6" t="s">
        <v>224</v>
      </c>
      <c r="I6">
        <v>75</v>
      </c>
      <c r="J6" t="s">
        <v>226</v>
      </c>
      <c r="K6" t="s">
        <v>233</v>
      </c>
      <c r="L6" t="s">
        <v>241</v>
      </c>
      <c r="M6" t="s">
        <v>246</v>
      </c>
      <c r="N6" t="s">
        <v>247</v>
      </c>
      <c r="O6" t="s">
        <v>253</v>
      </c>
      <c r="P6" t="s">
        <v>251</v>
      </c>
      <c r="Q6" t="s">
        <v>223</v>
      </c>
      <c r="R6" t="s">
        <v>262</v>
      </c>
      <c r="S6" t="s">
        <v>266</v>
      </c>
      <c r="T6">
        <v>1.8</v>
      </c>
      <c r="U6">
        <v>80</v>
      </c>
      <c r="V6">
        <f t="shared" si="0"/>
        <v>24.691358024691358</v>
      </c>
    </row>
    <row r="7" spans="1:22" x14ac:dyDescent="0.25">
      <c r="A7" t="s">
        <v>21</v>
      </c>
      <c r="B7" t="s">
        <v>119</v>
      </c>
      <c r="C7" t="s">
        <v>211</v>
      </c>
      <c r="D7" t="s">
        <v>219</v>
      </c>
      <c r="E7" t="s">
        <v>215</v>
      </c>
      <c r="F7">
        <v>19</v>
      </c>
      <c r="G7" t="s">
        <v>220</v>
      </c>
      <c r="H7" t="s">
        <v>223</v>
      </c>
      <c r="I7">
        <v>79</v>
      </c>
      <c r="J7" t="s">
        <v>226</v>
      </c>
      <c r="K7" t="s">
        <v>234</v>
      </c>
      <c r="L7" t="s">
        <v>242</v>
      </c>
      <c r="M7" t="s">
        <v>245</v>
      </c>
      <c r="N7" t="s">
        <v>248</v>
      </c>
      <c r="O7" t="s">
        <v>255</v>
      </c>
      <c r="P7" t="s">
        <v>251</v>
      </c>
      <c r="Q7" t="s">
        <v>268</v>
      </c>
      <c r="R7" t="s">
        <v>261</v>
      </c>
      <c r="S7" t="s">
        <v>265</v>
      </c>
      <c r="T7">
        <v>1.4</v>
      </c>
      <c r="U7">
        <v>49</v>
      </c>
      <c r="V7">
        <f t="shared" si="0"/>
        <v>25.000000000000004</v>
      </c>
    </row>
    <row r="8" spans="1:22" x14ac:dyDescent="0.25">
      <c r="A8" t="s">
        <v>22</v>
      </c>
      <c r="B8" t="s">
        <v>120</v>
      </c>
      <c r="C8" t="s">
        <v>211</v>
      </c>
      <c r="D8" t="s">
        <v>218</v>
      </c>
      <c r="E8" t="s">
        <v>214</v>
      </c>
      <c r="F8">
        <v>22</v>
      </c>
      <c r="G8" t="s">
        <v>220</v>
      </c>
      <c r="H8" t="s">
        <v>223</v>
      </c>
      <c r="I8">
        <v>71</v>
      </c>
      <c r="J8" t="s">
        <v>228</v>
      </c>
      <c r="K8" t="s">
        <v>234</v>
      </c>
      <c r="L8" t="s">
        <v>242</v>
      </c>
      <c r="M8" t="s">
        <v>246</v>
      </c>
      <c r="N8" t="s">
        <v>250</v>
      </c>
      <c r="O8" t="s">
        <v>256</v>
      </c>
      <c r="P8" t="s">
        <v>251</v>
      </c>
      <c r="Q8" t="s">
        <v>268</v>
      </c>
      <c r="R8" t="s">
        <v>261</v>
      </c>
      <c r="S8" t="s">
        <v>265</v>
      </c>
      <c r="T8">
        <v>1.6</v>
      </c>
      <c r="U8">
        <v>70</v>
      </c>
      <c r="V8">
        <f t="shared" si="0"/>
        <v>27.343749999999996</v>
      </c>
    </row>
    <row r="9" spans="1:22" x14ac:dyDescent="0.25">
      <c r="A9" t="s">
        <v>23</v>
      </c>
      <c r="B9" t="s">
        <v>121</v>
      </c>
      <c r="C9" t="s">
        <v>211</v>
      </c>
      <c r="D9" t="s">
        <v>219</v>
      </c>
      <c r="E9" t="s">
        <v>217</v>
      </c>
      <c r="F9">
        <v>20</v>
      </c>
      <c r="G9" t="s">
        <v>220</v>
      </c>
      <c r="H9" t="s">
        <v>225</v>
      </c>
      <c r="I9">
        <v>51</v>
      </c>
      <c r="J9" t="s">
        <v>229</v>
      </c>
      <c r="K9" t="s">
        <v>235</v>
      </c>
      <c r="L9" t="s">
        <v>257</v>
      </c>
      <c r="M9" t="s">
        <v>245</v>
      </c>
      <c r="N9" t="s">
        <v>248</v>
      </c>
      <c r="O9" t="s">
        <v>254</v>
      </c>
      <c r="P9" t="s">
        <v>252</v>
      </c>
      <c r="Q9" t="s">
        <v>223</v>
      </c>
      <c r="R9" t="s">
        <v>262</v>
      </c>
      <c r="S9" t="s">
        <v>266</v>
      </c>
      <c r="T9">
        <v>1.3</v>
      </c>
      <c r="U9">
        <v>78</v>
      </c>
      <c r="V9">
        <f t="shared" si="0"/>
        <v>46.153846153846146</v>
      </c>
    </row>
    <row r="10" spans="1:22" x14ac:dyDescent="0.25">
      <c r="A10" t="s">
        <v>24</v>
      </c>
      <c r="B10" t="s">
        <v>122</v>
      </c>
      <c r="C10" t="s">
        <v>210</v>
      </c>
      <c r="D10" t="s">
        <v>98</v>
      </c>
      <c r="E10" t="s">
        <v>215</v>
      </c>
      <c r="F10">
        <v>19</v>
      </c>
      <c r="G10" t="s">
        <v>220</v>
      </c>
      <c r="H10" t="s">
        <v>225</v>
      </c>
      <c r="I10">
        <v>83</v>
      </c>
      <c r="J10" t="s">
        <v>229</v>
      </c>
      <c r="K10" t="s">
        <v>230</v>
      </c>
      <c r="L10" t="s">
        <v>238</v>
      </c>
      <c r="M10" t="s">
        <v>245</v>
      </c>
      <c r="N10" t="s">
        <v>249</v>
      </c>
      <c r="O10" t="s">
        <v>256</v>
      </c>
      <c r="P10" t="s">
        <v>251</v>
      </c>
      <c r="Q10" t="s">
        <v>269</v>
      </c>
      <c r="R10" t="s">
        <v>261</v>
      </c>
      <c r="S10" t="s">
        <v>266</v>
      </c>
      <c r="T10">
        <v>1.5</v>
      </c>
      <c r="U10">
        <v>49</v>
      </c>
      <c r="V10">
        <f t="shared" si="0"/>
        <v>21.777777777777779</v>
      </c>
    </row>
    <row r="11" spans="1:22" x14ac:dyDescent="0.25">
      <c r="A11" t="s">
        <v>25</v>
      </c>
      <c r="B11" t="s">
        <v>123</v>
      </c>
      <c r="C11" t="s">
        <v>210</v>
      </c>
      <c r="D11" t="s">
        <v>218</v>
      </c>
      <c r="E11" t="s">
        <v>215</v>
      </c>
      <c r="F11">
        <v>18</v>
      </c>
      <c r="G11" t="s">
        <v>220</v>
      </c>
      <c r="H11" t="s">
        <v>223</v>
      </c>
      <c r="I11">
        <v>81</v>
      </c>
      <c r="J11" t="s">
        <v>227</v>
      </c>
      <c r="K11" t="s">
        <v>232</v>
      </c>
      <c r="L11" t="s">
        <v>240</v>
      </c>
      <c r="M11" t="s">
        <v>245</v>
      </c>
      <c r="N11" t="s">
        <v>248</v>
      </c>
      <c r="O11" t="s">
        <v>256</v>
      </c>
      <c r="P11" t="s">
        <v>251</v>
      </c>
      <c r="Q11" t="s">
        <v>268</v>
      </c>
      <c r="R11" t="s">
        <v>261</v>
      </c>
      <c r="S11" t="s">
        <v>266</v>
      </c>
      <c r="T11">
        <v>1.4</v>
      </c>
      <c r="U11">
        <v>48</v>
      </c>
      <c r="V11">
        <f t="shared" si="0"/>
        <v>24.489795918367349</v>
      </c>
    </row>
    <row r="12" spans="1:22" x14ac:dyDescent="0.25">
      <c r="A12" t="s">
        <v>26</v>
      </c>
      <c r="B12" t="s">
        <v>124</v>
      </c>
      <c r="C12" t="s">
        <v>210</v>
      </c>
      <c r="D12" t="s">
        <v>98</v>
      </c>
      <c r="E12" t="s">
        <v>213</v>
      </c>
      <c r="F12">
        <v>21</v>
      </c>
      <c r="G12" t="s">
        <v>221</v>
      </c>
      <c r="H12" t="s">
        <v>225</v>
      </c>
      <c r="I12">
        <v>65</v>
      </c>
      <c r="J12" t="s">
        <v>226</v>
      </c>
      <c r="K12" t="s">
        <v>233</v>
      </c>
      <c r="L12" t="s">
        <v>241</v>
      </c>
      <c r="M12" t="s">
        <v>246</v>
      </c>
      <c r="N12" t="s">
        <v>250</v>
      </c>
      <c r="O12" t="s">
        <v>255</v>
      </c>
      <c r="P12" t="s">
        <v>251</v>
      </c>
      <c r="Q12" t="s">
        <v>269</v>
      </c>
      <c r="R12" t="s">
        <v>261</v>
      </c>
      <c r="S12" t="s">
        <v>265</v>
      </c>
      <c r="T12">
        <v>1.6</v>
      </c>
      <c r="U12">
        <v>35</v>
      </c>
      <c r="V12">
        <f t="shared" si="0"/>
        <v>13.671874999999998</v>
      </c>
    </row>
    <row r="13" spans="1:22" x14ac:dyDescent="0.25">
      <c r="A13" t="s">
        <v>27</v>
      </c>
      <c r="B13" t="s">
        <v>125</v>
      </c>
      <c r="C13" t="s">
        <v>210</v>
      </c>
      <c r="D13" t="s">
        <v>82</v>
      </c>
      <c r="E13" t="s">
        <v>215</v>
      </c>
      <c r="F13">
        <v>23</v>
      </c>
      <c r="G13" t="s">
        <v>222</v>
      </c>
      <c r="H13" t="s">
        <v>225</v>
      </c>
      <c r="I13">
        <v>83</v>
      </c>
      <c r="J13" t="s">
        <v>226</v>
      </c>
      <c r="K13" t="s">
        <v>231</v>
      </c>
      <c r="L13" t="s">
        <v>239</v>
      </c>
      <c r="M13" t="s">
        <v>246</v>
      </c>
      <c r="N13" t="s">
        <v>249</v>
      </c>
      <c r="O13" t="s">
        <v>254</v>
      </c>
      <c r="P13" t="s">
        <v>252</v>
      </c>
      <c r="Q13" t="s">
        <v>268</v>
      </c>
      <c r="R13" t="s">
        <v>261</v>
      </c>
      <c r="S13" t="s">
        <v>266</v>
      </c>
      <c r="T13">
        <v>1.6</v>
      </c>
      <c r="U13">
        <v>45</v>
      </c>
      <c r="V13">
        <f t="shared" si="0"/>
        <v>17.578124999999996</v>
      </c>
    </row>
    <row r="14" spans="1:22" x14ac:dyDescent="0.25">
      <c r="A14" t="s">
        <v>28</v>
      </c>
      <c r="B14" t="s">
        <v>126</v>
      </c>
      <c r="C14" t="s">
        <v>210</v>
      </c>
      <c r="D14" t="s">
        <v>218</v>
      </c>
      <c r="E14" t="s">
        <v>213</v>
      </c>
      <c r="F14">
        <v>21</v>
      </c>
      <c r="G14" t="s">
        <v>221</v>
      </c>
      <c r="H14" t="s">
        <v>224</v>
      </c>
      <c r="I14">
        <v>49</v>
      </c>
      <c r="J14" t="s">
        <v>227</v>
      </c>
      <c r="K14" t="s">
        <v>236</v>
      </c>
      <c r="L14" t="s">
        <v>243</v>
      </c>
      <c r="M14" t="s">
        <v>246</v>
      </c>
      <c r="N14" t="s">
        <v>247</v>
      </c>
      <c r="O14" t="s">
        <v>253</v>
      </c>
      <c r="P14" t="s">
        <v>252</v>
      </c>
      <c r="Q14" t="s">
        <v>269</v>
      </c>
      <c r="R14" t="s">
        <v>261</v>
      </c>
      <c r="S14" t="s">
        <v>266</v>
      </c>
      <c r="T14">
        <v>1.8</v>
      </c>
      <c r="U14">
        <v>50</v>
      </c>
      <c r="V14">
        <f t="shared" si="0"/>
        <v>15.432098765432098</v>
      </c>
    </row>
    <row r="15" spans="1:22" x14ac:dyDescent="0.25">
      <c r="A15" t="s">
        <v>29</v>
      </c>
      <c r="B15" t="s">
        <v>127</v>
      </c>
      <c r="C15" t="s">
        <v>210</v>
      </c>
      <c r="D15" t="s">
        <v>98</v>
      </c>
      <c r="E15" t="s">
        <v>212</v>
      </c>
      <c r="F15">
        <v>21</v>
      </c>
      <c r="G15" t="s">
        <v>222</v>
      </c>
      <c r="H15" t="s">
        <v>223</v>
      </c>
      <c r="I15">
        <v>71</v>
      </c>
      <c r="J15" t="s">
        <v>228</v>
      </c>
      <c r="K15" t="s">
        <v>233</v>
      </c>
      <c r="L15" t="s">
        <v>241</v>
      </c>
      <c r="M15" t="s">
        <v>246</v>
      </c>
      <c r="N15" t="s">
        <v>248</v>
      </c>
      <c r="O15" t="s">
        <v>254</v>
      </c>
      <c r="P15" t="s">
        <v>251</v>
      </c>
      <c r="Q15" t="s">
        <v>223</v>
      </c>
      <c r="R15" t="s">
        <v>262</v>
      </c>
      <c r="S15" t="s">
        <v>266</v>
      </c>
      <c r="T15">
        <v>1.4</v>
      </c>
      <c r="U15">
        <v>54</v>
      </c>
      <c r="V15">
        <f t="shared" si="0"/>
        <v>27.551020408163268</v>
      </c>
    </row>
    <row r="16" spans="1:22" x14ac:dyDescent="0.25">
      <c r="A16" t="s">
        <v>30</v>
      </c>
      <c r="B16" t="s">
        <v>128</v>
      </c>
      <c r="C16" t="s">
        <v>210</v>
      </c>
      <c r="D16" t="s">
        <v>79</v>
      </c>
      <c r="E16" t="s">
        <v>216</v>
      </c>
      <c r="F16">
        <v>23</v>
      </c>
      <c r="G16" t="s">
        <v>222</v>
      </c>
      <c r="H16" t="s">
        <v>225</v>
      </c>
      <c r="I16">
        <v>51</v>
      </c>
      <c r="J16" t="s">
        <v>228</v>
      </c>
      <c r="K16" t="s">
        <v>237</v>
      </c>
      <c r="L16" t="s">
        <v>244</v>
      </c>
      <c r="M16" t="s">
        <v>245</v>
      </c>
      <c r="N16" t="s">
        <v>247</v>
      </c>
      <c r="O16" t="s">
        <v>254</v>
      </c>
      <c r="P16" t="s">
        <v>252</v>
      </c>
      <c r="Q16" t="s">
        <v>269</v>
      </c>
      <c r="R16" t="s">
        <v>262</v>
      </c>
      <c r="S16" t="s">
        <v>266</v>
      </c>
      <c r="T16">
        <v>1.5</v>
      </c>
      <c r="U16">
        <v>38</v>
      </c>
      <c r="V16">
        <f t="shared" si="0"/>
        <v>16.888888888888889</v>
      </c>
    </row>
    <row r="17" spans="1:22" x14ac:dyDescent="0.25">
      <c r="A17" t="s">
        <v>31</v>
      </c>
      <c r="B17" t="s">
        <v>129</v>
      </c>
      <c r="C17" t="s">
        <v>210</v>
      </c>
      <c r="D17" t="s">
        <v>79</v>
      </c>
      <c r="E17" t="s">
        <v>216</v>
      </c>
      <c r="F17">
        <v>20</v>
      </c>
      <c r="G17" t="s">
        <v>220</v>
      </c>
      <c r="H17" t="s">
        <v>224</v>
      </c>
      <c r="I17">
        <v>72</v>
      </c>
      <c r="J17" t="s">
        <v>229</v>
      </c>
      <c r="K17" t="s">
        <v>234</v>
      </c>
      <c r="L17" t="s">
        <v>242</v>
      </c>
      <c r="M17" t="s">
        <v>245</v>
      </c>
      <c r="N17" t="s">
        <v>250</v>
      </c>
      <c r="O17" t="s">
        <v>253</v>
      </c>
      <c r="P17" t="s">
        <v>252</v>
      </c>
      <c r="Q17" t="s">
        <v>269</v>
      </c>
      <c r="R17" t="s">
        <v>262</v>
      </c>
      <c r="S17" t="s">
        <v>265</v>
      </c>
      <c r="T17">
        <v>1.6</v>
      </c>
      <c r="U17">
        <v>60</v>
      </c>
      <c r="V17">
        <f t="shared" si="0"/>
        <v>23.437499999999996</v>
      </c>
    </row>
    <row r="18" spans="1:22" x14ac:dyDescent="0.25">
      <c r="A18" t="s">
        <v>32</v>
      </c>
      <c r="B18" t="s">
        <v>130</v>
      </c>
      <c r="C18" t="s">
        <v>210</v>
      </c>
      <c r="D18" t="s">
        <v>82</v>
      </c>
      <c r="E18" t="s">
        <v>214</v>
      </c>
      <c r="F18">
        <v>20</v>
      </c>
      <c r="G18" t="s">
        <v>221</v>
      </c>
      <c r="H18" t="s">
        <v>223</v>
      </c>
      <c r="I18">
        <v>72</v>
      </c>
      <c r="J18" t="s">
        <v>226</v>
      </c>
      <c r="K18" t="s">
        <v>234</v>
      </c>
      <c r="L18" t="s">
        <v>242</v>
      </c>
      <c r="M18" t="s">
        <v>245</v>
      </c>
      <c r="N18" t="s">
        <v>250</v>
      </c>
      <c r="O18" t="s">
        <v>254</v>
      </c>
      <c r="P18" t="s">
        <v>251</v>
      </c>
      <c r="Q18" t="s">
        <v>268</v>
      </c>
      <c r="R18" t="s">
        <v>261</v>
      </c>
      <c r="S18" t="s">
        <v>266</v>
      </c>
      <c r="T18">
        <v>1.4</v>
      </c>
      <c r="U18">
        <v>46</v>
      </c>
      <c r="V18">
        <f t="shared" si="0"/>
        <v>23.469387755102044</v>
      </c>
    </row>
    <row r="19" spans="1:22" x14ac:dyDescent="0.25">
      <c r="A19" t="s">
        <v>33</v>
      </c>
      <c r="B19" t="s">
        <v>131</v>
      </c>
      <c r="C19" t="s">
        <v>211</v>
      </c>
      <c r="D19" t="s">
        <v>98</v>
      </c>
      <c r="E19" t="s">
        <v>213</v>
      </c>
      <c r="F19">
        <v>22</v>
      </c>
      <c r="G19" t="s">
        <v>220</v>
      </c>
      <c r="H19" t="s">
        <v>224</v>
      </c>
      <c r="I19">
        <v>63</v>
      </c>
      <c r="J19" t="s">
        <v>228</v>
      </c>
      <c r="K19" t="s">
        <v>236</v>
      </c>
      <c r="L19" t="s">
        <v>243</v>
      </c>
      <c r="M19" t="s">
        <v>245</v>
      </c>
      <c r="N19" t="s">
        <v>248</v>
      </c>
      <c r="O19" t="s">
        <v>256</v>
      </c>
      <c r="P19" t="s">
        <v>251</v>
      </c>
      <c r="Q19" t="s">
        <v>223</v>
      </c>
      <c r="R19" t="s">
        <v>262</v>
      </c>
      <c r="S19" t="s">
        <v>266</v>
      </c>
      <c r="T19">
        <v>1.3</v>
      </c>
      <c r="U19">
        <v>74</v>
      </c>
      <c r="V19">
        <f t="shared" si="0"/>
        <v>43.786982248520708</v>
      </c>
    </row>
    <row r="20" spans="1:22" x14ac:dyDescent="0.25">
      <c r="A20" t="s">
        <v>34</v>
      </c>
      <c r="B20" t="s">
        <v>132</v>
      </c>
      <c r="C20" t="s">
        <v>211</v>
      </c>
      <c r="D20" t="s">
        <v>98</v>
      </c>
      <c r="E20" t="s">
        <v>214</v>
      </c>
      <c r="F20">
        <v>22</v>
      </c>
      <c r="G20" t="s">
        <v>221</v>
      </c>
      <c r="H20" t="s">
        <v>225</v>
      </c>
      <c r="I20">
        <v>77</v>
      </c>
      <c r="J20" t="s">
        <v>226</v>
      </c>
      <c r="K20" t="s">
        <v>232</v>
      </c>
      <c r="L20" t="s">
        <v>240</v>
      </c>
      <c r="M20" t="s">
        <v>246</v>
      </c>
      <c r="N20" t="s">
        <v>249</v>
      </c>
      <c r="O20" t="s">
        <v>254</v>
      </c>
      <c r="P20" t="s">
        <v>252</v>
      </c>
      <c r="Q20" t="s">
        <v>223</v>
      </c>
      <c r="R20" t="s">
        <v>262</v>
      </c>
      <c r="S20" t="s">
        <v>266</v>
      </c>
      <c r="T20">
        <v>1.3</v>
      </c>
      <c r="U20">
        <v>69</v>
      </c>
      <c r="V20">
        <f t="shared" si="0"/>
        <v>40.828402366863898</v>
      </c>
    </row>
    <row r="21" spans="1:22" x14ac:dyDescent="0.25">
      <c r="A21" t="s">
        <v>35</v>
      </c>
      <c r="B21" t="s">
        <v>133</v>
      </c>
      <c r="C21" t="s">
        <v>211</v>
      </c>
      <c r="D21" t="s">
        <v>98</v>
      </c>
      <c r="E21" t="s">
        <v>213</v>
      </c>
      <c r="F21">
        <v>23</v>
      </c>
      <c r="G21" t="s">
        <v>222</v>
      </c>
      <c r="H21" t="s">
        <v>225</v>
      </c>
      <c r="I21">
        <v>49</v>
      </c>
      <c r="J21" t="s">
        <v>227</v>
      </c>
      <c r="K21" t="s">
        <v>236</v>
      </c>
      <c r="L21" t="s">
        <v>243</v>
      </c>
      <c r="M21" t="s">
        <v>246</v>
      </c>
      <c r="N21" t="s">
        <v>248</v>
      </c>
      <c r="O21" t="s">
        <v>254</v>
      </c>
      <c r="P21" t="s">
        <v>252</v>
      </c>
      <c r="Q21" t="s">
        <v>269</v>
      </c>
      <c r="R21" t="s">
        <v>261</v>
      </c>
      <c r="S21" t="s">
        <v>266</v>
      </c>
      <c r="T21">
        <v>1.3</v>
      </c>
      <c r="U21">
        <v>66</v>
      </c>
      <c r="V21">
        <f t="shared" si="0"/>
        <v>39.053254437869818</v>
      </c>
    </row>
    <row r="22" spans="1:22" x14ac:dyDescent="0.25">
      <c r="A22" t="s">
        <v>36</v>
      </c>
      <c r="B22" t="s">
        <v>134</v>
      </c>
      <c r="C22" t="s">
        <v>211</v>
      </c>
      <c r="D22" t="s">
        <v>82</v>
      </c>
      <c r="E22" t="s">
        <v>213</v>
      </c>
      <c r="F22">
        <v>20</v>
      </c>
      <c r="G22" t="s">
        <v>222</v>
      </c>
      <c r="H22" t="s">
        <v>223</v>
      </c>
      <c r="I22">
        <v>71</v>
      </c>
      <c r="J22" t="s">
        <v>228</v>
      </c>
      <c r="K22" t="s">
        <v>237</v>
      </c>
      <c r="L22" t="s">
        <v>244</v>
      </c>
      <c r="M22" t="s">
        <v>245</v>
      </c>
      <c r="N22" t="s">
        <v>247</v>
      </c>
      <c r="O22" t="s">
        <v>256</v>
      </c>
      <c r="P22" t="s">
        <v>251</v>
      </c>
      <c r="Q22" t="s">
        <v>269</v>
      </c>
      <c r="R22" t="s">
        <v>261</v>
      </c>
      <c r="S22" t="s">
        <v>266</v>
      </c>
      <c r="T22">
        <v>1.3</v>
      </c>
      <c r="U22">
        <v>64</v>
      </c>
      <c r="V22">
        <f t="shared" si="0"/>
        <v>37.869822485207095</v>
      </c>
    </row>
    <row r="23" spans="1:22" x14ac:dyDescent="0.25">
      <c r="A23" t="s">
        <v>37</v>
      </c>
      <c r="B23" t="s">
        <v>135</v>
      </c>
      <c r="C23" t="s">
        <v>211</v>
      </c>
      <c r="D23" t="s">
        <v>219</v>
      </c>
      <c r="E23" t="s">
        <v>212</v>
      </c>
      <c r="F23">
        <v>22</v>
      </c>
      <c r="G23" t="s">
        <v>220</v>
      </c>
      <c r="H23" t="s">
        <v>225</v>
      </c>
      <c r="I23">
        <v>56</v>
      </c>
      <c r="J23" t="s">
        <v>228</v>
      </c>
      <c r="K23" t="s">
        <v>236</v>
      </c>
      <c r="L23" t="s">
        <v>243</v>
      </c>
      <c r="M23" t="s">
        <v>245</v>
      </c>
      <c r="N23" t="s">
        <v>248</v>
      </c>
      <c r="O23" t="s">
        <v>256</v>
      </c>
      <c r="P23" t="s">
        <v>251</v>
      </c>
      <c r="Q23" t="s">
        <v>269</v>
      </c>
      <c r="R23" t="s">
        <v>262</v>
      </c>
      <c r="S23" t="s">
        <v>265</v>
      </c>
      <c r="T23">
        <v>1.5</v>
      </c>
      <c r="U23">
        <v>76</v>
      </c>
      <c r="V23">
        <f t="shared" si="0"/>
        <v>33.777777777777779</v>
      </c>
    </row>
    <row r="24" spans="1:22" x14ac:dyDescent="0.25">
      <c r="A24" t="s">
        <v>38</v>
      </c>
      <c r="B24" t="s">
        <v>136</v>
      </c>
      <c r="C24" t="s">
        <v>211</v>
      </c>
      <c r="D24" t="s">
        <v>79</v>
      </c>
      <c r="E24" t="s">
        <v>213</v>
      </c>
      <c r="F24">
        <v>23</v>
      </c>
      <c r="G24" t="s">
        <v>220</v>
      </c>
      <c r="H24" t="s">
        <v>225</v>
      </c>
      <c r="I24">
        <v>72</v>
      </c>
      <c r="J24" t="s">
        <v>226</v>
      </c>
      <c r="K24" t="s">
        <v>233</v>
      </c>
      <c r="L24" t="s">
        <v>241</v>
      </c>
      <c r="M24" t="s">
        <v>245</v>
      </c>
      <c r="N24" t="s">
        <v>249</v>
      </c>
      <c r="O24" t="s">
        <v>255</v>
      </c>
      <c r="P24" t="s">
        <v>252</v>
      </c>
      <c r="Q24" t="s">
        <v>269</v>
      </c>
      <c r="R24" t="s">
        <v>261</v>
      </c>
      <c r="S24" t="s">
        <v>265</v>
      </c>
      <c r="T24">
        <v>1.5</v>
      </c>
      <c r="U24">
        <v>55</v>
      </c>
      <c r="V24">
        <f t="shared" si="0"/>
        <v>24.444444444444443</v>
      </c>
    </row>
    <row r="25" spans="1:22" x14ac:dyDescent="0.25">
      <c r="A25" t="s">
        <v>39</v>
      </c>
      <c r="B25" t="s">
        <v>137</v>
      </c>
      <c r="C25" t="s">
        <v>210</v>
      </c>
      <c r="D25" t="s">
        <v>218</v>
      </c>
      <c r="E25" t="s">
        <v>215</v>
      </c>
      <c r="F25">
        <v>19</v>
      </c>
      <c r="G25" t="s">
        <v>221</v>
      </c>
      <c r="H25" t="s">
        <v>223</v>
      </c>
      <c r="I25">
        <v>61</v>
      </c>
      <c r="J25" t="s">
        <v>226</v>
      </c>
      <c r="K25" t="s">
        <v>235</v>
      </c>
      <c r="L25" t="s">
        <v>257</v>
      </c>
      <c r="M25" t="s">
        <v>245</v>
      </c>
      <c r="N25" t="s">
        <v>249</v>
      </c>
      <c r="O25" t="s">
        <v>255</v>
      </c>
      <c r="P25" t="s">
        <v>251</v>
      </c>
      <c r="Q25" t="s">
        <v>223</v>
      </c>
      <c r="R25" t="s">
        <v>262</v>
      </c>
      <c r="S25" t="s">
        <v>265</v>
      </c>
      <c r="T25">
        <v>1.7</v>
      </c>
      <c r="U25">
        <v>43</v>
      </c>
      <c r="V25">
        <f t="shared" si="0"/>
        <v>14.878892733564015</v>
      </c>
    </row>
    <row r="26" spans="1:22" x14ac:dyDescent="0.25">
      <c r="A26" t="s">
        <v>40</v>
      </c>
      <c r="B26" t="s">
        <v>138</v>
      </c>
      <c r="C26" t="s">
        <v>210</v>
      </c>
      <c r="D26" t="s">
        <v>218</v>
      </c>
      <c r="E26" t="s">
        <v>213</v>
      </c>
      <c r="F26">
        <v>21</v>
      </c>
      <c r="G26" t="s">
        <v>222</v>
      </c>
      <c r="H26" t="s">
        <v>225</v>
      </c>
      <c r="I26">
        <v>63</v>
      </c>
      <c r="J26" t="s">
        <v>229</v>
      </c>
      <c r="K26" t="s">
        <v>235</v>
      </c>
      <c r="L26" t="s">
        <v>257</v>
      </c>
      <c r="M26" t="s">
        <v>246</v>
      </c>
      <c r="N26" t="s">
        <v>249</v>
      </c>
      <c r="O26" t="s">
        <v>254</v>
      </c>
      <c r="P26" t="s">
        <v>252</v>
      </c>
      <c r="Q26" t="s">
        <v>269</v>
      </c>
      <c r="R26" t="s">
        <v>261</v>
      </c>
      <c r="S26" t="s">
        <v>265</v>
      </c>
      <c r="T26">
        <v>1.3</v>
      </c>
      <c r="U26">
        <v>51</v>
      </c>
      <c r="V26">
        <f t="shared" si="0"/>
        <v>30.177514792899405</v>
      </c>
    </row>
    <row r="27" spans="1:22" x14ac:dyDescent="0.25">
      <c r="A27" t="s">
        <v>41</v>
      </c>
      <c r="B27" t="s">
        <v>139</v>
      </c>
      <c r="C27" t="s">
        <v>210</v>
      </c>
      <c r="D27" t="s">
        <v>79</v>
      </c>
      <c r="E27" t="s">
        <v>214</v>
      </c>
      <c r="F27">
        <v>20</v>
      </c>
      <c r="G27" t="s">
        <v>221</v>
      </c>
      <c r="H27" t="s">
        <v>225</v>
      </c>
      <c r="I27">
        <v>90</v>
      </c>
      <c r="J27" t="s">
        <v>228</v>
      </c>
      <c r="K27" t="s">
        <v>232</v>
      </c>
      <c r="L27" t="s">
        <v>240</v>
      </c>
      <c r="M27" t="s">
        <v>245</v>
      </c>
      <c r="N27" t="s">
        <v>248</v>
      </c>
      <c r="O27" t="s">
        <v>254</v>
      </c>
      <c r="P27" t="s">
        <v>252</v>
      </c>
      <c r="Q27" t="s">
        <v>223</v>
      </c>
      <c r="R27" t="s">
        <v>261</v>
      </c>
      <c r="S27" t="s">
        <v>266</v>
      </c>
      <c r="T27">
        <v>1.3</v>
      </c>
      <c r="U27">
        <v>38</v>
      </c>
      <c r="V27">
        <f t="shared" si="0"/>
        <v>22.485207100591715</v>
      </c>
    </row>
    <row r="28" spans="1:22" x14ac:dyDescent="0.25">
      <c r="A28" t="s">
        <v>42</v>
      </c>
      <c r="B28" t="s">
        <v>140</v>
      </c>
      <c r="C28" t="s">
        <v>210</v>
      </c>
      <c r="D28" t="s">
        <v>79</v>
      </c>
      <c r="E28" t="s">
        <v>212</v>
      </c>
      <c r="F28">
        <v>23</v>
      </c>
      <c r="G28" t="s">
        <v>220</v>
      </c>
      <c r="H28" t="s">
        <v>225</v>
      </c>
      <c r="I28">
        <v>52</v>
      </c>
      <c r="J28" t="s">
        <v>226</v>
      </c>
      <c r="K28" t="s">
        <v>231</v>
      </c>
      <c r="L28" t="s">
        <v>239</v>
      </c>
      <c r="M28" t="s">
        <v>246</v>
      </c>
      <c r="N28" t="s">
        <v>249</v>
      </c>
      <c r="O28" t="s">
        <v>255</v>
      </c>
      <c r="P28" t="s">
        <v>252</v>
      </c>
      <c r="Q28" t="s">
        <v>268</v>
      </c>
      <c r="R28" t="s">
        <v>261</v>
      </c>
      <c r="S28" t="s">
        <v>266</v>
      </c>
      <c r="T28">
        <v>1.5</v>
      </c>
      <c r="U28">
        <v>69</v>
      </c>
      <c r="V28">
        <f t="shared" si="0"/>
        <v>30.666666666666668</v>
      </c>
    </row>
    <row r="29" spans="1:22" x14ac:dyDescent="0.25">
      <c r="A29" t="s">
        <v>43</v>
      </c>
      <c r="B29" t="s">
        <v>141</v>
      </c>
      <c r="C29" t="s">
        <v>210</v>
      </c>
      <c r="D29" t="s">
        <v>218</v>
      </c>
      <c r="E29" t="s">
        <v>217</v>
      </c>
      <c r="F29">
        <v>21</v>
      </c>
      <c r="G29" t="s">
        <v>221</v>
      </c>
      <c r="H29" t="s">
        <v>224</v>
      </c>
      <c r="I29">
        <v>47</v>
      </c>
      <c r="J29" t="s">
        <v>229</v>
      </c>
      <c r="K29" t="s">
        <v>236</v>
      </c>
      <c r="L29" t="s">
        <v>243</v>
      </c>
      <c r="M29" t="s">
        <v>245</v>
      </c>
      <c r="N29" t="s">
        <v>247</v>
      </c>
      <c r="O29" t="s">
        <v>254</v>
      </c>
      <c r="P29" t="s">
        <v>252</v>
      </c>
      <c r="Q29" t="s">
        <v>223</v>
      </c>
      <c r="R29" t="s">
        <v>262</v>
      </c>
      <c r="S29" t="s">
        <v>266</v>
      </c>
      <c r="T29">
        <v>1.9</v>
      </c>
      <c r="U29">
        <v>57</v>
      </c>
      <c r="V29">
        <f t="shared" si="0"/>
        <v>15.789473684210527</v>
      </c>
    </row>
    <row r="30" spans="1:22" x14ac:dyDescent="0.25">
      <c r="A30" t="s">
        <v>44</v>
      </c>
      <c r="B30" t="s">
        <v>142</v>
      </c>
      <c r="C30" t="s">
        <v>211</v>
      </c>
      <c r="D30" t="s">
        <v>82</v>
      </c>
      <c r="E30" t="s">
        <v>216</v>
      </c>
      <c r="F30">
        <v>21</v>
      </c>
      <c r="G30" t="s">
        <v>221</v>
      </c>
      <c r="H30" t="s">
        <v>225</v>
      </c>
      <c r="I30">
        <v>78</v>
      </c>
      <c r="J30" t="s">
        <v>227</v>
      </c>
      <c r="K30" t="s">
        <v>233</v>
      </c>
      <c r="L30" t="s">
        <v>241</v>
      </c>
      <c r="M30" t="s">
        <v>246</v>
      </c>
      <c r="N30" t="s">
        <v>249</v>
      </c>
      <c r="O30" t="s">
        <v>255</v>
      </c>
      <c r="P30" t="s">
        <v>252</v>
      </c>
      <c r="Q30" t="s">
        <v>268</v>
      </c>
      <c r="R30" t="s">
        <v>261</v>
      </c>
      <c r="S30" t="s">
        <v>265</v>
      </c>
      <c r="T30">
        <v>1.9</v>
      </c>
      <c r="U30">
        <v>62</v>
      </c>
      <c r="V30">
        <f t="shared" si="0"/>
        <v>17.174515235457065</v>
      </c>
    </row>
    <row r="31" spans="1:22" x14ac:dyDescent="0.25">
      <c r="A31" t="s">
        <v>45</v>
      </c>
      <c r="B31" t="s">
        <v>142</v>
      </c>
      <c r="C31" t="s">
        <v>211</v>
      </c>
      <c r="D31" t="s">
        <v>82</v>
      </c>
      <c r="E31" t="s">
        <v>212</v>
      </c>
      <c r="F31">
        <v>20</v>
      </c>
      <c r="G31" t="s">
        <v>220</v>
      </c>
      <c r="H31" t="s">
        <v>223</v>
      </c>
      <c r="I31">
        <v>84</v>
      </c>
      <c r="J31" t="s">
        <v>226</v>
      </c>
      <c r="K31" t="s">
        <v>231</v>
      </c>
      <c r="L31" t="s">
        <v>239</v>
      </c>
      <c r="M31" t="s">
        <v>246</v>
      </c>
      <c r="N31" t="s">
        <v>248</v>
      </c>
      <c r="O31" t="s">
        <v>256</v>
      </c>
      <c r="P31" t="s">
        <v>251</v>
      </c>
      <c r="Q31" t="s">
        <v>269</v>
      </c>
      <c r="R31" t="s">
        <v>262</v>
      </c>
      <c r="S31" t="s">
        <v>266</v>
      </c>
      <c r="T31">
        <v>1.8</v>
      </c>
      <c r="U31">
        <v>42</v>
      </c>
      <c r="V31">
        <f t="shared" si="0"/>
        <v>12.962962962962962</v>
      </c>
    </row>
    <row r="32" spans="1:22" x14ac:dyDescent="0.25">
      <c r="A32" t="s">
        <v>46</v>
      </c>
      <c r="B32" t="s">
        <v>143</v>
      </c>
      <c r="C32" t="s">
        <v>211</v>
      </c>
      <c r="D32" t="s">
        <v>82</v>
      </c>
      <c r="E32" t="s">
        <v>214</v>
      </c>
      <c r="F32">
        <v>22</v>
      </c>
      <c r="G32" t="s">
        <v>222</v>
      </c>
      <c r="H32" t="s">
        <v>223</v>
      </c>
      <c r="I32">
        <v>93</v>
      </c>
      <c r="J32" t="s">
        <v>229</v>
      </c>
      <c r="K32" t="s">
        <v>230</v>
      </c>
      <c r="L32" t="s">
        <v>238</v>
      </c>
      <c r="M32" t="s">
        <v>246</v>
      </c>
      <c r="N32" t="s">
        <v>248</v>
      </c>
      <c r="O32" t="s">
        <v>254</v>
      </c>
      <c r="P32" t="s">
        <v>251</v>
      </c>
      <c r="Q32" t="s">
        <v>268</v>
      </c>
      <c r="R32" t="s">
        <v>262</v>
      </c>
      <c r="S32" t="s">
        <v>265</v>
      </c>
      <c r="T32">
        <v>1.3</v>
      </c>
      <c r="U32">
        <v>64</v>
      </c>
      <c r="V32">
        <f t="shared" si="0"/>
        <v>37.869822485207095</v>
      </c>
    </row>
    <row r="33" spans="1:22" x14ac:dyDescent="0.25">
      <c r="A33" t="s">
        <v>47</v>
      </c>
      <c r="B33" t="s">
        <v>144</v>
      </c>
      <c r="C33" t="s">
        <v>211</v>
      </c>
      <c r="D33" t="s">
        <v>218</v>
      </c>
      <c r="E33" t="s">
        <v>214</v>
      </c>
      <c r="F33">
        <v>23</v>
      </c>
      <c r="G33" t="s">
        <v>221</v>
      </c>
      <c r="H33" t="s">
        <v>225</v>
      </c>
      <c r="I33">
        <v>49</v>
      </c>
      <c r="J33" t="s">
        <v>226</v>
      </c>
      <c r="K33" t="s">
        <v>232</v>
      </c>
      <c r="L33" t="s">
        <v>240</v>
      </c>
      <c r="M33" t="s">
        <v>245</v>
      </c>
      <c r="N33" t="s">
        <v>250</v>
      </c>
      <c r="O33" t="s">
        <v>256</v>
      </c>
      <c r="P33" t="s">
        <v>251</v>
      </c>
      <c r="Q33" t="s">
        <v>268</v>
      </c>
      <c r="R33" t="s">
        <v>261</v>
      </c>
      <c r="S33" t="s">
        <v>265</v>
      </c>
      <c r="T33">
        <v>1.9</v>
      </c>
      <c r="U33">
        <v>43</v>
      </c>
      <c r="V33">
        <f t="shared" si="0"/>
        <v>11.911357340720222</v>
      </c>
    </row>
    <row r="34" spans="1:22" x14ac:dyDescent="0.25">
      <c r="A34" t="s">
        <v>48</v>
      </c>
      <c r="B34" t="s">
        <v>145</v>
      </c>
      <c r="C34" t="s">
        <v>211</v>
      </c>
      <c r="D34" t="s">
        <v>218</v>
      </c>
      <c r="E34" t="s">
        <v>216</v>
      </c>
      <c r="F34">
        <v>18</v>
      </c>
      <c r="G34" t="s">
        <v>222</v>
      </c>
      <c r="H34" t="s">
        <v>225</v>
      </c>
      <c r="I34">
        <v>88</v>
      </c>
      <c r="J34" t="s">
        <v>226</v>
      </c>
      <c r="K34" t="s">
        <v>236</v>
      </c>
      <c r="L34" t="s">
        <v>243</v>
      </c>
      <c r="M34" t="s">
        <v>245</v>
      </c>
      <c r="N34" t="s">
        <v>248</v>
      </c>
      <c r="O34" t="s">
        <v>255</v>
      </c>
      <c r="P34" t="s">
        <v>252</v>
      </c>
      <c r="Q34" t="s">
        <v>269</v>
      </c>
      <c r="R34" t="s">
        <v>261</v>
      </c>
      <c r="S34" t="s">
        <v>265</v>
      </c>
      <c r="T34">
        <v>1.9</v>
      </c>
      <c r="U34">
        <v>40</v>
      </c>
      <c r="V34">
        <f t="shared" si="0"/>
        <v>11.0803324099723</v>
      </c>
    </row>
    <row r="35" spans="1:22" x14ac:dyDescent="0.25">
      <c r="A35" t="s">
        <v>49</v>
      </c>
      <c r="B35" t="s">
        <v>146</v>
      </c>
      <c r="C35" t="s">
        <v>211</v>
      </c>
      <c r="D35" t="s">
        <v>98</v>
      </c>
      <c r="E35" t="s">
        <v>216</v>
      </c>
      <c r="F35">
        <v>19</v>
      </c>
      <c r="G35" t="s">
        <v>221</v>
      </c>
      <c r="H35" t="s">
        <v>223</v>
      </c>
      <c r="I35">
        <v>90</v>
      </c>
      <c r="J35" t="s">
        <v>227</v>
      </c>
      <c r="K35" t="s">
        <v>230</v>
      </c>
      <c r="L35" t="s">
        <v>238</v>
      </c>
      <c r="M35" t="s">
        <v>245</v>
      </c>
      <c r="N35" t="s">
        <v>247</v>
      </c>
      <c r="O35" t="s">
        <v>253</v>
      </c>
      <c r="P35" t="s">
        <v>252</v>
      </c>
      <c r="Q35" t="s">
        <v>268</v>
      </c>
      <c r="R35" t="s">
        <v>261</v>
      </c>
      <c r="S35" t="s">
        <v>265</v>
      </c>
      <c r="T35">
        <v>1.7</v>
      </c>
      <c r="U35">
        <v>54</v>
      </c>
      <c r="V35">
        <f t="shared" si="0"/>
        <v>18.68512110726644</v>
      </c>
    </row>
    <row r="36" spans="1:22" x14ac:dyDescent="0.25">
      <c r="A36" t="s">
        <v>50</v>
      </c>
      <c r="B36" t="s">
        <v>147</v>
      </c>
      <c r="C36" t="s">
        <v>210</v>
      </c>
      <c r="D36" t="s">
        <v>218</v>
      </c>
      <c r="E36" t="s">
        <v>216</v>
      </c>
      <c r="F36">
        <v>22</v>
      </c>
      <c r="G36" t="s">
        <v>221</v>
      </c>
      <c r="H36" t="s">
        <v>224</v>
      </c>
      <c r="I36">
        <v>90</v>
      </c>
      <c r="J36" t="s">
        <v>226</v>
      </c>
      <c r="K36" t="s">
        <v>230</v>
      </c>
      <c r="L36" t="s">
        <v>238</v>
      </c>
      <c r="M36" t="s">
        <v>246</v>
      </c>
      <c r="N36" t="s">
        <v>249</v>
      </c>
      <c r="O36" t="s">
        <v>256</v>
      </c>
      <c r="P36" t="s">
        <v>252</v>
      </c>
      <c r="Q36" t="s">
        <v>268</v>
      </c>
      <c r="R36" t="s">
        <v>261</v>
      </c>
      <c r="S36" t="s">
        <v>265</v>
      </c>
      <c r="T36">
        <v>1.7</v>
      </c>
      <c r="U36">
        <v>57</v>
      </c>
      <c r="V36">
        <f t="shared" si="0"/>
        <v>19.723183391003463</v>
      </c>
    </row>
    <row r="37" spans="1:22" x14ac:dyDescent="0.25">
      <c r="A37" t="s">
        <v>51</v>
      </c>
      <c r="B37" t="s">
        <v>148</v>
      </c>
      <c r="C37" t="s">
        <v>210</v>
      </c>
      <c r="D37" t="s">
        <v>79</v>
      </c>
      <c r="E37" t="s">
        <v>216</v>
      </c>
      <c r="F37">
        <v>21</v>
      </c>
      <c r="G37" t="s">
        <v>220</v>
      </c>
      <c r="H37" t="s">
        <v>224</v>
      </c>
      <c r="I37">
        <v>90</v>
      </c>
      <c r="J37" t="s">
        <v>229</v>
      </c>
      <c r="K37" t="s">
        <v>235</v>
      </c>
      <c r="L37" t="s">
        <v>257</v>
      </c>
      <c r="M37" t="s">
        <v>245</v>
      </c>
      <c r="N37" t="s">
        <v>249</v>
      </c>
      <c r="O37" t="s">
        <v>255</v>
      </c>
      <c r="P37" t="s">
        <v>252</v>
      </c>
      <c r="Q37" t="s">
        <v>268</v>
      </c>
      <c r="R37" t="s">
        <v>262</v>
      </c>
      <c r="S37" t="s">
        <v>265</v>
      </c>
      <c r="T37">
        <v>1.6</v>
      </c>
      <c r="U37">
        <v>37</v>
      </c>
      <c r="V37">
        <f t="shared" si="0"/>
        <v>14.453124999999996</v>
      </c>
    </row>
    <row r="38" spans="1:22" x14ac:dyDescent="0.25">
      <c r="A38" t="s">
        <v>52</v>
      </c>
      <c r="B38" t="s">
        <v>149</v>
      </c>
      <c r="C38" t="s">
        <v>210</v>
      </c>
      <c r="D38" t="s">
        <v>98</v>
      </c>
      <c r="E38" t="s">
        <v>216</v>
      </c>
      <c r="F38">
        <v>21</v>
      </c>
      <c r="G38" t="s">
        <v>220</v>
      </c>
      <c r="H38" t="s">
        <v>224</v>
      </c>
      <c r="I38">
        <v>56</v>
      </c>
      <c r="J38" t="s">
        <v>226</v>
      </c>
      <c r="K38" t="s">
        <v>237</v>
      </c>
      <c r="L38" t="s">
        <v>244</v>
      </c>
      <c r="M38" t="s">
        <v>245</v>
      </c>
      <c r="N38" t="s">
        <v>248</v>
      </c>
      <c r="O38" t="s">
        <v>255</v>
      </c>
      <c r="P38" t="s">
        <v>252</v>
      </c>
      <c r="Q38" t="s">
        <v>223</v>
      </c>
      <c r="R38" t="s">
        <v>262</v>
      </c>
      <c r="S38" t="s">
        <v>266</v>
      </c>
      <c r="T38">
        <v>1.7</v>
      </c>
      <c r="U38">
        <v>78</v>
      </c>
      <c r="V38">
        <f t="shared" si="0"/>
        <v>26.989619377162633</v>
      </c>
    </row>
    <row r="39" spans="1:22" x14ac:dyDescent="0.25">
      <c r="A39" t="s">
        <v>53</v>
      </c>
      <c r="B39" t="s">
        <v>150</v>
      </c>
      <c r="C39" t="s">
        <v>210</v>
      </c>
      <c r="D39" t="s">
        <v>98</v>
      </c>
      <c r="E39" t="s">
        <v>213</v>
      </c>
      <c r="F39">
        <v>21</v>
      </c>
      <c r="G39" t="s">
        <v>220</v>
      </c>
      <c r="H39" t="s">
        <v>225</v>
      </c>
      <c r="I39">
        <v>47</v>
      </c>
      <c r="J39" t="s">
        <v>229</v>
      </c>
      <c r="K39" t="s">
        <v>233</v>
      </c>
      <c r="L39" t="s">
        <v>241</v>
      </c>
      <c r="M39" t="s">
        <v>245</v>
      </c>
      <c r="N39" t="s">
        <v>249</v>
      </c>
      <c r="O39" t="s">
        <v>255</v>
      </c>
      <c r="P39" t="s">
        <v>252</v>
      </c>
      <c r="Q39" t="s">
        <v>269</v>
      </c>
      <c r="R39" t="s">
        <v>261</v>
      </c>
      <c r="S39" t="s">
        <v>265</v>
      </c>
      <c r="T39">
        <v>1.6</v>
      </c>
      <c r="U39">
        <v>58</v>
      </c>
      <c r="V39">
        <f t="shared" si="0"/>
        <v>22.656249999999996</v>
      </c>
    </row>
    <row r="40" spans="1:22" x14ac:dyDescent="0.25">
      <c r="A40" t="s">
        <v>54</v>
      </c>
      <c r="B40" t="s">
        <v>151</v>
      </c>
      <c r="C40" t="s">
        <v>211</v>
      </c>
      <c r="D40" t="s">
        <v>82</v>
      </c>
      <c r="E40" t="s">
        <v>216</v>
      </c>
      <c r="F40">
        <v>20</v>
      </c>
      <c r="G40" t="s">
        <v>220</v>
      </c>
      <c r="H40" t="s">
        <v>225</v>
      </c>
      <c r="I40">
        <v>70</v>
      </c>
      <c r="J40" t="s">
        <v>228</v>
      </c>
      <c r="K40" t="s">
        <v>233</v>
      </c>
      <c r="L40" t="s">
        <v>241</v>
      </c>
      <c r="M40" t="s">
        <v>245</v>
      </c>
      <c r="N40" t="s">
        <v>249</v>
      </c>
      <c r="O40" t="s">
        <v>255</v>
      </c>
      <c r="P40" t="s">
        <v>251</v>
      </c>
      <c r="Q40" t="s">
        <v>269</v>
      </c>
      <c r="R40" t="s">
        <v>261</v>
      </c>
      <c r="S40" t="s">
        <v>266</v>
      </c>
      <c r="T40">
        <v>1.8</v>
      </c>
      <c r="U40">
        <v>38</v>
      </c>
      <c r="V40">
        <f t="shared" si="0"/>
        <v>11.728395061728394</v>
      </c>
    </row>
    <row r="41" spans="1:22" x14ac:dyDescent="0.25">
      <c r="A41" t="s">
        <v>55</v>
      </c>
      <c r="B41" t="s">
        <v>152</v>
      </c>
      <c r="C41" t="s">
        <v>211</v>
      </c>
      <c r="D41" t="s">
        <v>82</v>
      </c>
      <c r="E41" t="s">
        <v>217</v>
      </c>
      <c r="F41">
        <v>21</v>
      </c>
      <c r="G41" t="s">
        <v>221</v>
      </c>
      <c r="H41" t="s">
        <v>225</v>
      </c>
      <c r="I41">
        <v>62</v>
      </c>
      <c r="J41" t="s">
        <v>229</v>
      </c>
      <c r="K41" t="s">
        <v>234</v>
      </c>
      <c r="L41" t="s">
        <v>242</v>
      </c>
      <c r="M41" t="s">
        <v>245</v>
      </c>
      <c r="N41" t="s">
        <v>248</v>
      </c>
      <c r="O41" t="s">
        <v>255</v>
      </c>
      <c r="P41" t="s">
        <v>251</v>
      </c>
      <c r="Q41" t="s">
        <v>268</v>
      </c>
      <c r="R41" t="s">
        <v>262</v>
      </c>
      <c r="S41" t="s">
        <v>265</v>
      </c>
      <c r="T41">
        <v>1.8</v>
      </c>
      <c r="U41">
        <v>53</v>
      </c>
      <c r="V41">
        <f t="shared" si="0"/>
        <v>16.358024691358022</v>
      </c>
    </row>
    <row r="42" spans="1:22" x14ac:dyDescent="0.25">
      <c r="A42" t="s">
        <v>56</v>
      </c>
      <c r="B42" t="s">
        <v>152</v>
      </c>
      <c r="C42" t="s">
        <v>211</v>
      </c>
      <c r="D42" t="s">
        <v>82</v>
      </c>
      <c r="E42" t="s">
        <v>217</v>
      </c>
      <c r="F42">
        <v>22</v>
      </c>
      <c r="G42" t="s">
        <v>222</v>
      </c>
      <c r="H42" t="s">
        <v>224</v>
      </c>
      <c r="I42">
        <v>72</v>
      </c>
      <c r="J42" t="s">
        <v>227</v>
      </c>
      <c r="K42" t="s">
        <v>234</v>
      </c>
      <c r="L42" t="s">
        <v>242</v>
      </c>
      <c r="M42" t="s">
        <v>246</v>
      </c>
      <c r="N42" t="s">
        <v>250</v>
      </c>
      <c r="O42" t="s">
        <v>254</v>
      </c>
      <c r="P42" t="s">
        <v>252</v>
      </c>
      <c r="Q42" t="s">
        <v>268</v>
      </c>
      <c r="R42" t="s">
        <v>262</v>
      </c>
      <c r="S42" t="s">
        <v>266</v>
      </c>
      <c r="T42">
        <v>1.4</v>
      </c>
      <c r="U42">
        <v>42</v>
      </c>
      <c r="V42">
        <f t="shared" si="0"/>
        <v>21.428571428571431</v>
      </c>
    </row>
    <row r="43" spans="1:22" x14ac:dyDescent="0.25">
      <c r="A43" t="s">
        <v>57</v>
      </c>
      <c r="B43" t="s">
        <v>153</v>
      </c>
      <c r="C43" t="s">
        <v>211</v>
      </c>
      <c r="D43" t="s">
        <v>98</v>
      </c>
      <c r="E43" t="s">
        <v>214</v>
      </c>
      <c r="F43">
        <v>20</v>
      </c>
      <c r="G43" t="s">
        <v>221</v>
      </c>
      <c r="H43" t="s">
        <v>225</v>
      </c>
      <c r="I43">
        <v>59</v>
      </c>
      <c r="J43" t="s">
        <v>226</v>
      </c>
      <c r="K43" t="s">
        <v>230</v>
      </c>
      <c r="L43" t="s">
        <v>238</v>
      </c>
      <c r="M43" t="s">
        <v>246</v>
      </c>
      <c r="N43" t="s">
        <v>249</v>
      </c>
      <c r="O43" t="s">
        <v>254</v>
      </c>
      <c r="P43" t="s">
        <v>251</v>
      </c>
      <c r="Q43" t="s">
        <v>223</v>
      </c>
      <c r="R43" t="s">
        <v>261</v>
      </c>
      <c r="S43" t="s">
        <v>266</v>
      </c>
      <c r="T43">
        <v>1.8</v>
      </c>
      <c r="U43">
        <v>75</v>
      </c>
      <c r="V43">
        <f t="shared" si="0"/>
        <v>23.148148148148145</v>
      </c>
    </row>
    <row r="44" spans="1:22" x14ac:dyDescent="0.25">
      <c r="A44" t="s">
        <v>58</v>
      </c>
      <c r="B44" t="s">
        <v>154</v>
      </c>
      <c r="C44" t="s">
        <v>211</v>
      </c>
      <c r="D44" t="s">
        <v>218</v>
      </c>
      <c r="E44" t="s">
        <v>217</v>
      </c>
      <c r="F44">
        <v>19</v>
      </c>
      <c r="G44" t="s">
        <v>222</v>
      </c>
      <c r="H44" t="s">
        <v>225</v>
      </c>
      <c r="I44">
        <v>78</v>
      </c>
      <c r="J44" t="s">
        <v>226</v>
      </c>
      <c r="K44" t="s">
        <v>236</v>
      </c>
      <c r="L44" t="s">
        <v>243</v>
      </c>
      <c r="M44" t="s">
        <v>245</v>
      </c>
      <c r="N44" t="s">
        <v>250</v>
      </c>
      <c r="O44" t="s">
        <v>256</v>
      </c>
      <c r="P44" t="s">
        <v>251</v>
      </c>
      <c r="Q44" t="s">
        <v>223</v>
      </c>
      <c r="R44" t="s">
        <v>262</v>
      </c>
      <c r="S44" t="s">
        <v>265</v>
      </c>
      <c r="T44">
        <v>1.8</v>
      </c>
      <c r="U44">
        <v>45</v>
      </c>
      <c r="V44">
        <f t="shared" si="0"/>
        <v>13.888888888888888</v>
      </c>
    </row>
    <row r="45" spans="1:22" x14ac:dyDescent="0.25">
      <c r="A45" t="s">
        <v>59</v>
      </c>
      <c r="B45" t="s">
        <v>155</v>
      </c>
      <c r="C45" t="s">
        <v>211</v>
      </c>
      <c r="D45" t="s">
        <v>82</v>
      </c>
      <c r="E45" t="s">
        <v>214</v>
      </c>
      <c r="F45">
        <v>21</v>
      </c>
      <c r="G45" t="s">
        <v>221</v>
      </c>
      <c r="H45" t="s">
        <v>223</v>
      </c>
      <c r="I45">
        <v>72</v>
      </c>
      <c r="J45" t="s">
        <v>228</v>
      </c>
      <c r="K45" t="s">
        <v>233</v>
      </c>
      <c r="L45" t="s">
        <v>241</v>
      </c>
      <c r="M45" t="s">
        <v>245</v>
      </c>
      <c r="N45" t="s">
        <v>248</v>
      </c>
      <c r="O45" t="s">
        <v>255</v>
      </c>
      <c r="P45" t="s">
        <v>251</v>
      </c>
      <c r="Q45" t="s">
        <v>223</v>
      </c>
      <c r="R45" t="s">
        <v>262</v>
      </c>
      <c r="S45" t="s">
        <v>266</v>
      </c>
      <c r="T45">
        <v>1.7</v>
      </c>
      <c r="U45">
        <v>40</v>
      </c>
      <c r="V45">
        <f t="shared" si="0"/>
        <v>13.84083044982699</v>
      </c>
    </row>
    <row r="46" spans="1:22" x14ac:dyDescent="0.25">
      <c r="A46" t="s">
        <v>60</v>
      </c>
      <c r="B46" t="s">
        <v>156</v>
      </c>
      <c r="C46" t="s">
        <v>211</v>
      </c>
      <c r="D46" t="s">
        <v>98</v>
      </c>
      <c r="E46" t="s">
        <v>215</v>
      </c>
      <c r="F46">
        <v>20</v>
      </c>
      <c r="G46" t="s">
        <v>221</v>
      </c>
      <c r="H46" t="s">
        <v>224</v>
      </c>
      <c r="I46">
        <v>87</v>
      </c>
      <c r="J46" t="s">
        <v>227</v>
      </c>
      <c r="K46" t="s">
        <v>235</v>
      </c>
      <c r="L46" t="s">
        <v>257</v>
      </c>
      <c r="M46" t="s">
        <v>245</v>
      </c>
      <c r="N46" t="s">
        <v>248</v>
      </c>
      <c r="O46" t="s">
        <v>255</v>
      </c>
      <c r="P46" t="s">
        <v>251</v>
      </c>
      <c r="Q46" t="s">
        <v>268</v>
      </c>
      <c r="R46" t="s">
        <v>262</v>
      </c>
      <c r="S46" t="s">
        <v>266</v>
      </c>
      <c r="T46">
        <v>1.9</v>
      </c>
      <c r="U46">
        <v>53</v>
      </c>
      <c r="V46">
        <f t="shared" si="0"/>
        <v>14.681440443213297</v>
      </c>
    </row>
    <row r="47" spans="1:22" x14ac:dyDescent="0.25">
      <c r="A47" t="s">
        <v>62</v>
      </c>
      <c r="B47" t="s">
        <v>157</v>
      </c>
      <c r="C47" t="s">
        <v>210</v>
      </c>
      <c r="D47" t="s">
        <v>82</v>
      </c>
      <c r="E47" t="s">
        <v>216</v>
      </c>
      <c r="F47">
        <v>21</v>
      </c>
      <c r="G47" t="s">
        <v>221</v>
      </c>
      <c r="H47" t="s">
        <v>223</v>
      </c>
      <c r="I47">
        <v>89</v>
      </c>
      <c r="J47" t="s">
        <v>226</v>
      </c>
      <c r="K47" t="s">
        <v>237</v>
      </c>
      <c r="L47" t="s">
        <v>244</v>
      </c>
      <c r="M47" t="s">
        <v>245</v>
      </c>
      <c r="N47" t="s">
        <v>250</v>
      </c>
      <c r="O47" t="s">
        <v>256</v>
      </c>
      <c r="P47" t="s">
        <v>251</v>
      </c>
      <c r="Q47" t="s">
        <v>269</v>
      </c>
      <c r="R47" t="s">
        <v>262</v>
      </c>
      <c r="S47" t="s">
        <v>265</v>
      </c>
      <c r="T47">
        <v>1.7</v>
      </c>
      <c r="U47">
        <v>72</v>
      </c>
      <c r="V47">
        <f t="shared" si="0"/>
        <v>24.913494809688583</v>
      </c>
    </row>
    <row r="48" spans="1:22" x14ac:dyDescent="0.25">
      <c r="A48" t="s">
        <v>64</v>
      </c>
      <c r="B48" t="s">
        <v>158</v>
      </c>
      <c r="C48" t="s">
        <v>210</v>
      </c>
      <c r="D48" t="s">
        <v>98</v>
      </c>
      <c r="E48" t="s">
        <v>214</v>
      </c>
      <c r="F48">
        <v>21</v>
      </c>
      <c r="G48" t="s">
        <v>222</v>
      </c>
      <c r="H48" t="s">
        <v>224</v>
      </c>
      <c r="I48">
        <v>86</v>
      </c>
      <c r="J48" t="s">
        <v>227</v>
      </c>
      <c r="K48" t="s">
        <v>233</v>
      </c>
      <c r="L48" t="s">
        <v>241</v>
      </c>
      <c r="M48" t="s">
        <v>245</v>
      </c>
      <c r="N48" t="s">
        <v>250</v>
      </c>
      <c r="O48" t="s">
        <v>255</v>
      </c>
      <c r="P48" t="s">
        <v>251</v>
      </c>
      <c r="Q48" t="s">
        <v>269</v>
      </c>
      <c r="R48" t="s">
        <v>261</v>
      </c>
      <c r="S48" t="s">
        <v>266</v>
      </c>
      <c r="T48">
        <v>1.6</v>
      </c>
      <c r="U48">
        <v>47</v>
      </c>
      <c r="V48">
        <f t="shared" si="0"/>
        <v>18.359374999999996</v>
      </c>
    </row>
    <row r="49" spans="1:22" x14ac:dyDescent="0.25">
      <c r="A49" t="s">
        <v>66</v>
      </c>
      <c r="B49" t="s">
        <v>159</v>
      </c>
      <c r="C49" t="s">
        <v>210</v>
      </c>
      <c r="D49" t="s">
        <v>98</v>
      </c>
      <c r="E49" t="s">
        <v>212</v>
      </c>
      <c r="F49">
        <v>20</v>
      </c>
      <c r="G49" t="s">
        <v>221</v>
      </c>
      <c r="H49" t="s">
        <v>223</v>
      </c>
      <c r="I49">
        <v>58</v>
      </c>
      <c r="J49" t="s">
        <v>229</v>
      </c>
      <c r="K49" t="s">
        <v>235</v>
      </c>
      <c r="L49" t="s">
        <v>257</v>
      </c>
      <c r="M49" t="s">
        <v>245</v>
      </c>
      <c r="N49" t="s">
        <v>247</v>
      </c>
      <c r="O49" t="s">
        <v>255</v>
      </c>
      <c r="P49" t="s">
        <v>251</v>
      </c>
      <c r="Q49" t="s">
        <v>268</v>
      </c>
      <c r="R49" t="s">
        <v>262</v>
      </c>
      <c r="S49" t="s">
        <v>265</v>
      </c>
      <c r="T49">
        <v>1.8</v>
      </c>
      <c r="U49">
        <v>70</v>
      </c>
      <c r="V49">
        <f t="shared" si="0"/>
        <v>21.604938271604937</v>
      </c>
    </row>
    <row r="50" spans="1:22" x14ac:dyDescent="0.25">
      <c r="A50" t="s">
        <v>68</v>
      </c>
      <c r="B50" t="s">
        <v>160</v>
      </c>
      <c r="C50" t="s">
        <v>210</v>
      </c>
      <c r="D50" t="s">
        <v>79</v>
      </c>
      <c r="E50" t="s">
        <v>213</v>
      </c>
      <c r="F50">
        <v>21</v>
      </c>
      <c r="G50" t="s">
        <v>220</v>
      </c>
      <c r="H50" t="s">
        <v>224</v>
      </c>
      <c r="I50">
        <v>76</v>
      </c>
      <c r="J50" t="s">
        <v>226</v>
      </c>
      <c r="K50" t="s">
        <v>233</v>
      </c>
      <c r="L50" t="s">
        <v>241</v>
      </c>
      <c r="M50" t="s">
        <v>245</v>
      </c>
      <c r="N50" t="s">
        <v>250</v>
      </c>
      <c r="O50" t="s">
        <v>255</v>
      </c>
      <c r="P50" t="s">
        <v>251</v>
      </c>
      <c r="Q50" t="s">
        <v>223</v>
      </c>
      <c r="R50" t="s">
        <v>262</v>
      </c>
      <c r="S50" t="s">
        <v>266</v>
      </c>
      <c r="T50">
        <v>1.7</v>
      </c>
      <c r="U50">
        <v>71</v>
      </c>
      <c r="V50">
        <f t="shared" si="0"/>
        <v>24.567474048442911</v>
      </c>
    </row>
    <row r="51" spans="1:22" x14ac:dyDescent="0.25">
      <c r="A51" t="s">
        <v>70</v>
      </c>
      <c r="B51" t="s">
        <v>161</v>
      </c>
      <c r="C51" t="s">
        <v>210</v>
      </c>
      <c r="D51" t="s">
        <v>82</v>
      </c>
      <c r="E51" t="s">
        <v>216</v>
      </c>
      <c r="F51">
        <v>20</v>
      </c>
      <c r="G51" t="s">
        <v>221</v>
      </c>
      <c r="H51" t="s">
        <v>223</v>
      </c>
      <c r="I51">
        <v>75</v>
      </c>
      <c r="J51" t="s">
        <v>229</v>
      </c>
      <c r="K51" t="s">
        <v>230</v>
      </c>
      <c r="L51" t="s">
        <v>238</v>
      </c>
      <c r="M51" t="s">
        <v>245</v>
      </c>
      <c r="N51" t="s">
        <v>249</v>
      </c>
      <c r="O51" t="s">
        <v>256</v>
      </c>
      <c r="P51" t="s">
        <v>252</v>
      </c>
      <c r="Q51" t="s">
        <v>268</v>
      </c>
      <c r="R51" t="s">
        <v>261</v>
      </c>
      <c r="S51" t="s">
        <v>266</v>
      </c>
      <c r="T51">
        <v>1.3</v>
      </c>
      <c r="U51">
        <v>52</v>
      </c>
      <c r="V51">
        <f t="shared" si="0"/>
        <v>30.769230769230766</v>
      </c>
    </row>
    <row r="52" spans="1:22" x14ac:dyDescent="0.25">
      <c r="A52" t="s">
        <v>72</v>
      </c>
      <c r="B52" t="s">
        <v>162</v>
      </c>
      <c r="C52" t="s">
        <v>210</v>
      </c>
      <c r="D52" t="s">
        <v>98</v>
      </c>
      <c r="E52" t="s">
        <v>217</v>
      </c>
      <c r="F52">
        <v>23</v>
      </c>
      <c r="G52" t="s">
        <v>222</v>
      </c>
      <c r="H52" t="s">
        <v>225</v>
      </c>
      <c r="I52">
        <v>77</v>
      </c>
      <c r="J52" t="s">
        <v>226</v>
      </c>
      <c r="K52" t="s">
        <v>235</v>
      </c>
      <c r="L52" t="s">
        <v>257</v>
      </c>
      <c r="M52" t="s">
        <v>246</v>
      </c>
      <c r="N52" t="s">
        <v>247</v>
      </c>
      <c r="O52" t="s">
        <v>255</v>
      </c>
      <c r="P52" t="s">
        <v>251</v>
      </c>
      <c r="Q52" t="s">
        <v>223</v>
      </c>
      <c r="R52" t="s">
        <v>262</v>
      </c>
      <c r="S52" t="s">
        <v>266</v>
      </c>
      <c r="T52">
        <v>1.6</v>
      </c>
      <c r="U52">
        <v>60</v>
      </c>
      <c r="V52">
        <f t="shared" si="0"/>
        <v>23.437499999999996</v>
      </c>
    </row>
    <row r="53" spans="1:22" x14ac:dyDescent="0.25">
      <c r="A53" t="s">
        <v>74</v>
      </c>
      <c r="B53" t="s">
        <v>163</v>
      </c>
      <c r="C53" t="s">
        <v>210</v>
      </c>
      <c r="D53" t="s">
        <v>79</v>
      </c>
      <c r="E53" t="s">
        <v>216</v>
      </c>
      <c r="F53">
        <v>21</v>
      </c>
      <c r="G53" t="s">
        <v>221</v>
      </c>
      <c r="H53" t="s">
        <v>223</v>
      </c>
      <c r="I53">
        <v>75</v>
      </c>
      <c r="J53" t="s">
        <v>226</v>
      </c>
      <c r="K53" t="s">
        <v>231</v>
      </c>
      <c r="L53" t="s">
        <v>239</v>
      </c>
      <c r="M53" t="s">
        <v>245</v>
      </c>
      <c r="N53" t="s">
        <v>249</v>
      </c>
      <c r="O53" t="s">
        <v>253</v>
      </c>
      <c r="P53" t="s">
        <v>252</v>
      </c>
      <c r="Q53" t="s">
        <v>269</v>
      </c>
      <c r="R53" t="s">
        <v>262</v>
      </c>
      <c r="S53" t="s">
        <v>265</v>
      </c>
      <c r="T53">
        <v>1.5</v>
      </c>
      <c r="U53">
        <v>44</v>
      </c>
      <c r="V53">
        <f t="shared" si="0"/>
        <v>19.555555555555557</v>
      </c>
    </row>
    <row r="54" spans="1:22" x14ac:dyDescent="0.25">
      <c r="A54" t="s">
        <v>76</v>
      </c>
      <c r="B54" t="s">
        <v>164</v>
      </c>
      <c r="C54" t="s">
        <v>210</v>
      </c>
      <c r="D54" t="s">
        <v>79</v>
      </c>
      <c r="E54" t="s">
        <v>216</v>
      </c>
      <c r="F54">
        <v>20</v>
      </c>
      <c r="G54" t="s">
        <v>220</v>
      </c>
      <c r="H54" t="s">
        <v>224</v>
      </c>
      <c r="I54">
        <v>49</v>
      </c>
      <c r="J54" t="s">
        <v>229</v>
      </c>
      <c r="K54" t="s">
        <v>237</v>
      </c>
      <c r="L54" t="s">
        <v>244</v>
      </c>
      <c r="M54" t="s">
        <v>246</v>
      </c>
      <c r="N54" t="s">
        <v>247</v>
      </c>
      <c r="O54" t="s">
        <v>256</v>
      </c>
      <c r="P54" t="s">
        <v>252</v>
      </c>
      <c r="Q54" t="s">
        <v>268</v>
      </c>
      <c r="R54" t="s">
        <v>261</v>
      </c>
      <c r="S54" t="s">
        <v>266</v>
      </c>
      <c r="T54">
        <v>1.9</v>
      </c>
      <c r="U54">
        <v>75</v>
      </c>
      <c r="V54">
        <f t="shared" si="0"/>
        <v>20.775623268698062</v>
      </c>
    </row>
    <row r="55" spans="1:22" x14ac:dyDescent="0.25">
      <c r="A55" t="s">
        <v>61</v>
      </c>
      <c r="B55" t="s">
        <v>165</v>
      </c>
      <c r="C55" t="s">
        <v>210</v>
      </c>
      <c r="D55" t="s">
        <v>219</v>
      </c>
      <c r="E55" t="s">
        <v>214</v>
      </c>
      <c r="F55">
        <v>22</v>
      </c>
      <c r="G55" t="s">
        <v>220</v>
      </c>
      <c r="H55" t="s">
        <v>224</v>
      </c>
      <c r="I55">
        <v>72</v>
      </c>
      <c r="J55" t="s">
        <v>228</v>
      </c>
      <c r="K55" t="s">
        <v>235</v>
      </c>
      <c r="L55" t="s">
        <v>257</v>
      </c>
      <c r="M55" t="s">
        <v>246</v>
      </c>
      <c r="N55" t="s">
        <v>247</v>
      </c>
      <c r="O55" t="s">
        <v>255</v>
      </c>
      <c r="P55" t="s">
        <v>251</v>
      </c>
      <c r="Q55" t="s">
        <v>269</v>
      </c>
      <c r="R55" t="s">
        <v>262</v>
      </c>
      <c r="S55" t="s">
        <v>266</v>
      </c>
      <c r="T55">
        <v>1.7</v>
      </c>
      <c r="U55">
        <v>69</v>
      </c>
      <c r="V55">
        <f t="shared" si="0"/>
        <v>23.87543252595156</v>
      </c>
    </row>
    <row r="56" spans="1:22" x14ac:dyDescent="0.25">
      <c r="A56" t="s">
        <v>63</v>
      </c>
      <c r="B56" t="s">
        <v>166</v>
      </c>
      <c r="C56" t="s">
        <v>210</v>
      </c>
      <c r="D56" t="s">
        <v>82</v>
      </c>
      <c r="E56" t="s">
        <v>217</v>
      </c>
      <c r="F56">
        <v>23</v>
      </c>
      <c r="G56" t="s">
        <v>220</v>
      </c>
      <c r="H56" t="s">
        <v>224</v>
      </c>
      <c r="I56">
        <v>83</v>
      </c>
      <c r="J56" t="s">
        <v>226</v>
      </c>
      <c r="K56" t="s">
        <v>232</v>
      </c>
      <c r="L56" t="s">
        <v>240</v>
      </c>
      <c r="M56" t="s">
        <v>245</v>
      </c>
      <c r="N56" t="s">
        <v>248</v>
      </c>
      <c r="O56" t="s">
        <v>253</v>
      </c>
      <c r="P56" t="s">
        <v>252</v>
      </c>
      <c r="Q56" t="s">
        <v>268</v>
      </c>
      <c r="R56" t="s">
        <v>261</v>
      </c>
      <c r="S56" t="s">
        <v>266</v>
      </c>
      <c r="T56">
        <v>1.6</v>
      </c>
      <c r="U56">
        <v>59</v>
      </c>
      <c r="V56">
        <f t="shared" si="0"/>
        <v>23.046874999999996</v>
      </c>
    </row>
    <row r="57" spans="1:22" x14ac:dyDescent="0.25">
      <c r="A57" t="s">
        <v>65</v>
      </c>
      <c r="B57" t="s">
        <v>167</v>
      </c>
      <c r="C57" t="s">
        <v>211</v>
      </c>
      <c r="D57" t="s">
        <v>79</v>
      </c>
      <c r="E57" t="s">
        <v>217</v>
      </c>
      <c r="F57">
        <v>22</v>
      </c>
      <c r="G57" t="s">
        <v>220</v>
      </c>
      <c r="H57" t="s">
        <v>225</v>
      </c>
      <c r="I57">
        <v>91</v>
      </c>
      <c r="J57" t="s">
        <v>229</v>
      </c>
      <c r="K57" t="s">
        <v>236</v>
      </c>
      <c r="L57" t="s">
        <v>243</v>
      </c>
      <c r="M57" t="s">
        <v>246</v>
      </c>
      <c r="N57" t="s">
        <v>247</v>
      </c>
      <c r="O57" t="s">
        <v>256</v>
      </c>
      <c r="P57" t="s">
        <v>251</v>
      </c>
      <c r="Q57" t="s">
        <v>269</v>
      </c>
      <c r="R57" t="s">
        <v>261</v>
      </c>
      <c r="S57" t="s">
        <v>265</v>
      </c>
      <c r="T57">
        <v>1.6</v>
      </c>
      <c r="U57">
        <v>38</v>
      </c>
      <c r="V57">
        <f t="shared" si="0"/>
        <v>14.843749999999996</v>
      </c>
    </row>
    <row r="58" spans="1:22" x14ac:dyDescent="0.25">
      <c r="A58" t="s">
        <v>67</v>
      </c>
      <c r="B58" t="s">
        <v>168</v>
      </c>
      <c r="C58" t="s">
        <v>211</v>
      </c>
      <c r="D58" t="s">
        <v>219</v>
      </c>
      <c r="E58" t="s">
        <v>217</v>
      </c>
      <c r="F58">
        <v>22</v>
      </c>
      <c r="G58" t="s">
        <v>220</v>
      </c>
      <c r="H58" t="s">
        <v>225</v>
      </c>
      <c r="I58">
        <v>83</v>
      </c>
      <c r="J58" t="s">
        <v>227</v>
      </c>
      <c r="K58" t="s">
        <v>237</v>
      </c>
      <c r="L58" t="s">
        <v>244</v>
      </c>
      <c r="M58" t="s">
        <v>245</v>
      </c>
      <c r="N58" t="s">
        <v>249</v>
      </c>
      <c r="O58" t="s">
        <v>255</v>
      </c>
      <c r="P58" t="s">
        <v>251</v>
      </c>
      <c r="Q58" t="s">
        <v>268</v>
      </c>
      <c r="R58" t="s">
        <v>261</v>
      </c>
      <c r="S58" t="s">
        <v>266</v>
      </c>
      <c r="T58">
        <v>1.5</v>
      </c>
      <c r="U58">
        <v>67</v>
      </c>
      <c r="V58">
        <f t="shared" si="0"/>
        <v>29.777777777777779</v>
      </c>
    </row>
    <row r="59" spans="1:22" x14ac:dyDescent="0.25">
      <c r="A59" t="s">
        <v>69</v>
      </c>
      <c r="B59" t="s">
        <v>169</v>
      </c>
      <c r="C59" t="s">
        <v>211</v>
      </c>
      <c r="D59" t="s">
        <v>219</v>
      </c>
      <c r="E59" t="s">
        <v>212</v>
      </c>
      <c r="F59">
        <v>23</v>
      </c>
      <c r="G59" t="s">
        <v>220</v>
      </c>
      <c r="H59" t="s">
        <v>224</v>
      </c>
      <c r="I59">
        <v>79</v>
      </c>
      <c r="J59" t="s">
        <v>226</v>
      </c>
      <c r="K59" t="s">
        <v>231</v>
      </c>
      <c r="L59" t="s">
        <v>239</v>
      </c>
      <c r="M59" t="s">
        <v>245</v>
      </c>
      <c r="N59" t="s">
        <v>249</v>
      </c>
      <c r="O59" t="s">
        <v>255</v>
      </c>
      <c r="P59" t="s">
        <v>252</v>
      </c>
      <c r="Q59" t="s">
        <v>269</v>
      </c>
      <c r="R59" t="s">
        <v>261</v>
      </c>
      <c r="S59" t="s">
        <v>266</v>
      </c>
      <c r="T59">
        <v>1.7</v>
      </c>
      <c r="U59">
        <v>76</v>
      </c>
      <c r="V59">
        <f t="shared" si="0"/>
        <v>26.297577854671282</v>
      </c>
    </row>
    <row r="60" spans="1:22" x14ac:dyDescent="0.25">
      <c r="A60" t="s">
        <v>71</v>
      </c>
      <c r="B60" t="s">
        <v>170</v>
      </c>
      <c r="C60" t="s">
        <v>211</v>
      </c>
      <c r="D60" t="s">
        <v>79</v>
      </c>
      <c r="E60" t="s">
        <v>213</v>
      </c>
      <c r="F60">
        <v>21</v>
      </c>
      <c r="G60" t="s">
        <v>220</v>
      </c>
      <c r="H60" t="s">
        <v>223</v>
      </c>
      <c r="I60">
        <v>70</v>
      </c>
      <c r="J60" t="s">
        <v>229</v>
      </c>
      <c r="K60" t="s">
        <v>237</v>
      </c>
      <c r="L60" t="s">
        <v>244</v>
      </c>
      <c r="M60" t="s">
        <v>246</v>
      </c>
      <c r="N60" t="s">
        <v>250</v>
      </c>
      <c r="O60" t="s">
        <v>255</v>
      </c>
      <c r="P60" t="s">
        <v>251</v>
      </c>
      <c r="Q60" t="s">
        <v>269</v>
      </c>
      <c r="R60" t="s">
        <v>262</v>
      </c>
      <c r="S60" t="s">
        <v>265</v>
      </c>
      <c r="T60">
        <v>1.8</v>
      </c>
      <c r="U60">
        <v>43</v>
      </c>
      <c r="V60">
        <f t="shared" si="0"/>
        <v>13.271604938271604</v>
      </c>
    </row>
    <row r="61" spans="1:22" x14ac:dyDescent="0.25">
      <c r="A61" t="s">
        <v>73</v>
      </c>
      <c r="B61" t="s">
        <v>171</v>
      </c>
      <c r="C61" t="s">
        <v>211</v>
      </c>
      <c r="D61" t="s">
        <v>219</v>
      </c>
      <c r="E61" t="s">
        <v>217</v>
      </c>
      <c r="F61">
        <v>20</v>
      </c>
      <c r="G61" t="s">
        <v>221</v>
      </c>
      <c r="H61" t="s">
        <v>223</v>
      </c>
      <c r="I61">
        <v>83</v>
      </c>
      <c r="J61" t="s">
        <v>228</v>
      </c>
      <c r="K61" t="s">
        <v>234</v>
      </c>
      <c r="L61" t="s">
        <v>242</v>
      </c>
      <c r="M61" t="s">
        <v>246</v>
      </c>
      <c r="N61" t="s">
        <v>250</v>
      </c>
      <c r="O61" t="s">
        <v>254</v>
      </c>
      <c r="P61" t="s">
        <v>252</v>
      </c>
      <c r="Q61" t="s">
        <v>268</v>
      </c>
      <c r="R61" t="s">
        <v>261</v>
      </c>
      <c r="S61" t="s">
        <v>265</v>
      </c>
      <c r="T61">
        <v>1.5</v>
      </c>
      <c r="U61">
        <v>55</v>
      </c>
      <c r="V61">
        <f t="shared" si="0"/>
        <v>24.444444444444443</v>
      </c>
    </row>
    <row r="62" spans="1:22" x14ac:dyDescent="0.25">
      <c r="A62" t="s">
        <v>75</v>
      </c>
      <c r="B62" t="s">
        <v>172</v>
      </c>
      <c r="C62" t="s">
        <v>211</v>
      </c>
      <c r="D62" t="s">
        <v>98</v>
      </c>
      <c r="E62" t="s">
        <v>215</v>
      </c>
      <c r="F62">
        <v>19</v>
      </c>
      <c r="G62" t="s">
        <v>222</v>
      </c>
      <c r="H62" t="s">
        <v>223</v>
      </c>
      <c r="I62">
        <v>88</v>
      </c>
      <c r="J62" t="s">
        <v>228</v>
      </c>
      <c r="K62" t="s">
        <v>234</v>
      </c>
      <c r="L62" t="s">
        <v>242</v>
      </c>
      <c r="M62" t="s">
        <v>246</v>
      </c>
      <c r="N62" t="s">
        <v>249</v>
      </c>
      <c r="O62" t="s">
        <v>255</v>
      </c>
      <c r="P62" t="s">
        <v>252</v>
      </c>
      <c r="Q62" t="s">
        <v>269</v>
      </c>
      <c r="R62" t="s">
        <v>262</v>
      </c>
      <c r="S62" t="s">
        <v>266</v>
      </c>
      <c r="T62">
        <v>1.4</v>
      </c>
      <c r="U62">
        <v>44</v>
      </c>
      <c r="V62">
        <f t="shared" si="0"/>
        <v>22.448979591836739</v>
      </c>
    </row>
    <row r="63" spans="1:22" x14ac:dyDescent="0.25">
      <c r="A63" t="s">
        <v>77</v>
      </c>
      <c r="B63" t="s">
        <v>173</v>
      </c>
      <c r="C63" t="s">
        <v>211</v>
      </c>
      <c r="D63" t="s">
        <v>98</v>
      </c>
      <c r="E63" t="s">
        <v>216</v>
      </c>
      <c r="F63">
        <v>18</v>
      </c>
      <c r="G63" t="s">
        <v>221</v>
      </c>
      <c r="H63" t="s">
        <v>224</v>
      </c>
      <c r="I63">
        <v>65</v>
      </c>
      <c r="J63" t="s">
        <v>229</v>
      </c>
      <c r="K63" t="s">
        <v>232</v>
      </c>
      <c r="L63" t="s">
        <v>240</v>
      </c>
      <c r="M63" t="s">
        <v>246</v>
      </c>
      <c r="N63" t="s">
        <v>250</v>
      </c>
      <c r="O63" t="s">
        <v>253</v>
      </c>
      <c r="P63" t="s">
        <v>251</v>
      </c>
      <c r="Q63" t="s">
        <v>268</v>
      </c>
      <c r="R63" t="s">
        <v>261</v>
      </c>
      <c r="S63" t="s">
        <v>266</v>
      </c>
      <c r="T63">
        <v>1.7</v>
      </c>
      <c r="U63">
        <v>55</v>
      </c>
      <c r="V63">
        <f t="shared" si="0"/>
        <v>19.031141868512112</v>
      </c>
    </row>
    <row r="64" spans="1:22" x14ac:dyDescent="0.25">
      <c r="A64" t="s">
        <v>78</v>
      </c>
      <c r="B64" t="s">
        <v>174</v>
      </c>
      <c r="C64" t="s">
        <v>210</v>
      </c>
      <c r="D64" t="s">
        <v>82</v>
      </c>
      <c r="E64" t="s">
        <v>214</v>
      </c>
      <c r="F64">
        <v>22</v>
      </c>
      <c r="G64" t="s">
        <v>222</v>
      </c>
      <c r="H64" t="s">
        <v>224</v>
      </c>
      <c r="I64">
        <v>52</v>
      </c>
      <c r="J64" t="s">
        <v>229</v>
      </c>
      <c r="K64" t="s">
        <v>232</v>
      </c>
      <c r="L64" t="s">
        <v>240</v>
      </c>
      <c r="M64" t="s">
        <v>245</v>
      </c>
      <c r="N64" t="s">
        <v>247</v>
      </c>
      <c r="O64" t="s">
        <v>254</v>
      </c>
      <c r="P64" t="s">
        <v>252</v>
      </c>
      <c r="Q64" t="s">
        <v>269</v>
      </c>
      <c r="R64" t="s">
        <v>262</v>
      </c>
      <c r="S64" t="s">
        <v>265</v>
      </c>
      <c r="T64">
        <v>1.4</v>
      </c>
      <c r="U64">
        <v>57</v>
      </c>
      <c r="V64">
        <f t="shared" si="0"/>
        <v>29.081632653061227</v>
      </c>
    </row>
    <row r="65" spans="1:22" x14ac:dyDescent="0.25">
      <c r="A65" t="s">
        <v>80</v>
      </c>
      <c r="B65" t="s">
        <v>175</v>
      </c>
      <c r="C65" t="s">
        <v>210</v>
      </c>
      <c r="D65" t="s">
        <v>82</v>
      </c>
      <c r="E65" t="s">
        <v>213</v>
      </c>
      <c r="F65">
        <v>19</v>
      </c>
      <c r="G65" t="s">
        <v>222</v>
      </c>
      <c r="H65" t="s">
        <v>223</v>
      </c>
      <c r="I65">
        <v>76</v>
      </c>
      <c r="J65" t="s">
        <v>226</v>
      </c>
      <c r="K65" t="s">
        <v>234</v>
      </c>
      <c r="L65" t="s">
        <v>242</v>
      </c>
      <c r="M65" t="s">
        <v>246</v>
      </c>
      <c r="N65" t="s">
        <v>249</v>
      </c>
      <c r="O65" t="s">
        <v>256</v>
      </c>
      <c r="P65" t="s">
        <v>251</v>
      </c>
      <c r="Q65" t="s">
        <v>268</v>
      </c>
      <c r="R65" t="s">
        <v>262</v>
      </c>
      <c r="S65" t="s">
        <v>265</v>
      </c>
      <c r="T65">
        <v>1.9</v>
      </c>
      <c r="U65">
        <v>73</v>
      </c>
      <c r="V65">
        <f t="shared" si="0"/>
        <v>20.221606648199447</v>
      </c>
    </row>
    <row r="66" spans="1:22" x14ac:dyDescent="0.25">
      <c r="A66" t="s">
        <v>81</v>
      </c>
      <c r="B66" t="s">
        <v>176</v>
      </c>
      <c r="C66" t="s">
        <v>210</v>
      </c>
      <c r="D66" t="s">
        <v>82</v>
      </c>
      <c r="E66" t="s">
        <v>217</v>
      </c>
      <c r="F66">
        <v>21</v>
      </c>
      <c r="G66" t="s">
        <v>222</v>
      </c>
      <c r="H66" t="s">
        <v>223</v>
      </c>
      <c r="I66">
        <v>69</v>
      </c>
      <c r="J66" t="s">
        <v>229</v>
      </c>
      <c r="K66" t="s">
        <v>236</v>
      </c>
      <c r="L66" t="s">
        <v>243</v>
      </c>
      <c r="M66" t="s">
        <v>246</v>
      </c>
      <c r="N66" t="s">
        <v>250</v>
      </c>
      <c r="O66" t="s">
        <v>256</v>
      </c>
      <c r="P66" t="s">
        <v>252</v>
      </c>
      <c r="Q66" t="s">
        <v>268</v>
      </c>
      <c r="R66" t="s">
        <v>262</v>
      </c>
      <c r="S66" t="s">
        <v>266</v>
      </c>
      <c r="T66">
        <v>1.8</v>
      </c>
      <c r="U66">
        <v>37</v>
      </c>
      <c r="V66">
        <f t="shared" si="0"/>
        <v>11.419753086419753</v>
      </c>
    </row>
    <row r="67" spans="1:22" x14ac:dyDescent="0.25">
      <c r="A67" t="s">
        <v>83</v>
      </c>
      <c r="B67" t="s">
        <v>177</v>
      </c>
      <c r="C67" t="s">
        <v>210</v>
      </c>
      <c r="D67" t="s">
        <v>219</v>
      </c>
      <c r="E67" t="s">
        <v>212</v>
      </c>
      <c r="F67">
        <v>20</v>
      </c>
      <c r="G67" t="s">
        <v>221</v>
      </c>
      <c r="H67" t="s">
        <v>224</v>
      </c>
      <c r="I67">
        <v>73</v>
      </c>
      <c r="J67" t="s">
        <v>226</v>
      </c>
      <c r="K67" t="s">
        <v>231</v>
      </c>
      <c r="L67" t="s">
        <v>239</v>
      </c>
      <c r="M67" t="s">
        <v>245</v>
      </c>
      <c r="N67" t="s">
        <v>250</v>
      </c>
      <c r="O67" t="s">
        <v>255</v>
      </c>
      <c r="P67" t="s">
        <v>252</v>
      </c>
      <c r="Q67" t="s">
        <v>223</v>
      </c>
      <c r="R67" t="s">
        <v>261</v>
      </c>
      <c r="S67" t="s">
        <v>266</v>
      </c>
      <c r="T67">
        <v>1.5</v>
      </c>
      <c r="U67">
        <v>43</v>
      </c>
      <c r="V67">
        <f t="shared" si="0"/>
        <v>19.111111111111111</v>
      </c>
    </row>
    <row r="68" spans="1:22" x14ac:dyDescent="0.25">
      <c r="A68" t="s">
        <v>84</v>
      </c>
      <c r="B68" t="s">
        <v>178</v>
      </c>
      <c r="C68" t="s">
        <v>210</v>
      </c>
      <c r="D68" t="s">
        <v>219</v>
      </c>
      <c r="E68" t="s">
        <v>217</v>
      </c>
      <c r="F68">
        <v>18</v>
      </c>
      <c r="G68" t="s">
        <v>221</v>
      </c>
      <c r="H68" t="s">
        <v>223</v>
      </c>
      <c r="I68">
        <v>46</v>
      </c>
      <c r="J68" t="s">
        <v>228</v>
      </c>
      <c r="K68" t="s">
        <v>235</v>
      </c>
      <c r="L68" t="s">
        <v>257</v>
      </c>
      <c r="M68" t="s">
        <v>245</v>
      </c>
      <c r="N68" t="s">
        <v>250</v>
      </c>
      <c r="O68" t="s">
        <v>256</v>
      </c>
      <c r="P68" t="s">
        <v>251</v>
      </c>
      <c r="Q68" t="s">
        <v>223</v>
      </c>
      <c r="R68" t="s">
        <v>262</v>
      </c>
      <c r="S68" t="s">
        <v>265</v>
      </c>
      <c r="T68">
        <v>1.4</v>
      </c>
      <c r="U68">
        <v>79</v>
      </c>
      <c r="V68">
        <f t="shared" ref="V68:V101" si="1">U68/(T68)^2</f>
        <v>40.3061224489796</v>
      </c>
    </row>
    <row r="69" spans="1:22" x14ac:dyDescent="0.25">
      <c r="A69" t="s">
        <v>85</v>
      </c>
      <c r="B69" t="s">
        <v>179</v>
      </c>
      <c r="C69" t="s">
        <v>210</v>
      </c>
      <c r="D69" t="s">
        <v>79</v>
      </c>
      <c r="E69" t="s">
        <v>214</v>
      </c>
      <c r="F69">
        <v>21</v>
      </c>
      <c r="G69" t="s">
        <v>220</v>
      </c>
      <c r="H69" t="s">
        <v>223</v>
      </c>
      <c r="I69">
        <v>90</v>
      </c>
      <c r="J69" t="s">
        <v>227</v>
      </c>
      <c r="K69" t="s">
        <v>234</v>
      </c>
      <c r="L69" t="s">
        <v>242</v>
      </c>
      <c r="M69" t="s">
        <v>245</v>
      </c>
      <c r="N69" t="s">
        <v>248</v>
      </c>
      <c r="O69" t="s">
        <v>256</v>
      </c>
      <c r="P69" t="s">
        <v>251</v>
      </c>
      <c r="Q69" t="s">
        <v>269</v>
      </c>
      <c r="R69" t="s">
        <v>262</v>
      </c>
      <c r="S69" t="s">
        <v>266</v>
      </c>
      <c r="T69">
        <v>1.3</v>
      </c>
      <c r="U69">
        <v>67</v>
      </c>
      <c r="V69">
        <f t="shared" si="1"/>
        <v>39.644970414201183</v>
      </c>
    </row>
    <row r="70" spans="1:22" x14ac:dyDescent="0.25">
      <c r="A70" t="s">
        <v>86</v>
      </c>
      <c r="B70" t="s">
        <v>180</v>
      </c>
      <c r="C70" t="s">
        <v>210</v>
      </c>
      <c r="D70" t="s">
        <v>219</v>
      </c>
      <c r="E70" t="s">
        <v>216</v>
      </c>
      <c r="F70">
        <v>20</v>
      </c>
      <c r="G70" t="s">
        <v>220</v>
      </c>
      <c r="H70" t="s">
        <v>224</v>
      </c>
      <c r="I70">
        <v>76</v>
      </c>
      <c r="J70" t="s">
        <v>228</v>
      </c>
      <c r="K70" t="s">
        <v>230</v>
      </c>
      <c r="L70" t="s">
        <v>238</v>
      </c>
      <c r="M70" t="s">
        <v>245</v>
      </c>
      <c r="N70" t="s">
        <v>247</v>
      </c>
      <c r="O70" t="s">
        <v>254</v>
      </c>
      <c r="P70" t="s">
        <v>251</v>
      </c>
      <c r="Q70" t="s">
        <v>268</v>
      </c>
      <c r="R70" t="s">
        <v>261</v>
      </c>
      <c r="S70" t="s">
        <v>265</v>
      </c>
      <c r="T70">
        <v>1.3</v>
      </c>
      <c r="U70">
        <v>55</v>
      </c>
      <c r="V70">
        <f t="shared" si="1"/>
        <v>32.544378698224847</v>
      </c>
    </row>
    <row r="71" spans="1:22" x14ac:dyDescent="0.25">
      <c r="A71" t="s">
        <v>87</v>
      </c>
      <c r="B71" t="s">
        <v>181</v>
      </c>
      <c r="C71" t="s">
        <v>210</v>
      </c>
      <c r="D71" t="s">
        <v>82</v>
      </c>
      <c r="E71" t="s">
        <v>217</v>
      </c>
      <c r="F71">
        <v>22</v>
      </c>
      <c r="G71" t="s">
        <v>220</v>
      </c>
      <c r="H71" t="s">
        <v>225</v>
      </c>
      <c r="I71">
        <v>87</v>
      </c>
      <c r="J71" t="s">
        <v>227</v>
      </c>
      <c r="K71" t="s">
        <v>233</v>
      </c>
      <c r="L71" t="s">
        <v>241</v>
      </c>
      <c r="M71" t="s">
        <v>246</v>
      </c>
      <c r="N71" t="s">
        <v>248</v>
      </c>
      <c r="O71" t="s">
        <v>254</v>
      </c>
      <c r="P71" t="s">
        <v>251</v>
      </c>
      <c r="Q71" t="s">
        <v>223</v>
      </c>
      <c r="R71" t="s">
        <v>262</v>
      </c>
      <c r="S71" t="s">
        <v>265</v>
      </c>
      <c r="T71">
        <v>1.4</v>
      </c>
      <c r="U71">
        <v>66</v>
      </c>
      <c r="V71">
        <f t="shared" si="1"/>
        <v>33.673469387755105</v>
      </c>
    </row>
    <row r="72" spans="1:22" x14ac:dyDescent="0.25">
      <c r="A72" t="s">
        <v>88</v>
      </c>
      <c r="B72" t="s">
        <v>182</v>
      </c>
      <c r="C72" t="s">
        <v>210</v>
      </c>
      <c r="D72" t="s">
        <v>219</v>
      </c>
      <c r="E72" t="s">
        <v>216</v>
      </c>
      <c r="F72">
        <v>23</v>
      </c>
      <c r="G72" t="s">
        <v>221</v>
      </c>
      <c r="H72" t="s">
        <v>223</v>
      </c>
      <c r="I72">
        <v>51</v>
      </c>
      <c r="J72" t="s">
        <v>226</v>
      </c>
      <c r="K72" t="s">
        <v>232</v>
      </c>
      <c r="L72" t="s">
        <v>240</v>
      </c>
      <c r="M72" t="s">
        <v>246</v>
      </c>
      <c r="N72" t="s">
        <v>250</v>
      </c>
      <c r="O72" t="s">
        <v>253</v>
      </c>
      <c r="P72" t="s">
        <v>252</v>
      </c>
      <c r="Q72" t="s">
        <v>223</v>
      </c>
      <c r="R72" t="s">
        <v>262</v>
      </c>
      <c r="S72" t="s">
        <v>265</v>
      </c>
      <c r="T72">
        <v>1.9</v>
      </c>
      <c r="U72">
        <v>75</v>
      </c>
      <c r="V72">
        <f t="shared" si="1"/>
        <v>20.775623268698062</v>
      </c>
    </row>
    <row r="73" spans="1:22" x14ac:dyDescent="0.25">
      <c r="A73" t="s">
        <v>89</v>
      </c>
      <c r="B73" t="s">
        <v>183</v>
      </c>
      <c r="C73" t="s">
        <v>211</v>
      </c>
      <c r="D73" t="s">
        <v>218</v>
      </c>
      <c r="E73" t="s">
        <v>212</v>
      </c>
      <c r="F73">
        <v>20</v>
      </c>
      <c r="G73" t="s">
        <v>221</v>
      </c>
      <c r="H73" t="s">
        <v>224</v>
      </c>
      <c r="I73">
        <v>82</v>
      </c>
      <c r="J73" t="s">
        <v>228</v>
      </c>
      <c r="K73" t="s">
        <v>234</v>
      </c>
      <c r="L73" t="s">
        <v>242</v>
      </c>
      <c r="M73" t="s">
        <v>246</v>
      </c>
      <c r="N73" t="s">
        <v>249</v>
      </c>
      <c r="O73" t="s">
        <v>253</v>
      </c>
      <c r="P73" t="s">
        <v>252</v>
      </c>
      <c r="Q73" t="s">
        <v>269</v>
      </c>
      <c r="R73" t="s">
        <v>261</v>
      </c>
      <c r="S73" t="s">
        <v>265</v>
      </c>
      <c r="T73">
        <v>1.3</v>
      </c>
      <c r="U73">
        <v>35</v>
      </c>
      <c r="V73">
        <f t="shared" si="1"/>
        <v>20.710059171597631</v>
      </c>
    </row>
    <row r="74" spans="1:22" x14ac:dyDescent="0.25">
      <c r="A74" t="s">
        <v>90</v>
      </c>
      <c r="B74" t="s">
        <v>184</v>
      </c>
      <c r="C74" t="s">
        <v>211</v>
      </c>
      <c r="D74" t="s">
        <v>82</v>
      </c>
      <c r="E74" t="s">
        <v>215</v>
      </c>
      <c r="F74">
        <v>18</v>
      </c>
      <c r="G74" t="s">
        <v>222</v>
      </c>
      <c r="H74" t="s">
        <v>223</v>
      </c>
      <c r="I74">
        <v>87</v>
      </c>
      <c r="J74" t="s">
        <v>229</v>
      </c>
      <c r="K74" t="s">
        <v>231</v>
      </c>
      <c r="L74" t="s">
        <v>239</v>
      </c>
      <c r="M74" t="s">
        <v>246</v>
      </c>
      <c r="N74" t="s">
        <v>250</v>
      </c>
      <c r="O74" t="s">
        <v>253</v>
      </c>
      <c r="P74" t="s">
        <v>252</v>
      </c>
      <c r="Q74" t="s">
        <v>269</v>
      </c>
      <c r="R74" t="s">
        <v>261</v>
      </c>
      <c r="S74" t="s">
        <v>265</v>
      </c>
      <c r="T74">
        <v>1.8</v>
      </c>
      <c r="U74">
        <v>66</v>
      </c>
      <c r="V74">
        <f t="shared" si="1"/>
        <v>20.37037037037037</v>
      </c>
    </row>
    <row r="75" spans="1:22" x14ac:dyDescent="0.25">
      <c r="A75" t="s">
        <v>91</v>
      </c>
      <c r="B75" t="s">
        <v>185</v>
      </c>
      <c r="C75" t="s">
        <v>211</v>
      </c>
      <c r="D75" t="s">
        <v>219</v>
      </c>
      <c r="E75" t="s">
        <v>215</v>
      </c>
      <c r="F75">
        <v>22</v>
      </c>
      <c r="G75" t="s">
        <v>221</v>
      </c>
      <c r="H75" t="s">
        <v>224</v>
      </c>
      <c r="I75">
        <v>72</v>
      </c>
      <c r="J75" t="s">
        <v>226</v>
      </c>
      <c r="K75" t="s">
        <v>237</v>
      </c>
      <c r="L75" t="s">
        <v>244</v>
      </c>
      <c r="M75" t="s">
        <v>245</v>
      </c>
      <c r="N75" t="s">
        <v>249</v>
      </c>
      <c r="O75" t="s">
        <v>253</v>
      </c>
      <c r="P75" t="s">
        <v>251</v>
      </c>
      <c r="Q75" t="s">
        <v>268</v>
      </c>
      <c r="R75" t="s">
        <v>261</v>
      </c>
      <c r="S75" t="s">
        <v>266</v>
      </c>
      <c r="T75">
        <v>1.7</v>
      </c>
      <c r="U75">
        <v>79</v>
      </c>
      <c r="V75">
        <f t="shared" si="1"/>
        <v>27.335640138408309</v>
      </c>
    </row>
    <row r="76" spans="1:22" x14ac:dyDescent="0.25">
      <c r="A76" t="s">
        <v>91</v>
      </c>
      <c r="B76" t="s">
        <v>186</v>
      </c>
      <c r="C76" t="s">
        <v>211</v>
      </c>
      <c r="D76" t="s">
        <v>218</v>
      </c>
      <c r="E76" t="s">
        <v>214</v>
      </c>
      <c r="F76">
        <v>20</v>
      </c>
      <c r="G76" t="s">
        <v>221</v>
      </c>
      <c r="H76" t="s">
        <v>223</v>
      </c>
      <c r="I76">
        <v>77</v>
      </c>
      <c r="J76" t="s">
        <v>226</v>
      </c>
      <c r="K76" t="s">
        <v>230</v>
      </c>
      <c r="L76" t="s">
        <v>238</v>
      </c>
      <c r="M76" t="s">
        <v>245</v>
      </c>
      <c r="N76" t="s">
        <v>250</v>
      </c>
      <c r="O76" t="s">
        <v>253</v>
      </c>
      <c r="P76" t="s">
        <v>251</v>
      </c>
      <c r="Q76" t="s">
        <v>269</v>
      </c>
      <c r="R76" t="s">
        <v>261</v>
      </c>
      <c r="S76" t="s">
        <v>265</v>
      </c>
      <c r="T76">
        <v>1.8</v>
      </c>
      <c r="U76">
        <v>57</v>
      </c>
      <c r="V76">
        <f t="shared" si="1"/>
        <v>17.592592592592592</v>
      </c>
    </row>
    <row r="77" spans="1:22" x14ac:dyDescent="0.25">
      <c r="A77" t="s">
        <v>92</v>
      </c>
      <c r="B77" t="s">
        <v>186</v>
      </c>
      <c r="C77" t="s">
        <v>211</v>
      </c>
      <c r="D77" t="s">
        <v>219</v>
      </c>
      <c r="E77" t="s">
        <v>217</v>
      </c>
      <c r="F77">
        <v>19</v>
      </c>
      <c r="G77" t="s">
        <v>220</v>
      </c>
      <c r="H77" t="s">
        <v>224</v>
      </c>
      <c r="I77">
        <v>61</v>
      </c>
      <c r="J77" t="s">
        <v>228</v>
      </c>
      <c r="K77" t="s">
        <v>237</v>
      </c>
      <c r="L77" t="s">
        <v>244</v>
      </c>
      <c r="M77" t="s">
        <v>245</v>
      </c>
      <c r="N77" t="s">
        <v>250</v>
      </c>
      <c r="O77" t="s">
        <v>253</v>
      </c>
      <c r="P77" t="s">
        <v>251</v>
      </c>
      <c r="Q77" t="s">
        <v>268</v>
      </c>
      <c r="R77" t="s">
        <v>262</v>
      </c>
      <c r="S77" t="s">
        <v>266</v>
      </c>
      <c r="T77">
        <v>1.4</v>
      </c>
      <c r="U77">
        <v>78</v>
      </c>
      <c r="V77">
        <f t="shared" si="1"/>
        <v>39.795918367346943</v>
      </c>
    </row>
    <row r="78" spans="1:22" x14ac:dyDescent="0.25">
      <c r="A78" t="s">
        <v>93</v>
      </c>
      <c r="B78" t="s">
        <v>187</v>
      </c>
      <c r="C78" t="s">
        <v>211</v>
      </c>
      <c r="D78" t="s">
        <v>219</v>
      </c>
      <c r="E78" t="s">
        <v>213</v>
      </c>
      <c r="F78">
        <v>20</v>
      </c>
      <c r="G78" t="s">
        <v>221</v>
      </c>
      <c r="H78" t="s">
        <v>224</v>
      </c>
      <c r="I78">
        <v>80</v>
      </c>
      <c r="J78" t="s">
        <v>227</v>
      </c>
      <c r="K78" t="s">
        <v>234</v>
      </c>
      <c r="L78" t="s">
        <v>242</v>
      </c>
      <c r="M78" t="s">
        <v>245</v>
      </c>
      <c r="N78" t="s">
        <v>250</v>
      </c>
      <c r="O78" t="s">
        <v>253</v>
      </c>
      <c r="P78" t="s">
        <v>251</v>
      </c>
      <c r="Q78" t="s">
        <v>269</v>
      </c>
      <c r="R78" t="s">
        <v>262</v>
      </c>
      <c r="S78" t="s">
        <v>265</v>
      </c>
      <c r="T78">
        <v>1.9</v>
      </c>
      <c r="U78">
        <v>80</v>
      </c>
      <c r="V78">
        <f t="shared" si="1"/>
        <v>22.1606648199446</v>
      </c>
    </row>
    <row r="79" spans="1:22" x14ac:dyDescent="0.25">
      <c r="A79" t="s">
        <v>94</v>
      </c>
      <c r="B79" t="s">
        <v>188</v>
      </c>
      <c r="C79" t="s">
        <v>211</v>
      </c>
      <c r="D79" t="s">
        <v>218</v>
      </c>
      <c r="E79" t="s">
        <v>212</v>
      </c>
      <c r="F79">
        <v>22</v>
      </c>
      <c r="G79" t="s">
        <v>222</v>
      </c>
      <c r="H79" t="s">
        <v>225</v>
      </c>
      <c r="I79">
        <v>94</v>
      </c>
      <c r="J79" t="s">
        <v>229</v>
      </c>
      <c r="K79" t="s">
        <v>232</v>
      </c>
      <c r="L79" t="s">
        <v>240</v>
      </c>
      <c r="M79" t="s">
        <v>245</v>
      </c>
      <c r="N79" t="s">
        <v>248</v>
      </c>
      <c r="O79" t="s">
        <v>253</v>
      </c>
      <c r="P79" t="s">
        <v>252</v>
      </c>
      <c r="Q79" t="s">
        <v>268</v>
      </c>
      <c r="R79" t="s">
        <v>262</v>
      </c>
      <c r="S79" t="s">
        <v>266</v>
      </c>
      <c r="T79">
        <v>1.6</v>
      </c>
      <c r="U79">
        <v>49</v>
      </c>
      <c r="V79">
        <f t="shared" si="1"/>
        <v>19.140624999999996</v>
      </c>
    </row>
    <row r="80" spans="1:22" x14ac:dyDescent="0.25">
      <c r="A80" t="s">
        <v>95</v>
      </c>
      <c r="B80" t="s">
        <v>189</v>
      </c>
      <c r="C80" t="s">
        <v>211</v>
      </c>
      <c r="D80" t="s">
        <v>82</v>
      </c>
      <c r="E80" t="s">
        <v>213</v>
      </c>
      <c r="F80">
        <v>22</v>
      </c>
      <c r="G80" t="s">
        <v>222</v>
      </c>
      <c r="H80" t="s">
        <v>224</v>
      </c>
      <c r="I80">
        <v>85</v>
      </c>
      <c r="J80" t="s">
        <v>229</v>
      </c>
      <c r="K80" t="s">
        <v>230</v>
      </c>
      <c r="L80" t="s">
        <v>238</v>
      </c>
      <c r="M80" t="s">
        <v>245</v>
      </c>
      <c r="N80" t="s">
        <v>249</v>
      </c>
      <c r="O80" t="s">
        <v>253</v>
      </c>
      <c r="P80" t="s">
        <v>252</v>
      </c>
      <c r="Q80" t="s">
        <v>223</v>
      </c>
      <c r="R80" t="s">
        <v>261</v>
      </c>
      <c r="S80" t="s">
        <v>266</v>
      </c>
      <c r="T80">
        <v>1.9</v>
      </c>
      <c r="U80">
        <v>44</v>
      </c>
      <c r="V80">
        <f t="shared" si="1"/>
        <v>12.18836565096953</v>
      </c>
    </row>
    <row r="81" spans="1:22" x14ac:dyDescent="0.25">
      <c r="A81" t="s">
        <v>96</v>
      </c>
      <c r="B81" t="s">
        <v>190</v>
      </c>
      <c r="C81" t="s">
        <v>210</v>
      </c>
      <c r="D81" t="s">
        <v>98</v>
      </c>
      <c r="E81" t="s">
        <v>214</v>
      </c>
      <c r="F81">
        <v>22</v>
      </c>
      <c r="G81" t="s">
        <v>221</v>
      </c>
      <c r="H81" t="s">
        <v>224</v>
      </c>
      <c r="I81">
        <v>84</v>
      </c>
      <c r="J81" t="s">
        <v>226</v>
      </c>
      <c r="K81" t="s">
        <v>237</v>
      </c>
      <c r="L81" t="s">
        <v>244</v>
      </c>
      <c r="M81" t="s">
        <v>245</v>
      </c>
      <c r="N81" t="s">
        <v>249</v>
      </c>
      <c r="O81" t="s">
        <v>255</v>
      </c>
      <c r="P81" t="s">
        <v>251</v>
      </c>
      <c r="Q81" t="s">
        <v>269</v>
      </c>
      <c r="R81" t="s">
        <v>261</v>
      </c>
      <c r="S81" t="s">
        <v>266</v>
      </c>
      <c r="T81">
        <v>1.7</v>
      </c>
      <c r="U81">
        <v>62</v>
      </c>
      <c r="V81">
        <f t="shared" si="1"/>
        <v>21.453287197231838</v>
      </c>
    </row>
    <row r="82" spans="1:22" x14ac:dyDescent="0.25">
      <c r="A82" t="s">
        <v>97</v>
      </c>
      <c r="B82" t="s">
        <v>191</v>
      </c>
      <c r="C82" t="s">
        <v>211</v>
      </c>
      <c r="D82" t="s">
        <v>82</v>
      </c>
      <c r="E82" t="s">
        <v>215</v>
      </c>
      <c r="F82">
        <v>20</v>
      </c>
      <c r="G82" t="s">
        <v>222</v>
      </c>
      <c r="H82" t="s">
        <v>224</v>
      </c>
      <c r="I82">
        <v>59</v>
      </c>
      <c r="J82" t="s">
        <v>228</v>
      </c>
      <c r="K82" t="s">
        <v>232</v>
      </c>
      <c r="L82" t="s">
        <v>240</v>
      </c>
      <c r="M82" t="s">
        <v>245</v>
      </c>
      <c r="N82" t="s">
        <v>248</v>
      </c>
      <c r="O82" t="s">
        <v>255</v>
      </c>
      <c r="P82" t="s">
        <v>252</v>
      </c>
      <c r="Q82" t="s">
        <v>268</v>
      </c>
      <c r="R82" t="s">
        <v>261</v>
      </c>
      <c r="S82" t="s">
        <v>266</v>
      </c>
      <c r="T82">
        <v>1.8</v>
      </c>
      <c r="U82">
        <v>72</v>
      </c>
      <c r="V82">
        <f t="shared" si="1"/>
        <v>22.222222222222221</v>
      </c>
    </row>
    <row r="83" spans="1:22" x14ac:dyDescent="0.25">
      <c r="A83" t="s">
        <v>99</v>
      </c>
      <c r="B83" t="s">
        <v>192</v>
      </c>
      <c r="C83" t="s">
        <v>210</v>
      </c>
      <c r="D83" t="s">
        <v>219</v>
      </c>
      <c r="E83" t="s">
        <v>215</v>
      </c>
      <c r="F83">
        <v>19</v>
      </c>
      <c r="G83" t="s">
        <v>221</v>
      </c>
      <c r="H83" t="s">
        <v>223</v>
      </c>
      <c r="I83">
        <v>84</v>
      </c>
      <c r="J83" t="s">
        <v>226</v>
      </c>
      <c r="K83" t="s">
        <v>236</v>
      </c>
      <c r="L83" t="s">
        <v>243</v>
      </c>
      <c r="M83" t="s">
        <v>246</v>
      </c>
      <c r="N83" t="s">
        <v>247</v>
      </c>
      <c r="O83" t="s">
        <v>255</v>
      </c>
      <c r="P83" t="s">
        <v>251</v>
      </c>
      <c r="Q83" t="s">
        <v>223</v>
      </c>
      <c r="R83" t="s">
        <v>262</v>
      </c>
      <c r="S83" t="s">
        <v>266</v>
      </c>
      <c r="T83">
        <v>1.9</v>
      </c>
      <c r="U83">
        <v>53</v>
      </c>
      <c r="V83">
        <f t="shared" si="1"/>
        <v>14.681440443213297</v>
      </c>
    </row>
    <row r="84" spans="1:22" x14ac:dyDescent="0.25">
      <c r="A84" t="s">
        <v>100</v>
      </c>
      <c r="B84" t="s">
        <v>193</v>
      </c>
      <c r="C84" t="s">
        <v>211</v>
      </c>
      <c r="D84" t="s">
        <v>79</v>
      </c>
      <c r="E84" t="s">
        <v>216</v>
      </c>
      <c r="F84">
        <v>22</v>
      </c>
      <c r="G84" t="s">
        <v>221</v>
      </c>
      <c r="H84" t="s">
        <v>225</v>
      </c>
      <c r="I84">
        <v>85</v>
      </c>
      <c r="J84" t="s">
        <v>229</v>
      </c>
      <c r="K84" t="s">
        <v>234</v>
      </c>
      <c r="L84" t="s">
        <v>242</v>
      </c>
      <c r="M84" t="s">
        <v>246</v>
      </c>
      <c r="N84" t="s">
        <v>250</v>
      </c>
      <c r="O84" t="s">
        <v>256</v>
      </c>
      <c r="P84" t="s">
        <v>252</v>
      </c>
      <c r="Q84" t="s">
        <v>223</v>
      </c>
      <c r="R84" t="s">
        <v>261</v>
      </c>
      <c r="S84" t="s">
        <v>266</v>
      </c>
      <c r="T84">
        <v>1.8</v>
      </c>
      <c r="U84">
        <v>43</v>
      </c>
      <c r="V84">
        <f t="shared" si="1"/>
        <v>13.271604938271604</v>
      </c>
    </row>
    <row r="85" spans="1:22" x14ac:dyDescent="0.25">
      <c r="A85" t="s">
        <v>101</v>
      </c>
      <c r="B85" t="s">
        <v>193</v>
      </c>
      <c r="C85" t="s">
        <v>210</v>
      </c>
      <c r="D85" t="s">
        <v>219</v>
      </c>
      <c r="E85" t="s">
        <v>212</v>
      </c>
      <c r="F85">
        <v>22</v>
      </c>
      <c r="G85" t="s">
        <v>222</v>
      </c>
      <c r="H85" t="s">
        <v>223</v>
      </c>
      <c r="I85">
        <v>87</v>
      </c>
      <c r="J85" t="s">
        <v>227</v>
      </c>
      <c r="K85" t="s">
        <v>234</v>
      </c>
      <c r="L85" t="s">
        <v>242</v>
      </c>
      <c r="M85" t="s">
        <v>245</v>
      </c>
      <c r="N85" t="s">
        <v>247</v>
      </c>
      <c r="O85" t="s">
        <v>255</v>
      </c>
      <c r="P85" t="s">
        <v>252</v>
      </c>
      <c r="Q85" t="s">
        <v>268</v>
      </c>
      <c r="R85" t="s">
        <v>262</v>
      </c>
      <c r="S85" t="s">
        <v>265</v>
      </c>
      <c r="T85">
        <v>1.6</v>
      </c>
      <c r="U85">
        <v>78</v>
      </c>
      <c r="V85">
        <f t="shared" si="1"/>
        <v>30.468749999999993</v>
      </c>
    </row>
    <row r="86" spans="1:22" x14ac:dyDescent="0.25">
      <c r="A86" t="s">
        <v>102</v>
      </c>
      <c r="B86" t="s">
        <v>194</v>
      </c>
      <c r="C86" t="s">
        <v>210</v>
      </c>
      <c r="D86" t="s">
        <v>79</v>
      </c>
      <c r="E86" t="s">
        <v>213</v>
      </c>
      <c r="F86">
        <v>18</v>
      </c>
      <c r="G86" t="s">
        <v>222</v>
      </c>
      <c r="H86" t="s">
        <v>225</v>
      </c>
      <c r="I86">
        <v>57</v>
      </c>
      <c r="J86" t="s">
        <v>229</v>
      </c>
      <c r="K86" t="s">
        <v>234</v>
      </c>
      <c r="L86" t="s">
        <v>242</v>
      </c>
      <c r="M86" t="s">
        <v>246</v>
      </c>
      <c r="N86" t="s">
        <v>248</v>
      </c>
      <c r="O86" t="s">
        <v>253</v>
      </c>
      <c r="P86" t="s">
        <v>252</v>
      </c>
      <c r="Q86" t="s">
        <v>223</v>
      </c>
      <c r="R86" t="s">
        <v>262</v>
      </c>
      <c r="S86" t="s">
        <v>266</v>
      </c>
      <c r="T86">
        <v>1.4</v>
      </c>
      <c r="U86">
        <v>38</v>
      </c>
      <c r="V86">
        <f t="shared" si="1"/>
        <v>19.387755102040821</v>
      </c>
    </row>
    <row r="87" spans="1:22" x14ac:dyDescent="0.25">
      <c r="A87" t="s">
        <v>103</v>
      </c>
      <c r="B87" t="s">
        <v>195</v>
      </c>
      <c r="C87" t="s">
        <v>210</v>
      </c>
      <c r="D87" t="s">
        <v>82</v>
      </c>
      <c r="E87" t="s">
        <v>217</v>
      </c>
      <c r="F87">
        <v>23</v>
      </c>
      <c r="G87" t="s">
        <v>222</v>
      </c>
      <c r="H87" t="s">
        <v>225</v>
      </c>
      <c r="I87">
        <v>87</v>
      </c>
      <c r="J87" t="s">
        <v>226</v>
      </c>
      <c r="K87" t="s">
        <v>231</v>
      </c>
      <c r="L87" t="s">
        <v>239</v>
      </c>
      <c r="M87" t="s">
        <v>246</v>
      </c>
      <c r="N87" t="s">
        <v>249</v>
      </c>
      <c r="O87" t="s">
        <v>256</v>
      </c>
      <c r="P87" t="s">
        <v>252</v>
      </c>
      <c r="Q87" t="s">
        <v>223</v>
      </c>
      <c r="R87" t="s">
        <v>261</v>
      </c>
      <c r="S87" t="s">
        <v>265</v>
      </c>
      <c r="T87">
        <v>1.3</v>
      </c>
      <c r="U87">
        <v>58</v>
      </c>
      <c r="V87">
        <f t="shared" si="1"/>
        <v>34.319526627218934</v>
      </c>
    </row>
    <row r="88" spans="1:22" x14ac:dyDescent="0.25">
      <c r="A88" t="s">
        <v>104</v>
      </c>
      <c r="B88" t="s">
        <v>196</v>
      </c>
      <c r="C88" t="s">
        <v>210</v>
      </c>
      <c r="D88" t="s">
        <v>219</v>
      </c>
      <c r="E88" t="s">
        <v>212</v>
      </c>
      <c r="F88">
        <v>21</v>
      </c>
      <c r="G88" t="s">
        <v>221</v>
      </c>
      <c r="H88" t="s">
        <v>224</v>
      </c>
      <c r="I88">
        <v>78</v>
      </c>
      <c r="J88" t="s">
        <v>228</v>
      </c>
      <c r="K88" t="s">
        <v>237</v>
      </c>
      <c r="L88" t="s">
        <v>244</v>
      </c>
      <c r="M88" t="s">
        <v>246</v>
      </c>
      <c r="N88" t="s">
        <v>249</v>
      </c>
      <c r="O88" t="s">
        <v>255</v>
      </c>
      <c r="P88" t="s">
        <v>252</v>
      </c>
      <c r="Q88" t="s">
        <v>223</v>
      </c>
      <c r="R88" t="s">
        <v>261</v>
      </c>
      <c r="S88" t="s">
        <v>265</v>
      </c>
      <c r="T88">
        <v>1.8</v>
      </c>
      <c r="U88">
        <v>79</v>
      </c>
      <c r="V88">
        <f t="shared" si="1"/>
        <v>24.382716049382715</v>
      </c>
    </row>
    <row r="89" spans="1:22" x14ac:dyDescent="0.25">
      <c r="A89" t="s">
        <v>105</v>
      </c>
      <c r="B89" t="s">
        <v>197</v>
      </c>
      <c r="C89" t="s">
        <v>210</v>
      </c>
      <c r="D89" t="s">
        <v>79</v>
      </c>
      <c r="E89" t="s">
        <v>212</v>
      </c>
      <c r="F89">
        <v>21</v>
      </c>
      <c r="G89" t="s">
        <v>221</v>
      </c>
      <c r="H89" t="s">
        <v>224</v>
      </c>
      <c r="I89">
        <v>62</v>
      </c>
      <c r="J89" t="s">
        <v>227</v>
      </c>
      <c r="K89" t="s">
        <v>237</v>
      </c>
      <c r="L89" t="s">
        <v>244</v>
      </c>
      <c r="M89" t="s">
        <v>245</v>
      </c>
      <c r="N89" t="s">
        <v>249</v>
      </c>
      <c r="O89" t="s">
        <v>256</v>
      </c>
      <c r="P89" t="s">
        <v>252</v>
      </c>
      <c r="Q89" t="s">
        <v>268</v>
      </c>
      <c r="R89" t="s">
        <v>262</v>
      </c>
      <c r="S89" t="s">
        <v>266</v>
      </c>
      <c r="T89">
        <v>1.8</v>
      </c>
      <c r="U89">
        <v>41</v>
      </c>
      <c r="V89">
        <f t="shared" si="1"/>
        <v>12.654320987654319</v>
      </c>
    </row>
    <row r="90" spans="1:22" x14ac:dyDescent="0.25">
      <c r="A90" t="s">
        <v>106</v>
      </c>
      <c r="B90" t="s">
        <v>198</v>
      </c>
      <c r="C90" t="s">
        <v>210</v>
      </c>
      <c r="D90" t="s">
        <v>219</v>
      </c>
      <c r="E90" t="s">
        <v>214</v>
      </c>
      <c r="F90">
        <v>23</v>
      </c>
      <c r="G90" t="s">
        <v>222</v>
      </c>
      <c r="H90" t="s">
        <v>225</v>
      </c>
      <c r="I90">
        <v>49</v>
      </c>
      <c r="J90" t="s">
        <v>229</v>
      </c>
      <c r="K90" t="s">
        <v>230</v>
      </c>
      <c r="L90" t="s">
        <v>238</v>
      </c>
      <c r="M90" t="s">
        <v>245</v>
      </c>
      <c r="N90" t="s">
        <v>248</v>
      </c>
      <c r="O90" t="s">
        <v>254</v>
      </c>
      <c r="P90" t="s">
        <v>252</v>
      </c>
      <c r="Q90" t="s">
        <v>269</v>
      </c>
      <c r="R90" t="s">
        <v>261</v>
      </c>
      <c r="S90" t="s">
        <v>266</v>
      </c>
      <c r="T90">
        <v>1.5</v>
      </c>
      <c r="U90">
        <v>42</v>
      </c>
      <c r="V90">
        <f t="shared" si="1"/>
        <v>18.666666666666668</v>
      </c>
    </row>
    <row r="91" spans="1:22" x14ac:dyDescent="0.25">
      <c r="A91" t="s">
        <v>107</v>
      </c>
      <c r="B91" t="s">
        <v>199</v>
      </c>
      <c r="C91" t="s">
        <v>211</v>
      </c>
      <c r="D91" t="s">
        <v>82</v>
      </c>
      <c r="E91" t="s">
        <v>216</v>
      </c>
      <c r="F91">
        <v>21</v>
      </c>
      <c r="G91" t="s">
        <v>222</v>
      </c>
      <c r="H91" t="s">
        <v>224</v>
      </c>
      <c r="I91">
        <v>78</v>
      </c>
      <c r="J91" t="s">
        <v>229</v>
      </c>
      <c r="K91" t="s">
        <v>230</v>
      </c>
      <c r="L91" t="s">
        <v>238</v>
      </c>
      <c r="M91" t="s">
        <v>246</v>
      </c>
      <c r="N91" t="s">
        <v>247</v>
      </c>
      <c r="O91" t="s">
        <v>256</v>
      </c>
      <c r="P91" t="s">
        <v>251</v>
      </c>
      <c r="Q91" t="s">
        <v>268</v>
      </c>
      <c r="R91" t="s">
        <v>261</v>
      </c>
      <c r="S91" t="s">
        <v>265</v>
      </c>
      <c r="T91">
        <v>1.4</v>
      </c>
      <c r="U91">
        <v>35</v>
      </c>
      <c r="V91">
        <f t="shared" si="1"/>
        <v>17.857142857142861</v>
      </c>
    </row>
    <row r="92" spans="1:22" x14ac:dyDescent="0.25">
      <c r="A92" t="s">
        <v>108</v>
      </c>
      <c r="B92" t="s">
        <v>200</v>
      </c>
      <c r="C92" t="s">
        <v>211</v>
      </c>
      <c r="D92" t="s">
        <v>98</v>
      </c>
      <c r="E92" t="s">
        <v>215</v>
      </c>
      <c r="F92">
        <v>21</v>
      </c>
      <c r="G92" t="s">
        <v>221</v>
      </c>
      <c r="H92" t="s">
        <v>223</v>
      </c>
      <c r="I92">
        <v>69</v>
      </c>
      <c r="J92" t="s">
        <v>226</v>
      </c>
      <c r="K92" t="s">
        <v>232</v>
      </c>
      <c r="L92" t="s">
        <v>240</v>
      </c>
      <c r="M92" t="s">
        <v>245</v>
      </c>
      <c r="N92" t="s">
        <v>249</v>
      </c>
      <c r="O92" t="s">
        <v>254</v>
      </c>
      <c r="P92" t="s">
        <v>251</v>
      </c>
      <c r="Q92" t="s">
        <v>268</v>
      </c>
      <c r="R92" t="s">
        <v>262</v>
      </c>
      <c r="S92" t="s">
        <v>265</v>
      </c>
      <c r="T92">
        <v>1.9</v>
      </c>
      <c r="U92">
        <v>47</v>
      </c>
      <c r="V92">
        <f t="shared" si="1"/>
        <v>13.019390581717452</v>
      </c>
    </row>
    <row r="93" spans="1:22" x14ac:dyDescent="0.25">
      <c r="A93" t="s">
        <v>109</v>
      </c>
      <c r="B93" t="s">
        <v>201</v>
      </c>
      <c r="C93" t="s">
        <v>211</v>
      </c>
      <c r="D93" t="s">
        <v>219</v>
      </c>
      <c r="E93" t="s">
        <v>212</v>
      </c>
      <c r="F93">
        <v>21</v>
      </c>
      <c r="G93" t="s">
        <v>221</v>
      </c>
      <c r="H93" t="s">
        <v>223</v>
      </c>
      <c r="I93">
        <v>57</v>
      </c>
      <c r="J93" t="s">
        <v>226</v>
      </c>
      <c r="K93" t="s">
        <v>233</v>
      </c>
      <c r="L93" t="s">
        <v>241</v>
      </c>
      <c r="M93" t="s">
        <v>245</v>
      </c>
      <c r="N93" t="s">
        <v>248</v>
      </c>
      <c r="O93" t="s">
        <v>254</v>
      </c>
      <c r="P93" t="s">
        <v>251</v>
      </c>
      <c r="Q93" t="s">
        <v>268</v>
      </c>
      <c r="R93" t="s">
        <v>262</v>
      </c>
      <c r="S93" t="s">
        <v>265</v>
      </c>
      <c r="T93">
        <v>1.4</v>
      </c>
      <c r="U93">
        <v>77</v>
      </c>
      <c r="V93">
        <f t="shared" si="1"/>
        <v>39.285714285714292</v>
      </c>
    </row>
    <row r="94" spans="1:22" x14ac:dyDescent="0.25">
      <c r="A94" t="s">
        <v>110</v>
      </c>
      <c r="B94" t="s">
        <v>202</v>
      </c>
      <c r="C94" t="s">
        <v>211</v>
      </c>
      <c r="D94" t="s">
        <v>82</v>
      </c>
      <c r="E94" t="s">
        <v>212</v>
      </c>
      <c r="F94">
        <v>19</v>
      </c>
      <c r="G94" t="s">
        <v>221</v>
      </c>
      <c r="H94" t="s">
        <v>225</v>
      </c>
      <c r="I94">
        <v>55</v>
      </c>
      <c r="J94" t="s">
        <v>226</v>
      </c>
      <c r="K94" t="s">
        <v>233</v>
      </c>
      <c r="L94" t="s">
        <v>241</v>
      </c>
      <c r="M94" t="s">
        <v>246</v>
      </c>
      <c r="N94" t="s">
        <v>247</v>
      </c>
      <c r="O94" t="s">
        <v>256</v>
      </c>
      <c r="P94" t="s">
        <v>251</v>
      </c>
      <c r="Q94" t="s">
        <v>268</v>
      </c>
      <c r="R94" t="s">
        <v>261</v>
      </c>
      <c r="S94" t="s">
        <v>265</v>
      </c>
      <c r="T94">
        <v>1.4</v>
      </c>
      <c r="U94">
        <v>53</v>
      </c>
      <c r="V94">
        <f t="shared" si="1"/>
        <v>27.040816326530617</v>
      </c>
    </row>
    <row r="95" spans="1:22" x14ac:dyDescent="0.25">
      <c r="A95" t="s">
        <v>110</v>
      </c>
      <c r="B95" t="s">
        <v>203</v>
      </c>
      <c r="C95" t="s">
        <v>211</v>
      </c>
      <c r="D95" t="s">
        <v>218</v>
      </c>
      <c r="E95" t="s">
        <v>215</v>
      </c>
      <c r="F95">
        <v>20</v>
      </c>
      <c r="G95" t="s">
        <v>221</v>
      </c>
      <c r="H95" t="s">
        <v>223</v>
      </c>
      <c r="I95">
        <v>56</v>
      </c>
      <c r="J95" t="s">
        <v>226</v>
      </c>
      <c r="K95" t="s">
        <v>234</v>
      </c>
      <c r="L95" t="s">
        <v>242</v>
      </c>
      <c r="M95" t="s">
        <v>246</v>
      </c>
      <c r="N95" t="s">
        <v>249</v>
      </c>
      <c r="O95" t="s">
        <v>256</v>
      </c>
      <c r="P95" t="s">
        <v>251</v>
      </c>
      <c r="Q95" t="s">
        <v>269</v>
      </c>
      <c r="R95" t="s">
        <v>262</v>
      </c>
      <c r="S95" t="s">
        <v>266</v>
      </c>
      <c r="T95">
        <v>1.9</v>
      </c>
      <c r="U95">
        <v>70</v>
      </c>
      <c r="V95">
        <f t="shared" si="1"/>
        <v>19.390581717451525</v>
      </c>
    </row>
    <row r="96" spans="1:22" x14ac:dyDescent="0.25">
      <c r="A96" t="s">
        <v>111</v>
      </c>
      <c r="B96" t="s">
        <v>204</v>
      </c>
      <c r="C96" t="s">
        <v>211</v>
      </c>
      <c r="D96" t="s">
        <v>98</v>
      </c>
      <c r="E96" t="s">
        <v>216</v>
      </c>
      <c r="F96">
        <v>22</v>
      </c>
      <c r="G96" t="s">
        <v>222</v>
      </c>
      <c r="H96" t="s">
        <v>224</v>
      </c>
      <c r="I96">
        <v>83</v>
      </c>
      <c r="J96" t="s">
        <v>226</v>
      </c>
      <c r="K96" t="s">
        <v>234</v>
      </c>
      <c r="L96" t="s">
        <v>242</v>
      </c>
      <c r="M96" t="s">
        <v>246</v>
      </c>
      <c r="N96" t="s">
        <v>249</v>
      </c>
      <c r="O96" t="s">
        <v>254</v>
      </c>
      <c r="P96" t="s">
        <v>251</v>
      </c>
      <c r="Q96" t="s">
        <v>223</v>
      </c>
      <c r="R96" t="s">
        <v>261</v>
      </c>
      <c r="S96" t="s">
        <v>265</v>
      </c>
      <c r="T96">
        <v>1.5</v>
      </c>
      <c r="U96">
        <v>61</v>
      </c>
      <c r="V96">
        <f t="shared" si="1"/>
        <v>27.111111111111111</v>
      </c>
    </row>
    <row r="97" spans="1:22" x14ac:dyDescent="0.25">
      <c r="A97" t="s">
        <v>112</v>
      </c>
      <c r="B97" t="s">
        <v>205</v>
      </c>
      <c r="C97" t="s">
        <v>211</v>
      </c>
      <c r="D97" t="s">
        <v>82</v>
      </c>
      <c r="E97" t="s">
        <v>212</v>
      </c>
      <c r="F97">
        <v>19</v>
      </c>
      <c r="G97" t="s">
        <v>221</v>
      </c>
      <c r="H97" t="s">
        <v>225</v>
      </c>
      <c r="I97">
        <v>85</v>
      </c>
      <c r="J97" t="s">
        <v>228</v>
      </c>
      <c r="K97" t="s">
        <v>237</v>
      </c>
      <c r="L97" t="s">
        <v>244</v>
      </c>
      <c r="M97" t="s">
        <v>245</v>
      </c>
      <c r="N97" t="s">
        <v>250</v>
      </c>
      <c r="O97" t="s">
        <v>253</v>
      </c>
      <c r="P97" t="s">
        <v>252</v>
      </c>
      <c r="Q97" t="s">
        <v>269</v>
      </c>
      <c r="R97" t="s">
        <v>261</v>
      </c>
      <c r="S97" t="s">
        <v>265</v>
      </c>
      <c r="T97">
        <v>1.5</v>
      </c>
      <c r="U97">
        <v>50</v>
      </c>
      <c r="V97">
        <f t="shared" si="1"/>
        <v>22.222222222222221</v>
      </c>
    </row>
    <row r="98" spans="1:22" x14ac:dyDescent="0.25">
      <c r="A98" t="s">
        <v>113</v>
      </c>
      <c r="B98" t="s">
        <v>206</v>
      </c>
      <c r="C98" t="s">
        <v>211</v>
      </c>
      <c r="D98" t="s">
        <v>219</v>
      </c>
      <c r="E98" t="s">
        <v>214</v>
      </c>
      <c r="F98">
        <v>19</v>
      </c>
      <c r="G98" t="s">
        <v>221</v>
      </c>
      <c r="H98" t="s">
        <v>223</v>
      </c>
      <c r="I98">
        <v>69</v>
      </c>
      <c r="J98" t="s">
        <v>227</v>
      </c>
      <c r="K98" t="s">
        <v>231</v>
      </c>
      <c r="L98" t="s">
        <v>239</v>
      </c>
      <c r="M98" t="s">
        <v>245</v>
      </c>
      <c r="N98" t="s">
        <v>250</v>
      </c>
      <c r="O98" t="s">
        <v>253</v>
      </c>
      <c r="P98" t="s">
        <v>252</v>
      </c>
      <c r="Q98" t="s">
        <v>223</v>
      </c>
      <c r="R98" t="s">
        <v>261</v>
      </c>
      <c r="S98" t="s">
        <v>265</v>
      </c>
      <c r="T98">
        <v>1.6</v>
      </c>
      <c r="U98">
        <v>66</v>
      </c>
      <c r="V98">
        <f t="shared" si="1"/>
        <v>25.781249999999996</v>
      </c>
    </row>
    <row r="99" spans="1:22" x14ac:dyDescent="0.25">
      <c r="A99" t="s">
        <v>18</v>
      </c>
      <c r="B99" t="s">
        <v>207</v>
      </c>
      <c r="C99" t="s">
        <v>210</v>
      </c>
      <c r="D99" t="s">
        <v>82</v>
      </c>
      <c r="E99" t="s">
        <v>216</v>
      </c>
      <c r="F99">
        <v>19</v>
      </c>
      <c r="G99" t="s">
        <v>220</v>
      </c>
      <c r="H99" t="s">
        <v>223</v>
      </c>
      <c r="I99">
        <v>80</v>
      </c>
      <c r="J99" t="s">
        <v>227</v>
      </c>
      <c r="K99" t="s">
        <v>232</v>
      </c>
      <c r="L99" t="s">
        <v>240</v>
      </c>
      <c r="M99" t="s">
        <v>246</v>
      </c>
      <c r="N99" t="s">
        <v>250</v>
      </c>
      <c r="O99" t="s">
        <v>256</v>
      </c>
      <c r="P99" t="s">
        <v>252</v>
      </c>
      <c r="Q99" t="s">
        <v>268</v>
      </c>
      <c r="R99" t="s">
        <v>261</v>
      </c>
      <c r="S99" t="s">
        <v>265</v>
      </c>
      <c r="T99">
        <v>1.4</v>
      </c>
      <c r="U99">
        <v>36</v>
      </c>
      <c r="V99">
        <f t="shared" si="1"/>
        <v>18.367346938775512</v>
      </c>
    </row>
    <row r="100" spans="1:22" x14ac:dyDescent="0.25">
      <c r="A100" t="s">
        <v>17</v>
      </c>
      <c r="B100" t="s">
        <v>208</v>
      </c>
      <c r="C100" t="s">
        <v>210</v>
      </c>
      <c r="D100" t="s">
        <v>218</v>
      </c>
      <c r="E100" t="s">
        <v>213</v>
      </c>
      <c r="F100">
        <v>21</v>
      </c>
      <c r="G100" t="s">
        <v>222</v>
      </c>
      <c r="H100" t="s">
        <v>224</v>
      </c>
      <c r="I100">
        <v>55</v>
      </c>
      <c r="J100" t="s">
        <v>229</v>
      </c>
      <c r="K100" t="s">
        <v>232</v>
      </c>
      <c r="L100" t="s">
        <v>240</v>
      </c>
      <c r="M100" t="s">
        <v>245</v>
      </c>
      <c r="N100" t="s">
        <v>247</v>
      </c>
      <c r="O100" t="s">
        <v>253</v>
      </c>
      <c r="P100" t="s">
        <v>251</v>
      </c>
      <c r="Q100" t="s">
        <v>268</v>
      </c>
      <c r="R100" t="s">
        <v>262</v>
      </c>
      <c r="S100" t="s">
        <v>265</v>
      </c>
      <c r="T100">
        <v>1.9</v>
      </c>
      <c r="U100">
        <v>38</v>
      </c>
      <c r="V100">
        <f t="shared" si="1"/>
        <v>10.526315789473685</v>
      </c>
    </row>
    <row r="101" spans="1:22" x14ac:dyDescent="0.25">
      <c r="A101" t="s">
        <v>114</v>
      </c>
      <c r="B101" t="s">
        <v>209</v>
      </c>
      <c r="C101" t="s">
        <v>211</v>
      </c>
      <c r="D101" t="s">
        <v>218</v>
      </c>
      <c r="E101" t="s">
        <v>214</v>
      </c>
      <c r="F101">
        <v>21</v>
      </c>
      <c r="G101" t="s">
        <v>222</v>
      </c>
      <c r="H101" t="s">
        <v>225</v>
      </c>
      <c r="I101">
        <v>60</v>
      </c>
      <c r="J101" t="s">
        <v>229</v>
      </c>
      <c r="K101" t="s">
        <v>230</v>
      </c>
      <c r="L101" t="s">
        <v>238</v>
      </c>
      <c r="M101" t="s">
        <v>246</v>
      </c>
      <c r="N101" t="s">
        <v>250</v>
      </c>
      <c r="O101" t="s">
        <v>253</v>
      </c>
      <c r="P101" t="s">
        <v>252</v>
      </c>
      <c r="Q101" t="s">
        <v>223</v>
      </c>
      <c r="R101" t="s">
        <v>262</v>
      </c>
      <c r="S101" t="s">
        <v>266</v>
      </c>
      <c r="T101">
        <v>1.4</v>
      </c>
      <c r="U101">
        <v>54</v>
      </c>
      <c r="V101">
        <f t="shared" si="1"/>
        <v>27.551020408163268</v>
      </c>
    </row>
    <row r="102" spans="1:22" x14ac:dyDescent="0.25">
      <c r="A102" t="s">
        <v>104</v>
      </c>
      <c r="B102" t="s">
        <v>196</v>
      </c>
      <c r="C102" t="s">
        <v>210</v>
      </c>
      <c r="D102" t="s">
        <v>219</v>
      </c>
      <c r="E102" t="s">
        <v>212</v>
      </c>
      <c r="F102">
        <v>21</v>
      </c>
      <c r="G102" t="s">
        <v>221</v>
      </c>
      <c r="H102" t="s">
        <v>224</v>
      </c>
      <c r="I102">
        <v>78</v>
      </c>
      <c r="J102" t="s">
        <v>228</v>
      </c>
      <c r="K102" t="s">
        <v>237</v>
      </c>
      <c r="L102" t="s">
        <v>244</v>
      </c>
      <c r="M102" t="s">
        <v>246</v>
      </c>
      <c r="N102" t="s">
        <v>249</v>
      </c>
      <c r="O102" t="s">
        <v>255</v>
      </c>
      <c r="P102" t="s">
        <v>252</v>
      </c>
      <c r="Q102" t="s">
        <v>223</v>
      </c>
      <c r="R102" t="s">
        <v>261</v>
      </c>
      <c r="S102" t="s">
        <v>265</v>
      </c>
      <c r="T102">
        <v>1.8</v>
      </c>
      <c r="U102">
        <v>79</v>
      </c>
      <c r="V102">
        <f t="shared" ref="V102" si="2">U102/(T102)^2</f>
        <v>24.382716049382715</v>
      </c>
    </row>
  </sheetData>
  <mergeCells count="1">
    <mergeCell ref="T1: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StatLab</cp:lastModifiedBy>
  <dcterms:created xsi:type="dcterms:W3CDTF">2022-08-18T02:50:51Z</dcterms:created>
  <dcterms:modified xsi:type="dcterms:W3CDTF">2022-08-20T11:08:38Z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a9fe8b28-e121-44d0-91bd-69fc5725ead3</vt:lpwstr>
  </property>
</Properties>
</file>