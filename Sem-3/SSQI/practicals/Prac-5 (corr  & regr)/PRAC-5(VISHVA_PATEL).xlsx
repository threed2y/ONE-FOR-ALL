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D0F5FC89-E6F6-4DBC-833B-9555C0727FCE}" xr6:coauthVersionLast="47" xr6:coauthVersionMax="47" xr10:uidLastSave="{00000000-0000-0000-0000-000000000000}"/>
  <bookViews>
    <workbookView xWindow="-120" yWindow="-120" windowWidth="20730" windowHeight="11160" xr2:uid="{8008410D-D266-4340-B3C7-659F16FF5997}"/>
  </bookViews>
  <sheets>
    <sheet name="Question-1" sheetId="3" r:id="rId1"/>
    <sheet name="Question -2" sheetId="4" r:id="rId2"/>
    <sheet name="Question -3" sheetId="5" r:id="rId3"/>
    <sheet name="Question - 5" sheetId="6" r:id="rId4"/>
    <sheet name="Question - 6" sheetId="7" r:id="rId5"/>
    <sheet name="Question-7" sheetId="1" r:id="rId6"/>
    <sheet name="Question -9" sheetId="9" r:id="rId7"/>
  </sheets>
  <definedNames>
    <definedName name="_Hlk90051793" localSheetId="0">'Question-1'!$E$1</definedName>
    <definedName name="_Hlk90070565" localSheetId="2">'Question -3'!$F$44</definedName>
    <definedName name="_Hlk90290520" localSheetId="0">'Question-1'!$B$6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6" i="6" l="1"/>
  <c r="F75" i="6"/>
  <c r="F63" i="6"/>
  <c r="E49" i="6"/>
  <c r="M46" i="7"/>
  <c r="G37" i="7"/>
  <c r="E32" i="7"/>
  <c r="G22" i="7"/>
  <c r="G17" i="7"/>
  <c r="D91" i="5" l="1"/>
  <c r="D85" i="5"/>
  <c r="D82" i="5"/>
  <c r="D83" i="5"/>
  <c r="C47" i="4"/>
  <c r="C43" i="4"/>
  <c r="H30" i="1"/>
  <c r="H25" i="1"/>
  <c r="D20" i="1"/>
  <c r="D87" i="5" l="1"/>
  <c r="D89" i="5" s="1"/>
</calcChain>
</file>

<file path=xl/sharedStrings.xml><?xml version="1.0" encoding="utf-8"?>
<sst xmlns="http://schemas.openxmlformats.org/spreadsheetml/2006/main" count="277" uniqueCount="159">
  <si>
    <t>x1=yield of cotton</t>
  </si>
  <si>
    <t>x2=no. of seed vessels</t>
  </si>
  <si>
    <t>x3=height</t>
  </si>
  <si>
    <t>r12=</t>
  </si>
  <si>
    <t>r13=</t>
  </si>
  <si>
    <t>r23=</t>
  </si>
  <si>
    <t xml:space="preserve">R1.23 = </t>
  </si>
  <si>
    <t xml:space="preserve">Partial Correlation Coefficient </t>
  </si>
  <si>
    <t>Practical- 5: Correlation &amp; Regression Analysis</t>
  </si>
  <si>
    <r>
      <t>v</t>
    </r>
    <r>
      <rPr>
        <sz val="7"/>
        <color rgb="FFFF0000"/>
        <rFont val="Times New Roman"/>
        <family val="1"/>
      </rPr>
      <t xml:space="preserve"> </t>
    </r>
    <r>
      <rPr>
        <b/>
        <u/>
        <sz val="16.5"/>
        <color rgb="FFFF0000"/>
        <rFont val="Times New Roman"/>
        <family val="1"/>
      </rPr>
      <t>QUESTION - 1</t>
    </r>
  </si>
  <si>
    <t>Correlation: Age, Price</t>
  </si>
  <si>
    <t>Method</t>
  </si>
  <si>
    <t>Correlation type</t>
  </si>
  <si>
    <t>Spearman</t>
  </si>
  <si>
    <t>Number of rows used</t>
  </si>
  <si>
    <t>ρ: pairwise Spearman correlation</t>
  </si>
  <si>
    <t>Correlations</t>
  </si>
  <si>
    <t>Age</t>
  </si>
  <si>
    <t>Price</t>
  </si>
  <si>
    <t>Pairwise Spearman Correlations</t>
  </si>
  <si>
    <t>Sample 1</t>
  </si>
  <si>
    <t>Sample 2</t>
  </si>
  <si>
    <t>N</t>
  </si>
  <si>
    <t>Correlation</t>
  </si>
  <si>
    <t>99% CI for ρ</t>
  </si>
  <si>
    <t>P-Value</t>
  </si>
  <si>
    <t>(-0.995, -0.258)</t>
  </si>
  <si>
    <t xml:space="preserve">Interpretation </t>
  </si>
  <si>
    <t>Here, Correlation Coefficient (r) = -0.928. There is a negative correlation between variable Age &amp; Price.</t>
  </si>
  <si>
    <t>Hypothesis:</t>
  </si>
  <si>
    <r>
      <t xml:space="preserve">H0: r </t>
    </r>
    <r>
      <rPr>
        <u/>
        <sz val="13"/>
        <color rgb="FF000000"/>
        <rFont val="Calibri"/>
        <family val="2"/>
        <scheme val="minor"/>
      </rPr>
      <t xml:space="preserve">&gt; </t>
    </r>
    <r>
      <rPr>
        <sz val="13"/>
        <color rgb="FF000000"/>
        <rFont val="Calibri"/>
        <family val="2"/>
        <scheme val="minor"/>
      </rPr>
      <t>0 vs H1: r &lt; 0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</si>
  <si>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Calibri"/>
        <family val="2"/>
        <scheme val="minor"/>
      </rPr>
      <t>So, here P-value (0.001) which less than alpha (0.01), Null Hypothesis rejected. We can say that there is negative correlation between Age &amp; Price.</t>
    </r>
  </si>
  <si>
    <r>
      <t>v</t>
    </r>
    <r>
      <rPr>
        <sz val="7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99% Confidence Interval is: (-0.995, -0.258).</t>
    </r>
  </si>
  <si>
    <r>
      <t>v</t>
    </r>
    <r>
      <rPr>
        <sz val="7"/>
        <color rgb="FFFF0000"/>
        <rFont val="Times New Roman"/>
        <family val="1"/>
      </rPr>
      <t xml:space="preserve"> </t>
    </r>
    <r>
      <rPr>
        <b/>
        <u/>
        <sz val="16.5"/>
        <color rgb="FFFF0000"/>
        <rFont val="Times New Roman"/>
        <family val="1"/>
      </rPr>
      <t>QUESTION - 7</t>
    </r>
  </si>
  <si>
    <t>MINITAB OUTPUT</t>
  </si>
  <si>
    <r>
      <t>v</t>
    </r>
    <r>
      <rPr>
        <sz val="7"/>
        <color rgb="FFFF0000"/>
        <rFont val="Times New Roman"/>
        <family val="1"/>
      </rPr>
      <t xml:space="preserve"> </t>
    </r>
    <r>
      <rPr>
        <b/>
        <u/>
        <sz val="16.5"/>
        <color rgb="FFFF0000"/>
        <rFont val="Times New Roman"/>
        <family val="1"/>
      </rPr>
      <t>QUESTION - 2</t>
    </r>
  </si>
  <si>
    <t>Correlation: Height, Weight</t>
  </si>
  <si>
    <t>Height</t>
  </si>
  <si>
    <t>Weight</t>
  </si>
  <si>
    <t>95% CI for ρ</t>
  </si>
  <si>
    <t>(0.885, 0.995)</t>
  </si>
  <si>
    <r>
      <t>v</t>
    </r>
    <r>
      <rPr>
        <sz val="7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95% Confidence Interval is: (0.885, 0.995).</t>
    </r>
  </si>
  <si>
    <r>
      <t>v</t>
    </r>
    <r>
      <rPr>
        <sz val="7"/>
        <color rgb="FFFF0000"/>
        <rFont val="Times New Roman"/>
        <family val="1"/>
      </rPr>
      <t xml:space="preserve"> </t>
    </r>
    <r>
      <rPr>
        <b/>
        <u/>
        <sz val="16.5"/>
        <color rgb="FFFF0000"/>
        <rFont val="Times New Roman"/>
        <family val="1"/>
      </rPr>
      <t>QUESTION - 3</t>
    </r>
  </si>
  <si>
    <t>X_CityA</t>
  </si>
  <si>
    <t>Y_cityA</t>
  </si>
  <si>
    <t>(-0.995, 0.804)</t>
  </si>
  <si>
    <t>X_cityB</t>
  </si>
  <si>
    <t>Y_cityB</t>
  </si>
  <si>
    <t>(-0.988, 0.645)</t>
  </si>
  <si>
    <r>
      <t>v</t>
    </r>
    <r>
      <rPr>
        <sz val="7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99% Confidence Interval for City-A: (-0.995, 0.804).</t>
    </r>
  </si>
  <si>
    <r>
      <t>v</t>
    </r>
    <r>
      <rPr>
        <sz val="7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99% Confidence Interval for City-B: (-0.988, 0.645).</t>
    </r>
  </si>
  <si>
    <r>
      <t>v</t>
    </r>
    <r>
      <rPr>
        <sz val="7"/>
        <color rgb="FFFF0000"/>
        <rFont val="Times New Roman"/>
        <family val="1"/>
      </rPr>
      <t xml:space="preserve"> </t>
    </r>
    <r>
      <rPr>
        <b/>
        <u/>
        <sz val="16.5"/>
        <color rgb="FFFF0000"/>
        <rFont val="Times New Roman"/>
        <family val="1"/>
      </rPr>
      <t>QUESTION - 9</t>
    </r>
  </si>
  <si>
    <t xml:space="preserve">Correlation: X, Y </t>
  </si>
  <si>
    <t>X</t>
  </si>
  <si>
    <t>Y</t>
  </si>
  <si>
    <t>(-0.036, 0.921)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</si>
  <si>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b/>
        <sz val="11"/>
        <color rgb="FF000000"/>
        <rFont val="Segoe UI"/>
        <family val="2"/>
      </rPr>
      <t>Correlation Coefficient (r) = 0.652</t>
    </r>
  </si>
  <si>
    <t xml:space="preserve">Regression Analysis: Y versus X </t>
  </si>
  <si>
    <t>H0: B1 = 0</t>
  </si>
  <si>
    <t>H1: B1 ≠ 0</t>
  </si>
  <si>
    <t>Regression Equation</t>
  </si>
  <si>
    <t>=</t>
  </si>
  <si>
    <t>-2826 + 12246 X</t>
  </si>
  <si>
    <t>Coefficients</t>
  </si>
  <si>
    <t>Term</t>
  </si>
  <si>
    <t>Coef</t>
  </si>
  <si>
    <t>SE Coef</t>
  </si>
  <si>
    <t>T-Value</t>
  </si>
  <si>
    <t>VIF</t>
  </si>
  <si>
    <t>Constant</t>
  </si>
  <si>
    <t>Model Summary</t>
  </si>
  <si>
    <t>S</t>
  </si>
  <si>
    <t>R-sq</t>
  </si>
  <si>
    <t>R-sq(adj)</t>
  </si>
  <si>
    <t>R-sq(pred)</t>
  </si>
  <si>
    <t>Analysis of Variance</t>
  </si>
  <si>
    <t>Source</t>
  </si>
  <si>
    <t>DF</t>
  </si>
  <si>
    <t>Adj SS</t>
  </si>
  <si>
    <t>Adj MS</t>
  </si>
  <si>
    <t>F-Value</t>
  </si>
  <si>
    <t>Regression</t>
  </si>
  <si>
    <t>  X</t>
  </si>
  <si>
    <t>Error</t>
  </si>
  <si>
    <t>  Lack-of-Fit</t>
  </si>
  <si>
    <t>  Pure Error</t>
  </si>
  <si>
    <t>Total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</si>
  <si>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18"/>
        <color theme="1"/>
        <rFont val="Calibri"/>
        <family val="2"/>
        <scheme val="minor"/>
      </rPr>
      <t>Regression Equation, Y = -2826 + 12246*X</t>
    </r>
  </si>
  <si>
    <r>
      <t xml:space="preserve">                                                </t>
    </r>
    <r>
      <rPr>
        <b/>
        <u/>
        <sz val="18"/>
        <color rgb="FF3B3838"/>
        <rFont val="Calibri"/>
        <family val="2"/>
        <scheme val="minor"/>
      </rPr>
      <t>Y-cap =2439.78</t>
    </r>
  </si>
  <si>
    <r>
      <t>H0: ƍ = 0.5</t>
    </r>
    <r>
      <rPr>
        <sz val="13"/>
        <color rgb="FF000000"/>
        <rFont val="Calibri"/>
        <family val="2"/>
        <scheme val="minor"/>
      </rPr>
      <t xml:space="preserve"> vs H1: ƍ </t>
    </r>
    <r>
      <rPr>
        <sz val="13"/>
        <color rgb="FF000000"/>
        <rFont val="Century"/>
        <family val="1"/>
      </rPr>
      <t>≠</t>
    </r>
    <r>
      <rPr>
        <sz val="13"/>
        <color rgb="FF000000"/>
        <rFont val="Calibri"/>
        <family val="2"/>
        <scheme val="minor"/>
      </rPr>
      <t xml:space="preserve"> 0.5</t>
    </r>
  </si>
  <si>
    <t>Alpha = 0.05</t>
  </si>
  <si>
    <t>Test statistics</t>
  </si>
  <si>
    <r>
      <t xml:space="preserve">t-tab = t </t>
    </r>
    <r>
      <rPr>
        <vertAlign val="subscript"/>
        <sz val="16"/>
        <color theme="1"/>
        <rFont val="Century"/>
        <family val="1"/>
      </rPr>
      <t>(α/2,n-2)</t>
    </r>
    <r>
      <rPr>
        <sz val="16"/>
        <color theme="1"/>
        <rFont val="Century"/>
        <family val="1"/>
      </rPr>
      <t xml:space="preserve"> =</t>
    </r>
  </si>
  <si>
    <t>Conclusion:</t>
  </si>
  <si>
    <t>Here, t-cal &gt; t-tab.So we reject the null hypothesis and conclude that correlation coefficient between Height and weight is not 1/2.</t>
  </si>
  <si>
    <t>H0 : ƍ1 = ƍ2 vs  H1 : ƍ1 ≠ ƍ2</t>
  </si>
  <si>
    <t>r1'=</t>
  </si>
  <si>
    <t>r2'=</t>
  </si>
  <si>
    <t>s =</t>
  </si>
  <si>
    <t xml:space="preserve">z = </t>
  </si>
  <si>
    <t>p-value =</t>
  </si>
  <si>
    <t xml:space="preserve">z-tab = </t>
  </si>
  <si>
    <t>Here, z-cal &lt; z -tab at 1% level of significance and also we say that p-value &gt; 0.01 (alpha).</t>
  </si>
  <si>
    <t>we accept the H0 and conclude that correlation coefficient beteen both cities are same.</t>
  </si>
  <si>
    <t>Question : 6</t>
  </si>
  <si>
    <t>The following constants are obtained from measurements on length In mm (X1), volume in C.C (X2), and weight in gm(X3)</t>
  </si>
  <si>
    <t>of 300 eggs.</t>
  </si>
  <si>
    <t>X1-bar=</t>
  </si>
  <si>
    <t xml:space="preserve">X2-var = </t>
  </si>
  <si>
    <t xml:space="preserve">X3-bar = </t>
  </si>
  <si>
    <t>sigma-1 =</t>
  </si>
  <si>
    <t>sigma-2=</t>
  </si>
  <si>
    <t>sogma-3</t>
  </si>
  <si>
    <t>r12 =</t>
  </si>
  <si>
    <t>1) Linear regression of egg weight in egg length and egg volume</t>
  </si>
  <si>
    <t>Regression Equation :</t>
  </si>
  <si>
    <t>X3 -cap = 0.053*X1 + 0.963 * X2 + 3.495</t>
  </si>
  <si>
    <t>For given value of length 58 mm and volume 52.5 C.C estimated weight using regression is,</t>
  </si>
  <si>
    <t>X3-cap =</t>
  </si>
  <si>
    <t>2) Compute partial correlation Coefficient of weight(X3) and volume(X2), eliminating the effect length(X1)</t>
  </si>
  <si>
    <t>2) calculate multiple correlation coefficient of egg weight(X3) on egg length(X1) and egg volume(X2)</t>
  </si>
  <si>
    <t>price</t>
  </si>
  <si>
    <t>collected the following information on the ages (in years) and prices (in hundred of dollars) of these cars. Also find spearmans rank correlation. Obtain 99% confidence interval for population correlation coefficient. &amp; interpret its.</t>
  </si>
  <si>
    <t xml:space="preserve">An auto manufacturing company wanted to investigate how the price of one of its car model depreciates with age. The research department at the company took a sample of eight cars of this model and </t>
  </si>
  <si>
    <t>Following table gives the height (inches) and weight (pounds) of a random sample of 12 college freshmen (male). Also find spearmans rank correlation.</t>
  </si>
  <si>
    <t>HEIGHT</t>
  </si>
  <si>
    <t>WEIGHT</t>
  </si>
  <si>
    <t xml:space="preserve"> </t>
  </si>
  <si>
    <t>Test the hypothesis that correlation coefficient between Height and weight is 0.5 AT 5% LEVEL. Obtain 95% confidence interval for S.</t>
  </si>
  <si>
    <t>CITY A</t>
  </si>
  <si>
    <t>Y ($)</t>
  </si>
  <si>
    <t>CITY B</t>
  </si>
  <si>
    <t xml:space="preserve"> The data in following table gives the average number of parts manufactured per hour X and the production cost per part Y for five factories in city A and ix factories in city B. </t>
  </si>
  <si>
    <t>Test at 1% level of significance that the correlation coefficient between X and Y are same in both cities. Also construct 99% confidence interval for S₁-S₂</t>
  </si>
  <si>
    <t>X1</t>
  </si>
  <si>
    <t>X2</t>
  </si>
  <si>
    <t>X3</t>
  </si>
  <si>
    <t>(2) Find correlation coefficient between sales and advertising when no of selling agents are constant</t>
  </si>
  <si>
    <t>(3) Keeping advertising cost constant what is the correlation coefficient between sales and no. of selling agents</t>
  </si>
  <si>
    <t>(4) What is joint effect on sales of advertising cost and no of selling agents</t>
  </si>
  <si>
    <t>Following are data of sales (X₁) in Rs. Lakhs, advertising cost (X₂) in '000 Rs. and number of selling agents (X3) of certain factory product.</t>
  </si>
  <si>
    <t>(1) Estimate sales when advertising cost is Rs. 52,000/- &amp; no. of selling agents are 12.</t>
  </si>
  <si>
    <r>
      <t>v</t>
    </r>
    <r>
      <rPr>
        <sz val="7"/>
        <color rgb="FFFF0000"/>
        <rFont val="Times New Roman"/>
        <family val="1"/>
      </rPr>
      <t xml:space="preserve"> </t>
    </r>
    <r>
      <rPr>
        <b/>
        <u/>
        <sz val="16.5"/>
        <color rgb="FFFF0000"/>
        <rFont val="Times New Roman"/>
        <family val="1"/>
      </rPr>
      <t>QUESTION - 5</t>
    </r>
  </si>
  <si>
    <t>SOLUTION</t>
  </si>
  <si>
    <t>17.33 + 1.193 X2 + 2.91 X3</t>
  </si>
  <si>
    <t xml:space="preserve">  X2</t>
  </si>
  <si>
    <t xml:space="preserve">  X3</t>
  </si>
  <si>
    <t>Residual Plots for X1</t>
  </si>
  <si>
    <t>Estimate sales when advertising cost is Rs. 52,000/- &amp; no. of selling agents are 12</t>
  </si>
  <si>
    <t>Sales(X1)=</t>
  </si>
  <si>
    <t>correlation coefficient between sales and advertising when no of selling agents are constant</t>
  </si>
  <si>
    <t>Using MINITAB Software find correlation coefficients r12, r23, r13</t>
  </si>
  <si>
    <t>For this we conclude that the no of sales will be 114  lakhs when the advertising cost is 52000 Rs and number of selling agent is 12.</t>
  </si>
  <si>
    <t>Conclusion : There is a high degree or positive correlation between sales and advertising cost when no of selling agent are kept constant.</t>
  </si>
  <si>
    <t>correlation coefficient between sales and no of selling agent when advertising cost constant</t>
  </si>
  <si>
    <t>Conclusion : There is a high degree or positive correlation between sales and no of selling agent  when advertising cost is  constant.</t>
  </si>
  <si>
    <t>joint effect on sales of advertising cost and no of selling agents</t>
  </si>
  <si>
    <t>Conclusion : There is a  positive correlation between joint effect on sales of advertising cost and no of selling agents.</t>
  </si>
  <si>
    <t>Name: VISHVA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</si>
</sst>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4472C4"/>
      <name val="Times New Roman"/>
      <family val="1"/>
    </font>
    <font>
      <sz val="16.5"/>
      <color rgb="FFFF0000"/>
      <name val="Wingdings"/>
      <charset val="2"/>
    </font>
    <font>
      <sz val="7"/>
      <color rgb="FFFF0000"/>
      <name val="Times New Roman"/>
      <family val="1"/>
    </font>
    <font>
      <b/>
      <u/>
      <sz val="16.5"/>
      <color rgb="FFFF0000"/>
      <name val="Times New Roman"/>
      <family val="1"/>
    </font>
    <font>
      <b/>
      <sz val="14"/>
      <color rgb="FF000000"/>
      <name val="Segoe UI"/>
      <family val="2"/>
    </font>
    <font>
      <sz val="9.5"/>
      <color rgb="FF000000"/>
      <name val="Times New Roman"/>
      <family val="1"/>
    </font>
    <font>
      <sz val="9.5"/>
      <color rgb="FF056EB2"/>
      <name val="Segoe UI"/>
      <family val="2"/>
    </font>
    <font>
      <b/>
      <sz val="9.5"/>
      <color rgb="FF056EB2"/>
      <name val="Segoe UI"/>
      <family val="2"/>
    </font>
    <font>
      <b/>
      <sz val="12"/>
      <color rgb="FF056EB2"/>
      <name val="Segoe UI"/>
      <family val="2"/>
    </font>
    <font>
      <sz val="13"/>
      <color rgb="FF000000"/>
      <name val="Century"/>
      <family val="1"/>
    </font>
    <font>
      <i/>
      <sz val="13"/>
      <color rgb="FF000000"/>
      <name val="Century"/>
      <family val="1"/>
    </font>
    <font>
      <b/>
      <sz val="11"/>
      <color rgb="FF056EB2"/>
      <name val="Segoe UI"/>
      <family val="2"/>
    </font>
    <font>
      <b/>
      <sz val="13"/>
      <color rgb="FF000000"/>
      <name val="Century"/>
      <family val="1"/>
    </font>
    <font>
      <b/>
      <sz val="13"/>
      <color rgb="FF056EB2"/>
      <name val="Century"/>
      <family val="1"/>
    </font>
    <font>
      <b/>
      <u/>
      <sz val="18"/>
      <color rgb="FF385623"/>
      <name val="Times New Roman"/>
      <family val="1"/>
    </font>
    <font>
      <sz val="14"/>
      <color rgb="FF000000"/>
      <name val="Times New Roman"/>
      <family val="1"/>
    </font>
    <font>
      <sz val="18"/>
      <color rgb="FF385623"/>
      <name val="Times New Roman"/>
      <family val="1"/>
    </font>
    <font>
      <sz val="18"/>
      <color rgb="FF000000"/>
      <name val="Times New Roman"/>
      <family val="1"/>
    </font>
    <font>
      <sz val="13"/>
      <color rgb="FF000000"/>
      <name val="Times New Roman"/>
      <family val="1"/>
    </font>
    <font>
      <u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rgb="FF000000"/>
      <name val="Wingdings"/>
      <charset val="2"/>
    </font>
    <font>
      <sz val="7"/>
      <color rgb="FF000000"/>
      <name val="Times New Roman"/>
      <family val="1"/>
    </font>
    <font>
      <sz val="13.5"/>
      <color rgb="FF000000"/>
      <name val="Calibri"/>
      <family val="2"/>
      <scheme val="minor"/>
    </font>
    <font>
      <sz val="13.5"/>
      <color rgb="FF000000"/>
      <name val="Wingdings"/>
      <charset val="2"/>
    </font>
    <font>
      <sz val="13.5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6"/>
      <color rgb="FF056EB2"/>
      <name val="Century"/>
      <family val="1"/>
    </font>
    <font>
      <b/>
      <sz val="16"/>
      <color rgb="FF000000"/>
      <name val="Century"/>
      <family val="1"/>
    </font>
    <font>
      <b/>
      <sz val="11"/>
      <color rgb="FF056EB2"/>
      <name val="Century"/>
      <family val="1"/>
    </font>
    <font>
      <sz val="9"/>
      <color rgb="FF000000"/>
      <name val="Century"/>
      <family val="1"/>
    </font>
    <font>
      <i/>
      <sz val="8.5"/>
      <color rgb="FF000000"/>
      <name val="Century"/>
      <family val="1"/>
    </font>
    <font>
      <b/>
      <sz val="9"/>
      <color rgb="FF000000"/>
      <name val="Century"/>
      <family val="1"/>
    </font>
    <font>
      <b/>
      <sz val="11"/>
      <color rgb="FF000000"/>
      <name val="Segoe UI"/>
      <family val="2"/>
    </font>
    <font>
      <sz val="11"/>
      <color rgb="FF000000"/>
      <name val="Wingdings"/>
      <charset val="2"/>
    </font>
    <font>
      <b/>
      <sz val="18"/>
      <color rgb="FF000000"/>
      <name val="Century"/>
      <family val="1"/>
    </font>
    <font>
      <b/>
      <sz val="12"/>
      <color rgb="FF000000"/>
      <name val="Century"/>
      <family val="1"/>
    </font>
    <font>
      <b/>
      <sz val="16.5"/>
      <color rgb="FFFF0000"/>
      <name val="Times New Roman"/>
      <family val="1"/>
    </font>
    <font>
      <sz val="18"/>
      <color theme="1"/>
      <name val="Wingdings"/>
      <charset val="2"/>
    </font>
    <font>
      <sz val="7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u/>
      <sz val="18"/>
      <color rgb="FF3B3838"/>
      <name val="Calibri"/>
      <family val="2"/>
      <scheme val="minor"/>
    </font>
    <font>
      <sz val="14"/>
      <color theme="1"/>
      <name val="Century"/>
      <family val="1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16"/>
      <color theme="1"/>
      <name val="Century"/>
      <family val="1"/>
    </font>
    <font>
      <sz val="16"/>
      <color theme="1"/>
      <name val="Century"/>
      <family val="1"/>
    </font>
    <font>
      <sz val="16"/>
      <color rgb="FFC00000"/>
      <name val="Century"/>
      <family val="1"/>
    </font>
    <font>
      <sz val="11"/>
      <color rgb="FFC0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Century"/>
      <family val="1"/>
    </font>
    <font>
      <u/>
      <sz val="16"/>
      <color theme="9" tint="-0.499984740745262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38383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horizontal="left" vertical="center" indent="5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 indent="2"/>
    </xf>
    <xf numFmtId="0" fontId="2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right" vertical="center" wrapText="1"/>
    </xf>
    <xf numFmtId="0" fontId="1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0" xfId="0" applyAlignment="1"/>
    <xf numFmtId="0" fontId="15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5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left" vertical="center" indent="5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5" fillId="0" borderId="2" xfId="0" applyFont="1" applyBorder="1" applyAlignment="1">
      <alignment vertical="center" wrapText="1"/>
    </xf>
    <xf numFmtId="0" fontId="35" fillId="0" borderId="2" xfId="0" applyFont="1" applyBorder="1" applyAlignment="1">
      <alignment horizontal="right" vertical="center" wrapText="1"/>
    </xf>
    <xf numFmtId="0" fontId="35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right" vertical="center" wrapText="1"/>
    </xf>
    <xf numFmtId="0" fontId="3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right" vertical="center"/>
    </xf>
    <xf numFmtId="10" fontId="12" fillId="0" borderId="2" xfId="0" applyNumberFormat="1" applyFont="1" applyBorder="1" applyAlignment="1">
      <alignment horizontal="right" vertical="center" wrapText="1"/>
    </xf>
    <xf numFmtId="0" fontId="41" fillId="0" borderId="2" xfId="0" applyFont="1" applyBorder="1" applyAlignment="1">
      <alignment horizontal="left" vertical="center" indent="5"/>
    </xf>
    <xf numFmtId="0" fontId="0" fillId="0" borderId="2" xfId="0" applyBorder="1"/>
    <xf numFmtId="0" fontId="43" fillId="0" borderId="2" xfId="0" applyFont="1" applyBorder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0" fontId="21" fillId="0" borderId="0" xfId="0" applyFont="1" applyAlignment="1">
      <alignment horizontal="left" vertical="center"/>
    </xf>
    <xf numFmtId="0" fontId="50" fillId="0" borderId="0" xfId="0" applyFont="1"/>
    <xf numFmtId="0" fontId="51" fillId="0" borderId="0" xfId="0" applyFont="1"/>
    <xf numFmtId="0" fontId="52" fillId="0" borderId="4" xfId="0" applyFont="1" applyBorder="1"/>
    <xf numFmtId="0" fontId="52" fillId="0" borderId="5" xfId="0" applyFont="1" applyBorder="1"/>
    <xf numFmtId="0" fontId="52" fillId="0" borderId="0" xfId="0" applyFont="1"/>
    <xf numFmtId="0" fontId="0" fillId="0" borderId="9" xfId="0" applyBorder="1"/>
    <xf numFmtId="0" fontId="0" fillId="0" borderId="11" xfId="0" applyBorder="1"/>
    <xf numFmtId="0" fontId="55" fillId="0" borderId="0" xfId="0" applyFont="1" applyAlignment="1">
      <alignment vertical="center"/>
    </xf>
    <xf numFmtId="0" fontId="0" fillId="0" borderId="0" xfId="0" applyFont="1"/>
    <xf numFmtId="0" fontId="55" fillId="0" borderId="3" xfId="0" applyFont="1" applyBorder="1" applyAlignment="1">
      <alignment vertical="center" wrapText="1"/>
    </xf>
    <xf numFmtId="0" fontId="55" fillId="0" borderId="5" xfId="0" applyFont="1" applyBorder="1" applyAlignment="1">
      <alignment vertical="center" wrapText="1"/>
    </xf>
    <xf numFmtId="0" fontId="55" fillId="0" borderId="6" xfId="0" applyFont="1" applyBorder="1" applyAlignment="1">
      <alignment vertical="center" wrapText="1"/>
    </xf>
    <xf numFmtId="0" fontId="55" fillId="0" borderId="7" xfId="0" applyFont="1" applyBorder="1" applyAlignment="1">
      <alignment vertical="center" wrapText="1"/>
    </xf>
    <xf numFmtId="0" fontId="56" fillId="0" borderId="0" xfId="0" applyFont="1" applyAlignment="1">
      <alignment vertical="center"/>
    </xf>
    <xf numFmtId="0" fontId="56" fillId="0" borderId="3" xfId="0" applyFont="1" applyBorder="1" applyAlignment="1">
      <alignment vertical="center" wrapText="1"/>
    </xf>
    <xf numFmtId="0" fontId="56" fillId="0" borderId="5" xfId="0" applyFont="1" applyBorder="1" applyAlignment="1">
      <alignment vertical="center" wrapText="1"/>
    </xf>
    <xf numFmtId="0" fontId="56" fillId="0" borderId="6" xfId="0" applyFont="1" applyBorder="1" applyAlignment="1">
      <alignment vertical="center" wrapText="1"/>
    </xf>
    <xf numFmtId="0" fontId="56" fillId="0" borderId="7" xfId="0" applyFont="1" applyBorder="1" applyAlignment="1">
      <alignment vertical="center" wrapText="1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18" fillId="0" borderId="3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0" xfId="0" applyFont="1" applyAlignment="1">
      <alignment horizontal="left" vertical="center" indent="1"/>
    </xf>
    <xf numFmtId="0" fontId="58" fillId="0" borderId="0" xfId="0" applyFont="1"/>
    <xf numFmtId="10" fontId="58" fillId="0" borderId="0" xfId="0" applyNumberFormat="1" applyFont="1"/>
    <xf numFmtId="0" fontId="59" fillId="0" borderId="0" xfId="0" applyFont="1"/>
    <xf numFmtId="0" fontId="1" fillId="0" borderId="2" xfId="0" applyFont="1" applyBorder="1"/>
    <xf numFmtId="0" fontId="60" fillId="0" borderId="0" xfId="0" applyFont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53" fillId="0" borderId="3" xfId="0" applyFont="1" applyBorder="1"/>
    <xf numFmtId="0" fontId="61" fillId="0" borderId="0" xfId="0" applyFont="1"/>
    <xf numFmtId="0" fontId="54" fillId="0" borderId="3" xfId="0" applyFont="1" applyBorder="1"/>
    <xf numFmtId="0" fontId="5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251460</xdr:rowOff>
    </xdr:from>
    <xdr:to>
      <xdr:col>10</xdr:col>
      <xdr:colOff>579120</xdr:colOff>
      <xdr:row>30</xdr:row>
      <xdr:rowOff>145048</xdr:rowOff>
    </xdr:to>
    <xdr:pic>
      <xdr:nvPicPr>
        <xdr:cNvPr id="2" name="Picture 1" descr="Matrix Plot of Age, Price">
          <a:extLst>
            <a:ext uri="{FF2B5EF4-FFF2-40B4-BE49-F238E27FC236}">
              <a16:creationId xmlns:a16="http://schemas.microsoft.com/office/drawing/2014/main" id="{A9BF2645-B9C6-41C3-81FE-83F3BCF8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7860" y="1417320"/>
          <a:ext cx="4541520" cy="3314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175260</xdr:rowOff>
    </xdr:from>
    <xdr:to>
      <xdr:col>10</xdr:col>
      <xdr:colOff>419100</xdr:colOff>
      <xdr:row>27</xdr:row>
      <xdr:rowOff>144780</xdr:rowOff>
    </xdr:to>
    <xdr:pic>
      <xdr:nvPicPr>
        <xdr:cNvPr id="2" name="Picture 2" descr="Matrix Plot of Height, Weight">
          <a:extLst>
            <a:ext uri="{FF2B5EF4-FFF2-40B4-BE49-F238E27FC236}">
              <a16:creationId xmlns:a16="http://schemas.microsoft.com/office/drawing/2014/main" id="{70FAD816-C80B-49EB-9D6D-BE117BA6D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5380" y="1074420"/>
          <a:ext cx="4770120" cy="3215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38100</xdr:colOff>
      <xdr:row>41</xdr:row>
      <xdr:rowOff>121920</xdr:rowOff>
    </xdr:from>
    <xdr:ext cx="2232660" cy="4677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365FBE1-05E3-4C6A-87F3-3C79FB6A7B2E}"/>
                </a:ext>
              </a:extLst>
            </xdr:cNvPr>
            <xdr:cNvSpPr txBox="1"/>
          </xdr:nvSpPr>
          <xdr:spPr>
            <a:xfrm>
              <a:off x="647700" y="7597140"/>
              <a:ext cx="2232660" cy="46775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6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IN" sz="16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1− </m:t>
                            </m:r>
                            <m:sSup>
                              <m:sSup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p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  <m:r>
                      <a:rPr lang="en-IN" sz="1600" b="0" i="1">
                        <a:latin typeface="Cambria Math" panose="02040503050406030204" pitchFamily="18" charset="0"/>
                      </a:rPr>
                      <m:t>∗</m:t>
                    </m:r>
                    <m:rad>
                      <m:radPr>
                        <m:degHide m:val="on"/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−2</m:t>
                        </m:r>
                      </m:e>
                    </m:rad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365FBE1-05E3-4C6A-87F3-3C79FB6A7B2E}"/>
                </a:ext>
              </a:extLst>
            </xdr:cNvPr>
            <xdr:cNvSpPr txBox="1"/>
          </xdr:nvSpPr>
          <xdr:spPr>
            <a:xfrm>
              <a:off x="647700" y="7597140"/>
              <a:ext cx="2232660" cy="46775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600" b="0" i="0">
                  <a:latin typeface="Cambria Math" panose="02040503050406030204" pitchFamily="18" charset="0"/>
                </a:rPr>
                <a:t>𝑡=  𝑟/√(1− 𝑟^2 )∗√(𝑛−2)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640080</xdr:colOff>
      <xdr:row>18</xdr:row>
      <xdr:rowOff>91440</xdr:rowOff>
    </xdr:from>
    <xdr:to>
      <xdr:col>10</xdr:col>
      <xdr:colOff>99060</xdr:colOff>
      <xdr:row>38</xdr:row>
      <xdr:rowOff>26035</xdr:rowOff>
    </xdr:to>
    <xdr:pic>
      <xdr:nvPicPr>
        <xdr:cNvPr id="2" name="Picture 1" descr="Matrix Plot of X_CityA, Y_cityA">
          <a:extLst>
            <a:ext uri="{FF2B5EF4-FFF2-40B4-BE49-F238E27FC236}">
              <a16:creationId xmlns:a16="http://schemas.microsoft.com/office/drawing/2014/main" id="{76202124-227A-4F87-90B1-39F602FFD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" y="1440180"/>
          <a:ext cx="5471160" cy="36531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8</xdr:col>
      <xdr:colOff>388620</xdr:colOff>
      <xdr:row>63</xdr:row>
      <xdr:rowOff>146685</xdr:rowOff>
    </xdr:to>
    <xdr:pic>
      <xdr:nvPicPr>
        <xdr:cNvPr id="3" name="Picture 2" descr="Chart, scatter chart&#10;&#10;Description automatically generated">
          <a:extLst>
            <a:ext uri="{FF2B5EF4-FFF2-40B4-BE49-F238E27FC236}">
              <a16:creationId xmlns:a16="http://schemas.microsoft.com/office/drawing/2014/main" id="{8A8E24B2-D136-488B-BBCA-FAC16088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0" y="6918960"/>
          <a:ext cx="4518660" cy="3011805"/>
        </a:xfrm>
        <a:prstGeom prst="rect">
          <a:avLst/>
        </a:prstGeom>
      </xdr:spPr>
    </xdr:pic>
    <xdr:clientData/>
  </xdr:twoCellAnchor>
  <xdr:oneCellAnchor>
    <xdr:from>
      <xdr:col>1</xdr:col>
      <xdr:colOff>99060</xdr:colOff>
      <xdr:row>80</xdr:row>
      <xdr:rowOff>220980</xdr:rowOff>
    </xdr:from>
    <xdr:ext cx="1372491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1FE91D3-5AC1-4C1B-83E8-92CD50BF9858}"/>
                </a:ext>
              </a:extLst>
            </xdr:cNvPr>
            <xdr:cNvSpPr txBox="1"/>
          </xdr:nvSpPr>
          <xdr:spPr>
            <a:xfrm>
              <a:off x="708660" y="13632180"/>
              <a:ext cx="1372491" cy="50013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IN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IN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IN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den>
                        </m:f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IN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IN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IN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1FE91D3-5AC1-4C1B-83E8-92CD50BF9858}"/>
                </a:ext>
              </a:extLst>
            </xdr:cNvPr>
            <xdr:cNvSpPr txBox="1"/>
          </xdr:nvSpPr>
          <xdr:spPr>
            <a:xfrm>
              <a:off x="708660" y="13632180"/>
              <a:ext cx="1372491" cy="50013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𝑠= √(1/(𝑛_1−3)+1/(𝑛_2−3))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121920</xdr:colOff>
      <xdr:row>85</xdr:row>
      <xdr:rowOff>0</xdr:rowOff>
    </xdr:from>
    <xdr:ext cx="1176412" cy="5408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07C3F52-C3A7-4785-8610-3E0FDB2ADFF0}"/>
                </a:ext>
              </a:extLst>
            </xdr:cNvPr>
            <xdr:cNvSpPr txBox="1"/>
          </xdr:nvSpPr>
          <xdr:spPr>
            <a:xfrm>
              <a:off x="731520" y="14371320"/>
              <a:ext cx="1176412" cy="5408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8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IN" sz="18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IN" sz="18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IN" sz="18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IN" sz="1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en-IN" sz="18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bSup>
                        <m:r>
                          <a:rPr lang="en-IN" sz="18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IN" sz="18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IN" sz="18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IN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en-IN" sz="18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bSup>
                      </m:num>
                      <m:den>
                        <m:r>
                          <a:rPr lang="en-IN" sz="1800" b="0" i="1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IN" sz="1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07C3F52-C3A7-4785-8610-3E0FDB2ADFF0}"/>
                </a:ext>
              </a:extLst>
            </xdr:cNvPr>
            <xdr:cNvSpPr txBox="1"/>
          </xdr:nvSpPr>
          <xdr:spPr>
            <a:xfrm>
              <a:off x="731520" y="14371320"/>
              <a:ext cx="1176412" cy="5408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800" b="0" i="0">
                  <a:latin typeface="Cambria Math" panose="02040503050406030204" pitchFamily="18" charset="0"/>
                </a:rPr>
                <a:t>𝑧=  (𝑟_1^′−𝑟_2^′)/𝑠</a:t>
              </a:r>
              <a:endParaRPr lang="en-IN" sz="18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0</xdr:rowOff>
    </xdr:from>
    <xdr:to>
      <xdr:col>20</xdr:col>
      <xdr:colOff>529590</xdr:colOff>
      <xdr:row>41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15E0B-BE35-46EF-A28C-25170A944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013960"/>
          <a:ext cx="5406390" cy="360426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62</xdr:row>
      <xdr:rowOff>0</xdr:rowOff>
    </xdr:from>
    <xdr:ext cx="2479012" cy="63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664689B-0EC9-4A6E-B698-F6A5ECFC64B7}"/>
                </a:ext>
              </a:extLst>
            </xdr:cNvPr>
            <xdr:cNvSpPr txBox="1"/>
          </xdr:nvSpPr>
          <xdr:spPr>
            <a:xfrm>
              <a:off x="609600" y="1278636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𝟏𝟑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664689B-0EC9-4A6E-B698-F6A5ECFC64B7}"/>
                </a:ext>
              </a:extLst>
            </xdr:cNvPr>
            <xdr:cNvSpPr txBox="1"/>
          </xdr:nvSpPr>
          <xdr:spPr>
            <a:xfrm>
              <a:off x="609600" y="1278636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(𝑹_(𝟏𝟐.𝟑) )=  (𝒓_𝟏𝟐−𝒓_𝟏𝟑 𝒓_𝟐𝟑)/√((𝟏−𝒓_𝟏𝟑^𝟐 )(𝟏−𝒓_𝟐𝟑^𝟐 ) )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1</xdr:col>
      <xdr:colOff>76200</xdr:colOff>
      <xdr:row>74</xdr:row>
      <xdr:rowOff>7620</xdr:rowOff>
    </xdr:from>
    <xdr:ext cx="2479012" cy="63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60A4613-1970-438F-9422-5F90275DAF19}"/>
                </a:ext>
              </a:extLst>
            </xdr:cNvPr>
            <xdr:cNvSpPr txBox="1"/>
          </xdr:nvSpPr>
          <xdr:spPr>
            <a:xfrm>
              <a:off x="685800" y="1521714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𝟏𝟐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60A4613-1970-438F-9422-5F90275DAF19}"/>
                </a:ext>
              </a:extLst>
            </xdr:cNvPr>
            <xdr:cNvSpPr txBox="1"/>
          </xdr:nvSpPr>
          <xdr:spPr>
            <a:xfrm>
              <a:off x="685800" y="1521714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(𝑹_(𝟏𝟑.𝟐) )=  (𝒓_𝟏𝟑−𝒓_𝟏𝟐 𝒓_𝟐𝟑)/√((𝟏−𝒓_𝟏𝟐^𝟐 )(𝟏−𝒓_𝟐𝟑^𝟐 ) )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0</xdr:col>
      <xdr:colOff>601980</xdr:colOff>
      <xdr:row>85</xdr:row>
      <xdr:rowOff>53340</xdr:rowOff>
    </xdr:from>
    <xdr:ext cx="5773119" cy="6365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AA0DDA4-B2F8-4774-A69D-5298222ED1D8}"/>
                </a:ext>
              </a:extLst>
            </xdr:cNvPr>
            <xdr:cNvSpPr txBox="1"/>
          </xdr:nvSpPr>
          <xdr:spPr>
            <a:xfrm>
              <a:off x="601980" y="17503140"/>
              <a:ext cx="5773119" cy="6365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𝑴𝒖𝒍𝒕𝒊𝒑𝒍𝒆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𝒄𝒐𝒓𝒓𝒆𝒍𝒂𝒕𝒊𝒐𝒏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𝑪𝒐𝒆𝒇𝒇𝒊𝒄𝒊𝒆𝒏𝒕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𝟏𝟐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𝟏𝟑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𝟏𝟐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𝟏𝟑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𝟐𝟑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𝟐𝟑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</m:den>
                        </m:f>
                      </m:e>
                    </m:rad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AA0DDA4-B2F8-4774-A69D-5298222ED1D8}"/>
                </a:ext>
              </a:extLst>
            </xdr:cNvPr>
            <xdr:cNvSpPr txBox="1"/>
          </xdr:nvSpPr>
          <xdr:spPr>
            <a:xfrm>
              <a:off x="601980" y="17503140"/>
              <a:ext cx="5773119" cy="6365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𝑴𝒖𝒍𝒕𝒊𝒑𝒍𝒆 𝒄𝒐𝒓𝒓𝒆𝒍𝒂𝒕𝒊𝒐𝒏 𝑪𝒐𝒆𝒇𝒇𝒊𝒄𝒊𝒆𝒏𝒕 (𝑹_(𝟏.𝟐𝟑) )= √((𝒓_𝟏𝟐^𝟐+𝒓_𝟏𝟑^𝟐−𝟐𝒓_𝟏𝟐 𝒓_𝟏𝟑 𝒓_𝟐𝟑)/(𝟏−𝒓_𝟐𝟑^𝟐 ))</a:t>
              </a:r>
              <a:endParaRPr lang="en-IN" sz="1400" b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13</xdr:row>
      <xdr:rowOff>45720</xdr:rowOff>
    </xdr:from>
    <xdr:ext cx="3654783" cy="2228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E5F6E29-2F6F-40F9-8C1C-41E99E296850}"/>
                </a:ext>
              </a:extLst>
            </xdr:cNvPr>
            <xdr:cNvSpPr txBox="1"/>
          </xdr:nvSpPr>
          <xdr:spPr>
            <a:xfrm>
              <a:off x="731520" y="2423160"/>
              <a:ext cx="3654783" cy="22281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4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IN" sz="1400" b="0" i="1">
                        <a:latin typeface="Cambria Math" panose="02040503050406030204" pitchFamily="18" charset="0"/>
                      </a:rPr>
                      <m:t>3 −</m:t>
                    </m:r>
                    <m:acc>
                      <m:accPr>
                        <m:chr m:val="̅"/>
                        <m:ctrlPr>
                          <a:rPr lang="en-IN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IN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4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IN" sz="14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e>
                    </m:acc>
                    <m:r>
                      <a:rPr lang="en-IN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I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31.2</m:t>
                        </m:r>
                      </m:sub>
                    </m:sSub>
                    <m:r>
                      <a:rPr lang="en-IN" sz="14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IN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1 − </m:t>
                        </m:r>
                        <m:sSub>
                          <m:sSubPr>
                            <m:ctrlPr>
                              <a:rPr lang="en-IN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IN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14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</m:acc>
                          </m:e>
                          <m:sub>
                            <m:r>
                              <a:rPr lang="en-IN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IN" sz="14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I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32.1 </m:t>
                        </m:r>
                      </m:sub>
                    </m:sSub>
                    <m:r>
                      <a:rPr lang="en-IN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IN" sz="14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IN" sz="1400" b="0" i="1">
                        <a:latin typeface="Cambria Math" panose="02040503050406030204" pitchFamily="18" charset="0"/>
                      </a:rPr>
                      <m:t>2 − </m:t>
                    </m:r>
                    <m:sSub>
                      <m:sSubPr>
                        <m:ctrlPr>
                          <a:rPr lang="en-I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IN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IN" sz="14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en-IN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IN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E5F6E29-2F6F-40F9-8C1C-41E99E296850}"/>
                </a:ext>
              </a:extLst>
            </xdr:cNvPr>
            <xdr:cNvSpPr txBox="1"/>
          </xdr:nvSpPr>
          <xdr:spPr>
            <a:xfrm>
              <a:off x="731520" y="2423160"/>
              <a:ext cx="3654783" cy="22281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400" b="0" i="0">
                  <a:latin typeface="Cambria Math" panose="02040503050406030204" pitchFamily="18" charset="0"/>
                </a:rPr>
                <a:t>𝑋3 −(𝑋_3 ) ̅=𝑏_31.2  (𝑋1 − 𝑋 ̅_1 )+ 𝑏_(32.1 ) (𝑋2 − 𝑋 ̅_2)</a:t>
              </a:r>
              <a:endParaRPr lang="en-IN" sz="1400"/>
            </a:p>
          </xdr:txBody>
        </xdr:sp>
      </mc:Fallback>
    </mc:AlternateContent>
    <xdr:clientData/>
  </xdr:oneCellAnchor>
  <xdr:oneCellAnchor>
    <xdr:from>
      <xdr:col>1</xdr:col>
      <xdr:colOff>99060</xdr:colOff>
      <xdr:row>16</xdr:row>
      <xdr:rowOff>53340</xdr:rowOff>
    </xdr:from>
    <xdr:ext cx="2649571" cy="5479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38CEAD-3386-4668-A70A-78CDC90F8546}"/>
                </a:ext>
              </a:extLst>
            </xdr:cNvPr>
            <xdr:cNvSpPr txBox="1"/>
          </xdr:nvSpPr>
          <xdr:spPr>
            <a:xfrm>
              <a:off x="708660" y="2979420"/>
              <a:ext cx="2649571" cy="54797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31.2 </m:t>
                        </m:r>
                      </m:sub>
                    </m:sSub>
                    <m:r>
                      <a:rPr lang="en-IN" sz="16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n-IN" sz="1600" b="0" i="1">
                        <a:latin typeface="Cambria Math" panose="02040503050406030204" pitchFamily="18" charset="0"/>
                      </a:rPr>
                      <m:t>  </m:t>
                    </m:r>
                    <m:d>
                      <m:dPr>
                        <m:begChr m:val="["/>
                        <m:endChr m:val="]"/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31</m:t>
                                </m:r>
                              </m:sub>
                            </m:s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−(</m:t>
                            </m:r>
                            <m:sSub>
                              <m:sSub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32</m:t>
                                </m:r>
                              </m:sub>
                            </m:s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12</m:t>
                                </m:r>
                              </m:sub>
                            </m:s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bSup>
                              <m:sSubSup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12</m:t>
                                </m:r>
                              </m:sub>
                              <m:sup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</m:oMath>
                </m:oMathPara>
              </a14:m>
              <a:endParaRPr lang="en-IN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38CEAD-3386-4668-A70A-78CDC90F8546}"/>
                </a:ext>
              </a:extLst>
            </xdr:cNvPr>
            <xdr:cNvSpPr txBox="1"/>
          </xdr:nvSpPr>
          <xdr:spPr>
            <a:xfrm>
              <a:off x="708660" y="2979420"/>
              <a:ext cx="2649571" cy="54797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600" b="0" i="0">
                  <a:latin typeface="Cambria Math" panose="02040503050406030204" pitchFamily="18" charset="0"/>
                </a:rPr>
                <a:t>𝑏_(31.2 )=  </a:t>
              </a:r>
              <a:r>
                <a:rPr lang="en-IN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IN" sz="1600" b="0" i="0">
                  <a:latin typeface="Cambria Math" panose="02040503050406030204" pitchFamily="18" charset="0"/>
                </a:rPr>
                <a:t>3/</a:t>
              </a:r>
              <a:r>
                <a:rPr lang="en-IN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IN" sz="1600" b="0" i="0">
                  <a:latin typeface="Cambria Math" panose="02040503050406030204" pitchFamily="18" charset="0"/>
                </a:rPr>
                <a:t>1    [(𝑟_31−(𝑟_32∗𝑟_12))/(1−𝑟_12^2 )]</a:t>
              </a:r>
              <a:endParaRPr lang="en-IN" sz="1600"/>
            </a:p>
          </xdr:txBody>
        </xdr:sp>
      </mc:Fallback>
    </mc:AlternateContent>
    <xdr:clientData/>
  </xdr:oneCellAnchor>
  <xdr:oneCellAnchor>
    <xdr:from>
      <xdr:col>1</xdr:col>
      <xdr:colOff>0</xdr:colOff>
      <xdr:row>21</xdr:row>
      <xdr:rowOff>0</xdr:rowOff>
    </xdr:from>
    <xdr:ext cx="2649571" cy="5479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DDABCA2-E2A7-4C72-A39C-AFF044309D80}"/>
                </a:ext>
              </a:extLst>
            </xdr:cNvPr>
            <xdr:cNvSpPr txBox="1"/>
          </xdr:nvSpPr>
          <xdr:spPr>
            <a:xfrm>
              <a:off x="609600" y="3840480"/>
              <a:ext cx="2649571" cy="54797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32.1 </m:t>
                        </m:r>
                      </m:sub>
                    </m:sSub>
                    <m:r>
                      <a:rPr lang="en-IN" sz="16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IN" sz="1600" b="0" i="1">
                        <a:latin typeface="Cambria Math" panose="02040503050406030204" pitchFamily="18" charset="0"/>
                      </a:rPr>
                      <m:t>  </m:t>
                    </m:r>
                    <m:d>
                      <m:dPr>
                        <m:begChr m:val="["/>
                        <m:endChr m:val="]"/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32</m:t>
                                </m:r>
                              </m:sub>
                            </m:s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−(</m:t>
                            </m:r>
                            <m:sSub>
                              <m:sSub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31</m:t>
                                </m:r>
                              </m:sub>
                            </m:s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12</m:t>
                                </m:r>
                              </m:sub>
                            </m:sSub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bSup>
                              <m:sSubSup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12</m:t>
                                </m:r>
                              </m:sub>
                              <m:sup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</m:oMath>
                </m:oMathPara>
              </a14:m>
              <a:endParaRPr lang="en-IN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DDABCA2-E2A7-4C72-A39C-AFF044309D80}"/>
                </a:ext>
              </a:extLst>
            </xdr:cNvPr>
            <xdr:cNvSpPr txBox="1"/>
          </xdr:nvSpPr>
          <xdr:spPr>
            <a:xfrm>
              <a:off x="609600" y="3840480"/>
              <a:ext cx="2649571" cy="54797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600" b="0" i="0">
                  <a:latin typeface="Cambria Math" panose="02040503050406030204" pitchFamily="18" charset="0"/>
                </a:rPr>
                <a:t>𝑏_(32.1 )=  </a:t>
              </a:r>
              <a:r>
                <a:rPr lang="en-IN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IN" sz="1600" b="0" i="0">
                  <a:latin typeface="Cambria Math" panose="02040503050406030204" pitchFamily="18" charset="0"/>
                </a:rPr>
                <a:t>3/</a:t>
              </a:r>
              <a:r>
                <a:rPr lang="en-IN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IN" sz="1600" b="0" i="0">
                  <a:latin typeface="Cambria Math" panose="02040503050406030204" pitchFamily="18" charset="0"/>
                </a:rPr>
                <a:t>2    [(𝑟_32−(𝑟_31∗𝑟_12))/(1−𝑟_12^2 )]</a:t>
              </a:r>
              <a:endParaRPr lang="en-IN" sz="16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2479012" cy="63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6CF1B50-DC95-464A-A114-A157EE367947}"/>
                </a:ext>
              </a:extLst>
            </xdr:cNvPr>
            <xdr:cNvSpPr txBox="1"/>
          </xdr:nvSpPr>
          <xdr:spPr>
            <a:xfrm>
              <a:off x="1219200" y="701040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𝟏𝟐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IN" sz="1400" b="1" i="1">
                                        <a:latin typeface="Cambria Math" panose="02040503050406030204" pitchFamily="18" charset="0"/>
                                      </a:rPr>
                                      <m:t>𝟏𝟑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6CF1B50-DC95-464A-A114-A157EE367947}"/>
                </a:ext>
              </a:extLst>
            </xdr:cNvPr>
            <xdr:cNvSpPr txBox="1"/>
          </xdr:nvSpPr>
          <xdr:spPr>
            <a:xfrm>
              <a:off x="1219200" y="701040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(𝑹_(</a:t>
              </a:r>
              <a:r>
                <a:rPr lang="en-IN" sz="1400" b="1" i="0">
                  <a:latin typeface="Cambria Math" panose="02040503050406030204" pitchFamily="18" charset="0"/>
                </a:rPr>
                <a:t>𝟐</a:t>
              </a:r>
              <a:r>
                <a:rPr lang="en-US" sz="1400" b="1" i="0">
                  <a:latin typeface="Cambria Math" panose="02040503050406030204" pitchFamily="18" charset="0"/>
                </a:rPr>
                <a:t>𝟑.</a:t>
              </a:r>
              <a:r>
                <a:rPr lang="en-IN" sz="1400" b="1" i="0">
                  <a:latin typeface="Cambria Math" panose="02040503050406030204" pitchFamily="18" charset="0"/>
                </a:rPr>
                <a:t>𝟏</a:t>
              </a:r>
              <a:r>
                <a:rPr lang="en-US" sz="1400" b="1" i="0">
                  <a:latin typeface="Cambria Math" panose="02040503050406030204" pitchFamily="18" charset="0"/>
                </a:rPr>
                <a:t>) )=  (𝒓_</a:t>
              </a:r>
              <a:r>
                <a:rPr lang="en-IN" sz="1400" b="1" i="0">
                  <a:latin typeface="Cambria Math" panose="02040503050406030204" pitchFamily="18" charset="0"/>
                </a:rPr>
                <a:t>𝟐𝟑</a:t>
              </a:r>
              <a:r>
                <a:rPr lang="en-US" sz="1400" b="1" i="0">
                  <a:latin typeface="Cambria Math" panose="02040503050406030204" pitchFamily="18" charset="0"/>
                </a:rPr>
                <a:t>−𝒓_𝟏𝟐 𝒓_</a:t>
              </a:r>
              <a:r>
                <a:rPr lang="en-IN" sz="1400" b="1" i="0">
                  <a:latin typeface="Cambria Math" panose="02040503050406030204" pitchFamily="18" charset="0"/>
                </a:rPr>
                <a:t>𝟏</a:t>
              </a:r>
              <a:r>
                <a:rPr lang="en-US" sz="1400" b="1" i="0">
                  <a:latin typeface="Cambria Math" panose="02040503050406030204" pitchFamily="18" charset="0"/>
                </a:rPr>
                <a:t>𝟑)/√((𝟏−𝒓_𝟏𝟐^𝟐 )(𝟏−𝒓_</a:t>
              </a:r>
              <a:r>
                <a:rPr lang="en-IN" sz="1400" b="1" i="0">
                  <a:latin typeface="Cambria Math" panose="02040503050406030204" pitchFamily="18" charset="0"/>
                </a:rPr>
                <a:t>𝟏𝟑</a:t>
              </a:r>
              <a:r>
                <a:rPr lang="en-US" sz="1400" b="1" i="0">
                  <a:latin typeface="Cambria Math" panose="02040503050406030204" pitchFamily="18" charset="0"/>
                </a:rPr>
                <a:t>^𝟐 ) )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2</xdr:col>
      <xdr:colOff>0</xdr:colOff>
      <xdr:row>45</xdr:row>
      <xdr:rowOff>0</xdr:rowOff>
    </xdr:from>
    <xdr:ext cx="5773119" cy="6365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AFD597E-24B8-4916-9BEB-7C69D4E69D10}"/>
                </a:ext>
              </a:extLst>
            </xdr:cNvPr>
            <xdr:cNvSpPr txBox="1"/>
          </xdr:nvSpPr>
          <xdr:spPr>
            <a:xfrm>
              <a:off x="1219200" y="8785860"/>
              <a:ext cx="5773119" cy="6365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𝑴𝒖𝒍𝒕𝒊𝒑𝒍𝒆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𝒄𝒐𝒓𝒓𝒆𝒍𝒂𝒕𝒊𝒐𝒏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𝑪𝒐𝒆𝒇𝒇𝒊𝒄𝒊𝒆𝒏𝒕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IN" sz="1400" b="1" i="1">
                                    <a:latin typeface="Cambria Math" panose="02040503050406030204" pitchFamily="18" charset="0"/>
                                  </a:rPr>
                                  <m:t>𝟐𝟑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𝟏𝟑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𝟏𝟐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𝟏𝟑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𝟐𝟑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IN" sz="1400" b="1" i="1">
                                    <a:latin typeface="Cambria Math" panose="02040503050406030204" pitchFamily="18" charset="0"/>
                                  </a:rPr>
                                  <m:t>𝟏𝟐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</m:den>
                        </m:f>
                      </m:e>
                    </m:rad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AFD597E-24B8-4916-9BEB-7C69D4E69D10}"/>
                </a:ext>
              </a:extLst>
            </xdr:cNvPr>
            <xdr:cNvSpPr txBox="1"/>
          </xdr:nvSpPr>
          <xdr:spPr>
            <a:xfrm>
              <a:off x="1219200" y="8785860"/>
              <a:ext cx="5773119" cy="6365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𝑴𝒖𝒍𝒕𝒊𝒑𝒍𝒆 𝒄𝒐𝒓𝒓𝒆𝒍𝒂𝒕𝒊𝒐𝒏 𝑪𝒐𝒆𝒇𝒇𝒊𝒄𝒊𝒆𝒏𝒕 (𝑹_(</a:t>
              </a:r>
              <a:r>
                <a:rPr lang="en-IN" sz="1400" b="1" i="0">
                  <a:latin typeface="Cambria Math" panose="02040503050406030204" pitchFamily="18" charset="0"/>
                </a:rPr>
                <a:t>𝟑.𝟏𝟐</a:t>
              </a:r>
              <a:r>
                <a:rPr lang="en-US" sz="1400" b="1" i="0">
                  <a:latin typeface="Cambria Math" panose="02040503050406030204" pitchFamily="18" charset="0"/>
                </a:rPr>
                <a:t>) )= √((𝒓_</a:t>
              </a:r>
              <a:r>
                <a:rPr lang="en-IN" sz="1400" b="1" i="0">
                  <a:latin typeface="Cambria Math" panose="02040503050406030204" pitchFamily="18" charset="0"/>
                </a:rPr>
                <a:t>𝟐𝟑</a:t>
              </a:r>
              <a:r>
                <a:rPr lang="en-US" sz="1400" b="1" i="0">
                  <a:latin typeface="Cambria Math" panose="02040503050406030204" pitchFamily="18" charset="0"/>
                </a:rPr>
                <a:t>^𝟐+𝒓_𝟏𝟑^𝟐−𝟐𝒓_𝟏𝟐 𝒓_𝟏𝟑 𝒓_𝟐𝟑)/(𝟏−𝒓_</a:t>
              </a:r>
              <a:r>
                <a:rPr lang="en-IN" sz="1400" b="1" i="0">
                  <a:latin typeface="Cambria Math" panose="02040503050406030204" pitchFamily="18" charset="0"/>
                </a:rPr>
                <a:t>𝟏𝟐</a:t>
              </a:r>
              <a:r>
                <a:rPr lang="en-US" sz="1400" b="1" i="0">
                  <a:latin typeface="Cambria Math" panose="02040503050406030204" pitchFamily="18" charset="0"/>
                </a:rPr>
                <a:t>^𝟐 ))</a:t>
              </a:r>
              <a:endParaRPr lang="en-IN" sz="1400" b="1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13</xdr:row>
      <xdr:rowOff>30480</xdr:rowOff>
    </xdr:from>
    <xdr:ext cx="5773119" cy="6365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6218B3E-8B19-4223-B056-A2E8C963378F}"/>
                </a:ext>
              </a:extLst>
            </xdr:cNvPr>
            <xdr:cNvSpPr txBox="1"/>
          </xdr:nvSpPr>
          <xdr:spPr>
            <a:xfrm>
              <a:off x="617220" y="2407920"/>
              <a:ext cx="5773119" cy="6365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𝑴𝒖𝒍𝒕𝒊𝒑𝒍𝒆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𝒄𝒐𝒓𝒓𝒆𝒍𝒂𝒕𝒊𝒐𝒏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𝑪𝒐𝒆𝒇𝒇𝒊𝒄𝒊𝒆𝒏𝒕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𝟏𝟐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𝟏𝟑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𝟏𝟐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𝟏𝟑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𝟐𝟑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𝒓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𝟐𝟑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bSup>
                          </m:den>
                        </m:f>
                      </m:e>
                    </m:rad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6218B3E-8B19-4223-B056-A2E8C963378F}"/>
                </a:ext>
              </a:extLst>
            </xdr:cNvPr>
            <xdr:cNvSpPr txBox="1"/>
          </xdr:nvSpPr>
          <xdr:spPr>
            <a:xfrm>
              <a:off x="617220" y="2407920"/>
              <a:ext cx="5773119" cy="6365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𝑴𝒖𝒍𝒕𝒊𝒑𝒍𝒆 𝒄𝒐𝒓𝒓𝒆𝒍𝒂𝒕𝒊𝒐𝒏 𝑪𝒐𝒆𝒇𝒇𝒊𝒄𝒊𝒆𝒏𝒕 (𝑹_(𝟏.𝟐𝟑) )= √((𝒓_𝟏𝟐^𝟐+𝒓_𝟏𝟑^𝟐−𝟐𝒓_𝟏𝟐 𝒓_𝟏𝟑 𝒓_𝟐𝟑)/(𝟏−𝒓_𝟐𝟑^𝟐 ))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2479012" cy="63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E29EB95-F3D7-45C5-B916-898B88A56FA4}"/>
                </a:ext>
              </a:extLst>
            </xdr:cNvPr>
            <xdr:cNvSpPr txBox="1"/>
          </xdr:nvSpPr>
          <xdr:spPr>
            <a:xfrm>
              <a:off x="1219200" y="451866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𝟏𝟑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E29EB95-F3D7-45C5-B916-898B88A56FA4}"/>
                </a:ext>
              </a:extLst>
            </xdr:cNvPr>
            <xdr:cNvSpPr txBox="1"/>
          </xdr:nvSpPr>
          <xdr:spPr>
            <a:xfrm>
              <a:off x="1219200" y="451866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(𝑹_(𝟏𝟐.𝟑) )=  (𝒓_𝟏𝟐−𝒓_𝟏𝟑 𝒓_𝟐𝟑)/√((𝟏−𝒓_𝟏𝟑^𝟐 )(𝟏−𝒓_𝟐𝟑^𝟐 ) )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0</xdr:rowOff>
    </xdr:from>
    <xdr:ext cx="2479012" cy="63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CAD740-A3A9-436F-97AF-AFA2CFB3D267}"/>
                </a:ext>
              </a:extLst>
            </xdr:cNvPr>
            <xdr:cNvSpPr txBox="1"/>
          </xdr:nvSpPr>
          <xdr:spPr>
            <a:xfrm>
              <a:off x="1219200" y="547878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𝟏𝟐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𝟐𝟑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𝟏𝟐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  <m:d>
                              <m:d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𝒓</m:t>
                                    </m:r>
                                  </m:e>
                                  <m:sub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𝟐𝟑</m:t>
                                    </m:r>
                                  </m:sub>
                                  <m:sup>
                                    <m:r>
                                      <a:rPr lang="en-US" sz="1400" b="1" i="1">
                                        <a:latin typeface="Cambria Math" panose="02040503050406030204" pitchFamily="18" charset="0"/>
                                      </a:rPr>
                                      <m:t>𝟐</m:t>
                                    </m:r>
                                  </m:sup>
                                </m:sSubSup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CAD740-A3A9-436F-97AF-AFA2CFB3D267}"/>
                </a:ext>
              </a:extLst>
            </xdr:cNvPr>
            <xdr:cNvSpPr txBox="1"/>
          </xdr:nvSpPr>
          <xdr:spPr>
            <a:xfrm>
              <a:off x="1219200" y="5478780"/>
              <a:ext cx="2479012" cy="639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(𝑹_(𝟏𝟑.𝟐) )=  (𝒓_𝟏𝟑−𝒓_𝟏𝟐 𝒓_𝟐𝟑)/√((𝟏−𝒓_𝟏𝟐^𝟐 )(𝟏−𝒓_𝟐𝟑^𝟐 ) )</a:t>
              </a:r>
              <a:endParaRPr lang="en-IN" sz="1400" b="1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</xdr:colOff>
      <xdr:row>10</xdr:row>
      <xdr:rowOff>15240</xdr:rowOff>
    </xdr:from>
    <xdr:to>
      <xdr:col>14</xdr:col>
      <xdr:colOff>571500</xdr:colOff>
      <xdr:row>25</xdr:row>
      <xdr:rowOff>129540</xdr:rowOff>
    </xdr:to>
    <xdr:pic>
      <xdr:nvPicPr>
        <xdr:cNvPr id="2" name="Picture 1" descr="Matrix Plot of X, Y">
          <a:extLst>
            <a:ext uri="{FF2B5EF4-FFF2-40B4-BE49-F238E27FC236}">
              <a16:creationId xmlns:a16="http://schemas.microsoft.com/office/drawing/2014/main" id="{A1BA739C-C393-41EB-81B3-B981E8EB5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5640" y="2087880"/>
          <a:ext cx="4770120" cy="3185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FC36-1A94-4241-8A29-67A8DBEE7D22}">
  <dimension ref="B1:J43"/>
  <sheetViews>
    <sheetView tabSelected="1" workbookViewId="0">
      <selection activeCell="D5" sqref="D5"/>
    </sheetView>
  </sheetViews>
  <sheetFormatPr defaultRowHeight="15" x14ac:dyDescent="0.25"/>
  <cols>
    <col min="2" max="2" width="40.42578125" customWidth="1"/>
    <col min="4" max="4" width="9.5703125" customWidth="1"/>
    <col min="5" max="5" width="15.85546875" customWidth="1"/>
    <col min="6" max="6" width="22.28515625" customWidth="1"/>
  </cols>
  <sheetData>
    <row r="1" spans="2:10" ht="20.25" x14ac:dyDescent="0.25">
      <c r="E1" s="4" t="s">
        <v>8</v>
      </c>
    </row>
    <row r="2" spans="2:10" ht="20.25" x14ac:dyDescent="0.25">
      <c r="E2" s="4" t="s">
        <v>158</v>
      </c>
    </row>
    <row r="4" spans="2:10" ht="20.25" x14ac:dyDescent="0.25">
      <c r="B4" s="4"/>
    </row>
    <row r="5" spans="2:10" ht="20.25" x14ac:dyDescent="0.25">
      <c r="B5" s="4"/>
    </row>
    <row r="6" spans="2:10" ht="21" x14ac:dyDescent="0.25">
      <c r="B6" s="6" t="s">
        <v>9</v>
      </c>
    </row>
    <row r="7" spans="2:10" x14ac:dyDescent="0.25">
      <c r="B7" s="77" t="s">
        <v>123</v>
      </c>
      <c r="C7" s="78"/>
      <c r="D7" s="78"/>
      <c r="E7" s="78"/>
      <c r="F7" s="78"/>
      <c r="G7" s="78"/>
      <c r="H7" s="78"/>
      <c r="I7" s="78"/>
      <c r="J7" s="78"/>
    </row>
    <row r="8" spans="2:10" ht="15.75" thickBot="1" x14ac:dyDescent="0.3">
      <c r="B8" s="77" t="s">
        <v>122</v>
      </c>
      <c r="C8" s="78"/>
      <c r="D8" s="78"/>
      <c r="E8" s="78"/>
      <c r="F8" s="78"/>
      <c r="G8" s="78"/>
      <c r="H8" s="78"/>
      <c r="I8" s="78"/>
      <c r="J8" s="78"/>
    </row>
    <row r="9" spans="2:10" ht="15.75" thickBot="1" x14ac:dyDescent="0.3">
      <c r="B9" s="79" t="s">
        <v>17</v>
      </c>
      <c r="C9" s="80">
        <v>8</v>
      </c>
      <c r="D9" s="80">
        <v>3</v>
      </c>
      <c r="E9" s="80">
        <v>6</v>
      </c>
      <c r="F9" s="80">
        <v>9</v>
      </c>
      <c r="G9" s="80">
        <v>2</v>
      </c>
      <c r="H9" s="80">
        <v>5</v>
      </c>
      <c r="I9" s="80">
        <v>6</v>
      </c>
      <c r="J9" s="80">
        <v>3</v>
      </c>
    </row>
    <row r="10" spans="2:10" ht="15.75" thickBot="1" x14ac:dyDescent="0.3">
      <c r="B10" s="81" t="s">
        <v>121</v>
      </c>
      <c r="C10" s="82">
        <v>18</v>
      </c>
      <c r="D10" s="82">
        <v>94</v>
      </c>
      <c r="E10" s="82">
        <v>50</v>
      </c>
      <c r="F10" s="82">
        <v>21</v>
      </c>
      <c r="G10" s="82">
        <v>145</v>
      </c>
      <c r="H10" s="82">
        <v>42</v>
      </c>
      <c r="I10" s="82">
        <v>36</v>
      </c>
      <c r="J10" s="82">
        <v>99</v>
      </c>
    </row>
    <row r="11" spans="2:10" ht="20.25" x14ac:dyDescent="0.25">
      <c r="B11" s="4"/>
    </row>
    <row r="12" spans="2:10" ht="20.25" x14ac:dyDescent="0.25">
      <c r="B12" s="4"/>
    </row>
    <row r="13" spans="2:10" ht="20.25" x14ac:dyDescent="0.25">
      <c r="B13" s="4"/>
    </row>
    <row r="15" spans="2:10" x14ac:dyDescent="0.25">
      <c r="C15" s="5"/>
    </row>
    <row r="16" spans="2:10" ht="20.25" x14ac:dyDescent="0.25">
      <c r="B16" s="4" t="s">
        <v>34</v>
      </c>
    </row>
    <row r="18" spans="2:3" ht="20.25" x14ac:dyDescent="0.25">
      <c r="B18" s="7" t="s">
        <v>10</v>
      </c>
    </row>
    <row r="19" spans="2:3" x14ac:dyDescent="0.25">
      <c r="B19" s="8"/>
    </row>
    <row r="21" spans="2:3" x14ac:dyDescent="0.25">
      <c r="B21" s="9"/>
    </row>
    <row r="22" spans="2:3" x14ac:dyDescent="0.25">
      <c r="B22" s="9"/>
    </row>
    <row r="23" spans="2:3" ht="17.25" x14ac:dyDescent="0.25">
      <c r="B23" s="10" t="s">
        <v>11</v>
      </c>
    </row>
    <row r="24" spans="2:3" ht="16.5" x14ac:dyDescent="0.25">
      <c r="B24" s="20" t="s">
        <v>12</v>
      </c>
      <c r="C24" s="20" t="s">
        <v>13</v>
      </c>
    </row>
    <row r="25" spans="2:3" ht="16.5" x14ac:dyDescent="0.25">
      <c r="B25" s="20" t="s">
        <v>14</v>
      </c>
      <c r="C25" s="11">
        <v>8</v>
      </c>
    </row>
    <row r="26" spans="2:3" ht="16.5" x14ac:dyDescent="0.25">
      <c r="B26" s="12" t="s">
        <v>15</v>
      </c>
    </row>
    <row r="27" spans="2:3" x14ac:dyDescent="0.25">
      <c r="B27" s="9"/>
    </row>
    <row r="28" spans="2:3" ht="16.5" x14ac:dyDescent="0.25">
      <c r="B28" s="13" t="s">
        <v>16</v>
      </c>
    </row>
    <row r="29" spans="2:3" ht="17.25" thickBot="1" x14ac:dyDescent="0.3">
      <c r="B29" s="14"/>
      <c r="C29" s="15" t="s">
        <v>17</v>
      </c>
    </row>
    <row r="30" spans="2:3" ht="16.5" x14ac:dyDescent="0.25">
      <c r="B30" s="11" t="s">
        <v>18</v>
      </c>
      <c r="C30" s="16">
        <v>-0.92800000000000005</v>
      </c>
    </row>
    <row r="31" spans="2:3" x14ac:dyDescent="0.25">
      <c r="B31" s="9"/>
    </row>
    <row r="32" spans="2:3" x14ac:dyDescent="0.25">
      <c r="B32" s="9"/>
    </row>
    <row r="33" spans="2:10" ht="16.5" x14ac:dyDescent="0.25">
      <c r="B33" s="17" t="s">
        <v>19</v>
      </c>
    </row>
    <row r="34" spans="2:10" ht="33.75" thickBot="1" x14ac:dyDescent="0.3">
      <c r="B34" s="18" t="s">
        <v>20</v>
      </c>
      <c r="C34" s="18" t="s">
        <v>21</v>
      </c>
      <c r="D34" s="18" t="s">
        <v>22</v>
      </c>
      <c r="E34" s="18" t="s">
        <v>23</v>
      </c>
      <c r="F34" s="18" t="s">
        <v>24</v>
      </c>
      <c r="G34" s="18" t="s">
        <v>25</v>
      </c>
      <c r="J34" s="28" t="s">
        <v>32</v>
      </c>
    </row>
    <row r="35" spans="2:10" ht="16.5" x14ac:dyDescent="0.25">
      <c r="B35" s="19" t="s">
        <v>18</v>
      </c>
      <c r="C35" s="19" t="s">
        <v>17</v>
      </c>
      <c r="D35" s="19">
        <v>8</v>
      </c>
      <c r="E35" s="19">
        <v>-0.92800000000000005</v>
      </c>
      <c r="F35" s="19" t="s">
        <v>26</v>
      </c>
      <c r="G35" s="19">
        <v>1E-3</v>
      </c>
    </row>
    <row r="36" spans="2:10" ht="16.5" x14ac:dyDescent="0.25">
      <c r="B36" s="20"/>
    </row>
    <row r="37" spans="2:10" ht="22.5" x14ac:dyDescent="0.25">
      <c r="B37" s="21" t="s">
        <v>27</v>
      </c>
    </row>
    <row r="38" spans="2:10" ht="18.75" x14ac:dyDescent="0.25">
      <c r="B38" s="22" t="s">
        <v>28</v>
      </c>
    </row>
    <row r="39" spans="2:10" ht="23.25" x14ac:dyDescent="0.25">
      <c r="B39" s="23"/>
    </row>
    <row r="40" spans="2:10" ht="23.25" x14ac:dyDescent="0.25">
      <c r="B40" s="24" t="s">
        <v>29</v>
      </c>
    </row>
    <row r="41" spans="2:10" ht="17.25" x14ac:dyDescent="0.25">
      <c r="B41" s="25" t="s">
        <v>30</v>
      </c>
    </row>
    <row r="42" spans="2:10" ht="17.25" x14ac:dyDescent="0.25">
      <c r="B42" s="26" t="s">
        <v>31</v>
      </c>
    </row>
    <row r="43" spans="2:10" ht="18" x14ac:dyDescent="0.25">
      <c r="B43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883B-638F-44F8-872F-0C82585CB9EC}">
  <dimension ref="B3:N51"/>
  <sheetViews>
    <sheetView workbookViewId="0">
      <selection activeCell="B16" sqref="B16"/>
    </sheetView>
  </sheetViews>
  <sheetFormatPr defaultRowHeight="15" x14ac:dyDescent="0.25"/>
  <cols>
    <col min="2" max="2" width="41.42578125" customWidth="1"/>
    <col min="3" max="3" width="12.85546875" customWidth="1"/>
    <col min="4" max="4" width="8.85546875" customWidth="1"/>
    <col min="6" max="6" width="19" customWidth="1"/>
  </cols>
  <sheetData>
    <row r="3" spans="2:14" ht="21" x14ac:dyDescent="0.25">
      <c r="B3" s="6" t="s">
        <v>35</v>
      </c>
    </row>
    <row r="5" spans="2:14" ht="20.25" x14ac:dyDescent="0.25">
      <c r="B5" s="4"/>
    </row>
    <row r="6" spans="2:14" ht="15.75" x14ac:dyDescent="0.25">
      <c r="B6" s="83" t="s">
        <v>124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2:14" ht="16.5" thickBot="1" x14ac:dyDescent="0.3">
      <c r="B7" s="83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2:14" ht="16.5" thickBot="1" x14ac:dyDescent="0.3">
      <c r="B8" s="84" t="s">
        <v>125</v>
      </c>
      <c r="C8" s="85">
        <v>73</v>
      </c>
      <c r="D8" s="85">
        <v>71</v>
      </c>
      <c r="E8" s="85">
        <v>66</v>
      </c>
      <c r="F8" s="85">
        <v>67</v>
      </c>
      <c r="G8" s="85">
        <v>66</v>
      </c>
      <c r="H8" s="85">
        <v>70</v>
      </c>
      <c r="I8" s="85">
        <v>72</v>
      </c>
      <c r="J8" s="85">
        <v>74</v>
      </c>
      <c r="K8" s="85">
        <v>69</v>
      </c>
      <c r="L8" s="85">
        <v>67</v>
      </c>
      <c r="M8" s="85">
        <v>71</v>
      </c>
      <c r="N8" s="85">
        <v>71</v>
      </c>
    </row>
    <row r="9" spans="2:14" ht="16.5" thickBot="1" x14ac:dyDescent="0.3">
      <c r="B9" s="86" t="s">
        <v>126</v>
      </c>
      <c r="C9" s="87">
        <v>190</v>
      </c>
      <c r="D9" s="87">
        <v>179</v>
      </c>
      <c r="E9" s="87">
        <v>46</v>
      </c>
      <c r="F9" s="87">
        <v>145</v>
      </c>
      <c r="G9" s="87">
        <v>144</v>
      </c>
      <c r="H9" s="87">
        <v>164</v>
      </c>
      <c r="I9" s="87">
        <v>183</v>
      </c>
      <c r="J9" s="87">
        <v>200</v>
      </c>
      <c r="K9" s="87">
        <v>157</v>
      </c>
      <c r="L9" s="87">
        <v>150</v>
      </c>
      <c r="M9" s="87">
        <v>170</v>
      </c>
      <c r="N9" s="87">
        <v>172</v>
      </c>
    </row>
    <row r="10" spans="2:14" ht="15.75" x14ac:dyDescent="0.25">
      <c r="B10" s="83" t="s">
        <v>127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2:14" ht="15.75" x14ac:dyDescent="0.25">
      <c r="B11" s="83" t="s">
        <v>128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2:14" ht="15.75" x14ac:dyDescent="0.25">
      <c r="B12" s="83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2:14" ht="20.25" x14ac:dyDescent="0.25">
      <c r="B13" s="4" t="s">
        <v>34</v>
      </c>
    </row>
    <row r="15" spans="2:14" ht="16.5" x14ac:dyDescent="0.25">
      <c r="B15" s="29" t="s">
        <v>36</v>
      </c>
    </row>
    <row r="16" spans="2:14" x14ac:dyDescent="0.25">
      <c r="B16" s="8"/>
    </row>
    <row r="17" spans="2:7" x14ac:dyDescent="0.25">
      <c r="B17" s="30"/>
    </row>
    <row r="18" spans="2:7" x14ac:dyDescent="0.25">
      <c r="B18" s="9"/>
    </row>
    <row r="19" spans="2:7" x14ac:dyDescent="0.25">
      <c r="B19" s="9"/>
    </row>
    <row r="21" spans="2:7" ht="20.25" x14ac:dyDescent="0.25">
      <c r="B21" s="31" t="s">
        <v>11</v>
      </c>
    </row>
    <row r="22" spans="2:7" ht="16.5" x14ac:dyDescent="0.25">
      <c r="B22" s="20" t="s">
        <v>12</v>
      </c>
      <c r="C22" s="20" t="s">
        <v>13</v>
      </c>
    </row>
    <row r="23" spans="2:7" ht="16.5" x14ac:dyDescent="0.25">
      <c r="B23" s="20" t="s">
        <v>14</v>
      </c>
      <c r="C23" s="11">
        <v>12</v>
      </c>
    </row>
    <row r="24" spans="2:7" ht="16.5" x14ac:dyDescent="0.25">
      <c r="B24" s="12" t="s">
        <v>15</v>
      </c>
    </row>
    <row r="25" spans="2:7" ht="16.5" x14ac:dyDescent="0.25">
      <c r="B25" s="17"/>
    </row>
    <row r="26" spans="2:7" ht="16.5" x14ac:dyDescent="0.25">
      <c r="B26" s="17" t="s">
        <v>16</v>
      </c>
    </row>
    <row r="27" spans="2:7" ht="16.5" x14ac:dyDescent="0.25">
      <c r="B27" s="32"/>
      <c r="C27" s="33" t="s">
        <v>37</v>
      </c>
    </row>
    <row r="28" spans="2:7" ht="16.5" x14ac:dyDescent="0.25">
      <c r="B28" s="34" t="s">
        <v>38</v>
      </c>
      <c r="C28" s="35">
        <v>0.97499999999999998</v>
      </c>
    </row>
    <row r="29" spans="2:7" x14ac:dyDescent="0.25">
      <c r="B29" s="9"/>
    </row>
    <row r="30" spans="2:7" ht="16.5" x14ac:dyDescent="0.25">
      <c r="B30" s="17" t="s">
        <v>19</v>
      </c>
    </row>
    <row r="31" spans="2:7" ht="33" x14ac:dyDescent="0.25">
      <c r="B31" s="36" t="s">
        <v>20</v>
      </c>
      <c r="C31" s="36" t="s">
        <v>21</v>
      </c>
      <c r="D31" s="36" t="s">
        <v>22</v>
      </c>
      <c r="E31" s="36" t="s">
        <v>23</v>
      </c>
      <c r="F31" s="36" t="s">
        <v>39</v>
      </c>
      <c r="G31" s="36" t="s">
        <v>25</v>
      </c>
    </row>
    <row r="32" spans="2:7" ht="16.5" x14ac:dyDescent="0.25">
      <c r="B32" s="37" t="s">
        <v>38</v>
      </c>
      <c r="C32" s="37" t="s">
        <v>37</v>
      </c>
      <c r="D32" s="37">
        <v>12</v>
      </c>
      <c r="E32" s="37">
        <v>0.97499999999999998</v>
      </c>
      <c r="F32" s="37" t="s">
        <v>40</v>
      </c>
      <c r="G32" s="37">
        <v>0</v>
      </c>
    </row>
    <row r="33" spans="2:4" x14ac:dyDescent="0.25">
      <c r="B33" s="8"/>
    </row>
    <row r="34" spans="2:4" ht="22.5" x14ac:dyDescent="0.25">
      <c r="B34" s="21"/>
      <c r="D34" s="28" t="s">
        <v>41</v>
      </c>
    </row>
    <row r="35" spans="2:4" ht="23.25" x14ac:dyDescent="0.25">
      <c r="B35" s="24"/>
    </row>
    <row r="36" spans="2:4" ht="23.25" x14ac:dyDescent="0.25">
      <c r="B36" s="24" t="s">
        <v>29</v>
      </c>
    </row>
    <row r="37" spans="2:4" ht="17.25" x14ac:dyDescent="0.25">
      <c r="B37" s="25" t="s">
        <v>89</v>
      </c>
    </row>
    <row r="38" spans="2:4" ht="16.5" x14ac:dyDescent="0.25">
      <c r="B38" s="26"/>
    </row>
    <row r="39" spans="2:4" ht="18" x14ac:dyDescent="0.25">
      <c r="B39" s="27" t="s">
        <v>90</v>
      </c>
    </row>
    <row r="41" spans="2:4" x14ac:dyDescent="0.25">
      <c r="B41" t="s">
        <v>91</v>
      </c>
    </row>
    <row r="43" spans="2:4" x14ac:dyDescent="0.25">
      <c r="C43">
        <f>(E32/(SQRT(1-E32^2)))*(SQRT(D32-2))</f>
        <v>13.875577305813986</v>
      </c>
    </row>
    <row r="47" spans="2:4" ht="23.25" x14ac:dyDescent="0.4">
      <c r="B47" s="68" t="s">
        <v>92</v>
      </c>
      <c r="C47">
        <f>_xlfn.T.INV.2T(0.05/2, D32-2)</f>
        <v>2.6337669157115977</v>
      </c>
    </row>
    <row r="50" spans="2:2" ht="18.75" x14ac:dyDescent="0.3">
      <c r="B50" s="1" t="s">
        <v>93</v>
      </c>
    </row>
    <row r="51" spans="2:2" ht="18.75" x14ac:dyDescent="0.3">
      <c r="B51" s="1" t="s">
        <v>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3858-AAD1-4010-9442-53EEBAA1F793}">
  <dimension ref="B3:I97"/>
  <sheetViews>
    <sheetView topLeftCell="A52" workbookViewId="0">
      <selection activeCell="B18" sqref="B18"/>
    </sheetView>
  </sheetViews>
  <sheetFormatPr defaultRowHeight="15" x14ac:dyDescent="0.25"/>
  <cols>
    <col min="2" max="2" width="41.28515625" customWidth="1"/>
    <col min="3" max="3" width="13.42578125" customWidth="1"/>
    <col min="4" max="4" width="9.7109375" customWidth="1"/>
    <col min="5" max="5" width="18.5703125" customWidth="1"/>
    <col min="6" max="6" width="19.85546875" customWidth="1"/>
    <col min="7" max="7" width="12.85546875" customWidth="1"/>
  </cols>
  <sheetData>
    <row r="3" spans="2:6" ht="21" x14ac:dyDescent="0.25">
      <c r="B3" s="6" t="s">
        <v>42</v>
      </c>
    </row>
    <row r="5" spans="2:6" ht="20.25" x14ac:dyDescent="0.25">
      <c r="B5" s="4"/>
    </row>
    <row r="6" spans="2:6" x14ac:dyDescent="0.25">
      <c r="B6" s="77" t="s">
        <v>132</v>
      </c>
      <c r="C6" s="78"/>
      <c r="D6" s="78"/>
      <c r="E6" s="78"/>
      <c r="F6" s="78"/>
    </row>
    <row r="7" spans="2:6" x14ac:dyDescent="0.25">
      <c r="B7" s="77" t="s">
        <v>133</v>
      </c>
      <c r="C7" s="78"/>
      <c r="D7" s="78"/>
      <c r="E7" s="78"/>
      <c r="F7" s="78"/>
    </row>
    <row r="8" spans="2:6" x14ac:dyDescent="0.25">
      <c r="B8" s="88" t="s">
        <v>129</v>
      </c>
      <c r="E8" s="88" t="s">
        <v>131</v>
      </c>
    </row>
    <row r="9" spans="2:6" x14ac:dyDescent="0.25">
      <c r="B9" s="89" t="s">
        <v>53</v>
      </c>
      <c r="C9" s="89" t="s">
        <v>130</v>
      </c>
      <c r="E9" s="89" t="s">
        <v>53</v>
      </c>
      <c r="F9" s="89" t="s">
        <v>130</v>
      </c>
    </row>
    <row r="10" spans="2:6" x14ac:dyDescent="0.25">
      <c r="B10" s="89">
        <v>11</v>
      </c>
      <c r="C10" s="89">
        <v>1.6</v>
      </c>
      <c r="E10" s="89">
        <v>19</v>
      </c>
      <c r="F10" s="89">
        <v>1</v>
      </c>
    </row>
    <row r="11" spans="2:6" x14ac:dyDescent="0.25">
      <c r="B11" s="89">
        <v>13</v>
      </c>
      <c r="C11" s="89">
        <v>1.2</v>
      </c>
      <c r="E11" s="89">
        <v>19</v>
      </c>
      <c r="F11" s="89">
        <v>0.5</v>
      </c>
    </row>
    <row r="12" spans="2:6" x14ac:dyDescent="0.25">
      <c r="B12" s="89">
        <v>10</v>
      </c>
      <c r="C12" s="89">
        <v>1.8</v>
      </c>
      <c r="E12" s="89">
        <v>21</v>
      </c>
      <c r="F12" s="89">
        <v>0.7</v>
      </c>
    </row>
    <row r="13" spans="2:6" x14ac:dyDescent="0.25">
      <c r="B13" s="89">
        <v>11</v>
      </c>
      <c r="C13" s="89">
        <v>1.3</v>
      </c>
      <c r="E13" s="89">
        <v>17</v>
      </c>
      <c r="F13" s="89">
        <v>0.7</v>
      </c>
    </row>
    <row r="14" spans="2:6" x14ac:dyDescent="0.25">
      <c r="B14" s="89">
        <v>13</v>
      </c>
      <c r="C14" s="89">
        <v>1.5</v>
      </c>
      <c r="E14" s="89">
        <v>10</v>
      </c>
      <c r="F14" s="89">
        <v>2</v>
      </c>
    </row>
    <row r="15" spans="2:6" x14ac:dyDescent="0.25">
      <c r="E15" s="89">
        <v>10</v>
      </c>
      <c r="F15" s="89">
        <v>1.95</v>
      </c>
    </row>
    <row r="18" spans="2:2" ht="20.25" x14ac:dyDescent="0.25">
      <c r="B18" s="4" t="s">
        <v>34</v>
      </c>
    </row>
    <row r="23" spans="2:2" ht="16.5" x14ac:dyDescent="0.25">
      <c r="B23" s="12" t="s">
        <v>15</v>
      </c>
    </row>
    <row r="38" spans="2:7" ht="16.5" x14ac:dyDescent="0.25">
      <c r="B38" s="17" t="s">
        <v>16</v>
      </c>
      <c r="C38" s="38"/>
      <c r="D38" s="38"/>
      <c r="E38" s="38"/>
      <c r="F38" s="38"/>
      <c r="G38" s="38"/>
    </row>
    <row r="39" spans="2:7" ht="16.5" x14ac:dyDescent="0.25">
      <c r="B39" s="39"/>
      <c r="C39" s="39" t="s">
        <v>43</v>
      </c>
      <c r="D39" s="38"/>
      <c r="E39" s="38"/>
      <c r="F39" s="38"/>
      <c r="G39" s="38"/>
    </row>
    <row r="40" spans="2:7" ht="16.5" x14ac:dyDescent="0.25">
      <c r="B40" s="40" t="s">
        <v>44</v>
      </c>
      <c r="C40" s="40">
        <v>-0.73799999999999999</v>
      </c>
      <c r="D40" s="38"/>
      <c r="E40" s="38"/>
      <c r="F40" s="38"/>
      <c r="G40" s="38"/>
    </row>
    <row r="41" spans="2:7" ht="16.5" x14ac:dyDescent="0.25">
      <c r="B41" s="17"/>
      <c r="C41" s="38"/>
      <c r="D41" s="38"/>
      <c r="E41" s="38"/>
      <c r="F41" s="38"/>
      <c r="G41" s="38"/>
    </row>
    <row r="42" spans="2:7" ht="16.5" x14ac:dyDescent="0.25">
      <c r="B42" s="17" t="s">
        <v>19</v>
      </c>
      <c r="C42" s="38"/>
      <c r="D42" s="38"/>
      <c r="E42" s="38"/>
      <c r="F42" s="38"/>
      <c r="G42" s="38"/>
    </row>
    <row r="43" spans="2:7" ht="16.5" x14ac:dyDescent="0.25">
      <c r="B43" s="39" t="s">
        <v>20</v>
      </c>
      <c r="C43" s="39" t="s">
        <v>21</v>
      </c>
      <c r="D43" s="39" t="s">
        <v>22</v>
      </c>
      <c r="E43" s="39" t="s">
        <v>23</v>
      </c>
      <c r="F43" s="39" t="s">
        <v>24</v>
      </c>
      <c r="G43" s="39" t="s">
        <v>25</v>
      </c>
    </row>
    <row r="44" spans="2:7" ht="16.5" x14ac:dyDescent="0.25">
      <c r="B44" s="40" t="s">
        <v>44</v>
      </c>
      <c r="C44" s="40" t="s">
        <v>43</v>
      </c>
      <c r="D44" s="40">
        <v>5</v>
      </c>
      <c r="E44" s="40">
        <v>-0.73799999999999999</v>
      </c>
      <c r="F44" s="40" t="s">
        <v>45</v>
      </c>
      <c r="G44" s="40">
        <v>0.155</v>
      </c>
    </row>
    <row r="49" spans="2:3" ht="16.5" x14ac:dyDescent="0.25">
      <c r="B49" s="17" t="s">
        <v>11</v>
      </c>
    </row>
    <row r="50" spans="2:3" ht="16.5" x14ac:dyDescent="0.25">
      <c r="B50" s="11" t="s">
        <v>12</v>
      </c>
      <c r="C50" s="11" t="s">
        <v>13</v>
      </c>
    </row>
    <row r="51" spans="2:3" ht="16.5" x14ac:dyDescent="0.25">
      <c r="B51" s="11" t="s">
        <v>14</v>
      </c>
      <c r="C51" s="11">
        <v>6</v>
      </c>
    </row>
    <row r="52" spans="2:3" ht="16.5" x14ac:dyDescent="0.25">
      <c r="B52" s="12" t="s">
        <v>15</v>
      </c>
    </row>
    <row r="68" spans="2:9" ht="16.5" x14ac:dyDescent="0.25">
      <c r="B68" s="17" t="s">
        <v>16</v>
      </c>
      <c r="C68" s="38"/>
      <c r="D68" s="38"/>
      <c r="E68" s="38"/>
      <c r="F68" s="38"/>
      <c r="G68" s="38"/>
    </row>
    <row r="69" spans="2:9" ht="16.5" x14ac:dyDescent="0.25">
      <c r="B69" s="32"/>
      <c r="C69" s="32" t="s">
        <v>46</v>
      </c>
      <c r="D69" s="38"/>
      <c r="E69" s="38"/>
      <c r="F69" s="38"/>
      <c r="G69" s="38"/>
    </row>
    <row r="70" spans="2:9" ht="16.5" x14ac:dyDescent="0.25">
      <c r="B70" s="34" t="s">
        <v>47</v>
      </c>
      <c r="C70" s="34">
        <v>-0.71599999999999997</v>
      </c>
      <c r="D70" s="38"/>
      <c r="E70" s="38"/>
      <c r="F70" s="38"/>
      <c r="G70" s="38"/>
    </row>
    <row r="71" spans="2:9" x14ac:dyDescent="0.25">
      <c r="B71" s="8"/>
      <c r="C71" s="38"/>
      <c r="D71" s="38"/>
      <c r="E71" s="38"/>
      <c r="F71" s="38"/>
      <c r="G71" s="38"/>
    </row>
    <row r="72" spans="2:9" ht="16.5" x14ac:dyDescent="0.25">
      <c r="B72" s="17" t="s">
        <v>19</v>
      </c>
      <c r="C72" s="38"/>
      <c r="D72" s="38"/>
      <c r="E72" s="38"/>
      <c r="F72" s="38"/>
      <c r="G72" s="38"/>
    </row>
    <row r="73" spans="2:9" ht="16.5" x14ac:dyDescent="0.25">
      <c r="B73" s="41" t="s">
        <v>20</v>
      </c>
      <c r="C73" s="41" t="s">
        <v>21</v>
      </c>
      <c r="D73" s="41" t="s">
        <v>22</v>
      </c>
      <c r="E73" s="41" t="s">
        <v>23</v>
      </c>
      <c r="F73" s="41" t="s">
        <v>24</v>
      </c>
      <c r="G73" s="41" t="s">
        <v>25</v>
      </c>
    </row>
    <row r="74" spans="2:9" ht="17.25" x14ac:dyDescent="0.25">
      <c r="B74" s="42" t="s">
        <v>47</v>
      </c>
      <c r="C74" s="42" t="s">
        <v>46</v>
      </c>
      <c r="D74" s="42">
        <v>6</v>
      </c>
      <c r="E74" s="42">
        <v>-0.71599999999999997</v>
      </c>
      <c r="F74" s="42" t="s">
        <v>48</v>
      </c>
      <c r="G74" s="42">
        <v>0.109</v>
      </c>
      <c r="I74" s="28" t="s">
        <v>49</v>
      </c>
    </row>
    <row r="75" spans="2:9" ht="17.25" x14ac:dyDescent="0.25">
      <c r="I75" s="28" t="s">
        <v>50</v>
      </c>
    </row>
    <row r="77" spans="2:9" ht="22.5" x14ac:dyDescent="0.25">
      <c r="B77" s="21"/>
    </row>
    <row r="78" spans="2:9" ht="23.25" x14ac:dyDescent="0.25">
      <c r="B78" s="24" t="s">
        <v>29</v>
      </c>
    </row>
    <row r="79" spans="2:9" ht="16.5" x14ac:dyDescent="0.25">
      <c r="B79" s="25"/>
    </row>
    <row r="80" spans="2:9" ht="16.5" x14ac:dyDescent="0.25">
      <c r="B80" s="69" t="s">
        <v>95</v>
      </c>
    </row>
    <row r="81" spans="2:5" ht="18" x14ac:dyDescent="0.25">
      <c r="B81" s="27"/>
    </row>
    <row r="82" spans="2:5" x14ac:dyDescent="0.25">
      <c r="C82" t="s">
        <v>96</v>
      </c>
      <c r="D82">
        <f>-FISHER(E44)</f>
        <v>0.94607290103212027</v>
      </c>
    </row>
    <row r="83" spans="2:5" x14ac:dyDescent="0.25">
      <c r="C83" t="s">
        <v>97</v>
      </c>
      <c r="D83">
        <f>FISHER(E74)</f>
        <v>-0.89938852094335064</v>
      </c>
    </row>
    <row r="85" spans="2:5" x14ac:dyDescent="0.25">
      <c r="C85" t="s">
        <v>98</v>
      </c>
      <c r="D85">
        <f>SQRT(1/(D44-3) + 1/(D74-3))</f>
        <v>0.91287092917527679</v>
      </c>
    </row>
    <row r="87" spans="2:5" x14ac:dyDescent="0.25">
      <c r="C87" t="s">
        <v>99</v>
      </c>
      <c r="D87">
        <f>(D82-D83)/D85</f>
        <v>2.021601699643051</v>
      </c>
    </row>
    <row r="89" spans="2:5" x14ac:dyDescent="0.25">
      <c r="C89" t="s">
        <v>100</v>
      </c>
      <c r="D89">
        <f>2*(1-_xlfn.NORM.S.DIST(D87,TRUE))</f>
        <v>4.3217516339042028E-2</v>
      </c>
    </row>
    <row r="91" spans="2:5" x14ac:dyDescent="0.25">
      <c r="C91" t="s">
        <v>101</v>
      </c>
      <c r="D91">
        <f>_xlfn.NORM.S.INV(1-(0.01/2))</f>
        <v>2.5758293035488999</v>
      </c>
    </row>
    <row r="94" spans="2:5" ht="21" x14ac:dyDescent="0.35">
      <c r="B94" s="67" t="s">
        <v>93</v>
      </c>
      <c r="C94" s="67"/>
      <c r="D94" s="67"/>
      <c r="E94" s="67"/>
    </row>
    <row r="95" spans="2:5" ht="21" x14ac:dyDescent="0.35">
      <c r="B95" s="67" t="s">
        <v>102</v>
      </c>
      <c r="C95" s="67"/>
      <c r="D95" s="67"/>
      <c r="E95" s="67"/>
    </row>
    <row r="96" spans="2:5" ht="21" x14ac:dyDescent="0.35">
      <c r="B96" s="67" t="s">
        <v>103</v>
      </c>
      <c r="C96" s="67"/>
      <c r="D96" s="67"/>
      <c r="E96" s="67"/>
    </row>
    <row r="97" spans="2:5" ht="21" x14ac:dyDescent="0.35">
      <c r="B97" s="67"/>
      <c r="C97" s="67"/>
      <c r="D97" s="67"/>
      <c r="E97" s="6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1CEF-C064-446D-A2A8-7B758C067F14}">
  <dimension ref="B2:M91"/>
  <sheetViews>
    <sheetView workbookViewId="0">
      <selection activeCell="J94" sqref="J94"/>
    </sheetView>
  </sheetViews>
  <sheetFormatPr defaultRowHeight="15" x14ac:dyDescent="0.25"/>
  <cols>
    <col min="4" max="4" width="11.7109375" customWidth="1"/>
    <col min="5" max="5" width="15.5703125" customWidth="1"/>
  </cols>
  <sheetData>
    <row r="2" spans="2:11" ht="21" x14ac:dyDescent="0.25">
      <c r="B2" s="6" t="s">
        <v>142</v>
      </c>
    </row>
    <row r="3" spans="2:11" ht="18.75" x14ac:dyDescent="0.3">
      <c r="B3" s="22" t="s">
        <v>140</v>
      </c>
      <c r="C3" s="1"/>
      <c r="D3" s="1"/>
      <c r="E3" s="1"/>
      <c r="F3" s="1"/>
      <c r="G3" s="1"/>
      <c r="H3" s="1"/>
      <c r="I3" s="1"/>
      <c r="J3" s="1"/>
      <c r="K3" s="1"/>
    </row>
    <row r="4" spans="2:11" ht="19.5" thickBot="1" x14ac:dyDescent="0.35">
      <c r="B4" s="22"/>
      <c r="C4" s="1"/>
      <c r="D4" s="1"/>
      <c r="E4" s="1"/>
      <c r="F4" s="1"/>
      <c r="G4" s="1"/>
      <c r="H4" s="1"/>
      <c r="I4" s="1"/>
      <c r="J4" s="1"/>
      <c r="K4" s="1"/>
    </row>
    <row r="5" spans="2:11" ht="19.5" thickBot="1" x14ac:dyDescent="0.35">
      <c r="B5" s="90" t="s">
        <v>134</v>
      </c>
      <c r="C5" s="91">
        <v>100</v>
      </c>
      <c r="D5" s="91">
        <v>80</v>
      </c>
      <c r="E5" s="91">
        <v>60</v>
      </c>
      <c r="F5" s="91">
        <v>120</v>
      </c>
      <c r="G5" s="91">
        <v>150</v>
      </c>
      <c r="H5" s="91">
        <v>90</v>
      </c>
      <c r="I5" s="91">
        <v>70</v>
      </c>
      <c r="J5" s="91">
        <v>130</v>
      </c>
      <c r="K5" s="1"/>
    </row>
    <row r="6" spans="2:11" ht="19.5" thickBot="1" x14ac:dyDescent="0.35">
      <c r="B6" s="92" t="s">
        <v>135</v>
      </c>
      <c r="C6" s="93">
        <v>40</v>
      </c>
      <c r="D6" s="93">
        <v>30</v>
      </c>
      <c r="E6" s="93">
        <v>20</v>
      </c>
      <c r="F6" s="93">
        <v>50</v>
      </c>
      <c r="G6" s="93">
        <v>60</v>
      </c>
      <c r="H6" s="93">
        <v>40</v>
      </c>
      <c r="I6" s="93">
        <v>20</v>
      </c>
      <c r="J6" s="93">
        <v>60</v>
      </c>
      <c r="K6" s="1"/>
    </row>
    <row r="7" spans="2:11" ht="19.5" thickBot="1" x14ac:dyDescent="0.35">
      <c r="B7" s="92" t="s">
        <v>136</v>
      </c>
      <c r="C7" s="93">
        <v>10</v>
      </c>
      <c r="D7" s="93">
        <v>10</v>
      </c>
      <c r="E7" s="93">
        <v>7</v>
      </c>
      <c r="F7" s="93">
        <v>15</v>
      </c>
      <c r="G7" s="93">
        <v>20</v>
      </c>
      <c r="H7" s="93">
        <v>12</v>
      </c>
      <c r="I7" s="93">
        <v>8</v>
      </c>
      <c r="J7" s="93">
        <v>14</v>
      </c>
      <c r="K7" s="1"/>
    </row>
    <row r="8" spans="2:11" ht="18.75" x14ac:dyDescent="0.3">
      <c r="B8" s="22"/>
      <c r="C8" s="1"/>
      <c r="D8" s="1"/>
      <c r="E8" s="1"/>
      <c r="F8" s="1"/>
      <c r="G8" s="1"/>
      <c r="H8" s="1"/>
      <c r="I8" s="1"/>
      <c r="J8" s="1"/>
      <c r="K8" s="1"/>
    </row>
    <row r="9" spans="2:11" ht="18.75" x14ac:dyDescent="0.3">
      <c r="B9" s="94" t="s">
        <v>141</v>
      </c>
      <c r="C9" s="1"/>
      <c r="D9" s="1"/>
      <c r="E9" s="1"/>
      <c r="F9" s="1"/>
      <c r="G9" s="1"/>
      <c r="H9" s="1"/>
      <c r="I9" s="1"/>
      <c r="J9" s="1"/>
      <c r="K9" s="1"/>
    </row>
    <row r="10" spans="2:11" ht="18.75" x14ac:dyDescent="0.3">
      <c r="B10" s="22" t="s">
        <v>137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8.75" x14ac:dyDescent="0.3">
      <c r="B11" s="22" t="s">
        <v>138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8.75" x14ac:dyDescent="0.3">
      <c r="B12" s="22" t="s">
        <v>139</v>
      </c>
      <c r="C12" s="1"/>
      <c r="D12" s="1"/>
      <c r="E12" s="1"/>
      <c r="F12" s="1"/>
      <c r="G12" s="1"/>
      <c r="H12" s="1"/>
      <c r="I12" s="1"/>
      <c r="J12" s="1"/>
      <c r="K12" s="1"/>
    </row>
    <row r="14" spans="2:11" ht="20.25" x14ac:dyDescent="0.25">
      <c r="B14" s="4" t="s">
        <v>143</v>
      </c>
    </row>
    <row r="16" spans="2:11" x14ac:dyDescent="0.25">
      <c r="B16" s="71" t="s">
        <v>34</v>
      </c>
    </row>
    <row r="18" spans="3:13" ht="15.75" x14ac:dyDescent="0.25">
      <c r="C18" s="95" t="s">
        <v>60</v>
      </c>
      <c r="D18" s="95"/>
      <c r="E18" s="95"/>
      <c r="F18" s="95"/>
      <c r="G18" s="95"/>
      <c r="H18" s="95"/>
      <c r="I18" s="95"/>
    </row>
    <row r="19" spans="3:13" ht="20.25" x14ac:dyDescent="0.3">
      <c r="C19" s="70" t="s">
        <v>134</v>
      </c>
      <c r="D19" s="70" t="s">
        <v>61</v>
      </c>
      <c r="E19" s="70" t="s">
        <v>144</v>
      </c>
      <c r="F19" s="70"/>
      <c r="G19" s="70"/>
      <c r="H19" s="70"/>
      <c r="I19" s="95"/>
    </row>
    <row r="20" spans="3:13" ht="15.75" x14ac:dyDescent="0.25">
      <c r="C20" s="95"/>
      <c r="D20" s="95"/>
      <c r="E20" s="95"/>
      <c r="F20" s="95"/>
      <c r="G20" s="95"/>
      <c r="H20" s="95"/>
      <c r="I20" s="95"/>
    </row>
    <row r="21" spans="3:13" ht="15.75" x14ac:dyDescent="0.25">
      <c r="C21" s="95"/>
      <c r="D21" s="95"/>
      <c r="E21" s="95"/>
      <c r="F21" s="95"/>
      <c r="G21" s="95"/>
      <c r="H21" s="95"/>
      <c r="I21" s="95"/>
    </row>
    <row r="22" spans="3:13" ht="15.75" x14ac:dyDescent="0.25">
      <c r="C22" s="95" t="s">
        <v>63</v>
      </c>
      <c r="D22" s="95"/>
      <c r="E22" s="95"/>
      <c r="F22" s="95"/>
      <c r="G22" s="95"/>
      <c r="H22" s="95"/>
      <c r="I22" s="95"/>
      <c r="M22" s="95" t="s">
        <v>147</v>
      </c>
    </row>
    <row r="23" spans="3:13" ht="15.75" x14ac:dyDescent="0.25">
      <c r="C23" s="95" t="s">
        <v>64</v>
      </c>
      <c r="D23" s="95" t="s">
        <v>65</v>
      </c>
      <c r="E23" s="95" t="s">
        <v>66</v>
      </c>
      <c r="F23" s="95" t="s">
        <v>67</v>
      </c>
      <c r="G23" s="95" t="s">
        <v>25</v>
      </c>
      <c r="H23" s="95" t="s">
        <v>68</v>
      </c>
      <c r="I23" s="95"/>
    </row>
    <row r="24" spans="3:13" ht="15.75" x14ac:dyDescent="0.25">
      <c r="C24" s="95" t="s">
        <v>69</v>
      </c>
      <c r="D24" s="95">
        <v>17.329999999999998</v>
      </c>
      <c r="E24" s="95">
        <v>6.77</v>
      </c>
      <c r="F24" s="95">
        <v>2.56</v>
      </c>
      <c r="G24" s="95">
        <v>5.0999999999999997E-2</v>
      </c>
      <c r="H24" s="95" t="s">
        <v>127</v>
      </c>
      <c r="I24" s="95"/>
    </row>
    <row r="25" spans="3:13" ht="15.75" x14ac:dyDescent="0.25">
      <c r="C25" s="95" t="s">
        <v>135</v>
      </c>
      <c r="D25" s="95">
        <v>1.1930000000000001</v>
      </c>
      <c r="E25" s="95">
        <v>0.32900000000000001</v>
      </c>
      <c r="F25" s="95">
        <v>3.62</v>
      </c>
      <c r="G25" s="95">
        <v>1.4999999999999999E-2</v>
      </c>
      <c r="H25" s="95">
        <v>5.41</v>
      </c>
      <c r="I25" s="95"/>
    </row>
    <row r="26" spans="3:13" ht="15.75" x14ac:dyDescent="0.25">
      <c r="C26" s="95" t="s">
        <v>136</v>
      </c>
      <c r="D26" s="95">
        <v>2.91</v>
      </c>
      <c r="E26" s="95">
        <v>1.25</v>
      </c>
      <c r="F26" s="95">
        <v>2.34</v>
      </c>
      <c r="G26" s="95">
        <v>6.6000000000000003E-2</v>
      </c>
      <c r="H26" s="95">
        <v>5.41</v>
      </c>
      <c r="I26" s="95"/>
    </row>
    <row r="27" spans="3:13" ht="15.75" x14ac:dyDescent="0.25">
      <c r="C27" s="95"/>
      <c r="D27" s="95"/>
      <c r="E27" s="95"/>
      <c r="F27" s="95"/>
      <c r="G27" s="95"/>
      <c r="H27" s="95"/>
      <c r="I27" s="95"/>
    </row>
    <row r="28" spans="3:13" ht="15.75" x14ac:dyDescent="0.25">
      <c r="C28" s="95"/>
      <c r="D28" s="95"/>
      <c r="E28" s="95"/>
      <c r="F28" s="95"/>
      <c r="G28" s="95"/>
      <c r="H28" s="95"/>
      <c r="I28" s="95"/>
    </row>
    <row r="29" spans="3:13" ht="15.75" x14ac:dyDescent="0.25">
      <c r="C29" s="95" t="s">
        <v>70</v>
      </c>
      <c r="D29" s="95"/>
      <c r="E29" s="95"/>
      <c r="F29" s="95"/>
      <c r="G29" s="95"/>
      <c r="H29" s="95"/>
      <c r="I29" s="95"/>
    </row>
    <row r="30" spans="3:13" ht="15.75" x14ac:dyDescent="0.25">
      <c r="C30" s="95" t="s">
        <v>71</v>
      </c>
      <c r="D30" s="95" t="s">
        <v>72</v>
      </c>
      <c r="E30" s="95" t="s">
        <v>73</v>
      </c>
      <c r="F30" s="95" t="s">
        <v>74</v>
      </c>
      <c r="G30" s="95"/>
      <c r="H30" s="95"/>
      <c r="I30" s="95"/>
    </row>
    <row r="31" spans="3:13" ht="15.75" x14ac:dyDescent="0.25">
      <c r="C31" s="95">
        <v>6.0071599999999998</v>
      </c>
      <c r="D31" s="96">
        <v>0.97350000000000003</v>
      </c>
      <c r="E31" s="96">
        <v>0.96289999999999998</v>
      </c>
      <c r="F31" s="96">
        <v>0.9294</v>
      </c>
      <c r="G31" s="95"/>
      <c r="H31" s="95"/>
      <c r="I31" s="95"/>
    </row>
    <row r="32" spans="3:13" ht="15.75" x14ac:dyDescent="0.25">
      <c r="C32" s="95"/>
      <c r="D32" s="96"/>
      <c r="E32" s="96"/>
      <c r="F32" s="96"/>
      <c r="G32" s="95"/>
      <c r="H32" s="95"/>
      <c r="I32" s="95"/>
    </row>
    <row r="33" spans="3:9" ht="15.75" x14ac:dyDescent="0.25">
      <c r="C33" s="95"/>
      <c r="D33" s="96"/>
      <c r="E33" s="96"/>
      <c r="F33" s="96"/>
      <c r="G33" s="95"/>
      <c r="H33" s="95"/>
      <c r="I33" s="95"/>
    </row>
    <row r="34" spans="3:9" ht="15.75" x14ac:dyDescent="0.25">
      <c r="C34" s="95" t="s">
        <v>75</v>
      </c>
      <c r="D34" s="95"/>
      <c r="E34" s="95"/>
      <c r="F34" s="95"/>
      <c r="G34" s="95"/>
      <c r="H34" s="95"/>
      <c r="I34" s="95"/>
    </row>
    <row r="35" spans="3:9" ht="15.75" x14ac:dyDescent="0.25">
      <c r="C35" s="95" t="s">
        <v>76</v>
      </c>
      <c r="D35" s="95" t="s">
        <v>77</v>
      </c>
      <c r="E35" s="95" t="s">
        <v>78</v>
      </c>
      <c r="F35" s="95" t="s">
        <v>79</v>
      </c>
      <c r="G35" s="95" t="s">
        <v>80</v>
      </c>
      <c r="H35" s="95" t="s">
        <v>25</v>
      </c>
      <c r="I35" s="95"/>
    </row>
    <row r="36" spans="3:9" ht="15.75" x14ac:dyDescent="0.25">
      <c r="C36" s="95" t="s">
        <v>81</v>
      </c>
      <c r="D36" s="95">
        <v>2</v>
      </c>
      <c r="E36" s="95">
        <v>6619.6</v>
      </c>
      <c r="F36" s="95">
        <v>3309.79</v>
      </c>
      <c r="G36" s="95">
        <v>91.72</v>
      </c>
      <c r="H36" s="95">
        <v>0</v>
      </c>
      <c r="I36" s="95"/>
    </row>
    <row r="37" spans="3:9" ht="15.75" x14ac:dyDescent="0.25">
      <c r="C37" s="95" t="s">
        <v>145</v>
      </c>
      <c r="D37" s="95">
        <v>1</v>
      </c>
      <c r="E37" s="95">
        <v>473.5</v>
      </c>
      <c r="F37" s="95">
        <v>473.54</v>
      </c>
      <c r="G37" s="95">
        <v>13.12</v>
      </c>
      <c r="H37" s="95">
        <v>1.4999999999999999E-2</v>
      </c>
      <c r="I37" s="95"/>
    </row>
    <row r="38" spans="3:9" ht="15.75" x14ac:dyDescent="0.25">
      <c r="C38" s="95" t="s">
        <v>146</v>
      </c>
      <c r="D38" s="95">
        <v>1</v>
      </c>
      <c r="E38" s="95">
        <v>197.3</v>
      </c>
      <c r="F38" s="95">
        <v>197.35</v>
      </c>
      <c r="G38" s="95">
        <v>5.47</v>
      </c>
      <c r="H38" s="95">
        <v>6.6000000000000003E-2</v>
      </c>
      <c r="I38" s="95"/>
    </row>
    <row r="39" spans="3:9" ht="15.75" x14ac:dyDescent="0.25">
      <c r="C39" s="95" t="s">
        <v>83</v>
      </c>
      <c r="D39" s="95">
        <v>5</v>
      </c>
      <c r="E39" s="95">
        <v>180.4</v>
      </c>
      <c r="F39" s="95">
        <v>36.090000000000003</v>
      </c>
      <c r="G39" s="95" t="s">
        <v>127</v>
      </c>
      <c r="H39" s="95" t="s">
        <v>127</v>
      </c>
      <c r="I39" s="95"/>
    </row>
    <row r="40" spans="3:9" ht="15.75" x14ac:dyDescent="0.25">
      <c r="C40" s="95" t="s">
        <v>86</v>
      </c>
      <c r="D40" s="95">
        <v>7</v>
      </c>
      <c r="E40" s="95">
        <v>6800</v>
      </c>
      <c r="F40" s="95" t="s">
        <v>127</v>
      </c>
      <c r="G40" s="95" t="s">
        <v>127</v>
      </c>
      <c r="H40" s="95" t="s">
        <v>127</v>
      </c>
      <c r="I40" s="95"/>
    </row>
    <row r="41" spans="3:9" ht="15.75" x14ac:dyDescent="0.25">
      <c r="C41" s="95"/>
      <c r="D41" s="95"/>
      <c r="E41" s="95"/>
      <c r="F41" s="95"/>
      <c r="G41" s="95"/>
      <c r="H41" s="95"/>
      <c r="I41" s="95"/>
    </row>
    <row r="42" spans="3:9" ht="15.75" x14ac:dyDescent="0.25">
      <c r="C42" s="95"/>
      <c r="D42" s="95"/>
      <c r="E42" s="95"/>
      <c r="F42" s="95"/>
      <c r="G42" s="95"/>
      <c r="H42" s="95"/>
      <c r="I42" s="95"/>
    </row>
    <row r="43" spans="3:9" ht="15.75" x14ac:dyDescent="0.25">
      <c r="C43" s="95"/>
      <c r="D43" s="95"/>
      <c r="E43" s="95"/>
      <c r="F43" s="95"/>
      <c r="G43" s="95"/>
      <c r="H43" s="95"/>
      <c r="I43" s="95"/>
    </row>
    <row r="44" spans="3:9" ht="15.75" x14ac:dyDescent="0.25">
      <c r="D44" s="95"/>
      <c r="E44" s="95"/>
      <c r="F44" s="95"/>
      <c r="G44" s="95"/>
      <c r="H44" s="95"/>
      <c r="I44" s="95"/>
    </row>
    <row r="46" spans="3:9" ht="21" x14ac:dyDescent="0.35">
      <c r="C46" s="97" t="s">
        <v>148</v>
      </c>
    </row>
    <row r="49" spans="2:10" ht="18.75" x14ac:dyDescent="0.3">
      <c r="D49" s="98" t="s">
        <v>149</v>
      </c>
      <c r="E49" s="98">
        <f>17.33+(1.193*52)+(2.91*12)</f>
        <v>114.286</v>
      </c>
    </row>
    <row r="51" spans="2:10" ht="18.75" x14ac:dyDescent="0.3">
      <c r="D51" s="74" t="s">
        <v>152</v>
      </c>
    </row>
    <row r="53" spans="2:10" ht="21" x14ac:dyDescent="0.35">
      <c r="B53" s="99" t="s">
        <v>150</v>
      </c>
    </row>
    <row r="55" spans="2:10" ht="18.75" x14ac:dyDescent="0.3">
      <c r="B55" s="1" t="s">
        <v>151</v>
      </c>
    </row>
    <row r="57" spans="2:10" ht="15.75" thickBot="1" x14ac:dyDescent="0.3"/>
    <row r="58" spans="2:10" x14ac:dyDescent="0.25">
      <c r="C58" s="100" t="s">
        <v>16</v>
      </c>
      <c r="D58" s="75"/>
      <c r="F58" s="100" t="s">
        <v>16</v>
      </c>
      <c r="G58" s="75"/>
      <c r="I58" s="100" t="s">
        <v>16</v>
      </c>
      <c r="J58" s="75"/>
    </row>
    <row r="59" spans="2:10" x14ac:dyDescent="0.25">
      <c r="C59" s="101" t="s">
        <v>134</v>
      </c>
      <c r="D59" s="76"/>
      <c r="F59" s="101" t="s">
        <v>135</v>
      </c>
      <c r="G59" s="76"/>
      <c r="I59" s="101" t="s">
        <v>134</v>
      </c>
      <c r="J59" s="76"/>
    </row>
    <row r="60" spans="2:10" ht="15.75" thickBot="1" x14ac:dyDescent="0.3">
      <c r="C60" s="102" t="s">
        <v>135</v>
      </c>
      <c r="D60" s="103">
        <v>0.97199999999999998</v>
      </c>
      <c r="F60" s="102" t="s">
        <v>136</v>
      </c>
      <c r="G60" s="103">
        <v>0.90300000000000002</v>
      </c>
      <c r="I60" s="102" t="s">
        <v>136</v>
      </c>
      <c r="J60" s="103">
        <v>0.95099999999999996</v>
      </c>
    </row>
    <row r="62" spans="2:10" ht="15.75" thickBot="1" x14ac:dyDescent="0.3"/>
    <row r="63" spans="2:10" ht="19.5" thickBot="1" x14ac:dyDescent="0.35">
      <c r="F63" s="104">
        <f>(D60-(J60*G60))/SQRT((1-J60^2)*(1-G60^2))</f>
        <v>0.85250075061465991</v>
      </c>
    </row>
    <row r="68" spans="2:6" ht="21" x14ac:dyDescent="0.35">
      <c r="B68" s="105" t="s">
        <v>153</v>
      </c>
    </row>
    <row r="72" spans="2:6" ht="21" x14ac:dyDescent="0.35">
      <c r="B72" s="99" t="s">
        <v>154</v>
      </c>
    </row>
    <row r="74" spans="2:6" ht="15.75" thickBot="1" x14ac:dyDescent="0.3"/>
    <row r="75" spans="2:6" ht="19.5" thickBot="1" x14ac:dyDescent="0.35">
      <c r="F75" s="104">
        <f>(J60-(D60*G60))/SQRT((1-D60^2)*(1-G60^2))</f>
        <v>0.72589103673927657</v>
      </c>
    </row>
    <row r="80" spans="2:6" ht="21" x14ac:dyDescent="0.35">
      <c r="B80" s="105" t="s">
        <v>155</v>
      </c>
    </row>
    <row r="84" spans="2:11" ht="21" x14ac:dyDescent="0.35">
      <c r="B84" s="99" t="s">
        <v>156</v>
      </c>
    </row>
    <row r="85" spans="2:11" ht="15.75" thickBot="1" x14ac:dyDescent="0.3"/>
    <row r="86" spans="2:11" ht="19.5" thickBot="1" x14ac:dyDescent="0.35">
      <c r="K86" s="104">
        <f>SQRT((D60^2+J60^2-(2*D60*G60*J60))/(1-G60^2))</f>
        <v>0.986852721074027</v>
      </c>
    </row>
    <row r="91" spans="2:11" ht="21" x14ac:dyDescent="0.35">
      <c r="B91" s="105" t="s">
        <v>157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B3E3-8C90-47BE-BB78-FB5AF95F5CE6}">
  <dimension ref="B2:M46"/>
  <sheetViews>
    <sheetView workbookViewId="0">
      <selection activeCell="I50" sqref="I50"/>
    </sheetView>
  </sheetViews>
  <sheetFormatPr defaultRowHeight="15" x14ac:dyDescent="0.25"/>
  <cols>
    <col min="4" max="4" width="12.85546875" customWidth="1"/>
  </cols>
  <sheetData>
    <row r="2" spans="2:10" ht="18.75" x14ac:dyDescent="0.3">
      <c r="B2" s="1" t="s">
        <v>104</v>
      </c>
    </row>
    <row r="3" spans="2:10" x14ac:dyDescent="0.25">
      <c r="C3" t="s">
        <v>105</v>
      </c>
    </row>
    <row r="4" spans="2:10" x14ac:dyDescent="0.25">
      <c r="C4" t="s">
        <v>106</v>
      </c>
    </row>
    <row r="6" spans="2:10" x14ac:dyDescent="0.25">
      <c r="C6" t="s">
        <v>107</v>
      </c>
      <c r="D6">
        <v>55.95</v>
      </c>
      <c r="F6" t="s">
        <v>110</v>
      </c>
      <c r="G6">
        <v>2.2599999999999998</v>
      </c>
      <c r="I6" t="s">
        <v>113</v>
      </c>
      <c r="J6">
        <v>0.57799999999999996</v>
      </c>
    </row>
    <row r="7" spans="2:10" x14ac:dyDescent="0.25">
      <c r="C7" t="s">
        <v>108</v>
      </c>
      <c r="D7">
        <v>51.48</v>
      </c>
      <c r="F7" t="s">
        <v>111</v>
      </c>
      <c r="G7">
        <v>4.3899999999999997</v>
      </c>
      <c r="I7" t="s">
        <v>5</v>
      </c>
      <c r="J7">
        <v>0.97399999999999998</v>
      </c>
    </row>
    <row r="8" spans="2:10" x14ac:dyDescent="0.25">
      <c r="C8" t="s">
        <v>109</v>
      </c>
      <c r="D8">
        <v>56.03</v>
      </c>
      <c r="F8" t="s">
        <v>112</v>
      </c>
      <c r="G8">
        <v>4.41</v>
      </c>
      <c r="I8" t="s">
        <v>4</v>
      </c>
      <c r="J8">
        <v>0.58099999999999996</v>
      </c>
    </row>
    <row r="12" spans="2:10" ht="21" x14ac:dyDescent="0.35">
      <c r="B12" s="67" t="s">
        <v>114</v>
      </c>
    </row>
    <row r="17" spans="3:11" x14ac:dyDescent="0.25">
      <c r="G17">
        <f>(G8/G6)*((J8-(J7*J6))/(1-J6^2))</f>
        <v>5.282727997743171E-2</v>
      </c>
    </row>
    <row r="22" spans="3:11" x14ac:dyDescent="0.25">
      <c r="G22">
        <f>(G8/G7)*((J7-(J8*J6))/(1-J6^2))</f>
        <v>0.96271817328270615</v>
      </c>
    </row>
    <row r="27" spans="3:11" ht="20.25" x14ac:dyDescent="0.3">
      <c r="C27" s="68" t="s">
        <v>115</v>
      </c>
      <c r="D27" s="68"/>
      <c r="E27" s="68"/>
      <c r="F27" s="68"/>
      <c r="G27" s="68"/>
    </row>
    <row r="28" spans="3:11" ht="20.25" x14ac:dyDescent="0.3">
      <c r="C28" s="68"/>
      <c r="D28" s="70" t="s">
        <v>116</v>
      </c>
      <c r="E28" s="70"/>
      <c r="F28" s="70"/>
      <c r="G28" s="70"/>
      <c r="H28" s="71"/>
      <c r="I28" s="71"/>
      <c r="J28" s="71"/>
      <c r="K28" s="71"/>
    </row>
    <row r="30" spans="3:11" ht="18.75" x14ac:dyDescent="0.3">
      <c r="C30" s="1" t="s">
        <v>117</v>
      </c>
    </row>
    <row r="31" spans="3:11" ht="15.75" thickBot="1" x14ac:dyDescent="0.3"/>
    <row r="32" spans="3:11" ht="19.5" thickBot="1" x14ac:dyDescent="0.35">
      <c r="D32" s="72" t="s">
        <v>118</v>
      </c>
      <c r="E32" s="73">
        <f>(0.053*58)+(0.963*52.5) + 3.495</f>
        <v>57.126499999999993</v>
      </c>
    </row>
    <row r="35" spans="2:13" ht="21" x14ac:dyDescent="0.35">
      <c r="B35" s="67" t="s">
        <v>119</v>
      </c>
    </row>
    <row r="36" spans="2:13" ht="15.75" thickBot="1" x14ac:dyDescent="0.3"/>
    <row r="37" spans="2:13" ht="19.5" thickBot="1" x14ac:dyDescent="0.35">
      <c r="G37" s="107">
        <f xml:space="preserve"> (J7-(J6*J8))/SQRT((1-J6^2)*(1-J8^2))</f>
        <v>0.9608639049653338</v>
      </c>
    </row>
    <row r="44" spans="2:13" ht="21" x14ac:dyDescent="0.35">
      <c r="B44" s="67" t="s">
        <v>120</v>
      </c>
    </row>
    <row r="45" spans="2:13" ht="15.75" thickBot="1" x14ac:dyDescent="0.3"/>
    <row r="46" spans="2:13" ht="21.75" thickBot="1" x14ac:dyDescent="0.4">
      <c r="M46" s="106">
        <f>SQRT((J7^2 + J8^2 - (2*J6*J7*J8))/(1-J6^2))</f>
        <v>0.97425051333557888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E7C5-DAC7-4FE8-8341-4F01787C76B8}">
  <dimension ref="B4:H30"/>
  <sheetViews>
    <sheetView zoomScale="80" zoomScaleNormal="80" workbookViewId="0">
      <selection activeCell="L21" sqref="L21"/>
    </sheetView>
  </sheetViews>
  <sheetFormatPr defaultRowHeight="15" x14ac:dyDescent="0.25"/>
  <sheetData>
    <row r="4" spans="2:3" ht="21" x14ac:dyDescent="0.25">
      <c r="B4" s="6" t="s">
        <v>33</v>
      </c>
    </row>
    <row r="6" spans="2:3" ht="18" x14ac:dyDescent="0.25">
      <c r="B6" s="65" t="s">
        <v>0</v>
      </c>
      <c r="C6" s="65"/>
    </row>
    <row r="7" spans="2:3" ht="18" x14ac:dyDescent="0.25">
      <c r="B7" s="65" t="s">
        <v>1</v>
      </c>
      <c r="C7" s="65"/>
    </row>
    <row r="8" spans="2:3" ht="18" x14ac:dyDescent="0.25">
      <c r="B8" s="65" t="s">
        <v>2</v>
      </c>
      <c r="C8" s="65"/>
    </row>
    <row r="9" spans="2:3" ht="18" x14ac:dyDescent="0.25">
      <c r="B9" s="65"/>
      <c r="C9" s="65"/>
    </row>
    <row r="10" spans="2:3" ht="18" x14ac:dyDescent="0.25">
      <c r="B10" s="65" t="s">
        <v>3</v>
      </c>
      <c r="C10" s="65">
        <v>0.86299999999999999</v>
      </c>
    </row>
    <row r="11" spans="2:3" ht="18" x14ac:dyDescent="0.25">
      <c r="B11" s="65" t="s">
        <v>4</v>
      </c>
      <c r="C11" s="65">
        <v>0.64800000000000002</v>
      </c>
    </row>
    <row r="12" spans="2:3" ht="18" x14ac:dyDescent="0.25">
      <c r="B12" s="65" t="s">
        <v>5</v>
      </c>
      <c r="C12" s="65">
        <v>0.70899999999999996</v>
      </c>
    </row>
    <row r="20" spans="2:8" ht="18.75" x14ac:dyDescent="0.3">
      <c r="C20" s="1" t="s">
        <v>6</v>
      </c>
      <c r="D20" s="1">
        <f>SQRT((C10^2+C11^2-(2*C10*C11*C12))/(1-(C12^2)))</f>
        <v>0.86451967244464889</v>
      </c>
    </row>
    <row r="23" spans="2:8" ht="21" x14ac:dyDescent="0.35">
      <c r="B23" s="2" t="s">
        <v>7</v>
      </c>
      <c r="C23" s="2"/>
      <c r="D23" s="2"/>
    </row>
    <row r="24" spans="2:8" ht="15.75" thickBot="1" x14ac:dyDescent="0.3"/>
    <row r="25" spans="2:8" ht="19.5" thickBot="1" x14ac:dyDescent="0.35">
      <c r="H25" s="104">
        <f>(C10-(C11*C12))/SQRT((1-(C11^2))*(1-(C12^2)))</f>
        <v>0.75136205943645673</v>
      </c>
    </row>
    <row r="29" spans="2:8" ht="15.75" thickBot="1" x14ac:dyDescent="0.3"/>
    <row r="30" spans="2:8" ht="19.5" thickBot="1" x14ac:dyDescent="0.35">
      <c r="H30" s="104">
        <f>(C11-(C10*C12))/SQRT((1-(C10^2))*(1-(C12^2)))</f>
        <v>0.10141910745129847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413A-2994-4E5F-B2C0-1722A7D8482E}">
  <dimension ref="B3:G55"/>
  <sheetViews>
    <sheetView topLeftCell="A46" workbookViewId="0">
      <selection activeCell="D60" sqref="D60"/>
    </sheetView>
  </sheetViews>
  <sheetFormatPr defaultRowHeight="15" x14ac:dyDescent="0.25"/>
  <cols>
    <col min="2" max="2" width="26.85546875" customWidth="1"/>
    <col min="3" max="3" width="12.7109375" customWidth="1"/>
    <col min="4" max="4" width="15" customWidth="1"/>
    <col min="5" max="5" width="15.28515625" customWidth="1"/>
    <col min="6" max="6" width="13.85546875" customWidth="1"/>
  </cols>
  <sheetData>
    <row r="3" spans="2:3" ht="21" x14ac:dyDescent="0.25">
      <c r="B3" s="6" t="s">
        <v>51</v>
      </c>
    </row>
    <row r="4" spans="2:3" ht="20.25" x14ac:dyDescent="0.25">
      <c r="B4" s="4" t="s">
        <v>34</v>
      </c>
    </row>
    <row r="6" spans="2:3" ht="20.25" x14ac:dyDescent="0.25">
      <c r="B6" s="43" t="s">
        <v>52</v>
      </c>
    </row>
    <row r="7" spans="2:3" x14ac:dyDescent="0.25">
      <c r="B7" s="8"/>
    </row>
    <row r="8" spans="2:3" x14ac:dyDescent="0.25">
      <c r="B8" s="44" t="s">
        <v>11</v>
      </c>
    </row>
    <row r="9" spans="2:3" x14ac:dyDescent="0.25">
      <c r="B9" s="53" t="s">
        <v>12</v>
      </c>
      <c r="C9" s="45" t="s">
        <v>13</v>
      </c>
    </row>
    <row r="10" spans="2:3" x14ac:dyDescent="0.25">
      <c r="B10" s="53" t="s">
        <v>14</v>
      </c>
      <c r="C10" s="45">
        <v>10</v>
      </c>
    </row>
    <row r="11" spans="2:3" x14ac:dyDescent="0.25">
      <c r="B11" s="46" t="s">
        <v>15</v>
      </c>
    </row>
    <row r="12" spans="2:3" x14ac:dyDescent="0.25">
      <c r="B12" s="44" t="s">
        <v>16</v>
      </c>
    </row>
    <row r="13" spans="2:3" x14ac:dyDescent="0.25">
      <c r="B13" s="54"/>
      <c r="C13" s="55" t="s">
        <v>53</v>
      </c>
    </row>
    <row r="14" spans="2:3" x14ac:dyDescent="0.25">
      <c r="B14" s="57" t="s">
        <v>54</v>
      </c>
      <c r="C14" s="58">
        <v>0.65200000000000002</v>
      </c>
    </row>
    <row r="15" spans="2:3" x14ac:dyDescent="0.25">
      <c r="B15" s="44"/>
    </row>
    <row r="16" spans="2:3" x14ac:dyDescent="0.25">
      <c r="B16" s="44" t="s">
        <v>19</v>
      </c>
    </row>
    <row r="17" spans="2:7" x14ac:dyDescent="0.25">
      <c r="B17" s="54" t="s">
        <v>20</v>
      </c>
      <c r="C17" s="54" t="s">
        <v>21</v>
      </c>
      <c r="D17" s="55" t="s">
        <v>22</v>
      </c>
      <c r="E17" s="55" t="s">
        <v>23</v>
      </c>
      <c r="F17" s="56" t="s">
        <v>39</v>
      </c>
      <c r="G17" s="55" t="s">
        <v>25</v>
      </c>
    </row>
    <row r="18" spans="2:7" x14ac:dyDescent="0.25">
      <c r="B18" s="57" t="s">
        <v>54</v>
      </c>
      <c r="C18" s="57" t="s">
        <v>53</v>
      </c>
      <c r="D18" s="58">
        <v>10</v>
      </c>
      <c r="E18" s="58">
        <v>0.65200000000000002</v>
      </c>
      <c r="F18" s="59" t="s">
        <v>55</v>
      </c>
      <c r="G18" s="58">
        <v>4.1000000000000002E-2</v>
      </c>
    </row>
    <row r="19" spans="2:7" x14ac:dyDescent="0.25">
      <c r="B19" s="8"/>
    </row>
    <row r="20" spans="2:7" ht="16.5" x14ac:dyDescent="0.25">
      <c r="B20" s="47"/>
    </row>
    <row r="21" spans="2:7" ht="16.5" x14ac:dyDescent="0.25">
      <c r="B21" s="48" t="s">
        <v>56</v>
      </c>
    </row>
    <row r="22" spans="2:7" ht="16.5" x14ac:dyDescent="0.25">
      <c r="B22" s="47"/>
    </row>
    <row r="23" spans="2:7" ht="16.5" x14ac:dyDescent="0.25">
      <c r="B23" s="47"/>
    </row>
    <row r="24" spans="2:7" ht="22.5" x14ac:dyDescent="0.25">
      <c r="B24" s="49" t="s">
        <v>57</v>
      </c>
    </row>
    <row r="25" spans="2:7" x14ac:dyDescent="0.25">
      <c r="B25" s="8"/>
    </row>
    <row r="26" spans="2:7" ht="15.75" x14ac:dyDescent="0.25">
      <c r="B26" s="50" t="s">
        <v>29</v>
      </c>
    </row>
    <row r="27" spans="2:7" x14ac:dyDescent="0.25">
      <c r="B27" s="3"/>
    </row>
    <row r="28" spans="2:7" ht="15.75" x14ac:dyDescent="0.25">
      <c r="B28" s="50" t="s">
        <v>58</v>
      </c>
    </row>
    <row r="29" spans="2:7" ht="15.75" x14ac:dyDescent="0.25">
      <c r="B29" s="50" t="s">
        <v>59</v>
      </c>
    </row>
    <row r="30" spans="2:7" x14ac:dyDescent="0.25">
      <c r="B30" s="9"/>
    </row>
    <row r="31" spans="2:7" ht="16.5" x14ac:dyDescent="0.25">
      <c r="B31" s="17" t="s">
        <v>60</v>
      </c>
    </row>
    <row r="32" spans="2:7" ht="16.5" x14ac:dyDescent="0.25">
      <c r="B32" s="20" t="s">
        <v>54</v>
      </c>
      <c r="C32" s="11" t="s">
        <v>61</v>
      </c>
      <c r="D32" s="20" t="s">
        <v>62</v>
      </c>
    </row>
    <row r="33" spans="2:7" x14ac:dyDescent="0.25">
      <c r="B33" s="9"/>
    </row>
    <row r="34" spans="2:7" ht="16.5" x14ac:dyDescent="0.25">
      <c r="B34" s="17" t="s">
        <v>63</v>
      </c>
    </row>
    <row r="35" spans="2:7" ht="16.5" x14ac:dyDescent="0.25">
      <c r="B35" s="32" t="s">
        <v>64</v>
      </c>
      <c r="C35" s="33" t="s">
        <v>65</v>
      </c>
      <c r="D35" s="60" t="s">
        <v>66</v>
      </c>
      <c r="E35" s="33" t="s">
        <v>67</v>
      </c>
      <c r="F35" s="33" t="s">
        <v>25</v>
      </c>
      <c r="G35" s="33" t="s">
        <v>68</v>
      </c>
    </row>
    <row r="36" spans="2:7" ht="16.5" x14ac:dyDescent="0.25">
      <c r="B36" s="34" t="s">
        <v>69</v>
      </c>
      <c r="C36" s="35">
        <v>-2826</v>
      </c>
      <c r="D36" s="35">
        <v>1929</v>
      </c>
      <c r="E36" s="35">
        <v>-1.46</v>
      </c>
      <c r="F36" s="35">
        <v>0.18099999999999999</v>
      </c>
      <c r="G36" s="34"/>
    </row>
    <row r="37" spans="2:7" ht="16.5" x14ac:dyDescent="0.25">
      <c r="B37" s="34" t="s">
        <v>53</v>
      </c>
      <c r="C37" s="35">
        <v>12246</v>
      </c>
      <c r="D37" s="35">
        <v>4469</v>
      </c>
      <c r="E37" s="35">
        <v>2.74</v>
      </c>
      <c r="F37" s="35">
        <v>2.5000000000000001E-2</v>
      </c>
      <c r="G37" s="35">
        <v>1</v>
      </c>
    </row>
    <row r="38" spans="2:7" x14ac:dyDescent="0.25">
      <c r="B38" s="9"/>
    </row>
    <row r="39" spans="2:7" ht="16.5" x14ac:dyDescent="0.25">
      <c r="B39" s="17" t="s">
        <v>70</v>
      </c>
    </row>
    <row r="40" spans="2:7" ht="16.5" x14ac:dyDescent="0.25">
      <c r="B40" s="33" t="s">
        <v>71</v>
      </c>
      <c r="C40" s="33" t="s">
        <v>72</v>
      </c>
      <c r="D40" s="33" t="s">
        <v>73</v>
      </c>
      <c r="E40" s="33" t="s">
        <v>74</v>
      </c>
    </row>
    <row r="41" spans="2:7" ht="16.5" x14ac:dyDescent="0.25">
      <c r="B41" s="35">
        <v>325.05399999999997</v>
      </c>
      <c r="C41" s="61">
        <v>0.48409999999999997</v>
      </c>
      <c r="D41" s="61">
        <v>0.41959999999999997</v>
      </c>
      <c r="E41" s="61">
        <v>0.217</v>
      </c>
    </row>
    <row r="42" spans="2:7" x14ac:dyDescent="0.25">
      <c r="B42" s="9"/>
    </row>
    <row r="43" spans="2:7" x14ac:dyDescent="0.25">
      <c r="B43" s="9"/>
    </row>
    <row r="44" spans="2:7" ht="16.5" x14ac:dyDescent="0.25">
      <c r="B44" s="17" t="s">
        <v>75</v>
      </c>
    </row>
    <row r="45" spans="2:7" ht="33" x14ac:dyDescent="0.25">
      <c r="B45" s="32" t="s">
        <v>76</v>
      </c>
      <c r="C45" s="33" t="s">
        <v>77</v>
      </c>
      <c r="D45" s="33" t="s">
        <v>78</v>
      </c>
      <c r="E45" s="33" t="s">
        <v>79</v>
      </c>
      <c r="F45" s="33" t="s">
        <v>80</v>
      </c>
      <c r="G45" s="33" t="s">
        <v>25</v>
      </c>
    </row>
    <row r="46" spans="2:7" ht="16.5" x14ac:dyDescent="0.25">
      <c r="B46" s="34" t="s">
        <v>81</v>
      </c>
      <c r="C46" s="35">
        <v>1</v>
      </c>
      <c r="D46" s="35">
        <v>793279</v>
      </c>
      <c r="E46" s="35">
        <v>793279</v>
      </c>
      <c r="F46" s="35">
        <v>7.51</v>
      </c>
      <c r="G46" s="35">
        <v>2.5000000000000001E-2</v>
      </c>
    </row>
    <row r="47" spans="2:7" ht="16.5" x14ac:dyDescent="0.25">
      <c r="B47" s="34" t="s">
        <v>82</v>
      </c>
      <c r="C47" s="35">
        <v>1</v>
      </c>
      <c r="D47" s="35">
        <v>793279</v>
      </c>
      <c r="E47" s="35">
        <v>793279</v>
      </c>
      <c r="F47" s="35">
        <v>7.51</v>
      </c>
      <c r="G47" s="35">
        <v>2.5000000000000001E-2</v>
      </c>
    </row>
    <row r="48" spans="2:7" ht="16.5" x14ac:dyDescent="0.25">
      <c r="B48" s="34" t="s">
        <v>83</v>
      </c>
      <c r="C48" s="35">
        <v>8</v>
      </c>
      <c r="D48" s="35">
        <v>845281</v>
      </c>
      <c r="E48" s="35">
        <v>105660</v>
      </c>
      <c r="F48" s="34"/>
      <c r="G48" s="34"/>
    </row>
    <row r="49" spans="2:7" ht="16.5" x14ac:dyDescent="0.25">
      <c r="B49" s="34" t="s">
        <v>84</v>
      </c>
      <c r="C49" s="35">
        <v>5</v>
      </c>
      <c r="D49" s="35">
        <v>329564</v>
      </c>
      <c r="E49" s="35">
        <v>65913</v>
      </c>
      <c r="F49" s="35">
        <v>0.38</v>
      </c>
      <c r="G49" s="35">
        <v>0.83599999999999997</v>
      </c>
    </row>
    <row r="50" spans="2:7" ht="16.5" x14ac:dyDescent="0.25">
      <c r="B50" s="34" t="s">
        <v>85</v>
      </c>
      <c r="C50" s="35">
        <v>3</v>
      </c>
      <c r="D50" s="35">
        <v>515717</v>
      </c>
      <c r="E50" s="35">
        <v>171906</v>
      </c>
      <c r="F50" s="34"/>
      <c r="G50" s="34"/>
    </row>
    <row r="51" spans="2:7" ht="16.5" x14ac:dyDescent="0.25">
      <c r="B51" s="34" t="s">
        <v>86</v>
      </c>
      <c r="C51" s="35">
        <v>9</v>
      </c>
      <c r="D51" s="35">
        <v>1638560</v>
      </c>
      <c r="E51" s="34"/>
      <c r="F51" s="34"/>
      <c r="G51" s="34"/>
    </row>
    <row r="52" spans="2:7" x14ac:dyDescent="0.25">
      <c r="B52" s="51"/>
    </row>
    <row r="53" spans="2:7" ht="21" x14ac:dyDescent="0.25">
      <c r="B53" s="52"/>
    </row>
    <row r="54" spans="2:7" ht="23.25" x14ac:dyDescent="0.25">
      <c r="B54" s="62" t="s">
        <v>87</v>
      </c>
      <c r="C54" s="63"/>
      <c r="D54" s="63"/>
      <c r="E54" s="63"/>
    </row>
    <row r="55" spans="2:7" ht="23.25" x14ac:dyDescent="0.35">
      <c r="B55" s="64" t="s">
        <v>88</v>
      </c>
      <c r="C55" s="63"/>
      <c r="D55" s="63"/>
      <c r="E55" s="6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Question-1</vt:lpstr>
      <vt:lpstr>Question -2</vt:lpstr>
      <vt:lpstr>Question -3</vt:lpstr>
      <vt:lpstr>Question - 5</vt:lpstr>
      <vt:lpstr>Question - 6</vt:lpstr>
      <vt:lpstr>Question-7</vt:lpstr>
      <vt:lpstr>Question -9</vt:lpstr>
      <vt:lpstr>'Question-1'!_Hlk90051793</vt:lpstr>
      <vt:lpstr>'Question -3'!_Hlk90070565</vt:lpstr>
      <vt:lpstr>'Question-1'!_Hlk90290520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Darji</dc:creator>
  <cp:lastModifiedBy>pateldaksh3120@gmail.com</cp:lastModifiedBy>
  <dcterms:created xsi:type="dcterms:W3CDTF">2021-12-10T18:39:10Z</dcterms:created>
  <dcterms:modified xsi:type="dcterms:W3CDTF">2021-12-15T13:13:40Z</dcterms:modified>
</cp:coreProperties>
</file>