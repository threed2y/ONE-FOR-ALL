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el\Downloads\"/>
    </mc:Choice>
  </mc:AlternateContent>
  <xr:revisionPtr revIDLastSave="0" documentId="13_ncr:1_{9F3F4090-6011-4F21-8302-892F6546DC85}" xr6:coauthVersionLast="47" xr6:coauthVersionMax="47" xr10:uidLastSave="{00000000-0000-0000-0000-000000000000}"/>
  <bookViews>
    <workbookView xWindow="-120" yWindow="-120" windowWidth="20730" windowHeight="11160" activeTab="1" xr2:uid="{85409EF9-00EF-48EF-A52F-D538D6EEB493}"/>
  </bookViews>
  <sheets>
    <sheet name="data" sheetId="1" r:id="rId1"/>
    <sheet name="a-1" sheetId="2" r:id="rId2"/>
    <sheet name="a-2" sheetId="7" r:id="rId3"/>
    <sheet name="a-3" sheetId="8" r:id="rId4"/>
    <sheet name="Sheet5" sheetId="5" r:id="rId5"/>
  </sheets>
  <definedNames>
    <definedName name="_xlnm._FilterDatabase" localSheetId="0" hidden="1">data!$A$1:$V$116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E86" i="8"/>
  <c r="E85" i="8"/>
  <c r="B133" i="5" l="1"/>
  <c r="V65" i="1"/>
  <c r="V66" i="1"/>
  <c r="V67" i="1"/>
  <c r="V3" i="1"/>
  <c r="V68" i="1"/>
  <c r="V4" i="1"/>
  <c r="V69" i="1"/>
  <c r="V5" i="1"/>
  <c r="V6" i="1"/>
  <c r="V70" i="1"/>
  <c r="V7" i="1"/>
  <c r="V71" i="1"/>
  <c r="V8" i="1"/>
  <c r="V72" i="1"/>
  <c r="V9" i="1"/>
  <c r="V10" i="1"/>
  <c r="V73" i="1"/>
  <c r="V74" i="1"/>
  <c r="V11" i="1"/>
  <c r="V12" i="1"/>
  <c r="V13" i="1"/>
  <c r="V14" i="1"/>
  <c r="V15" i="1"/>
  <c r="V16" i="1"/>
  <c r="V17" i="1"/>
  <c r="V75" i="1"/>
  <c r="V18" i="1"/>
  <c r="V76" i="1"/>
  <c r="V77" i="1"/>
  <c r="V19" i="1"/>
  <c r="V20" i="1"/>
  <c r="V21" i="1"/>
  <c r="V22" i="1"/>
  <c r="V23" i="1"/>
  <c r="V78" i="1"/>
  <c r="V24" i="1"/>
  <c r="V25" i="1"/>
  <c r="V26" i="1"/>
  <c r="V79" i="1"/>
  <c r="V80" i="1"/>
  <c r="V27" i="1"/>
  <c r="V81" i="1"/>
  <c r="V82" i="1"/>
  <c r="V83" i="1"/>
  <c r="V84" i="1"/>
  <c r="V85" i="1"/>
  <c r="V28" i="1"/>
  <c r="V29" i="1"/>
  <c r="V86" i="1"/>
  <c r="V87" i="1"/>
  <c r="V88" i="1"/>
  <c r="V89" i="1"/>
  <c r="V90" i="1"/>
  <c r="V91" i="1"/>
  <c r="V30" i="1"/>
  <c r="V31" i="1"/>
  <c r="V32" i="1"/>
  <c r="V33" i="1"/>
  <c r="V34" i="1"/>
  <c r="V92" i="1"/>
  <c r="V93" i="1"/>
  <c r="V35" i="1"/>
  <c r="V36" i="1"/>
  <c r="V37" i="1"/>
  <c r="V38" i="1"/>
  <c r="V94" i="1"/>
  <c r="V39" i="1"/>
  <c r="V40" i="1"/>
  <c r="V41" i="1"/>
  <c r="V95" i="1"/>
  <c r="V96" i="1"/>
  <c r="V97" i="1"/>
  <c r="V98" i="1"/>
  <c r="V99" i="1"/>
  <c r="V100" i="1"/>
  <c r="V101" i="1"/>
  <c r="V42" i="1"/>
  <c r="V102" i="1"/>
  <c r="V43" i="1"/>
  <c r="V44" i="1"/>
  <c r="V45" i="1"/>
  <c r="V103" i="1"/>
  <c r="V46" i="1"/>
  <c r="V47" i="1"/>
  <c r="V48" i="1"/>
  <c r="V49" i="1"/>
  <c r="V104" i="1"/>
  <c r="V105" i="1"/>
  <c r="V106" i="1"/>
  <c r="V107" i="1"/>
  <c r="V50" i="1"/>
  <c r="V51" i="1"/>
  <c r="V52" i="1"/>
  <c r="V53" i="1"/>
  <c r="V108" i="1"/>
  <c r="V54" i="1"/>
  <c r="V55" i="1"/>
  <c r="V56" i="1"/>
  <c r="V57" i="1"/>
  <c r="V58" i="1"/>
  <c r="V59" i="1"/>
  <c r="V109" i="1"/>
  <c r="V60" i="1"/>
  <c r="V110" i="1"/>
  <c r="V61" i="1"/>
  <c r="V111" i="1"/>
  <c r="V112" i="1"/>
  <c r="V113" i="1"/>
  <c r="V114" i="1"/>
  <c r="V115" i="1"/>
  <c r="V62" i="1"/>
  <c r="V63" i="1"/>
  <c r="V116" i="1"/>
  <c r="V64" i="1"/>
  <c r="E105" i="8" s="1"/>
  <c r="D44" i="8"/>
  <c r="E13" i="8"/>
  <c r="E12" i="8"/>
  <c r="E11" i="8"/>
  <c r="E10" i="8"/>
  <c r="E9" i="8"/>
  <c r="E8" i="8"/>
  <c r="H173" i="2"/>
  <c r="D110" i="2"/>
  <c r="E106" i="8" l="1"/>
</calcChain>
</file>

<file path=xl/sharedStrings.xml><?xml version="1.0" encoding="utf-8"?>
<sst xmlns="http://schemas.openxmlformats.org/spreadsheetml/2006/main" count="2755" uniqueCount="548">
  <si>
    <t>First name</t>
  </si>
  <si>
    <t>Surname</t>
  </si>
  <si>
    <t>Gender</t>
  </si>
  <si>
    <t xml:space="preserve">Religion </t>
  </si>
  <si>
    <t>Faculty</t>
  </si>
  <si>
    <t>Age ( In years)</t>
  </si>
  <si>
    <t>Category</t>
  </si>
  <si>
    <t>Board Marks (In %)</t>
  </si>
  <si>
    <t>Medium of Instruction</t>
  </si>
  <si>
    <t xml:space="preserve">Native State </t>
  </si>
  <si>
    <t xml:space="preserve">Native Place </t>
  </si>
  <si>
    <t xml:space="preserve">Fitness Level </t>
  </si>
  <si>
    <t>Hobbies</t>
  </si>
  <si>
    <t>Family Income</t>
  </si>
  <si>
    <t>Family Type</t>
  </si>
  <si>
    <t>Mode of Transportation</t>
  </si>
  <si>
    <t>Food Habits</t>
  </si>
  <si>
    <t>Campus Habits</t>
  </si>
  <si>
    <t>Height (in cm only.)</t>
  </si>
  <si>
    <t>Weight (in kgs. only)</t>
  </si>
  <si>
    <t>12th Board Group</t>
  </si>
  <si>
    <t>BMI</t>
  </si>
  <si>
    <t>Preetha</t>
  </si>
  <si>
    <t>Menon</t>
  </si>
  <si>
    <t>Female</t>
  </si>
  <si>
    <t>Hindu</t>
  </si>
  <si>
    <t>Science</t>
  </si>
  <si>
    <t>General</t>
  </si>
  <si>
    <t>English</t>
  </si>
  <si>
    <t>Kerala</t>
  </si>
  <si>
    <t>Ottapalam</t>
  </si>
  <si>
    <t>N</t>
  </si>
  <si>
    <t xml:space="preserve"> Music</t>
  </si>
  <si>
    <t>450000 - 600000</t>
  </si>
  <si>
    <t>Nuclear</t>
  </si>
  <si>
    <t>V</t>
  </si>
  <si>
    <t>Non - Vegetation</t>
  </si>
  <si>
    <t>Non - smoker</t>
  </si>
  <si>
    <t>A</t>
  </si>
  <si>
    <t>Kuldeep</t>
  </si>
  <si>
    <t>Singh</t>
  </si>
  <si>
    <t>Male</t>
  </si>
  <si>
    <t>Arts</t>
  </si>
  <si>
    <t>SC</t>
  </si>
  <si>
    <t>Uttar Pradesh</t>
  </si>
  <si>
    <t>Mainpuri</t>
  </si>
  <si>
    <t xml:space="preserve"> Photography</t>
  </si>
  <si>
    <t>Smoker</t>
  </si>
  <si>
    <t>Commerce</t>
  </si>
  <si>
    <t>Mariyam</t>
  </si>
  <si>
    <t>Tinwala</t>
  </si>
  <si>
    <t>Muslim</t>
  </si>
  <si>
    <t>Gujarat</t>
  </si>
  <si>
    <t>Vadodara</t>
  </si>
  <si>
    <t>Artworks</t>
  </si>
  <si>
    <t>50000 - 150000</t>
  </si>
  <si>
    <t>Akshat</t>
  </si>
  <si>
    <t>Gupta</t>
  </si>
  <si>
    <t>Rajasthan</t>
  </si>
  <si>
    <t>Jaipur</t>
  </si>
  <si>
    <t>Badminton</t>
  </si>
  <si>
    <t>150000 - 300000</t>
  </si>
  <si>
    <t>O</t>
  </si>
  <si>
    <t>Vegetarian</t>
  </si>
  <si>
    <t>Smit</t>
  </si>
  <si>
    <t>Panchal</t>
  </si>
  <si>
    <t>SEBC</t>
  </si>
  <si>
    <t>Ahmedabad</t>
  </si>
  <si>
    <t>Blogging</t>
  </si>
  <si>
    <t>B</t>
  </si>
  <si>
    <t>Shifa</t>
  </si>
  <si>
    <t>Khatri</t>
  </si>
  <si>
    <t>Gujarati</t>
  </si>
  <si>
    <t>Bodeli</t>
  </si>
  <si>
    <t>Books</t>
  </si>
  <si>
    <t>Harsh</t>
  </si>
  <si>
    <t>badoliya</t>
  </si>
  <si>
    <t>Vodadara</t>
  </si>
  <si>
    <t>BusinessWork</t>
  </si>
  <si>
    <t>Sagar</t>
  </si>
  <si>
    <t>Coaching</t>
  </si>
  <si>
    <t>Mahek</t>
  </si>
  <si>
    <t>Kureshi</t>
  </si>
  <si>
    <t>Amreli</t>
  </si>
  <si>
    <t xml:space="preserve">Cooking </t>
  </si>
  <si>
    <t>Ashwini</t>
  </si>
  <si>
    <t>Savani</t>
  </si>
  <si>
    <t>Other</t>
  </si>
  <si>
    <t xml:space="preserve">Vadodara </t>
  </si>
  <si>
    <t>&gt; 600000</t>
  </si>
  <si>
    <t>Joint</t>
  </si>
  <si>
    <t>Anuj</t>
  </si>
  <si>
    <t>Kumar</t>
  </si>
  <si>
    <t>ST</t>
  </si>
  <si>
    <t>Bihar</t>
  </si>
  <si>
    <t>Cricket</t>
  </si>
  <si>
    <t>&lt; 50000</t>
  </si>
  <si>
    <t>Siddhrajsinh</t>
  </si>
  <si>
    <t>Puwar</t>
  </si>
  <si>
    <t>Lunavada</t>
  </si>
  <si>
    <t>Pradhyumansinh</t>
  </si>
  <si>
    <t>300000 - 450000</t>
  </si>
  <si>
    <t>Sachin</t>
  </si>
  <si>
    <t>Bariya</t>
  </si>
  <si>
    <t>Narmada</t>
  </si>
  <si>
    <t>Jayesh</t>
  </si>
  <si>
    <t>Motiani</t>
  </si>
  <si>
    <t>Manav</t>
  </si>
  <si>
    <t>Mehta</t>
  </si>
  <si>
    <t>Vinay</t>
  </si>
  <si>
    <t>Yadav</t>
  </si>
  <si>
    <t>Soham</t>
  </si>
  <si>
    <t>Rathod</t>
  </si>
  <si>
    <t xml:space="preserve">Kartik </t>
  </si>
  <si>
    <t>Techo (Engineering)</t>
  </si>
  <si>
    <t xml:space="preserve">Riya </t>
  </si>
  <si>
    <t>Thaker</t>
  </si>
  <si>
    <t>Siddhpur</t>
  </si>
  <si>
    <t>Dancing</t>
  </si>
  <si>
    <t>Drashti</t>
  </si>
  <si>
    <t>Patel</t>
  </si>
  <si>
    <t>Shruthi</t>
  </si>
  <si>
    <t>Nair</t>
  </si>
  <si>
    <t xml:space="preserve">Avani </t>
  </si>
  <si>
    <t>Shipra</t>
  </si>
  <si>
    <t>Kshatriya</t>
  </si>
  <si>
    <t xml:space="preserve">Hemal </t>
  </si>
  <si>
    <t>Pawar</t>
  </si>
  <si>
    <t>Aditi</t>
  </si>
  <si>
    <t>Patil</t>
  </si>
  <si>
    <t>Siya</t>
  </si>
  <si>
    <t>Khurana</t>
  </si>
  <si>
    <t>Riya</t>
  </si>
  <si>
    <t>Goswami</t>
  </si>
  <si>
    <t xml:space="preserve">Dancing </t>
  </si>
  <si>
    <t>Yashasvi</t>
  </si>
  <si>
    <t>Rathore</t>
  </si>
  <si>
    <t>Madhya pradesh</t>
  </si>
  <si>
    <t>Indore</t>
  </si>
  <si>
    <t>Drawing</t>
  </si>
  <si>
    <t>Neelu</t>
  </si>
  <si>
    <t>Kanwar</t>
  </si>
  <si>
    <t xml:space="preserve">Nagda </t>
  </si>
  <si>
    <t xml:space="preserve">Komal </t>
  </si>
  <si>
    <t xml:space="preserve">Solanki </t>
  </si>
  <si>
    <t>Priya</t>
  </si>
  <si>
    <t>Giri</t>
  </si>
  <si>
    <t xml:space="preserve">Drawing </t>
  </si>
  <si>
    <t xml:space="preserve">YUVRAAJ </t>
  </si>
  <si>
    <t xml:space="preserve">AGRAWAL </t>
  </si>
  <si>
    <t>Driving</t>
  </si>
  <si>
    <t>Nikhil</t>
  </si>
  <si>
    <t>Wahengbam</t>
  </si>
  <si>
    <t>Manipur</t>
  </si>
  <si>
    <t>Imphal</t>
  </si>
  <si>
    <t>Football</t>
  </si>
  <si>
    <t>Yathidev</t>
  </si>
  <si>
    <t>Km</t>
  </si>
  <si>
    <t>Anand Kumar</t>
  </si>
  <si>
    <t>Sharma</t>
  </si>
  <si>
    <t>Hindi</t>
  </si>
  <si>
    <t>Gaming</t>
  </si>
  <si>
    <t>Pradeep</t>
  </si>
  <si>
    <t>Rutvik</t>
  </si>
  <si>
    <t>Parth</t>
  </si>
  <si>
    <t>Parmar</t>
  </si>
  <si>
    <t>Mona</t>
  </si>
  <si>
    <t>Shah</t>
  </si>
  <si>
    <t>Gardening</t>
  </si>
  <si>
    <t xml:space="preserve">Praveen </t>
  </si>
  <si>
    <t xml:space="preserve">Gyming </t>
  </si>
  <si>
    <t xml:space="preserve">Amitkumar </t>
  </si>
  <si>
    <t>Ayaz Khan</t>
  </si>
  <si>
    <t>Pathan</t>
  </si>
  <si>
    <t>Kaumudi</t>
  </si>
  <si>
    <t>Giridhar</t>
  </si>
  <si>
    <t>Maharashtra</t>
  </si>
  <si>
    <t>Nagpur</t>
  </si>
  <si>
    <t>Katthak</t>
  </si>
  <si>
    <t>AB</t>
  </si>
  <si>
    <t>Raval</t>
  </si>
  <si>
    <t>Sujit</t>
  </si>
  <si>
    <t>Kho-Kho</t>
  </si>
  <si>
    <t>Vishisht</t>
  </si>
  <si>
    <t>Madhepura</t>
  </si>
  <si>
    <t>Listening Music</t>
  </si>
  <si>
    <t>Darren</t>
  </si>
  <si>
    <t xml:space="preserve">Christian </t>
  </si>
  <si>
    <t>Christian</t>
  </si>
  <si>
    <t>Shubham</t>
  </si>
  <si>
    <t>Bhandari</t>
  </si>
  <si>
    <t>Chittorgarh</t>
  </si>
  <si>
    <t xml:space="preserve">Movies </t>
  </si>
  <si>
    <t>Hitendrasinh</t>
  </si>
  <si>
    <t>Rana</t>
  </si>
  <si>
    <t>Nivetha Raju</t>
  </si>
  <si>
    <t xml:space="preserve">Yogishwarar </t>
  </si>
  <si>
    <t>Tamil Nadu</t>
  </si>
  <si>
    <t xml:space="preserve">Madurai </t>
  </si>
  <si>
    <t>Sharnam</t>
  </si>
  <si>
    <t xml:space="preserve">Tisha </t>
  </si>
  <si>
    <t>Chavda</t>
  </si>
  <si>
    <t>Jamnagar</t>
  </si>
  <si>
    <t>Anupam</t>
  </si>
  <si>
    <t xml:space="preserve">Nandini </t>
  </si>
  <si>
    <t xml:space="preserve">Trivedi </t>
  </si>
  <si>
    <t xml:space="preserve">Jamnagar </t>
  </si>
  <si>
    <t>Painting</t>
  </si>
  <si>
    <t>Deepti</t>
  </si>
  <si>
    <t>Jakhotra</t>
  </si>
  <si>
    <t>Somnath</t>
  </si>
  <si>
    <t xml:space="preserve">Riddhi </t>
  </si>
  <si>
    <t xml:space="preserve">Parikh </t>
  </si>
  <si>
    <t xml:space="preserve">Photography </t>
  </si>
  <si>
    <t>Hardiksinh</t>
  </si>
  <si>
    <t>Kodinar</t>
  </si>
  <si>
    <t>Playing</t>
  </si>
  <si>
    <t>Prakash</t>
  </si>
  <si>
    <t>Ram</t>
  </si>
  <si>
    <t>Rajula</t>
  </si>
  <si>
    <t>Dravid</t>
  </si>
  <si>
    <t>Una</t>
  </si>
  <si>
    <t xml:space="preserve">Playing </t>
  </si>
  <si>
    <t>Binal</t>
  </si>
  <si>
    <t>Barot</t>
  </si>
  <si>
    <t>Banadso</t>
  </si>
  <si>
    <t>Sarangthem</t>
  </si>
  <si>
    <t>Salungpham</t>
  </si>
  <si>
    <t>Niyati</t>
  </si>
  <si>
    <t>Suthar</t>
  </si>
  <si>
    <t>Borsad</t>
  </si>
  <si>
    <t>Minakshi</t>
  </si>
  <si>
    <t>Sahu</t>
  </si>
  <si>
    <t>Chhattisgarh</t>
  </si>
  <si>
    <t xml:space="preserve">Reading </t>
  </si>
  <si>
    <t>Meenakshi</t>
  </si>
  <si>
    <t>Porwal</t>
  </si>
  <si>
    <t>Etawah</t>
  </si>
  <si>
    <t>Rohit</t>
  </si>
  <si>
    <t>Junagadh</t>
  </si>
  <si>
    <t>Shruti</t>
  </si>
  <si>
    <t>Kapse</t>
  </si>
  <si>
    <t xml:space="preserve">Nidhi </t>
  </si>
  <si>
    <t>Nidhi</t>
  </si>
  <si>
    <t>Manthan</t>
  </si>
  <si>
    <t>Darji</t>
  </si>
  <si>
    <t>Vijapur</t>
  </si>
  <si>
    <t>Vishva</t>
  </si>
  <si>
    <t>Aesha</t>
  </si>
  <si>
    <t>Ajay</t>
  </si>
  <si>
    <t xml:space="preserve">Dhrumil </t>
  </si>
  <si>
    <t>Lunawada</t>
  </si>
  <si>
    <t>Riding</t>
  </si>
  <si>
    <t>AJAY</t>
  </si>
  <si>
    <t>Bharuch</t>
  </si>
  <si>
    <t>Running</t>
  </si>
  <si>
    <t xml:space="preserve">Vrutangi </t>
  </si>
  <si>
    <t>Dabhiya</t>
  </si>
  <si>
    <t>Singing</t>
  </si>
  <si>
    <t xml:space="preserve">Kritina </t>
  </si>
  <si>
    <t>Yaikhom</t>
  </si>
  <si>
    <t>Imphal East</t>
  </si>
  <si>
    <t>Bidyananda</t>
  </si>
  <si>
    <t>Rajkumar</t>
  </si>
  <si>
    <t>Shreya</t>
  </si>
  <si>
    <t xml:space="preserve">Mathur </t>
  </si>
  <si>
    <t>Jodhpur</t>
  </si>
  <si>
    <t>Ayushi</t>
  </si>
  <si>
    <t>Mishra</t>
  </si>
  <si>
    <t>Lucknow</t>
  </si>
  <si>
    <t>Zankruti</t>
  </si>
  <si>
    <t>Jenny</t>
  </si>
  <si>
    <t>Farhin</t>
  </si>
  <si>
    <t xml:space="preserve">Pandya </t>
  </si>
  <si>
    <t>Modasa</t>
  </si>
  <si>
    <t xml:space="preserve">Singing </t>
  </si>
  <si>
    <t>Arpit</t>
  </si>
  <si>
    <t>Pihu</t>
  </si>
  <si>
    <t>Medical</t>
  </si>
  <si>
    <t xml:space="preserve">Paresh </t>
  </si>
  <si>
    <t>Chaudhari</t>
  </si>
  <si>
    <t>Marathi</t>
  </si>
  <si>
    <t xml:space="preserve">Maharashtra </t>
  </si>
  <si>
    <t>Jalgaon</t>
  </si>
  <si>
    <t>Jatin</t>
  </si>
  <si>
    <t>Varankar</t>
  </si>
  <si>
    <t>Sports</t>
  </si>
  <si>
    <t>Muskan</t>
  </si>
  <si>
    <t>Kacholia</t>
  </si>
  <si>
    <t>Kutch</t>
  </si>
  <si>
    <t>Kishan</t>
  </si>
  <si>
    <t>Zaru</t>
  </si>
  <si>
    <t>Kutchh</t>
  </si>
  <si>
    <t>Vagadia</t>
  </si>
  <si>
    <t>Dipak</t>
  </si>
  <si>
    <t xml:space="preserve">Drashti </t>
  </si>
  <si>
    <t>KALPIT</t>
  </si>
  <si>
    <t>PRAJAPATI</t>
  </si>
  <si>
    <t xml:space="preserve"> NEHA</t>
  </si>
  <si>
    <t xml:space="preserve">VASAVA </t>
  </si>
  <si>
    <t>Rajpipla</t>
  </si>
  <si>
    <t xml:space="preserve">Sports </t>
  </si>
  <si>
    <t>Saksham</t>
  </si>
  <si>
    <t xml:space="preserve">Rahulkumar </t>
  </si>
  <si>
    <t xml:space="preserve">Rabari </t>
  </si>
  <si>
    <t>Deesa</t>
  </si>
  <si>
    <t>Study</t>
  </si>
  <si>
    <t>Kumari</t>
  </si>
  <si>
    <t xml:space="preserve">Muskan </t>
  </si>
  <si>
    <t xml:space="preserve">Mansuri </t>
  </si>
  <si>
    <t>Hardik</t>
  </si>
  <si>
    <t>Ghaskata</t>
  </si>
  <si>
    <t>Surat</t>
  </si>
  <si>
    <t>Swimming</t>
  </si>
  <si>
    <t>Verma</t>
  </si>
  <si>
    <t>Pratapgarh</t>
  </si>
  <si>
    <t>Travelling</t>
  </si>
  <si>
    <t>Maitry</t>
  </si>
  <si>
    <t>Vaghasiya</t>
  </si>
  <si>
    <t>Manali</t>
  </si>
  <si>
    <t>Pathak</t>
  </si>
  <si>
    <t>KHUSHI</t>
  </si>
  <si>
    <t>JADHAV</t>
  </si>
  <si>
    <t xml:space="preserve">Srikanth </t>
  </si>
  <si>
    <t>Kottayam</t>
  </si>
  <si>
    <t>Priyanka</t>
  </si>
  <si>
    <t>Mali</t>
  </si>
  <si>
    <t xml:space="preserve">Dhara </t>
  </si>
  <si>
    <t>Dave</t>
  </si>
  <si>
    <t xml:space="preserve">PINAL </t>
  </si>
  <si>
    <t xml:space="preserve">DABHI </t>
  </si>
  <si>
    <t>Kiran</t>
  </si>
  <si>
    <t xml:space="preserve">Working </t>
  </si>
  <si>
    <t>Aiman</t>
  </si>
  <si>
    <t>Shaikh</t>
  </si>
  <si>
    <t>Jerry</t>
  </si>
  <si>
    <t>Writing</t>
  </si>
  <si>
    <t xml:space="preserve">Sushila </t>
  </si>
  <si>
    <t>Jayshree</t>
  </si>
  <si>
    <t>Roy</t>
  </si>
  <si>
    <t>Kartikey</t>
  </si>
  <si>
    <t>Fatehpur</t>
  </si>
  <si>
    <t xml:space="preserve">Writing </t>
  </si>
  <si>
    <t>Dhara</t>
  </si>
  <si>
    <t>Bholani</t>
  </si>
  <si>
    <t xml:space="preserve">Mahek </t>
  </si>
  <si>
    <t xml:space="preserve">Gir somnath </t>
  </si>
  <si>
    <t>Yoga</t>
  </si>
  <si>
    <t>QUESTION -1</t>
  </si>
  <si>
    <t>find the percentage of boys and girls and draw a pie diagram.</t>
  </si>
  <si>
    <t>Row Labels</t>
  </si>
  <si>
    <t>Grand Total</t>
  </si>
  <si>
    <t>Count of Gender</t>
  </si>
  <si>
    <t>QUESTION -2</t>
  </si>
  <si>
    <t>Column Labels</t>
  </si>
  <si>
    <t>list out all those candidates with particular surname.</t>
  </si>
  <si>
    <t>QUESTION -3</t>
  </si>
  <si>
    <t>List all the candidates according to the categories.</t>
  </si>
  <si>
    <t>18-19</t>
  </si>
  <si>
    <t>20-21</t>
  </si>
  <si>
    <t>22-23</t>
  </si>
  <si>
    <t>QUESTION -4</t>
  </si>
  <si>
    <t>Prepare frequency distribution for age.</t>
  </si>
  <si>
    <t>AGE GROUP</t>
  </si>
  <si>
    <t>COUNT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</si>
  <si>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</si>
  <si>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</si>
  <si>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</si>
  <si>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</si>
  <si>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</si>
  <si>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</si>
  <si>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</si>
  <si>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</si>
  <si>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</si>
  <si>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</si>
  <si>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PERCENTAGE</t>
  </si>
  <si>
    <t>Prepare frequency distribution for percentage.</t>
  </si>
  <si>
    <t>QUESTION -5</t>
  </si>
  <si>
    <t>QUESTION -6</t>
  </si>
  <si>
    <t>Establish correlation with age and percentage.</t>
  </si>
  <si>
    <t>Correlation Coefficient between age and percentage is,</t>
  </si>
  <si>
    <t>r =</t>
  </si>
  <si>
    <t>QUESTION -7</t>
  </si>
  <si>
    <t>Prepare a Pie diagram for medium of instruction.</t>
  </si>
  <si>
    <t>MEDIUM</t>
  </si>
  <si>
    <t xml:space="preserve">COUNT </t>
  </si>
  <si>
    <t>NATIVE STATE</t>
  </si>
  <si>
    <t>Show the state wise enrollement of students in tables and diagrams.</t>
  </si>
  <si>
    <t>QUESTION -8</t>
  </si>
  <si>
    <t>QUESTION -9</t>
  </si>
  <si>
    <t>Prepare a contingency table of gender with Religion.</t>
  </si>
  <si>
    <t>GENDER</t>
  </si>
  <si>
    <t>QUESTION -10</t>
  </si>
  <si>
    <t>Prepare a contingency table of family type with Religion.</t>
  </si>
  <si>
    <t>FAMILY TYPE</t>
  </si>
  <si>
    <t>QUESTION -11</t>
  </si>
  <si>
    <t>Find the percentage of people who commute by bus.</t>
  </si>
  <si>
    <t>BUS</t>
  </si>
  <si>
    <t>OTHER</t>
  </si>
  <si>
    <t>VEHICLE</t>
  </si>
  <si>
    <t>MODE OF TRANSPORTATION</t>
  </si>
  <si>
    <t xml:space="preserve">Percentage = </t>
  </si>
  <si>
    <t>QUESTION -12</t>
  </si>
  <si>
    <t xml:space="preserve"> Percentage of people who commute by bus is,</t>
  </si>
  <si>
    <t>Prepare a contingency table of Gender versus Mode of transportation.</t>
  </si>
  <si>
    <t xml:space="preserve">List out all those male candidates who have scored between 60% and 70% and falls under ST category. </t>
  </si>
  <si>
    <t>No students belongs to ST category and scored between 60% and 70% in our dataset.</t>
  </si>
  <si>
    <t>All ST category Students are :</t>
  </si>
  <si>
    <t>List out all those male OBC candidates who have scored 60% and more  and eat vegetarian foods, studies non-Commerce subjects.</t>
  </si>
  <si>
    <t xml:space="preserve">Manthan </t>
  </si>
  <si>
    <t>NAME</t>
  </si>
  <si>
    <t>SURNAME</t>
  </si>
  <si>
    <t>List out all those English medium female candidates who are from General category and smokes in the campus, hailing from outside Baroda.</t>
  </si>
  <si>
    <t>No students belongs to English medium female candidates who are from General category and smokes in the campus, hailing from outside Baroda.</t>
  </si>
  <si>
    <t>List out all those male candidates who are vegetarians and whose family income is less than 5 lacs per annum and never sing.</t>
  </si>
  <si>
    <t>List out all those candidates who belongs to ST category and have studied in Gujarati medium and whose family stays together, hailing from Ahmedabad.</t>
  </si>
  <si>
    <t>No students belongs  to ST category and have studied in Gujarati medium and whose family stays together, hailing from Ahmedabad.</t>
  </si>
  <si>
    <t>Prepare a Multi-dimensional database table.</t>
  </si>
  <si>
    <t>Female Total</t>
  </si>
  <si>
    <t>Male Total</t>
  </si>
  <si>
    <t>Vegetarian Total</t>
  </si>
  <si>
    <t>Non - Vegetation Total</t>
  </si>
  <si>
    <t>Count of Category</t>
  </si>
  <si>
    <t>ST/SC</t>
  </si>
  <si>
    <t>OBC</t>
  </si>
  <si>
    <t>GEN</t>
  </si>
  <si>
    <t>VEGETARIANS</t>
  </si>
  <si>
    <t>NON-VEGETARIANS</t>
  </si>
  <si>
    <t>FEMALE</t>
  </si>
  <si>
    <t>MALE</t>
  </si>
  <si>
    <t>Establish correlations between all the continuous variables</t>
  </si>
  <si>
    <t xml:space="preserve">List of all continuous variables : </t>
  </si>
  <si>
    <t>Age , Board marks , Height , Weight</t>
  </si>
  <si>
    <t>VARIABLE - 1</t>
  </si>
  <si>
    <t>VARIABLE - 2</t>
  </si>
  <si>
    <t>Age</t>
  </si>
  <si>
    <t>Board marks</t>
  </si>
  <si>
    <t>Height</t>
  </si>
  <si>
    <t>Weight</t>
  </si>
  <si>
    <t xml:space="preserve">Correlation coefficient </t>
  </si>
  <si>
    <t>Fit a regression line of Weight on age and height and predict the weight when age = 20 and height = 165 cms.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</si>
  <si>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</si>
  <si>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</si>
  <si>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</si>
  <si>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</si>
  <si>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</si>
  <si>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</si>
  <si>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</si>
  <si>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</si>
  <si>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</si>
  <si>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</si>
  <si>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</si>
  <si>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</si>
  <si>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</si>
  <si>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</si>
  <si>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</si>
  <si>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</si>
  <si>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</si>
  <si>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</si>
  <si>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</si>
  <si>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</si>
  <si>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</si>
  <si>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</si>
  <si>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</si>
  <si>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</si>
  <si>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</si>
  <si>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</si>
  <si>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Weight (in kgs. only)</t>
  </si>
  <si>
    <t>Residuals</t>
  </si>
  <si>
    <t>X2 = Height</t>
  </si>
  <si>
    <t>X1 = Age(in years)</t>
  </si>
  <si>
    <t>Y = Weight</t>
  </si>
  <si>
    <t>Weight =</t>
  </si>
  <si>
    <t xml:space="preserve"> -42.25 - 0.39*Age + 0.67*Height</t>
  </si>
  <si>
    <t xml:space="preserve"> =</t>
  </si>
  <si>
    <t>predicted weight when age = 20 and height = 165 cms is 60.21</t>
  </si>
  <si>
    <t>Check the normality for BMI and study a goodness of fit test.</t>
  </si>
  <si>
    <t>Carry out a one sample z-test for testing mean height is 160 cms.</t>
  </si>
  <si>
    <t>Test</t>
  </si>
  <si>
    <t>Null hypothesis</t>
  </si>
  <si>
    <t>H₀: μ = 160</t>
  </si>
  <si>
    <t>Alternative hypothesis</t>
  </si>
  <si>
    <t>H₁: μ ≠ 160</t>
  </si>
  <si>
    <t>Z-Value</t>
  </si>
  <si>
    <t>P-Value</t>
  </si>
  <si>
    <t>Descriptive Statistics</t>
  </si>
  <si>
    <t>Mean</t>
  </si>
  <si>
    <t>StDev</t>
  </si>
  <si>
    <t>SE Mean</t>
  </si>
  <si>
    <t>95% CI for μ</t>
  </si>
  <si>
    <t>(161.954, 165.403)</t>
  </si>
  <si>
    <t>μ: population mean of Height (in cm only.)</t>
  </si>
  <si>
    <t>Known standard deviation = 9.43495</t>
  </si>
  <si>
    <t>std =</t>
  </si>
  <si>
    <t>var(male) =</t>
  </si>
  <si>
    <t>var(female) =</t>
  </si>
  <si>
    <t>z-Test: Two Sample for Means</t>
  </si>
  <si>
    <t>Variable 1</t>
  </si>
  <si>
    <t>Variable 2</t>
  </si>
  <si>
    <t>Known Variance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</si>
  <si>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</si>
  <si>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</si>
  <si>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</si>
  <si>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</si>
  <si>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</si>
  <si>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</si>
  <si>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Test the hypothesis that the mean height of males and females are significant (use two sample z-test and  t-test).</t>
  </si>
  <si>
    <t>F-Test Two-Sample for Variances</t>
  </si>
  <si>
    <t>Variance</t>
  </si>
  <si>
    <t>P(F&lt;=f) one-tail</t>
  </si>
  <si>
    <t>F Critical one-tail</t>
  </si>
  <si>
    <t>t-Test: Two-Sample Assuming Unequal Variances</t>
  </si>
  <si>
    <t>P(T&lt;=t) one-tail</t>
  </si>
  <si>
    <t>t Critical one-tail</t>
  </si>
  <si>
    <t>P(T&lt;=t) two-tail</t>
  </si>
  <si>
    <t>t Critical two-tail</t>
  </si>
  <si>
    <t>Test the hypothesis that the mean BMI of males and females are significant (use two sample ztest and  t-test).</t>
  </si>
  <si>
    <t>t-Test: Two-Sample Assuming Equal Variances</t>
  </si>
  <si>
    <t>Pooled Variance</t>
  </si>
  <si>
    <t>Carry out ANOVA to test the significance of height, weight and age.</t>
  </si>
  <si>
    <t>Method</t>
  </si>
  <si>
    <t>All means are equal</t>
  </si>
  <si>
    <t>Not all means are equal</t>
  </si>
  <si>
    <t>Significance level</t>
  </si>
  <si>
    <t>α = 0.05</t>
  </si>
  <si>
    <t>Equal variances were assumed for the analysis.</t>
  </si>
  <si>
    <t>Factor Information</t>
  </si>
  <si>
    <t>Factor</t>
  </si>
  <si>
    <t>Levels</t>
  </si>
  <si>
    <t>Values</t>
  </si>
  <si>
    <t>Age ( In years), Height (in cm only.), Weight (in kgs. only)</t>
  </si>
  <si>
    <t>Analysis of Variance</t>
  </si>
  <si>
    <t>Source</t>
  </si>
  <si>
    <t>DF</t>
  </si>
  <si>
    <t>Adj SS</t>
  </si>
  <si>
    <t>Adj MS</t>
  </si>
  <si>
    <t>F-Value</t>
  </si>
  <si>
    <t>Error</t>
  </si>
  <si>
    <t xml:space="preserve"> </t>
  </si>
  <si>
    <t>Means</t>
  </si>
  <si>
    <t>95% CI</t>
  </si>
  <si>
    <t>(18.564, 22.201)</t>
  </si>
  <si>
    <t>(161.860, 165.497)</t>
  </si>
  <si>
    <t>(57.36, 60.99)</t>
  </si>
  <si>
    <t>Pooled StDev = 9.91525</t>
  </si>
  <si>
    <t>Propose a method to Cluster the students based on category, gender, food habits etc.</t>
  </si>
  <si>
    <t>Carry out a factor analysis to identify major source of variation for student identification</t>
  </si>
  <si>
    <t>AGRAWAL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</si>
</sst>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 applyAlignment="1">
      <alignment horizontal="left"/>
    </xf>
    <xf numFmtId="9" fontId="2" fillId="0" borderId="0" xfId="1" applyFont="1" applyAlignment="1">
      <alignment horizontal="left"/>
    </xf>
    <xf numFmtId="0" fontId="0" fillId="0" borderId="0" xfId="0" applyFill="1"/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0" xfId="0" applyFill="1" applyBorder="1"/>
    <xf numFmtId="0" fontId="2" fillId="0" borderId="0" xfId="0" applyNumberFormat="1" applyFont="1" applyFill="1" applyBorder="1"/>
    <xf numFmtId="0" fontId="0" fillId="0" borderId="23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7" xfId="0" applyFont="1" applyBorder="1"/>
    <xf numFmtId="0" fontId="0" fillId="0" borderId="0" xfId="0" applyFill="1" applyBorder="1" applyAlignment="1"/>
    <xf numFmtId="0" fontId="0" fillId="0" borderId="22" xfId="0" applyFill="1" applyBorder="1" applyAlignment="1"/>
    <xf numFmtId="0" fontId="12" fillId="0" borderId="24" xfId="0" applyFont="1" applyFill="1" applyBorder="1" applyAlignment="1">
      <alignment horizontal="center"/>
    </xf>
    <xf numFmtId="0" fontId="12" fillId="0" borderId="24" xfId="0" applyFont="1" applyFill="1" applyBorder="1" applyAlignment="1">
      <alignment horizontal="centerContinuous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25" xfId="0" applyBorder="1"/>
    <xf numFmtId="0" fontId="0" fillId="0" borderId="4" xfId="0" applyBorder="1"/>
    <xf numFmtId="0" fontId="0" fillId="0" borderId="26" xfId="0" applyBorder="1"/>
    <xf numFmtId="0" fontId="0" fillId="0" borderId="5" xfId="0" applyBorder="1"/>
    <xf numFmtId="0" fontId="0" fillId="0" borderId="27" xfId="0" applyBorder="1"/>
    <xf numFmtId="0" fontId="0" fillId="0" borderId="23" xfId="0" applyBorder="1"/>
    <xf numFmtId="0" fontId="0" fillId="0" borderId="0" xfId="0" applyBorder="1"/>
    <xf numFmtId="0" fontId="0" fillId="0" borderId="28" xfId="0" applyBorder="1"/>
    <xf numFmtId="0" fontId="0" fillId="0" borderId="22" xfId="0" applyBorder="1"/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'a-1'!$D$4</c:f>
              <c:strCache>
                <c:ptCount val="1"/>
                <c:pt idx="0">
                  <c:v>Count of Gender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45-43CA-82CD-BE60CBACB41B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645-43CA-82CD-BE60CBACB41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'a-1'!$C$5:$C$6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'a-1'!$D$5:$D$6</c:f>
              <c:numCache>
                <c:formatCode>General</c:formatCode>
                <c:ptCount val="2"/>
                <c:pt idx="0">
                  <c:v>62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5-43CA-82CD-BE60CBACB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Medium of Instruction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7917760279967"/>
          <c:y val="0.22530675401112052"/>
          <c:w val="0.40485104986876641"/>
          <c:h val="0.6691752890392833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53-4031-AAE0-42CF78F979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53-4031-AAE0-42CF78F979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53-4031-AAE0-42CF78F979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53-4031-AAE0-42CF78F979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'a-1'!$C$116:$C$119</c:f>
              <c:strCache>
                <c:ptCount val="4"/>
                <c:pt idx="0">
                  <c:v>English</c:v>
                </c:pt>
                <c:pt idx="1">
                  <c:v>Gujarati</c:v>
                </c:pt>
                <c:pt idx="2">
                  <c:v>Hindi</c:v>
                </c:pt>
                <c:pt idx="3">
                  <c:v>Marathi</c:v>
                </c:pt>
              </c:strCache>
            </c:strRef>
          </c:cat>
          <c:val>
            <c:numRef>
              <c:f>'a-1'!$D$116:$D$119</c:f>
              <c:numCache>
                <c:formatCode>General</c:formatCode>
                <c:ptCount val="4"/>
                <c:pt idx="0">
                  <c:v>71</c:v>
                </c:pt>
                <c:pt idx="1">
                  <c:v>35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53-4031-AAE0-42CF78F979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wise enrollements</a:t>
            </a:r>
            <a:r>
              <a:rPr lang="en-US" baseline="0"/>
              <a:t> of students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'a-1'!$D$134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'a-1'!$C$135:$C$144</c:f>
              <c:strCache>
                <c:ptCount val="10"/>
                <c:pt idx="0">
                  <c:v>Bihar</c:v>
                </c:pt>
                <c:pt idx="1">
                  <c:v>Chhattisgarh</c:v>
                </c:pt>
                <c:pt idx="2">
                  <c:v>Gujarat</c:v>
                </c:pt>
                <c:pt idx="3">
                  <c:v>Kerala</c:v>
                </c:pt>
                <c:pt idx="4">
                  <c:v>Madhya pradesh</c:v>
                </c:pt>
                <c:pt idx="5">
                  <c:v>Maharashtra</c:v>
                </c:pt>
                <c:pt idx="6">
                  <c:v>Manipur</c:v>
                </c:pt>
                <c:pt idx="7">
                  <c:v>Rajasthan</c:v>
                </c:pt>
                <c:pt idx="8">
                  <c:v>Tamil Nadu</c:v>
                </c:pt>
                <c:pt idx="9">
                  <c:v>Uttar Pradesh</c:v>
                </c:pt>
              </c:strCache>
            </c:strRef>
          </c:cat>
          <c:val>
            <c:numRef>
              <c:f>'a-1'!$D$135:$D$144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91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D-4523-819D-13B6C4E221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0225600"/>
        <c:axId val="287245376"/>
      </c:barChart>
      <c:catAx>
        <c:axId val="171022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45376"/>
        <c:crosses val="autoZero"/>
        <c:auto val="1"/>
        <c:lblAlgn val="ctr"/>
        <c:lblOffset val="100"/>
        <c:noMultiLvlLbl val="0"/>
      </c:catAx>
      <c:valAx>
        <c:axId val="2872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22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57150</xdr:rowOff>
    </xdr:from>
    <xdr:to>
      <xdr:col>10</xdr:col>
      <xdr:colOff>114300</xdr:colOff>
      <xdr:row>14</xdr:row>
      <xdr:rowOff>89154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BF7744-0CC2-411E-8FEE-B48DCEEEE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175260</xdr:colOff>
      <xdr:row>114</xdr:row>
      <xdr:rowOff>160020</xdr:rowOff>
    </xdr:from>
    <xdr:to>
      <xdr:col>10</xdr:col>
      <xdr:colOff>358140</xdr:colOff>
      <xdr:row>129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58CB2E-F889-4A11-B7A6-09640A194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83820</xdr:colOff>
      <xdr:row>133</xdr:row>
      <xdr:rowOff>3810</xdr:rowOff>
    </xdr:from>
    <xdr:to>
      <xdr:col>13</xdr:col>
      <xdr:colOff>457200</xdr:colOff>
      <xdr:row>147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8ADE2D-5246-4DFF-92CD-F395D4E5D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49</xdr:row>
      <xdr:rowOff>15240</xdr:rowOff>
    </xdr:from>
    <xdr:to>
      <xdr:col>7</xdr:col>
      <xdr:colOff>1062990</xdr:colOff>
      <xdr:row>66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BEB595-8A27-4E8C-9FD1-12CDD4C49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150" y="9273540"/>
          <a:ext cx="4869180" cy="32461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an parmar" refreshedDate="44436.572287499999" createdVersion="7" refreshedVersion="7" minRefreshableVersion="3" recordCount="115" xr:uid="{87AB088D-91CA-4A7D-9299-5527E2CB636E}">
  <cacheSource type="worksheet">
    <worksheetSource ref="C1:C116" sheet="data"/>
  </cacheSource>
  <cacheFields count="1">
    <cacheField name="Gender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an parmar" refreshedDate="44436.583163773146" createdVersion="7" refreshedVersion="7" minRefreshableVersion="3" recordCount="115" xr:uid="{7C4CF151-7DA6-4583-9734-89FA6652D1EB}">
  <cacheSource type="worksheet">
    <worksheetSource ref="A1:U116" sheet="data"/>
  </cacheSource>
  <cacheFields count="21">
    <cacheField name="First name" numFmtId="0">
      <sharedItems count="110">
        <s v="YUVRAAJ "/>
        <s v="Harsh"/>
        <s v="Sachin"/>
        <s v="Binal"/>
        <s v="Shubham"/>
        <s v="Dhara"/>
        <s v="Paresh "/>
        <s v="Tisha "/>
        <s v="Darren"/>
        <s v="PINAL "/>
        <s v="Vrutangi "/>
        <s v="Manthan"/>
        <s v="Dhara "/>
        <s v="Hardik"/>
        <s v="Priya"/>
        <s v="Saksham"/>
        <s v="Kaumudi"/>
        <s v="Riya"/>
        <s v="Akshat"/>
        <s v="Kartik "/>
        <s v="KHUSHI"/>
        <s v="Deepti"/>
        <s v="Muskan"/>
        <s v="Neelu"/>
        <s v="Shruti"/>
        <s v="Shifa"/>
        <s v="Siya"/>
        <s v="Yathidev"/>
        <s v="Shipra"/>
        <s v="Anuj"/>
        <s v="Vishisht"/>
        <s v="Mahek"/>
        <s v="Priyanka"/>
        <s v="Muskan "/>
        <s v="Shreya"/>
        <s v="Manav"/>
        <s v="Preetha"/>
        <s v="Ayushi"/>
        <s v="Pihu"/>
        <s v="Kartikey"/>
        <s v="Jayesh"/>
        <s v="Shruthi"/>
        <s v="Praveen "/>
        <s v="Srikanth "/>
        <s v="Smit"/>
        <s v="Sagar"/>
        <s v="Rutvik"/>
        <s v="Avani "/>
        <s v="Riddhi "/>
        <s v="Parth"/>
        <s v="Amitkumar "/>
        <s v="Hardiksinh"/>
        <s v="Rohit"/>
        <s v="Dravid"/>
        <s v="Mahek "/>
        <s v="Drashti"/>
        <s v="Sharnam"/>
        <s v="Vishva"/>
        <s v="Aesha"/>
        <s v="Dhrumil "/>
        <s v="Dipak"/>
        <s v="Drashti "/>
        <s v="Jerry"/>
        <s v="Jenny"/>
        <s v="Manali"/>
        <s v="Ayaz Khan"/>
        <s v="Aditi"/>
        <s v="Hemal "/>
        <s v="Meenakshi"/>
        <s v="KALPIT"/>
        <s v="Siddhrajsinh"/>
        <s v="Pradhyumansinh"/>
        <s v="Rahulkumar "/>
        <s v="Bidyananda"/>
        <s v="Prakash"/>
        <s v="Hitendrasinh"/>
        <s v="Farhin"/>
        <s v="Soham"/>
        <s v="Yashasvi"/>
        <s v="Jayshree"/>
        <s v="Minakshi"/>
        <s v="Banadso"/>
        <s v="Ashwini"/>
        <s v="Mona"/>
        <s v="Zankruti"/>
        <s v="Aiman"/>
        <s v="Anand Kumar"/>
        <s v="Ajay"/>
        <s v="Kuldeep"/>
        <s v="Pradeep"/>
        <s v="Anupam"/>
        <s v="Nidhi "/>
        <s v="Nidhi"/>
        <s v="Komal "/>
        <s v="Raval"/>
        <s v="Niyati"/>
        <s v="Kiran"/>
        <s v="Sushila "/>
        <s v="Riya "/>
        <s v="Mariyam"/>
        <s v="Nandini "/>
        <s v="Maitry"/>
        <s v="Jatin"/>
        <s v=" NEHA"/>
        <s v="Nikhil"/>
        <s v="Vinay"/>
        <s v="Arpit"/>
        <s v="Kritina "/>
        <s v="Nivetha Raju"/>
        <s v="Kishan"/>
      </sharedItems>
    </cacheField>
    <cacheField name="Surname" numFmtId="0">
      <sharedItems/>
    </cacheField>
    <cacheField name="Gender" numFmtId="0">
      <sharedItems count="2">
        <s v="Male"/>
        <s v="Female"/>
      </sharedItems>
    </cacheField>
    <cacheField name="Religion " numFmtId="0">
      <sharedItems/>
    </cacheField>
    <cacheField name="Faculty" numFmtId="0">
      <sharedItems/>
    </cacheField>
    <cacheField name="Age ( In years)" numFmtId="0">
      <sharedItems containsSemiMixedTypes="0" containsString="0" containsNumber="1" containsInteger="1" minValue="18" maxValue="23" count="6">
        <n v="20"/>
        <n v="19"/>
        <n v="21"/>
        <n v="22"/>
        <n v="18"/>
        <n v="23"/>
      </sharedItems>
      <fieldGroup base="5">
        <rangePr startNum="18" endNum="23" groupInterval="2"/>
        <groupItems count="5">
          <s v="&lt;18"/>
          <s v="18-19"/>
          <s v="20-21"/>
          <s v="22-23"/>
          <s v="&gt;24"/>
        </groupItems>
      </fieldGroup>
    </cacheField>
    <cacheField name="Category" numFmtId="0">
      <sharedItems count="5">
        <s v="General"/>
        <s v="SEBC"/>
        <s v="Other"/>
        <s v="SC"/>
        <s v="ST"/>
      </sharedItems>
    </cacheField>
    <cacheField name="Board Marks (In %)" numFmtId="0">
      <sharedItems containsSemiMixedTypes="0" containsString="0" containsNumber="1" minValue="45" maxValue="93" count="46">
        <n v="70"/>
        <n v="58"/>
        <n v="47"/>
        <n v="55"/>
        <n v="49"/>
        <n v="80"/>
        <n v="76"/>
        <n v="63"/>
        <n v="45"/>
        <n v="54"/>
        <n v="65"/>
        <n v="72"/>
        <n v="67"/>
        <n v="69"/>
        <n v="86"/>
        <n v="78"/>
        <n v="60"/>
        <n v="73.400000000000006"/>
        <n v="85"/>
        <n v="81"/>
        <n v="79"/>
        <n v="75"/>
        <n v="46"/>
        <n v="70.400000000000006"/>
        <n v="82"/>
        <n v="50"/>
        <n v="68"/>
        <n v="59"/>
        <n v="89"/>
        <n v="55.42"/>
        <n v="83.8"/>
        <n v="66"/>
        <n v="64"/>
        <n v="87"/>
        <n v="62"/>
        <n v="73"/>
        <n v="71"/>
        <n v="93"/>
        <n v="84.5"/>
        <n v="61"/>
        <n v="51"/>
        <n v="57"/>
        <n v="56"/>
        <n v="54.6"/>
        <n v="52"/>
        <n v="90"/>
      </sharedItems>
      <fieldGroup base="7">
        <rangePr startNum="45" endNum="93" groupInterval="5"/>
        <groupItems count="12">
          <s v="&lt;45"/>
          <s v="45-50"/>
          <s v="50-55"/>
          <s v="55-60"/>
          <s v="60-65"/>
          <s v="65-70"/>
          <s v="70-75"/>
          <s v="75-80"/>
          <s v="80-85"/>
          <s v="85-90"/>
          <s v="90-95"/>
          <s v="&gt;95"/>
        </groupItems>
      </fieldGroup>
    </cacheField>
    <cacheField name="Medium of Instruction" numFmtId="0">
      <sharedItems count="4">
        <s v="English"/>
        <s v="Gujarati"/>
        <s v="Marathi"/>
        <s v="Hindi"/>
      </sharedItems>
    </cacheField>
    <cacheField name="Native State " numFmtId="0">
      <sharedItems count="11">
        <s v="Gujarat"/>
        <s v="Rajasthan"/>
        <s v="Maharashtra "/>
        <s v="Maharashtra"/>
        <s v="Madhya pradesh"/>
        <s v="Bihar"/>
        <s v="Uttar Pradesh"/>
        <s v="Kerala"/>
        <s v="Manipur"/>
        <s v="Chhattisgarh"/>
        <s v="Tamil Nadu"/>
      </sharedItems>
    </cacheField>
    <cacheField name="Native Place " numFmtId="0">
      <sharedItems/>
    </cacheField>
    <cacheField name="Fitness Level " numFmtId="0">
      <sharedItems/>
    </cacheField>
    <cacheField name="Hobbies" numFmtId="0">
      <sharedItems/>
    </cacheField>
    <cacheField name="Family Income" numFmtId="0">
      <sharedItems/>
    </cacheField>
    <cacheField name="Family Type" numFmtId="0">
      <sharedItems/>
    </cacheField>
    <cacheField name="Mode of Transportation" numFmtId="0">
      <sharedItems/>
    </cacheField>
    <cacheField name="Food Habits" numFmtId="0">
      <sharedItems count="2">
        <s v="Vegetarian"/>
        <s v="Non - Vegetation"/>
      </sharedItems>
    </cacheField>
    <cacheField name="Campus Habits" numFmtId="0">
      <sharedItems/>
    </cacheField>
    <cacheField name="Height (in cm only.)" numFmtId="0">
      <sharedItems containsSemiMixedTypes="0" containsString="0" containsNumber="1" containsInteger="1" minValue="140" maxValue="188"/>
    </cacheField>
    <cacheField name="Weight (in kgs. only)" numFmtId="0">
      <sharedItems containsSemiMixedTypes="0" containsString="0" containsNumber="1" containsInteger="1" minValue="36" maxValue="98"/>
    </cacheField>
    <cacheField name="12th Board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x v="0"/>
    <s v="AGRAWAL "/>
    <x v="0"/>
    <s v="Hindu"/>
    <s v="Arts"/>
    <x v="0"/>
    <x v="0"/>
    <x v="0"/>
    <x v="0"/>
    <x v="0"/>
    <s v="Vodadara"/>
    <s v="N"/>
    <s v="Driving"/>
    <s v="&lt; 50000"/>
    <s v="Nuclear"/>
    <s v="B"/>
    <x v="0"/>
    <s v="Non - smoker"/>
    <n v="150"/>
    <n v="70"/>
    <s v="Arts"/>
  </r>
  <r>
    <x v="1"/>
    <s v="badoliya"/>
    <x v="0"/>
    <s v="Hindu"/>
    <s v="Arts"/>
    <x v="1"/>
    <x v="0"/>
    <x v="1"/>
    <x v="0"/>
    <x v="0"/>
    <s v="Vodadara"/>
    <s v="N"/>
    <s v="BusinessWork"/>
    <s v="450000 - 600000"/>
    <s v="Nuclear"/>
    <s v="V"/>
    <x v="0"/>
    <s v="Non - smoker"/>
    <n v="160"/>
    <n v="84"/>
    <s v="Arts"/>
  </r>
  <r>
    <x v="2"/>
    <s v="Bariya"/>
    <x v="0"/>
    <s v="Hindu"/>
    <s v="Arts"/>
    <x v="2"/>
    <x v="1"/>
    <x v="2"/>
    <x v="1"/>
    <x v="0"/>
    <s v="Narmada"/>
    <s v="A"/>
    <s v="Cricket"/>
    <s v="&lt; 50000"/>
    <s v="Nuclear"/>
    <s v="B"/>
    <x v="0"/>
    <s v="Non - smoker"/>
    <n v="168"/>
    <n v="45"/>
    <s v="Arts"/>
  </r>
  <r>
    <x v="3"/>
    <s v="Barot"/>
    <x v="1"/>
    <s v="Hindu"/>
    <s v="Arts"/>
    <x v="0"/>
    <x v="1"/>
    <x v="3"/>
    <x v="1"/>
    <x v="0"/>
    <s v="Vadodara"/>
    <s v="A"/>
    <s v="Playing "/>
    <s v="&gt; 600000"/>
    <s v="Nuclear"/>
    <s v="O"/>
    <x v="0"/>
    <s v="Non - smoker"/>
    <n v="160"/>
    <n v="39"/>
    <s v="Arts"/>
  </r>
  <r>
    <x v="4"/>
    <s v="Bhandari"/>
    <x v="0"/>
    <s v="Hindu"/>
    <s v="Arts"/>
    <x v="3"/>
    <x v="1"/>
    <x v="4"/>
    <x v="1"/>
    <x v="1"/>
    <s v="Chittorgarh"/>
    <s v="N"/>
    <s v="Movies "/>
    <s v="50000 - 150000"/>
    <s v="Nuclear"/>
    <s v="V"/>
    <x v="0"/>
    <s v="Non - smoker"/>
    <n v="160"/>
    <n v="63"/>
    <s v="Commerce"/>
  </r>
  <r>
    <x v="5"/>
    <s v="Bholani"/>
    <x v="1"/>
    <s v="Hindu"/>
    <s v="Science"/>
    <x v="2"/>
    <x v="0"/>
    <x v="5"/>
    <x v="1"/>
    <x v="0"/>
    <s v="Jamnagar "/>
    <s v="N"/>
    <s v="Writing "/>
    <s v="50000 - 150000"/>
    <s v="Joint"/>
    <s v="O"/>
    <x v="0"/>
    <s v="Non - smoker"/>
    <n v="152"/>
    <n v="50"/>
    <s v="A"/>
  </r>
  <r>
    <x v="6"/>
    <s v="Chaudhari"/>
    <x v="0"/>
    <s v="Hindu"/>
    <s v="Science"/>
    <x v="3"/>
    <x v="2"/>
    <x v="6"/>
    <x v="2"/>
    <x v="2"/>
    <s v="Jalgaon"/>
    <s v="N"/>
    <s v="Listening Music"/>
    <s v="50000 - 150000"/>
    <s v="Nuclear"/>
    <s v="O"/>
    <x v="1"/>
    <s v="Non - smoker"/>
    <n v="182"/>
    <n v="59"/>
    <s v="B"/>
  </r>
  <r>
    <x v="7"/>
    <s v="Chavda"/>
    <x v="1"/>
    <s v="Hindu"/>
    <s v="Arts"/>
    <x v="4"/>
    <x v="1"/>
    <x v="7"/>
    <x v="1"/>
    <x v="0"/>
    <s v="Jamnagar"/>
    <s v="N"/>
    <s v="Listening Music"/>
    <s v="&gt; 600000"/>
    <s v="Nuclear"/>
    <s v="V"/>
    <x v="0"/>
    <s v="Non - smoker"/>
    <n v="167"/>
    <n v="74"/>
    <s v="Commerce"/>
  </r>
  <r>
    <x v="8"/>
    <s v="Christian "/>
    <x v="0"/>
    <s v="Christian"/>
    <s v="Arts"/>
    <x v="4"/>
    <x v="1"/>
    <x v="8"/>
    <x v="0"/>
    <x v="0"/>
    <s v="Vadodara"/>
    <s v="A"/>
    <s v="Listening Music"/>
    <s v="50000 - 150000"/>
    <s v="Nuclear"/>
    <s v="V"/>
    <x v="1"/>
    <s v="Non - smoker"/>
    <n v="156"/>
    <n v="90"/>
    <s v="Commerce"/>
  </r>
  <r>
    <x v="9"/>
    <s v="DABHI "/>
    <x v="1"/>
    <s v="Christian"/>
    <s v="Science"/>
    <x v="3"/>
    <x v="3"/>
    <x v="9"/>
    <x v="1"/>
    <x v="0"/>
    <s v="Vadodara "/>
    <s v="N"/>
    <s v="Movies "/>
    <s v="150000 - 300000"/>
    <s v="Joint"/>
    <s v="V"/>
    <x v="1"/>
    <s v="Non - smoker"/>
    <n v="158"/>
    <n v="42"/>
    <s v="A"/>
  </r>
  <r>
    <x v="10"/>
    <s v="Dabhiya"/>
    <x v="1"/>
    <s v="Hindu"/>
    <s v="Arts"/>
    <x v="0"/>
    <x v="1"/>
    <x v="10"/>
    <x v="0"/>
    <x v="0"/>
    <s v="Bharuch"/>
    <s v="A"/>
    <s v="Singing"/>
    <s v="50000 - 150000"/>
    <s v="Nuclear"/>
    <s v="V"/>
    <x v="0"/>
    <s v="Non - smoker"/>
    <n v="162"/>
    <n v="49"/>
    <s v="Arts"/>
  </r>
  <r>
    <x v="11"/>
    <s v="Darji"/>
    <x v="0"/>
    <s v="Hindu"/>
    <s v="Science"/>
    <x v="2"/>
    <x v="1"/>
    <x v="11"/>
    <x v="1"/>
    <x v="0"/>
    <s v="Vijapur"/>
    <s v="N"/>
    <s v="Reading "/>
    <s v="&lt; 50000"/>
    <s v="Nuclear"/>
    <s v="B"/>
    <x v="0"/>
    <s v="Non - smoker"/>
    <n v="168"/>
    <n v="58"/>
    <s v="A"/>
  </r>
  <r>
    <x v="12"/>
    <s v="Dave"/>
    <x v="1"/>
    <s v="Hindu"/>
    <s v="Arts"/>
    <x v="1"/>
    <x v="0"/>
    <x v="12"/>
    <x v="0"/>
    <x v="0"/>
    <s v="Vodadara"/>
    <s v="N"/>
    <s v="Travelling"/>
    <s v="50000 - 150000"/>
    <s v="Joint"/>
    <s v="V"/>
    <x v="0"/>
    <s v="Non - smoker"/>
    <n v="166"/>
    <n v="67"/>
    <s v="Commerce"/>
  </r>
  <r>
    <x v="13"/>
    <s v="Ghaskata"/>
    <x v="0"/>
    <s v="Hindu"/>
    <s v="Science"/>
    <x v="2"/>
    <x v="1"/>
    <x v="0"/>
    <x v="1"/>
    <x v="0"/>
    <s v="Surat"/>
    <s v="N"/>
    <s v="Swimming"/>
    <s v="450000 - 600000"/>
    <s v="Nuclear"/>
    <s v="O"/>
    <x v="0"/>
    <s v="Non - smoker"/>
    <n v="172"/>
    <n v="55"/>
    <s v="A"/>
  </r>
  <r>
    <x v="14"/>
    <s v="Giri"/>
    <x v="1"/>
    <s v="Hindu"/>
    <s v="Commerce"/>
    <x v="3"/>
    <x v="0"/>
    <x v="13"/>
    <x v="0"/>
    <x v="0"/>
    <s v="Vadodara "/>
    <s v="N"/>
    <s v="Drawing "/>
    <s v="450000 - 600000"/>
    <s v="Nuclear"/>
    <s v="B"/>
    <x v="1"/>
    <s v="Non - smoker"/>
    <n v="175"/>
    <n v="73"/>
    <s v="Commerce"/>
  </r>
  <r>
    <x v="15"/>
    <s v="Giri"/>
    <x v="0"/>
    <s v="Hindu"/>
    <s v="Techo (Engineering)"/>
    <x v="2"/>
    <x v="0"/>
    <x v="11"/>
    <x v="0"/>
    <x v="0"/>
    <s v="Vadodara"/>
    <s v="A"/>
    <s v="Sports "/>
    <s v="&gt; 600000"/>
    <s v="Nuclear"/>
    <s v="V"/>
    <x v="0"/>
    <s v="Smoker"/>
    <n v="178"/>
    <n v="72"/>
    <s v="B"/>
  </r>
  <r>
    <x v="16"/>
    <s v="Giridhar"/>
    <x v="1"/>
    <s v="Hindu"/>
    <s v="Science"/>
    <x v="2"/>
    <x v="0"/>
    <x v="14"/>
    <x v="0"/>
    <x v="3"/>
    <s v="Nagpur"/>
    <s v="N"/>
    <s v="Katthak"/>
    <s v="&gt; 600000"/>
    <s v="Nuclear"/>
    <s v="O"/>
    <x v="0"/>
    <s v="Non - smoker"/>
    <n v="163"/>
    <n v="45"/>
    <s v="AB"/>
  </r>
  <r>
    <x v="17"/>
    <s v="Goswami"/>
    <x v="1"/>
    <s v="Hindu"/>
    <s v="Science"/>
    <x v="2"/>
    <x v="0"/>
    <x v="11"/>
    <x v="0"/>
    <x v="0"/>
    <s v="Vadodara"/>
    <s v="N"/>
    <s v="Dancing "/>
    <s v="450000 - 600000"/>
    <s v="Nuclear"/>
    <s v="B"/>
    <x v="1"/>
    <s v="Non - smoker"/>
    <n v="167"/>
    <n v="43"/>
    <s v="A"/>
  </r>
  <r>
    <x v="18"/>
    <s v="Gupta"/>
    <x v="0"/>
    <s v="Hindu"/>
    <s v="Science"/>
    <x v="0"/>
    <x v="0"/>
    <x v="15"/>
    <x v="0"/>
    <x v="1"/>
    <s v="Jaipur"/>
    <s v="A"/>
    <s v="Badminton"/>
    <s v="150000 - 300000"/>
    <s v="Nuclear"/>
    <s v="O"/>
    <x v="0"/>
    <s v="Non - smoker"/>
    <n v="170"/>
    <n v="65"/>
    <s v="A"/>
  </r>
  <r>
    <x v="19"/>
    <s v="Gupta"/>
    <x v="0"/>
    <s v="Hindu"/>
    <s v="Techo (Engineering)"/>
    <x v="3"/>
    <x v="0"/>
    <x v="1"/>
    <x v="0"/>
    <x v="0"/>
    <s v="Vadodara "/>
    <s v="N"/>
    <s v="Cricket"/>
    <s v="150000 - 300000"/>
    <s v="Nuclear"/>
    <s v="V"/>
    <x v="0"/>
    <s v="Non - smoker"/>
    <n v="179"/>
    <n v="74"/>
    <s v="A"/>
  </r>
  <r>
    <x v="20"/>
    <s v="JADHAV"/>
    <x v="1"/>
    <s v="Hindu"/>
    <s v="Arts"/>
    <x v="1"/>
    <x v="0"/>
    <x v="16"/>
    <x v="1"/>
    <x v="0"/>
    <s v="Vadodara"/>
    <s v="N"/>
    <s v="Travelling"/>
    <s v="450000 - 600000"/>
    <s v="Nuclear"/>
    <s v="V"/>
    <x v="1"/>
    <s v="Non - smoker"/>
    <n v="152"/>
    <n v="45"/>
    <s v="Arts"/>
  </r>
  <r>
    <x v="21"/>
    <s v="Jakhotra"/>
    <x v="1"/>
    <s v="Hindu"/>
    <s v="Techo (Engineering)"/>
    <x v="2"/>
    <x v="1"/>
    <x v="17"/>
    <x v="0"/>
    <x v="0"/>
    <s v="Somnath"/>
    <s v="N"/>
    <s v="Painting"/>
    <s v="150000 - 300000"/>
    <s v="Nuclear"/>
    <s v="B"/>
    <x v="0"/>
    <s v="Non - smoker"/>
    <n v="158"/>
    <n v="56"/>
    <s v="A"/>
  </r>
  <r>
    <x v="22"/>
    <s v="Kacholia"/>
    <x v="1"/>
    <s v="Hindu"/>
    <s v="Arts"/>
    <x v="1"/>
    <x v="0"/>
    <x v="18"/>
    <x v="0"/>
    <x v="0"/>
    <s v="Kutch"/>
    <s v="A"/>
    <s v="Sports"/>
    <s v="&lt; 50000"/>
    <s v="Nuclear"/>
    <s v="O"/>
    <x v="0"/>
    <s v="Non - smoker"/>
    <n v="165"/>
    <n v="71"/>
    <s v="Commerce"/>
  </r>
  <r>
    <x v="23"/>
    <s v="Kanwar"/>
    <x v="1"/>
    <s v="Hindu"/>
    <s v="Science"/>
    <x v="5"/>
    <x v="0"/>
    <x v="19"/>
    <x v="0"/>
    <x v="4"/>
    <s v="Nagda "/>
    <s v="N"/>
    <s v="Drawing"/>
    <s v="300000 - 450000"/>
    <s v="Nuclear"/>
    <s v="O"/>
    <x v="1"/>
    <s v="Non - smoker"/>
    <n v="156"/>
    <n v="48"/>
    <s v="A"/>
  </r>
  <r>
    <x v="24"/>
    <s v="Kapse"/>
    <x v="1"/>
    <s v="Hindu"/>
    <s v="Science"/>
    <x v="3"/>
    <x v="0"/>
    <x v="20"/>
    <x v="0"/>
    <x v="0"/>
    <s v="Vadodara"/>
    <s v="A"/>
    <s v="Reading "/>
    <s v="300000 - 450000"/>
    <s v="Nuclear"/>
    <s v="V"/>
    <x v="0"/>
    <s v="Non - smoker"/>
    <n v="158"/>
    <n v="52"/>
    <s v="B"/>
  </r>
  <r>
    <x v="25"/>
    <s v="Khatri"/>
    <x v="1"/>
    <s v="Muslim"/>
    <s v="Arts"/>
    <x v="1"/>
    <x v="1"/>
    <x v="7"/>
    <x v="1"/>
    <x v="0"/>
    <s v="Bodeli"/>
    <s v="N"/>
    <s v="Books"/>
    <s v="50000 - 150000"/>
    <s v="Nuclear"/>
    <s v="V"/>
    <x v="1"/>
    <s v="Non - smoker"/>
    <n v="158"/>
    <n v="80"/>
    <s v="Commerce"/>
  </r>
  <r>
    <x v="26"/>
    <s v="Khurana"/>
    <x v="1"/>
    <s v="Hindu"/>
    <s v="Science"/>
    <x v="2"/>
    <x v="0"/>
    <x v="11"/>
    <x v="0"/>
    <x v="0"/>
    <s v="Vadodara "/>
    <s v="N"/>
    <s v="Dancing"/>
    <s v="450000 - 600000"/>
    <s v="Nuclear"/>
    <s v="B"/>
    <x v="1"/>
    <s v="Non - smoker"/>
    <n v="167"/>
    <n v="43"/>
    <s v="A"/>
  </r>
  <r>
    <x v="27"/>
    <s v="Km"/>
    <x v="0"/>
    <s v="Hindu"/>
    <s v="Science"/>
    <x v="2"/>
    <x v="0"/>
    <x v="16"/>
    <x v="0"/>
    <x v="0"/>
    <s v="Vodadara"/>
    <s v="A"/>
    <s v="Football"/>
    <s v="&lt; 50000"/>
    <s v="Nuclear"/>
    <s v="V"/>
    <x v="1"/>
    <s v="Non - smoker"/>
    <n v="178"/>
    <n v="75"/>
    <s v="A"/>
  </r>
  <r>
    <x v="28"/>
    <s v="Kshatriya"/>
    <x v="1"/>
    <s v="Hindu"/>
    <s v="Arts"/>
    <x v="0"/>
    <x v="0"/>
    <x v="21"/>
    <x v="0"/>
    <x v="0"/>
    <s v="Vadodara"/>
    <s v="N"/>
    <s v="Dancing"/>
    <s v="50000 - 150000"/>
    <s v="Joint"/>
    <s v="B"/>
    <x v="1"/>
    <s v="Non - smoker"/>
    <n v="155"/>
    <n v="56"/>
    <s v="Arts"/>
  </r>
  <r>
    <x v="29"/>
    <s v="Kumar"/>
    <x v="0"/>
    <s v="Hindu"/>
    <s v="Arts"/>
    <x v="2"/>
    <x v="4"/>
    <x v="22"/>
    <x v="0"/>
    <x v="5"/>
    <s v="Bihar"/>
    <s v="N"/>
    <s v="Cricket"/>
    <s v="&lt; 50000"/>
    <s v="Joint"/>
    <s v="O"/>
    <x v="1"/>
    <s v="Non - smoker"/>
    <n v="154"/>
    <n v="55"/>
    <s v="A"/>
  </r>
  <r>
    <x v="30"/>
    <s v="Kumar"/>
    <x v="0"/>
    <s v="Hindu"/>
    <s v="Arts"/>
    <x v="2"/>
    <x v="1"/>
    <x v="23"/>
    <x v="3"/>
    <x v="6"/>
    <s v="Madhepura"/>
    <s v="A"/>
    <s v="Listening Music"/>
    <s v="&lt; 50000"/>
    <s v="Joint"/>
    <s v="B"/>
    <x v="0"/>
    <s v="Non - smoker"/>
    <n v="170"/>
    <n v="45"/>
    <s v="A"/>
  </r>
  <r>
    <x v="14"/>
    <s v="Kumari"/>
    <x v="1"/>
    <s v="Hindu"/>
    <s v="Arts"/>
    <x v="4"/>
    <x v="0"/>
    <x v="24"/>
    <x v="3"/>
    <x v="0"/>
    <s v="Vadodara"/>
    <s v="A"/>
    <s v="Study"/>
    <s v="&lt; 50000"/>
    <s v="Joint"/>
    <s v="B"/>
    <x v="0"/>
    <s v="Smoker"/>
    <n v="152"/>
    <n v="41"/>
    <s v="Arts"/>
  </r>
  <r>
    <x v="31"/>
    <s v="Kureshi"/>
    <x v="1"/>
    <s v="Muslim"/>
    <s v="Arts"/>
    <x v="0"/>
    <x v="1"/>
    <x v="24"/>
    <x v="0"/>
    <x v="0"/>
    <s v="Amreli"/>
    <s v="N"/>
    <s v="Cooking "/>
    <s v="50000 - 150000"/>
    <s v="Nuclear"/>
    <s v="V"/>
    <x v="1"/>
    <s v="Smoker"/>
    <n v="152"/>
    <n v="54"/>
    <s v="Arts"/>
  </r>
  <r>
    <x v="32"/>
    <s v="Mali"/>
    <x v="1"/>
    <s v="Hindu"/>
    <s v="Science"/>
    <x v="3"/>
    <x v="0"/>
    <x v="25"/>
    <x v="0"/>
    <x v="0"/>
    <s v="Vadodara"/>
    <s v="N"/>
    <s v="Travelling"/>
    <s v="&lt; 50000"/>
    <s v="Nuclear"/>
    <s v="O"/>
    <x v="0"/>
    <s v="Non - smoker"/>
    <n v="155"/>
    <n v="44"/>
    <s v="A"/>
  </r>
  <r>
    <x v="33"/>
    <s v="Mansuri "/>
    <x v="1"/>
    <s v="Muslim"/>
    <s v="Arts"/>
    <x v="2"/>
    <x v="0"/>
    <x v="26"/>
    <x v="1"/>
    <x v="0"/>
    <s v="Vodadara"/>
    <s v="A"/>
    <s v="Study"/>
    <s v="50000 - 150000"/>
    <s v="Nuclear"/>
    <s v="B"/>
    <x v="1"/>
    <s v="Non - smoker"/>
    <n v="164"/>
    <n v="50"/>
    <s v="Commerce"/>
  </r>
  <r>
    <x v="34"/>
    <s v="Mathur "/>
    <x v="1"/>
    <s v="Hindu"/>
    <s v="Science"/>
    <x v="2"/>
    <x v="0"/>
    <x v="0"/>
    <x v="0"/>
    <x v="1"/>
    <s v="Jodhpur"/>
    <s v="N"/>
    <s v="Singing"/>
    <s v="450000 - 600000"/>
    <s v="Nuclear"/>
    <s v="V"/>
    <x v="1"/>
    <s v="Non - smoker"/>
    <n v="170"/>
    <n v="52"/>
    <s v="A"/>
  </r>
  <r>
    <x v="35"/>
    <s v="Mehta"/>
    <x v="0"/>
    <s v="Hindu"/>
    <s v="Arts"/>
    <x v="2"/>
    <x v="0"/>
    <x v="10"/>
    <x v="0"/>
    <x v="0"/>
    <s v="Vadodara"/>
    <s v="A"/>
    <s v="Cricket"/>
    <s v="&gt; 600000"/>
    <s v="Joint"/>
    <s v="V"/>
    <x v="1"/>
    <s v="Non - smoker"/>
    <n v="171"/>
    <n v="69"/>
    <s v="A"/>
  </r>
  <r>
    <x v="36"/>
    <s v="Menon"/>
    <x v="1"/>
    <s v="Hindu"/>
    <s v="Science"/>
    <x v="5"/>
    <x v="0"/>
    <x v="11"/>
    <x v="0"/>
    <x v="7"/>
    <s v="Ottapalam"/>
    <s v="N"/>
    <s v=" Music"/>
    <s v="450000 - 600000"/>
    <s v="Nuclear"/>
    <s v="V"/>
    <x v="1"/>
    <s v="Non - smoker"/>
    <n v="154"/>
    <n v="50"/>
    <s v="A"/>
  </r>
  <r>
    <x v="37"/>
    <s v="Mishra"/>
    <x v="1"/>
    <s v="Hindu"/>
    <s v="Arts"/>
    <x v="1"/>
    <x v="0"/>
    <x v="16"/>
    <x v="0"/>
    <x v="6"/>
    <s v="Lucknow"/>
    <s v="N"/>
    <s v="Singing"/>
    <s v="50000 - 150000"/>
    <s v="Nuclear"/>
    <s v="V"/>
    <x v="0"/>
    <s v="Non - smoker"/>
    <n v="160"/>
    <n v="52"/>
    <s v="A"/>
  </r>
  <r>
    <x v="38"/>
    <s v="Mishra"/>
    <x v="1"/>
    <s v="Hindu"/>
    <s v="Medical"/>
    <x v="2"/>
    <x v="1"/>
    <x v="10"/>
    <x v="0"/>
    <x v="0"/>
    <s v="Vadodara"/>
    <s v="N"/>
    <s v="Singing "/>
    <s v="450000 - 600000"/>
    <s v="Nuclear"/>
    <s v="V"/>
    <x v="1"/>
    <s v="Non - smoker"/>
    <n v="162"/>
    <n v="50"/>
    <s v="B"/>
  </r>
  <r>
    <x v="39"/>
    <s v="Mishra"/>
    <x v="0"/>
    <s v="Hindu"/>
    <s v="Arts"/>
    <x v="1"/>
    <x v="0"/>
    <x v="20"/>
    <x v="3"/>
    <x v="6"/>
    <s v="Fatehpur"/>
    <s v="N"/>
    <s v="Writing "/>
    <s v="50000 - 150000"/>
    <s v="Nuclear"/>
    <s v="B"/>
    <x v="0"/>
    <s v="Non - smoker"/>
    <n v="170"/>
    <n v="53"/>
    <s v="A"/>
  </r>
  <r>
    <x v="40"/>
    <s v="Motiani"/>
    <x v="0"/>
    <s v="Hindu"/>
    <s v="Arts"/>
    <x v="4"/>
    <x v="0"/>
    <x v="3"/>
    <x v="0"/>
    <x v="0"/>
    <s v="Vadodara"/>
    <s v="A"/>
    <s v="Cricket"/>
    <s v="&lt; 50000"/>
    <s v="Nuclear"/>
    <s v="O"/>
    <x v="0"/>
    <s v="Smoker"/>
    <n v="164"/>
    <n v="93"/>
    <s v="Commerce"/>
  </r>
  <r>
    <x v="41"/>
    <s v="Nair"/>
    <x v="1"/>
    <s v="Hindu"/>
    <s v="Science"/>
    <x v="2"/>
    <x v="0"/>
    <x v="1"/>
    <x v="0"/>
    <x v="0"/>
    <s v="Vadodara"/>
    <s v="N"/>
    <s v="Dancing"/>
    <s v="&gt; 600000"/>
    <s v="Nuclear"/>
    <s v="B"/>
    <x v="0"/>
    <s v="Non - smoker"/>
    <n v="154"/>
    <n v="85"/>
    <s v="A"/>
  </r>
  <r>
    <x v="42"/>
    <s v="Nair"/>
    <x v="0"/>
    <s v="Hindu"/>
    <s v="Science"/>
    <x v="3"/>
    <x v="0"/>
    <x v="10"/>
    <x v="0"/>
    <x v="0"/>
    <s v="Vodadara"/>
    <s v="A"/>
    <s v="Gyming "/>
    <s v="150000 - 300000"/>
    <s v="Nuclear"/>
    <s v="V"/>
    <x v="1"/>
    <s v="Non - smoker"/>
    <n v="186"/>
    <n v="92"/>
    <s v="A"/>
  </r>
  <r>
    <x v="43"/>
    <s v="Nair"/>
    <x v="0"/>
    <s v="Hindu"/>
    <s v="Commerce"/>
    <x v="2"/>
    <x v="0"/>
    <x v="0"/>
    <x v="0"/>
    <x v="7"/>
    <s v="Kottayam"/>
    <s v="A"/>
    <s v="Travelling"/>
    <s v="50000 - 150000"/>
    <s v="Nuclear"/>
    <s v="V"/>
    <x v="0"/>
    <s v="Non - smoker"/>
    <n v="175"/>
    <n v="68"/>
    <s v="Commerce"/>
  </r>
  <r>
    <x v="44"/>
    <s v="Panchal"/>
    <x v="0"/>
    <s v="Hindu"/>
    <s v="Science"/>
    <x v="0"/>
    <x v="1"/>
    <x v="27"/>
    <x v="0"/>
    <x v="0"/>
    <s v="Ahmedabad"/>
    <s v="N"/>
    <s v="Blogging"/>
    <s v="150000 - 300000"/>
    <s v="Nuclear"/>
    <s v="B"/>
    <x v="0"/>
    <s v="Non - smoker"/>
    <n v="185"/>
    <n v="55"/>
    <s v="A"/>
  </r>
  <r>
    <x v="45"/>
    <s v="Panchal"/>
    <x v="0"/>
    <s v="Hindu"/>
    <s v="Arts"/>
    <x v="0"/>
    <x v="0"/>
    <x v="0"/>
    <x v="0"/>
    <x v="0"/>
    <s v="Vadodara"/>
    <s v="A"/>
    <s v="Coaching"/>
    <s v="50000 - 150000"/>
    <s v="Nuclear"/>
    <s v="V"/>
    <x v="0"/>
    <s v="Non - smoker"/>
    <n v="170"/>
    <n v="62"/>
    <s v="Commerce"/>
  </r>
  <r>
    <x v="46"/>
    <s v="Panchal"/>
    <x v="0"/>
    <s v="Hindu"/>
    <s v="Science"/>
    <x v="3"/>
    <x v="1"/>
    <x v="13"/>
    <x v="0"/>
    <x v="0"/>
    <s v="Ahmedabad"/>
    <s v="N"/>
    <s v="Gaming"/>
    <s v="150000 - 300000"/>
    <s v="Nuclear"/>
    <s v="V"/>
    <x v="0"/>
    <s v="Non - smoker"/>
    <n v="174"/>
    <n v="75"/>
    <s v="A"/>
  </r>
  <r>
    <x v="47"/>
    <s v="Pandya "/>
    <x v="1"/>
    <s v="Hindu"/>
    <s v="Techo (Engineering)"/>
    <x v="2"/>
    <x v="0"/>
    <x v="28"/>
    <x v="0"/>
    <x v="0"/>
    <s v="Modasa"/>
    <s v="N"/>
    <s v="Singing "/>
    <s v="&gt; 600000"/>
    <s v="Nuclear"/>
    <s v="V"/>
    <x v="0"/>
    <s v="Non - smoker"/>
    <n v="167"/>
    <n v="54"/>
    <s v="A"/>
  </r>
  <r>
    <x v="48"/>
    <s v="Parikh "/>
    <x v="1"/>
    <s v="Hindu"/>
    <s v="Arts"/>
    <x v="0"/>
    <x v="0"/>
    <x v="25"/>
    <x v="0"/>
    <x v="0"/>
    <s v="Vadodara "/>
    <s v="N"/>
    <s v="Photography "/>
    <s v="50000 - 150000"/>
    <s v="Nuclear"/>
    <s v="V"/>
    <x v="0"/>
    <s v="Non - smoker"/>
    <n v="165"/>
    <n v="82"/>
    <s v="Commerce"/>
  </r>
  <r>
    <x v="49"/>
    <s v="Parmar"/>
    <x v="0"/>
    <s v="Hindu"/>
    <s v="Science"/>
    <x v="3"/>
    <x v="3"/>
    <x v="19"/>
    <x v="1"/>
    <x v="0"/>
    <s v="Vadodara "/>
    <s v="A"/>
    <s v="Gaming"/>
    <s v="450000 - 600000"/>
    <s v="Nuclear"/>
    <s v="B"/>
    <x v="1"/>
    <s v="Non - smoker"/>
    <n v="169"/>
    <n v="67"/>
    <s v="B"/>
  </r>
  <r>
    <x v="50"/>
    <s v="Parmar"/>
    <x v="0"/>
    <s v="Hindu"/>
    <s v="Arts"/>
    <x v="1"/>
    <x v="0"/>
    <x v="29"/>
    <x v="3"/>
    <x v="0"/>
    <s v="Vodadara"/>
    <s v="N"/>
    <s v="Gyming "/>
    <s v="50000 - 150000"/>
    <s v="Joint"/>
    <s v="B"/>
    <x v="0"/>
    <s v="Non - smoker"/>
    <n v="165"/>
    <n v="52"/>
    <s v="Arts"/>
  </r>
  <r>
    <x v="51"/>
    <s v="Parmar"/>
    <x v="0"/>
    <s v="Hindu"/>
    <s v="Science"/>
    <x v="2"/>
    <x v="1"/>
    <x v="11"/>
    <x v="1"/>
    <x v="0"/>
    <s v="Kodinar"/>
    <s v="N"/>
    <s v="Playing"/>
    <s v="&gt; 600000"/>
    <s v="Nuclear"/>
    <s v="B"/>
    <x v="0"/>
    <s v="Non - smoker"/>
    <n v="166"/>
    <n v="75"/>
    <s v="A"/>
  </r>
  <r>
    <x v="52"/>
    <s v="Parmar"/>
    <x v="0"/>
    <s v="Hindu"/>
    <s v="Arts"/>
    <x v="4"/>
    <x v="3"/>
    <x v="30"/>
    <x v="0"/>
    <x v="0"/>
    <s v="Junagadh"/>
    <s v="N"/>
    <s v="Reading "/>
    <s v="&lt; 50000"/>
    <s v="Nuclear"/>
    <s v="O"/>
    <x v="1"/>
    <s v="Non - smoker"/>
    <n v="162"/>
    <n v="64"/>
    <s v="Arts"/>
  </r>
  <r>
    <x v="53"/>
    <s v="Parmar"/>
    <x v="0"/>
    <s v="Hindu"/>
    <s v="Arts"/>
    <x v="1"/>
    <x v="0"/>
    <x v="25"/>
    <x v="1"/>
    <x v="0"/>
    <s v="Una"/>
    <s v="A"/>
    <s v="Playing "/>
    <s v="50000 - 150000"/>
    <s v="Joint"/>
    <s v="V"/>
    <x v="0"/>
    <s v="Non - smoker"/>
    <n v="150"/>
    <n v="50"/>
    <s v="Arts"/>
  </r>
  <r>
    <x v="54"/>
    <s v="Parmar"/>
    <x v="0"/>
    <s v="Hindu"/>
    <s v="Science"/>
    <x v="3"/>
    <x v="1"/>
    <x v="27"/>
    <x v="0"/>
    <x v="0"/>
    <s v="Gir somnath "/>
    <s v="A"/>
    <s v="Yoga"/>
    <s v="50000 - 150000"/>
    <s v="Joint"/>
    <s v="B"/>
    <x v="0"/>
    <s v="Smoker"/>
    <n v="168"/>
    <n v="50"/>
    <s v="A"/>
  </r>
  <r>
    <x v="55"/>
    <s v="Patel"/>
    <x v="1"/>
    <s v="Hindu"/>
    <s v="Science"/>
    <x v="2"/>
    <x v="0"/>
    <x v="31"/>
    <x v="1"/>
    <x v="0"/>
    <s v="Vadodara"/>
    <s v="N"/>
    <s v="Dancing"/>
    <s v="300000 - 450000"/>
    <s v="Joint"/>
    <s v="B"/>
    <x v="0"/>
    <s v="Non - smoker"/>
    <n v="155"/>
    <n v="46"/>
    <s v="A"/>
  </r>
  <r>
    <x v="47"/>
    <s v="Patel"/>
    <x v="1"/>
    <s v="Hindu"/>
    <s v="Arts"/>
    <x v="0"/>
    <x v="0"/>
    <x v="32"/>
    <x v="0"/>
    <x v="0"/>
    <s v="Vadodara"/>
    <s v="N"/>
    <s v="Dancing"/>
    <s v="&lt; 50000"/>
    <s v="Nuclear"/>
    <s v="V"/>
    <x v="0"/>
    <s v="Non - smoker"/>
    <n v="154"/>
    <n v="59"/>
    <s v="Arts"/>
  </r>
  <r>
    <x v="56"/>
    <s v="Patel"/>
    <x v="1"/>
    <s v="Hindu"/>
    <s v="Arts"/>
    <x v="1"/>
    <x v="1"/>
    <x v="10"/>
    <x v="1"/>
    <x v="0"/>
    <s v="Vadodara"/>
    <s v="A"/>
    <s v="Listening Music"/>
    <s v="450000 - 600000"/>
    <s v="Joint"/>
    <s v="O"/>
    <x v="0"/>
    <s v="Non - smoker"/>
    <n v="156"/>
    <n v="41"/>
    <s v="Arts"/>
  </r>
  <r>
    <x v="57"/>
    <s v="Patel"/>
    <x v="1"/>
    <s v="Hindu"/>
    <s v="Science"/>
    <x v="2"/>
    <x v="0"/>
    <x v="21"/>
    <x v="0"/>
    <x v="0"/>
    <s v="Vodadara"/>
    <s v="N"/>
    <s v="Reading "/>
    <s v="50000 - 150000"/>
    <s v="Joint"/>
    <s v="B"/>
    <x v="0"/>
    <s v="Non - smoker"/>
    <n v="167"/>
    <n v="58"/>
    <s v="A"/>
  </r>
  <r>
    <x v="58"/>
    <s v="Patel"/>
    <x v="1"/>
    <s v="Hindu"/>
    <s v="Science"/>
    <x v="2"/>
    <x v="0"/>
    <x v="31"/>
    <x v="1"/>
    <x v="0"/>
    <s v="Vadodara "/>
    <s v="N"/>
    <s v="Reading "/>
    <s v="50000 - 150000"/>
    <s v="Nuclear"/>
    <s v="V"/>
    <x v="0"/>
    <s v="Non - smoker"/>
    <n v="153"/>
    <n v="55"/>
    <s v="A"/>
  </r>
  <r>
    <x v="59"/>
    <s v="Patel"/>
    <x v="0"/>
    <s v="Hindu"/>
    <s v="Science"/>
    <x v="2"/>
    <x v="0"/>
    <x v="20"/>
    <x v="0"/>
    <x v="0"/>
    <s v="Lunawada"/>
    <s v="N"/>
    <s v="Riding"/>
    <s v="&gt; 600000"/>
    <s v="Joint"/>
    <s v="O"/>
    <x v="0"/>
    <s v="Non - smoker"/>
    <n v="184"/>
    <n v="98"/>
    <s v="B"/>
  </r>
  <r>
    <x v="60"/>
    <s v="Patel"/>
    <x v="0"/>
    <s v="Hindu"/>
    <s v="Arts"/>
    <x v="1"/>
    <x v="0"/>
    <x v="32"/>
    <x v="0"/>
    <x v="0"/>
    <s v="Vadodara"/>
    <s v="A"/>
    <s v="Sports"/>
    <s v="50000 - 150000"/>
    <s v="Joint"/>
    <s v="B"/>
    <x v="0"/>
    <s v="Non - smoker"/>
    <n v="180"/>
    <n v="73"/>
    <s v="Commerce"/>
  </r>
  <r>
    <x v="61"/>
    <s v="Patel"/>
    <x v="1"/>
    <s v="Hindu"/>
    <s v="Arts"/>
    <x v="0"/>
    <x v="0"/>
    <x v="13"/>
    <x v="1"/>
    <x v="0"/>
    <s v="Vadodara"/>
    <s v="N"/>
    <s v="Sports"/>
    <s v="&lt; 50000"/>
    <s v="Joint"/>
    <s v="O"/>
    <x v="0"/>
    <s v="Non - smoker"/>
    <n v="147"/>
    <n v="47"/>
    <s v="B"/>
  </r>
  <r>
    <x v="62"/>
    <s v="Patel"/>
    <x v="1"/>
    <s v="Hindu"/>
    <s v="Science"/>
    <x v="2"/>
    <x v="0"/>
    <x v="28"/>
    <x v="1"/>
    <x v="0"/>
    <s v="Jamnagar"/>
    <s v="N"/>
    <s v="Writing"/>
    <s v="50000 - 150000"/>
    <s v="Joint"/>
    <s v="V"/>
    <x v="1"/>
    <s v="Non - smoker"/>
    <n v="152"/>
    <n v="49"/>
    <s v="A"/>
  </r>
  <r>
    <x v="63"/>
    <s v="Patel"/>
    <x v="1"/>
    <s v="Hindu"/>
    <s v="Science"/>
    <x v="2"/>
    <x v="0"/>
    <x v="0"/>
    <x v="0"/>
    <x v="0"/>
    <s v="Vadodara"/>
    <s v="N"/>
    <s v="Singing"/>
    <s v="&gt; 600000"/>
    <s v="Nuclear"/>
    <s v="V"/>
    <x v="0"/>
    <s v="Non - smoker"/>
    <n v="164"/>
    <n v="70"/>
    <s v="A"/>
  </r>
  <r>
    <x v="64"/>
    <s v="Pathak"/>
    <x v="1"/>
    <s v="Hindu"/>
    <s v="Science"/>
    <x v="3"/>
    <x v="0"/>
    <x v="13"/>
    <x v="1"/>
    <x v="0"/>
    <s v="Vadodara"/>
    <s v="N"/>
    <s v="Travelling"/>
    <s v="450000 - 600000"/>
    <s v="Joint"/>
    <s v="V"/>
    <x v="0"/>
    <s v="Non - smoker"/>
    <n v="156"/>
    <n v="43"/>
    <s v="A"/>
  </r>
  <r>
    <x v="65"/>
    <s v="Pathan"/>
    <x v="0"/>
    <s v="Muslim"/>
    <s v="Arts"/>
    <x v="1"/>
    <x v="0"/>
    <x v="1"/>
    <x v="3"/>
    <x v="0"/>
    <s v="Vodadara"/>
    <s v="N"/>
    <s v="Gyming "/>
    <s v="50000 - 150000"/>
    <s v="Joint"/>
    <s v="B"/>
    <x v="1"/>
    <s v="Non - smoker"/>
    <n v="165"/>
    <n v="56"/>
    <s v="Arts"/>
  </r>
  <r>
    <x v="66"/>
    <s v="Patil"/>
    <x v="1"/>
    <s v="Hindu"/>
    <s v="Science"/>
    <x v="3"/>
    <x v="0"/>
    <x v="20"/>
    <x v="0"/>
    <x v="0"/>
    <s v="Vadodara"/>
    <s v="N"/>
    <s v="Dancing"/>
    <s v="300000 - 450000"/>
    <s v="Nuclear"/>
    <s v="V"/>
    <x v="0"/>
    <s v="Non - smoker"/>
    <n v="167"/>
    <n v="54"/>
    <s v="B"/>
  </r>
  <r>
    <x v="67"/>
    <s v="Pawar"/>
    <x v="1"/>
    <s v="Hindu"/>
    <s v="Arts"/>
    <x v="4"/>
    <x v="0"/>
    <x v="33"/>
    <x v="1"/>
    <x v="0"/>
    <s v="Vadodara"/>
    <s v="N"/>
    <s v="Dancing"/>
    <s v="150000 - 300000"/>
    <s v="Joint"/>
    <s v="V"/>
    <x v="1"/>
    <s v="Non - smoker"/>
    <n v="158"/>
    <n v="50"/>
    <s v="Commerce"/>
  </r>
  <r>
    <x v="68"/>
    <s v="Porwal"/>
    <x v="1"/>
    <s v="Hindu"/>
    <s v="Science"/>
    <x v="2"/>
    <x v="0"/>
    <x v="24"/>
    <x v="0"/>
    <x v="6"/>
    <s v="Etawah"/>
    <s v="N"/>
    <s v="Reading "/>
    <s v="450000 - 600000"/>
    <s v="Nuclear"/>
    <s v="B"/>
    <x v="0"/>
    <s v="Non - smoker"/>
    <n v="164"/>
    <n v="54"/>
    <s v="A"/>
  </r>
  <r>
    <x v="69"/>
    <s v="PRAJAPATI"/>
    <x v="0"/>
    <s v="Hindu"/>
    <s v="Arts"/>
    <x v="0"/>
    <x v="2"/>
    <x v="34"/>
    <x v="1"/>
    <x v="0"/>
    <s v="Vodadara"/>
    <s v="A"/>
    <s v="Sports"/>
    <s v="&lt; 50000"/>
    <s v="Joint"/>
    <s v="V"/>
    <x v="0"/>
    <s v="Non - smoker"/>
    <n v="183"/>
    <n v="61"/>
    <s v="Arts"/>
  </r>
  <r>
    <x v="70"/>
    <s v="Puwar"/>
    <x v="0"/>
    <s v="Hindu"/>
    <s v="Commerce"/>
    <x v="2"/>
    <x v="0"/>
    <x v="16"/>
    <x v="1"/>
    <x v="0"/>
    <s v="Lunavada"/>
    <s v="N"/>
    <s v="Cricket"/>
    <s v="450000 - 600000"/>
    <s v="Nuclear"/>
    <s v="V"/>
    <x v="0"/>
    <s v="Non - smoker"/>
    <n v="163"/>
    <n v="54"/>
    <s v="Commerce"/>
  </r>
  <r>
    <x v="71"/>
    <s v="Puwar"/>
    <x v="0"/>
    <s v="Hindu"/>
    <s v="Science"/>
    <x v="2"/>
    <x v="0"/>
    <x v="25"/>
    <x v="1"/>
    <x v="0"/>
    <s v="Lunavada"/>
    <s v="N"/>
    <s v="Cricket"/>
    <s v="300000 - 450000"/>
    <s v="Nuclear"/>
    <s v="O"/>
    <x v="0"/>
    <s v="Non - smoker"/>
    <n v="188"/>
    <n v="91"/>
    <s v="A"/>
  </r>
  <r>
    <x v="72"/>
    <s v="Rabari "/>
    <x v="0"/>
    <s v="Hindu"/>
    <s v="Science"/>
    <x v="3"/>
    <x v="1"/>
    <x v="8"/>
    <x v="1"/>
    <x v="0"/>
    <s v="Deesa"/>
    <s v="N"/>
    <s v="Study"/>
    <s v="&lt; 50000"/>
    <s v="Joint"/>
    <s v="O"/>
    <x v="0"/>
    <s v="Non - smoker"/>
    <n v="186"/>
    <n v="72"/>
    <s v="B"/>
  </r>
  <r>
    <x v="73"/>
    <s v="Rajkumar"/>
    <x v="0"/>
    <s v="Hindu"/>
    <s v="Arts"/>
    <x v="3"/>
    <x v="0"/>
    <x v="35"/>
    <x v="0"/>
    <x v="8"/>
    <s v="Imphal East"/>
    <s v="N"/>
    <s v="Singing"/>
    <s v="300000 - 450000"/>
    <s v="Joint"/>
    <s v="O"/>
    <x v="1"/>
    <s v="Non - smoker"/>
    <n v="156"/>
    <n v="78"/>
    <s v="Arts"/>
  </r>
  <r>
    <x v="74"/>
    <s v="Ram"/>
    <x v="0"/>
    <s v="Hindu"/>
    <s v="Arts"/>
    <x v="4"/>
    <x v="1"/>
    <x v="19"/>
    <x v="0"/>
    <x v="0"/>
    <s v="Rajula"/>
    <s v="A"/>
    <s v="Playing"/>
    <s v="150000 - 300000"/>
    <s v="Joint"/>
    <s v="V"/>
    <x v="0"/>
    <s v="Non - smoker"/>
    <n v="173"/>
    <n v="45"/>
    <s v="Arts"/>
  </r>
  <r>
    <x v="75"/>
    <s v="Rana"/>
    <x v="0"/>
    <s v="Hindu"/>
    <s v="Arts"/>
    <x v="0"/>
    <x v="0"/>
    <x v="36"/>
    <x v="1"/>
    <x v="0"/>
    <s v="Ahmedabad"/>
    <s v="A"/>
    <s v="Listening Music"/>
    <s v="&lt; 50000"/>
    <s v="Nuclear"/>
    <s v="B"/>
    <x v="0"/>
    <s v="Non - smoker"/>
    <n v="160"/>
    <n v="49"/>
    <s v="Arts"/>
  </r>
  <r>
    <x v="76"/>
    <s v="Rana"/>
    <x v="1"/>
    <s v="Muslim"/>
    <s v="Arts"/>
    <x v="0"/>
    <x v="0"/>
    <x v="25"/>
    <x v="1"/>
    <x v="0"/>
    <s v="Vodadara"/>
    <s v="A"/>
    <s v="Singing"/>
    <s v="50000 - 150000"/>
    <s v="Joint"/>
    <s v="V"/>
    <x v="1"/>
    <s v="Non - smoker"/>
    <n v="156"/>
    <n v="42"/>
    <s v="Commerce"/>
  </r>
  <r>
    <x v="77"/>
    <s v="Rathod"/>
    <x v="0"/>
    <s v="Hindu"/>
    <s v="Science"/>
    <x v="1"/>
    <x v="2"/>
    <x v="21"/>
    <x v="0"/>
    <x v="0"/>
    <s v="Vodadara"/>
    <s v="A"/>
    <s v="Cricket"/>
    <s v="450000 - 600000"/>
    <s v="Nuclear"/>
    <s v="V"/>
    <x v="1"/>
    <s v="Non - smoker"/>
    <n v="172"/>
    <n v="67"/>
    <s v="A"/>
  </r>
  <r>
    <x v="78"/>
    <s v="Rathore"/>
    <x v="1"/>
    <s v="Hindu"/>
    <s v="Arts"/>
    <x v="1"/>
    <x v="0"/>
    <x v="37"/>
    <x v="0"/>
    <x v="4"/>
    <s v="Indore"/>
    <s v="A"/>
    <s v="Drawing"/>
    <s v="50000 - 150000"/>
    <s v="Joint"/>
    <s v="V"/>
    <x v="1"/>
    <s v="Non - smoker"/>
    <n v="162"/>
    <n v="54"/>
    <s v="Arts"/>
  </r>
  <r>
    <x v="79"/>
    <s v="Roy"/>
    <x v="1"/>
    <s v="Hindu"/>
    <s v="Arts"/>
    <x v="4"/>
    <x v="0"/>
    <x v="13"/>
    <x v="0"/>
    <x v="0"/>
    <s v="Vadodara"/>
    <s v="N"/>
    <s v="Writing"/>
    <s v="50000 - 150000"/>
    <s v="Nuclear"/>
    <s v="V"/>
    <x v="1"/>
    <s v="Non - smoker"/>
    <n v="152"/>
    <n v="36"/>
    <s v="Arts"/>
  </r>
  <r>
    <x v="80"/>
    <s v="Sahu"/>
    <x v="1"/>
    <s v="Hindu"/>
    <s v="Arts"/>
    <x v="0"/>
    <x v="1"/>
    <x v="28"/>
    <x v="0"/>
    <x v="9"/>
    <s v="Chhattisgarh"/>
    <s v="N"/>
    <s v="Reading "/>
    <s v="50000 - 150000"/>
    <s v="Nuclear"/>
    <s v="V"/>
    <x v="0"/>
    <s v="Non - smoker"/>
    <n v="176"/>
    <n v="80"/>
    <s v="Commerce"/>
  </r>
  <r>
    <x v="81"/>
    <s v="Sarangthem"/>
    <x v="0"/>
    <s v="Hindu"/>
    <s v="Arts"/>
    <x v="1"/>
    <x v="0"/>
    <x v="27"/>
    <x v="0"/>
    <x v="8"/>
    <s v="Salungpham"/>
    <s v="A"/>
    <s v="Playing "/>
    <s v="50000 - 150000"/>
    <s v="Joint"/>
    <s v="O"/>
    <x v="1"/>
    <s v="Non - smoker"/>
    <n v="173"/>
    <n v="70"/>
    <s v="AB"/>
  </r>
  <r>
    <x v="82"/>
    <s v="Savani"/>
    <x v="1"/>
    <s v="Hindu"/>
    <s v="Arts"/>
    <x v="0"/>
    <x v="2"/>
    <x v="13"/>
    <x v="1"/>
    <x v="0"/>
    <s v="Vadodara "/>
    <s v="N"/>
    <s v="Cooking "/>
    <s v="&gt; 600000"/>
    <s v="Joint"/>
    <s v="B"/>
    <x v="0"/>
    <s v="Non - smoker"/>
    <n v="158"/>
    <n v="40"/>
    <s v="Commerce"/>
  </r>
  <r>
    <x v="83"/>
    <s v="Shah"/>
    <x v="1"/>
    <s v="Hindu"/>
    <s v="Science"/>
    <x v="3"/>
    <x v="0"/>
    <x v="38"/>
    <x v="0"/>
    <x v="0"/>
    <s v="Vadodara"/>
    <s v="N"/>
    <s v="Gardening"/>
    <s v="300000 - 450000"/>
    <s v="Nuclear"/>
    <s v="V"/>
    <x v="0"/>
    <s v="Non - smoker"/>
    <n v="158"/>
    <n v="58"/>
    <s v="A"/>
  </r>
  <r>
    <x v="84"/>
    <s v="Shah"/>
    <x v="1"/>
    <s v="Hindu"/>
    <s v="Science"/>
    <x v="3"/>
    <x v="0"/>
    <x v="26"/>
    <x v="1"/>
    <x v="0"/>
    <s v="Vadodara"/>
    <s v="N"/>
    <s v="Singing"/>
    <s v="450000 - 600000"/>
    <s v="Nuclear"/>
    <s v="B"/>
    <x v="0"/>
    <s v="Non - smoker"/>
    <n v="140"/>
    <n v="68"/>
    <s v="A"/>
  </r>
  <r>
    <x v="85"/>
    <s v="Shaikh"/>
    <x v="1"/>
    <s v="Muslim"/>
    <s v="Science"/>
    <x v="3"/>
    <x v="0"/>
    <x v="34"/>
    <x v="0"/>
    <x v="0"/>
    <s v="Vodadara"/>
    <s v="N"/>
    <s v="Working "/>
    <s v="150000 - 300000"/>
    <s v="Nuclear"/>
    <s v="V"/>
    <x v="1"/>
    <s v="Non - smoker"/>
    <n v="162"/>
    <n v="47"/>
    <s v="A"/>
  </r>
  <r>
    <x v="86"/>
    <s v="Sharma"/>
    <x v="0"/>
    <s v="Hindu"/>
    <s v="Arts"/>
    <x v="4"/>
    <x v="0"/>
    <x v="39"/>
    <x v="3"/>
    <x v="5"/>
    <s v="Bihar"/>
    <s v="A"/>
    <s v="Gaming"/>
    <s v="&lt; 50000"/>
    <s v="Nuclear"/>
    <s v="B"/>
    <x v="1"/>
    <s v="Non - smoker"/>
    <n v="162"/>
    <n v="50"/>
    <s v="Arts"/>
  </r>
  <r>
    <x v="87"/>
    <s v="Sharma"/>
    <x v="0"/>
    <s v="Hindu"/>
    <s v="Arts"/>
    <x v="0"/>
    <x v="0"/>
    <x v="16"/>
    <x v="3"/>
    <x v="0"/>
    <s v="Vodadara"/>
    <s v="N"/>
    <s v="Reading "/>
    <s v="50000 - 150000"/>
    <s v="Joint"/>
    <s v="O"/>
    <x v="0"/>
    <s v="Non - smoker"/>
    <n v="165"/>
    <n v="79"/>
    <s v="Commerce"/>
  </r>
  <r>
    <x v="88"/>
    <s v="Singh"/>
    <x v="0"/>
    <s v="Hindu"/>
    <s v="Arts"/>
    <x v="1"/>
    <x v="3"/>
    <x v="1"/>
    <x v="0"/>
    <x v="6"/>
    <s v="Mainpuri"/>
    <s v="A"/>
    <s v=" Photography"/>
    <s v="450000 - 600000"/>
    <s v="Nuclear"/>
    <s v="V"/>
    <x v="1"/>
    <s v="Smoker"/>
    <n v="172"/>
    <n v="60"/>
    <s v="Commerce"/>
  </r>
  <r>
    <x v="89"/>
    <s v="Singh"/>
    <x v="0"/>
    <s v="Hindu"/>
    <s v="Science"/>
    <x v="2"/>
    <x v="0"/>
    <x v="0"/>
    <x v="0"/>
    <x v="0"/>
    <s v="Vadodara"/>
    <s v="N"/>
    <s v="Gaming"/>
    <s v="300000 - 450000"/>
    <s v="Nuclear"/>
    <s v="B"/>
    <x v="1"/>
    <s v="Non - smoker"/>
    <n v="178"/>
    <n v="77"/>
    <s v="A"/>
  </r>
  <r>
    <x v="90"/>
    <s v="Singh"/>
    <x v="1"/>
    <s v="Hindu"/>
    <s v="Arts"/>
    <x v="3"/>
    <x v="0"/>
    <x v="21"/>
    <x v="0"/>
    <x v="5"/>
    <s v="Bihar"/>
    <s v="A"/>
    <s v="Listening Music"/>
    <s v="300000 - 450000"/>
    <s v="Joint"/>
    <s v="V"/>
    <x v="0"/>
    <s v="Non - smoker"/>
    <n v="162"/>
    <n v="45"/>
    <s v="Arts"/>
  </r>
  <r>
    <x v="91"/>
    <s v="Singh"/>
    <x v="1"/>
    <s v="Hindu"/>
    <s v="Arts"/>
    <x v="1"/>
    <x v="0"/>
    <x v="9"/>
    <x v="0"/>
    <x v="0"/>
    <s v="Vadodara"/>
    <s v="N"/>
    <s v="Reading "/>
    <s v="&lt; 50000"/>
    <s v="Joint"/>
    <s v="B"/>
    <x v="0"/>
    <s v="Non - smoker"/>
    <n v="156"/>
    <n v="53"/>
    <s v="Arts"/>
  </r>
  <r>
    <x v="92"/>
    <s v="Singh"/>
    <x v="1"/>
    <s v="Hindu"/>
    <s v="Arts"/>
    <x v="1"/>
    <x v="0"/>
    <x v="9"/>
    <x v="0"/>
    <x v="0"/>
    <s v="Vadodara"/>
    <s v="N"/>
    <s v="Reading "/>
    <s v="&lt; 50000"/>
    <s v="Joint"/>
    <s v="B"/>
    <x v="1"/>
    <s v="Non - smoker"/>
    <n v="156"/>
    <n v="53"/>
    <s v="Arts"/>
  </r>
  <r>
    <x v="93"/>
    <s v="Solanki "/>
    <x v="1"/>
    <s v="Hindu"/>
    <s v="Arts"/>
    <x v="1"/>
    <x v="0"/>
    <x v="40"/>
    <x v="1"/>
    <x v="0"/>
    <s v="Vodadara"/>
    <s v="A"/>
    <s v="Drawing"/>
    <s v="50000 - 150000"/>
    <s v="Nuclear"/>
    <s v="V"/>
    <x v="0"/>
    <s v="Non - smoker"/>
    <n v="156"/>
    <n v="80"/>
    <s v="Arts"/>
  </r>
  <r>
    <x v="94"/>
    <s v="Sujit"/>
    <x v="0"/>
    <s v="Hindu"/>
    <s v="Science"/>
    <x v="2"/>
    <x v="0"/>
    <x v="26"/>
    <x v="0"/>
    <x v="0"/>
    <s v="Ahmedabad"/>
    <s v="N"/>
    <s v="Kho-Kho"/>
    <s v="300000 - 450000"/>
    <s v="Joint"/>
    <s v="O"/>
    <x v="0"/>
    <s v="Non - smoker"/>
    <n v="158"/>
    <n v="50"/>
    <s v="A"/>
  </r>
  <r>
    <x v="95"/>
    <s v="Suthar"/>
    <x v="1"/>
    <s v="Hindu"/>
    <s v="Science"/>
    <x v="2"/>
    <x v="1"/>
    <x v="10"/>
    <x v="0"/>
    <x v="0"/>
    <s v="Borsad"/>
    <s v="A"/>
    <s v="Listening Music"/>
    <s v="50000 - 150000"/>
    <s v="Joint"/>
    <s v="V"/>
    <x v="0"/>
    <s v="Non - smoker"/>
    <n v="154"/>
    <n v="40"/>
    <s v="A"/>
  </r>
  <r>
    <x v="96"/>
    <s v="Suthar"/>
    <x v="1"/>
    <s v="Hindu"/>
    <s v="Arts"/>
    <x v="1"/>
    <x v="0"/>
    <x v="11"/>
    <x v="0"/>
    <x v="0"/>
    <s v="Vadodara"/>
    <s v="A"/>
    <s v="Working "/>
    <s v="50000 - 150000"/>
    <s v="Joint"/>
    <s v="O"/>
    <x v="0"/>
    <s v="Non - smoker"/>
    <n v="155"/>
    <n v="45"/>
    <s v="Arts"/>
  </r>
  <r>
    <x v="97"/>
    <s v="Suthar"/>
    <x v="1"/>
    <s v="Hindu"/>
    <s v="Arts"/>
    <x v="0"/>
    <x v="0"/>
    <x v="41"/>
    <x v="1"/>
    <x v="0"/>
    <s v="Vadodara"/>
    <s v="N"/>
    <s v="Writing"/>
    <s v="450000 - 600000"/>
    <s v="Nuclear"/>
    <s v="V"/>
    <x v="0"/>
    <s v="Non - smoker"/>
    <n v="157"/>
    <n v="56"/>
    <s v="Commerce"/>
  </r>
  <r>
    <x v="98"/>
    <s v="Thaker"/>
    <x v="1"/>
    <s v="Hindu"/>
    <s v="Arts"/>
    <x v="2"/>
    <x v="0"/>
    <x v="2"/>
    <x v="0"/>
    <x v="0"/>
    <s v="Siddhpur"/>
    <s v="A"/>
    <s v="Dancing"/>
    <s v="50000 - 150000"/>
    <s v="Nuclear"/>
    <s v="V"/>
    <x v="0"/>
    <s v="Non - smoker"/>
    <n v="163"/>
    <n v="80"/>
    <s v="Commerce"/>
  </r>
  <r>
    <x v="99"/>
    <s v="Tinwala"/>
    <x v="1"/>
    <s v="Muslim"/>
    <s v="Arts"/>
    <x v="0"/>
    <x v="0"/>
    <x v="10"/>
    <x v="0"/>
    <x v="0"/>
    <s v="Vadodara"/>
    <s v="N"/>
    <s v="Artworks"/>
    <s v="50000 - 150000"/>
    <s v="Nuclear"/>
    <s v="V"/>
    <x v="1"/>
    <s v="Non - smoker"/>
    <n v="154"/>
    <n v="53"/>
    <s v="Commerce"/>
  </r>
  <r>
    <x v="100"/>
    <s v="Trivedi "/>
    <x v="1"/>
    <s v="Hindu"/>
    <s v="Science"/>
    <x v="2"/>
    <x v="0"/>
    <x v="11"/>
    <x v="1"/>
    <x v="0"/>
    <s v="Jamnagar "/>
    <s v="N"/>
    <s v="Painting"/>
    <s v="150000 - 300000"/>
    <s v="Joint"/>
    <s v="V"/>
    <x v="0"/>
    <s v="Non - smoker"/>
    <n v="154"/>
    <n v="55"/>
    <s v="A"/>
  </r>
  <r>
    <x v="46"/>
    <s v="Vagadia"/>
    <x v="0"/>
    <s v="Hindu"/>
    <s v="Science"/>
    <x v="2"/>
    <x v="0"/>
    <x v="11"/>
    <x v="0"/>
    <x v="0"/>
    <s v="Vadodara"/>
    <s v="N"/>
    <s v="Sports"/>
    <s v="300000 - 450000"/>
    <s v="Nuclear"/>
    <s v="V"/>
    <x v="0"/>
    <s v="Non - smoker"/>
    <n v="177"/>
    <n v="45"/>
    <s v="A"/>
  </r>
  <r>
    <x v="101"/>
    <s v="Vaghasiya"/>
    <x v="1"/>
    <s v="Hindu"/>
    <s v="Science"/>
    <x v="2"/>
    <x v="0"/>
    <x v="0"/>
    <x v="1"/>
    <x v="0"/>
    <s v="Surat"/>
    <s v="N"/>
    <s v="Travelling"/>
    <s v="150000 - 300000"/>
    <s v="Nuclear"/>
    <s v="V"/>
    <x v="0"/>
    <s v="Non - smoker"/>
    <n v="158"/>
    <n v="49"/>
    <s v="A"/>
  </r>
  <r>
    <x v="102"/>
    <s v="Varankar"/>
    <x v="0"/>
    <s v="Hindu"/>
    <s v="Arts"/>
    <x v="0"/>
    <x v="2"/>
    <x v="17"/>
    <x v="0"/>
    <x v="0"/>
    <s v="Vadodara"/>
    <s v="A"/>
    <s v="Sports"/>
    <s v="300000 - 450000"/>
    <s v="Nuclear"/>
    <s v="V"/>
    <x v="1"/>
    <s v="Non - smoker"/>
    <n v="164"/>
    <n v="48"/>
    <s v="Arts"/>
  </r>
  <r>
    <x v="103"/>
    <s v="VASAVA "/>
    <x v="1"/>
    <s v="Hindu"/>
    <s v="Arts"/>
    <x v="4"/>
    <x v="4"/>
    <x v="24"/>
    <x v="1"/>
    <x v="0"/>
    <s v="Rajpipla"/>
    <s v="A"/>
    <s v="Sports "/>
    <s v="&lt; 50000"/>
    <s v="Nuclear"/>
    <s v="O"/>
    <x v="0"/>
    <s v="Non - smoker"/>
    <n v="155"/>
    <n v="46"/>
    <s v="Arts"/>
  </r>
  <r>
    <x v="29"/>
    <s v="Verma"/>
    <x v="0"/>
    <s v="Hindu"/>
    <s v="Arts"/>
    <x v="0"/>
    <x v="0"/>
    <x v="42"/>
    <x v="3"/>
    <x v="6"/>
    <s v="Pratapgarh"/>
    <s v="N"/>
    <s v="Travelling"/>
    <s v="&lt; 50000"/>
    <s v="Joint"/>
    <s v="O"/>
    <x v="0"/>
    <s v="Non - smoker"/>
    <n v="160"/>
    <n v="40"/>
    <s v="A"/>
  </r>
  <r>
    <x v="104"/>
    <s v="Wahengbam"/>
    <x v="0"/>
    <s v="Hindu"/>
    <s v="Arts"/>
    <x v="1"/>
    <x v="1"/>
    <x v="43"/>
    <x v="0"/>
    <x v="8"/>
    <s v="Imphal"/>
    <s v="N"/>
    <s v="Football"/>
    <s v="&lt; 50000"/>
    <s v="Nuclear"/>
    <s v="O"/>
    <x v="1"/>
    <s v="Non - smoker"/>
    <n v="157"/>
    <n v="46"/>
    <s v="Arts"/>
  </r>
  <r>
    <x v="105"/>
    <s v="Yadav"/>
    <x v="0"/>
    <s v="Hindu"/>
    <s v="Arts"/>
    <x v="2"/>
    <x v="0"/>
    <x v="25"/>
    <x v="1"/>
    <x v="0"/>
    <s v="Vadodara"/>
    <s v="N"/>
    <s v="Cricket"/>
    <s v="50000 - 150000"/>
    <s v="Nuclear"/>
    <s v="O"/>
    <x v="0"/>
    <s v="Non - smoker"/>
    <n v="163"/>
    <n v="75"/>
    <s v="Arts"/>
  </r>
  <r>
    <x v="87"/>
    <s v="Yadav"/>
    <x v="0"/>
    <s v="Hindu"/>
    <s v="Arts"/>
    <x v="0"/>
    <x v="1"/>
    <x v="44"/>
    <x v="0"/>
    <x v="0"/>
    <s v="Bharuch"/>
    <s v="A"/>
    <s v="Running"/>
    <s v="&lt; 50000"/>
    <s v="Nuclear"/>
    <s v="V"/>
    <x v="0"/>
    <s v="Non - smoker"/>
    <n v="173"/>
    <n v="75"/>
    <s v="Arts"/>
  </r>
  <r>
    <x v="106"/>
    <s v="Yadav"/>
    <x v="0"/>
    <s v="Hindu"/>
    <s v="Techo (Engineering)"/>
    <x v="3"/>
    <x v="0"/>
    <x v="15"/>
    <x v="0"/>
    <x v="0"/>
    <s v="Vadodara"/>
    <s v="A"/>
    <s v="Singing "/>
    <s v="&gt; 600000"/>
    <s v="Nuclear"/>
    <s v="V"/>
    <x v="0"/>
    <s v="Non - smoker"/>
    <n v="170"/>
    <n v="75"/>
    <s v="A"/>
  </r>
  <r>
    <x v="107"/>
    <s v="Yaikhom"/>
    <x v="1"/>
    <s v="Other"/>
    <s v="Arts"/>
    <x v="1"/>
    <x v="0"/>
    <x v="32"/>
    <x v="0"/>
    <x v="8"/>
    <s v="Imphal East"/>
    <s v="N"/>
    <s v="Singing"/>
    <s v="&lt; 50000"/>
    <s v="Nuclear"/>
    <s v="O"/>
    <x v="1"/>
    <s v="Non - smoker"/>
    <n v="158"/>
    <n v="45"/>
    <s v="AB"/>
  </r>
  <r>
    <x v="108"/>
    <s v="Yogishwarar "/>
    <x v="1"/>
    <s v="Hindu"/>
    <s v="Science"/>
    <x v="0"/>
    <x v="0"/>
    <x v="45"/>
    <x v="0"/>
    <x v="10"/>
    <s v="Madurai "/>
    <s v="N"/>
    <s v="Listening Music"/>
    <s v="&gt; 600000"/>
    <s v="Nuclear"/>
    <s v="O"/>
    <x v="1"/>
    <s v="Non - smoker"/>
    <n v="159"/>
    <n v="65"/>
    <s v="A"/>
  </r>
  <r>
    <x v="109"/>
    <s v="Zaru"/>
    <x v="0"/>
    <s v="Hindu"/>
    <s v="Science"/>
    <x v="5"/>
    <x v="1"/>
    <x v="21"/>
    <x v="0"/>
    <x v="0"/>
    <s v="Kutchh"/>
    <s v="N"/>
    <s v="Sports"/>
    <s v="50000 - 150000"/>
    <s v="Nuclear"/>
    <s v="V"/>
    <x v="0"/>
    <s v="Non - smoker"/>
    <n v="173"/>
    <n v="73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F428D-D5CE-47E6-AF68-8C6BE112899A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4:D7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C0C6-9CC7-4162-BD7F-63132793B4B7}" name="PivotTable1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W7" firstHeaderRow="1" firstDataRow="4" firstDataCol="1"/>
  <pivotFields count="21">
    <pivotField showAll="0">
      <items count="111">
        <item x="103"/>
        <item x="66"/>
        <item x="58"/>
        <item x="85"/>
        <item x="87"/>
        <item x="18"/>
        <item x="50"/>
        <item x="86"/>
        <item x="29"/>
        <item x="90"/>
        <item x="106"/>
        <item x="82"/>
        <item x="47"/>
        <item x="65"/>
        <item x="37"/>
        <item x="81"/>
        <item x="73"/>
        <item x="3"/>
        <item x="8"/>
        <item x="21"/>
        <item x="5"/>
        <item x="12"/>
        <item x="59"/>
        <item x="60"/>
        <item x="55"/>
        <item x="61"/>
        <item x="53"/>
        <item x="76"/>
        <item x="13"/>
        <item x="51"/>
        <item x="1"/>
        <item x="67"/>
        <item x="75"/>
        <item x="102"/>
        <item x="40"/>
        <item x="79"/>
        <item x="63"/>
        <item x="62"/>
        <item x="69"/>
        <item x="19"/>
        <item x="39"/>
        <item x="16"/>
        <item x="20"/>
        <item x="96"/>
        <item x="109"/>
        <item x="93"/>
        <item x="107"/>
        <item x="88"/>
        <item x="31"/>
        <item x="54"/>
        <item x="101"/>
        <item x="64"/>
        <item x="35"/>
        <item x="11"/>
        <item x="99"/>
        <item x="68"/>
        <item x="80"/>
        <item x="83"/>
        <item x="22"/>
        <item x="33"/>
        <item x="100"/>
        <item x="23"/>
        <item x="92"/>
        <item x="91"/>
        <item x="104"/>
        <item x="108"/>
        <item x="95"/>
        <item x="6"/>
        <item x="49"/>
        <item x="38"/>
        <item x="9"/>
        <item x="89"/>
        <item x="71"/>
        <item x="74"/>
        <item x="42"/>
        <item x="36"/>
        <item x="14"/>
        <item x="32"/>
        <item x="72"/>
        <item x="94"/>
        <item x="48"/>
        <item x="17"/>
        <item x="98"/>
        <item x="52"/>
        <item x="46"/>
        <item x="2"/>
        <item x="45"/>
        <item x="15"/>
        <item x="56"/>
        <item x="25"/>
        <item x="28"/>
        <item x="34"/>
        <item x="41"/>
        <item x="24"/>
        <item x="4"/>
        <item x="70"/>
        <item x="26"/>
        <item x="44"/>
        <item x="77"/>
        <item x="43"/>
        <item x="97"/>
        <item x="7"/>
        <item x="105"/>
        <item x="30"/>
        <item x="57"/>
        <item x="10"/>
        <item x="78"/>
        <item x="27"/>
        <item x="0"/>
        <item x="8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Col" dataField="1" showAll="0">
      <items count="6">
        <item x="0"/>
        <item x="2"/>
        <item x="3"/>
        <item x="1"/>
        <item x="4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12">
        <item x="5"/>
        <item x="9"/>
        <item x="0"/>
        <item x="7"/>
        <item x="4"/>
        <item x="3"/>
        <item x="2"/>
        <item x="8"/>
        <item x="1"/>
        <item x="1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Items count="1">
    <i/>
  </rowItems>
  <colFields count="3">
    <field x="2"/>
    <field x="16"/>
    <field x="6"/>
  </colFields>
  <colItems count="22">
    <i>
      <x/>
      <x/>
      <x/>
    </i>
    <i r="2">
      <x v="2"/>
    </i>
    <i r="2">
      <x v="3"/>
    </i>
    <i t="default" r="1">
      <x/>
    </i>
    <i r="1">
      <x v="1"/>
      <x/>
    </i>
    <i r="2">
      <x v="1"/>
    </i>
    <i r="2">
      <x v="3"/>
    </i>
    <i r="2">
      <x v="4"/>
    </i>
    <i t="default" r="1">
      <x v="1"/>
    </i>
    <i t="default">
      <x/>
    </i>
    <i>
      <x v="1"/>
      <x/>
      <x/>
    </i>
    <i r="2">
      <x v="1"/>
    </i>
    <i r="2">
      <x v="2"/>
    </i>
    <i r="2">
      <x v="3"/>
    </i>
    <i r="2">
      <x v="4"/>
    </i>
    <i t="default" r="1">
      <x/>
    </i>
    <i r="1">
      <x v="1"/>
      <x/>
    </i>
    <i r="2">
      <x v="1"/>
    </i>
    <i r="2">
      <x v="3"/>
    </i>
    <i t="default" r="1">
      <x v="1"/>
    </i>
    <i t="default">
      <x v="1"/>
    </i>
    <i t="grand">
      <x/>
    </i>
  </colItems>
  <dataFields count="1">
    <dataField name="Count of Category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810B-3704-42EC-A26F-03EF3FCA8530}">
  <dimension ref="A1:V116"/>
  <sheetViews>
    <sheetView topLeftCell="P95" workbookViewId="0">
      <selection activeCell="V3" sqref="V3"/>
    </sheetView>
  </sheetViews>
  <sheetFormatPr defaultColWidth="14.42578125" defaultRowHeight="15" x14ac:dyDescent="0.25"/>
  <cols>
    <col min="1" max="15" width="21.5703125" customWidth="1"/>
    <col min="16" max="16" width="23.42578125" customWidth="1"/>
    <col min="17" max="20" width="21.5703125" customWidth="1"/>
    <col min="21" max="21" width="37.42578125" customWidth="1"/>
    <col min="22" max="28" width="21.5703125" customWidth="1"/>
  </cols>
  <sheetData>
    <row r="1" spans="1:22" s="2" customFormat="1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3" t="s">
        <v>223</v>
      </c>
      <c r="B2" s="3" t="s">
        <v>224</v>
      </c>
      <c r="C2" s="3" t="s">
        <v>24</v>
      </c>
      <c r="D2" s="3" t="s">
        <v>25</v>
      </c>
      <c r="E2" s="3" t="s">
        <v>42</v>
      </c>
      <c r="F2" s="3">
        <v>20</v>
      </c>
      <c r="G2" s="3" t="s">
        <v>66</v>
      </c>
      <c r="H2" s="5">
        <v>55</v>
      </c>
      <c r="I2" s="3" t="s">
        <v>72</v>
      </c>
      <c r="J2" s="3" t="s">
        <v>52</v>
      </c>
      <c r="K2" s="3" t="s">
        <v>53</v>
      </c>
      <c r="L2" s="3" t="s">
        <v>38</v>
      </c>
      <c r="M2" s="3" t="s">
        <v>222</v>
      </c>
      <c r="N2" s="3" t="s">
        <v>89</v>
      </c>
      <c r="O2" s="3" t="s">
        <v>34</v>
      </c>
      <c r="P2" s="3" t="s">
        <v>62</v>
      </c>
      <c r="Q2" s="3" t="s">
        <v>63</v>
      </c>
      <c r="R2" s="3" t="s">
        <v>37</v>
      </c>
      <c r="S2" s="3">
        <v>160</v>
      </c>
      <c r="T2" s="3">
        <v>39</v>
      </c>
      <c r="U2" s="3" t="s">
        <v>42</v>
      </c>
      <c r="V2" s="4">
        <f>T2/(S2/100)^2</f>
        <v>15.234374999999996</v>
      </c>
    </row>
    <row r="3" spans="1:22" x14ac:dyDescent="0.25">
      <c r="A3" s="3" t="s">
        <v>343</v>
      </c>
      <c r="B3" s="3" t="s">
        <v>344</v>
      </c>
      <c r="C3" s="3" t="s">
        <v>24</v>
      </c>
      <c r="D3" s="3" t="s">
        <v>25</v>
      </c>
      <c r="E3" s="3" t="s">
        <v>26</v>
      </c>
      <c r="F3" s="3">
        <v>21</v>
      </c>
      <c r="G3" s="3" t="s">
        <v>27</v>
      </c>
      <c r="H3" s="3">
        <v>80</v>
      </c>
      <c r="I3" s="3" t="s">
        <v>72</v>
      </c>
      <c r="J3" s="3" t="s">
        <v>52</v>
      </c>
      <c r="K3" s="3" t="s">
        <v>206</v>
      </c>
      <c r="L3" s="3" t="s">
        <v>31</v>
      </c>
      <c r="M3" s="3" t="s">
        <v>342</v>
      </c>
      <c r="N3" s="3" t="s">
        <v>55</v>
      </c>
      <c r="O3" s="3" t="s">
        <v>90</v>
      </c>
      <c r="P3" s="3" t="s">
        <v>62</v>
      </c>
      <c r="Q3" s="3" t="s">
        <v>63</v>
      </c>
      <c r="R3" s="3" t="s">
        <v>37</v>
      </c>
      <c r="S3" s="3">
        <v>152</v>
      </c>
      <c r="T3" s="3">
        <v>50</v>
      </c>
      <c r="U3" s="3" t="s">
        <v>38</v>
      </c>
      <c r="V3" s="4">
        <f t="shared" ref="V2:V33" si="0">T3/(S3/100)^2</f>
        <v>21.641274238227147</v>
      </c>
    </row>
    <row r="4" spans="1:22" x14ac:dyDescent="0.25">
      <c r="A4" s="3" t="s">
        <v>200</v>
      </c>
      <c r="B4" s="3" t="s">
        <v>201</v>
      </c>
      <c r="C4" s="3" t="s">
        <v>24</v>
      </c>
      <c r="D4" s="3" t="s">
        <v>25</v>
      </c>
      <c r="E4" s="3" t="s">
        <v>42</v>
      </c>
      <c r="F4" s="3">
        <v>18</v>
      </c>
      <c r="G4" s="3" t="s">
        <v>66</v>
      </c>
      <c r="H4" s="5">
        <v>63</v>
      </c>
      <c r="I4" s="3" t="s">
        <v>72</v>
      </c>
      <c r="J4" s="3" t="s">
        <v>52</v>
      </c>
      <c r="K4" s="3" t="s">
        <v>202</v>
      </c>
      <c r="L4" s="3" t="s">
        <v>31</v>
      </c>
      <c r="M4" s="3" t="s">
        <v>185</v>
      </c>
      <c r="N4" s="3" t="s">
        <v>89</v>
      </c>
      <c r="O4" s="3" t="s">
        <v>34</v>
      </c>
      <c r="P4" s="3" t="s">
        <v>35</v>
      </c>
      <c r="Q4" s="3" t="s">
        <v>63</v>
      </c>
      <c r="R4" s="3" t="s">
        <v>37</v>
      </c>
      <c r="S4" s="3">
        <v>167</v>
      </c>
      <c r="T4" s="3">
        <v>74</v>
      </c>
      <c r="U4" s="3" t="s">
        <v>48</v>
      </c>
      <c r="V4" s="4">
        <f t="shared" si="0"/>
        <v>26.533758829646096</v>
      </c>
    </row>
    <row r="5" spans="1:22" x14ac:dyDescent="0.25">
      <c r="A5" s="3" t="s">
        <v>329</v>
      </c>
      <c r="B5" s="3" t="s">
        <v>330</v>
      </c>
      <c r="C5" s="3" t="s">
        <v>24</v>
      </c>
      <c r="D5" s="3" t="s">
        <v>188</v>
      </c>
      <c r="E5" s="3" t="s">
        <v>26</v>
      </c>
      <c r="F5" s="3">
        <v>22</v>
      </c>
      <c r="G5" s="3" t="s">
        <v>43</v>
      </c>
      <c r="H5" s="3">
        <v>54</v>
      </c>
      <c r="I5" s="3" t="s">
        <v>72</v>
      </c>
      <c r="J5" s="3" t="s">
        <v>52</v>
      </c>
      <c r="K5" s="3" t="s">
        <v>88</v>
      </c>
      <c r="L5" s="3" t="s">
        <v>31</v>
      </c>
      <c r="M5" s="3" t="s">
        <v>192</v>
      </c>
      <c r="N5" s="3" t="s">
        <v>61</v>
      </c>
      <c r="O5" s="3" t="s">
        <v>90</v>
      </c>
      <c r="P5" s="3" t="s">
        <v>35</v>
      </c>
      <c r="Q5" s="3" t="s">
        <v>36</v>
      </c>
      <c r="R5" s="3" t="s">
        <v>37</v>
      </c>
      <c r="S5" s="3">
        <v>158</v>
      </c>
      <c r="T5" s="3">
        <v>42</v>
      </c>
      <c r="U5" s="3" t="s">
        <v>38</v>
      </c>
      <c r="V5" s="4">
        <f t="shared" si="0"/>
        <v>16.824226886716868</v>
      </c>
    </row>
    <row r="6" spans="1:22" x14ac:dyDescent="0.25">
      <c r="A6" s="3" t="s">
        <v>256</v>
      </c>
      <c r="B6" s="3" t="s">
        <v>257</v>
      </c>
      <c r="C6" s="3" t="s">
        <v>24</v>
      </c>
      <c r="D6" s="3" t="s">
        <v>25</v>
      </c>
      <c r="E6" s="3" t="s">
        <v>42</v>
      </c>
      <c r="F6" s="3">
        <v>20</v>
      </c>
      <c r="G6" s="3" t="s">
        <v>66</v>
      </c>
      <c r="H6" s="3">
        <v>65</v>
      </c>
      <c r="I6" s="3" t="s">
        <v>28</v>
      </c>
      <c r="J6" s="3" t="s">
        <v>52</v>
      </c>
      <c r="K6" s="3" t="s">
        <v>254</v>
      </c>
      <c r="L6" s="3" t="s">
        <v>38</v>
      </c>
      <c r="M6" s="3" t="s">
        <v>258</v>
      </c>
      <c r="N6" s="3" t="s">
        <v>55</v>
      </c>
      <c r="O6" s="3" t="s">
        <v>34</v>
      </c>
      <c r="P6" s="3" t="s">
        <v>35</v>
      </c>
      <c r="Q6" s="3" t="s">
        <v>63</v>
      </c>
      <c r="R6" s="3" t="s">
        <v>37</v>
      </c>
      <c r="S6" s="3">
        <v>162</v>
      </c>
      <c r="T6" s="3">
        <v>49</v>
      </c>
      <c r="U6" s="3" t="s">
        <v>42</v>
      </c>
      <c r="V6" s="4">
        <f t="shared" si="0"/>
        <v>18.670934308794386</v>
      </c>
    </row>
    <row r="7" spans="1:22" x14ac:dyDescent="0.25">
      <c r="A7" s="3" t="s">
        <v>327</v>
      </c>
      <c r="B7" s="3" t="s">
        <v>328</v>
      </c>
      <c r="C7" s="3" t="s">
        <v>24</v>
      </c>
      <c r="D7" s="3" t="s">
        <v>25</v>
      </c>
      <c r="E7" s="3" t="s">
        <v>42</v>
      </c>
      <c r="F7" s="3">
        <v>19</v>
      </c>
      <c r="G7" s="3" t="s">
        <v>27</v>
      </c>
      <c r="H7" s="3">
        <v>67</v>
      </c>
      <c r="I7" s="3" t="s">
        <v>28</v>
      </c>
      <c r="J7" s="3" t="s">
        <v>52</v>
      </c>
      <c r="K7" s="3" t="s">
        <v>77</v>
      </c>
      <c r="L7" s="3" t="s">
        <v>31</v>
      </c>
      <c r="M7" s="3" t="s">
        <v>316</v>
      </c>
      <c r="N7" s="3" t="s">
        <v>55</v>
      </c>
      <c r="O7" s="3" t="s">
        <v>90</v>
      </c>
      <c r="P7" s="3" t="s">
        <v>35</v>
      </c>
      <c r="Q7" s="3" t="s">
        <v>63</v>
      </c>
      <c r="R7" s="3" t="s">
        <v>37</v>
      </c>
      <c r="S7" s="3">
        <v>166</v>
      </c>
      <c r="T7" s="3">
        <v>67</v>
      </c>
      <c r="U7" s="3" t="s">
        <v>48</v>
      </c>
      <c r="V7" s="4">
        <f t="shared" si="0"/>
        <v>24.314123965742489</v>
      </c>
    </row>
    <row r="8" spans="1:22" x14ac:dyDescent="0.25">
      <c r="A8" s="3" t="s">
        <v>145</v>
      </c>
      <c r="B8" s="3" t="s">
        <v>146</v>
      </c>
      <c r="C8" s="3" t="s">
        <v>24</v>
      </c>
      <c r="D8" s="3" t="s">
        <v>25</v>
      </c>
      <c r="E8" s="3" t="s">
        <v>48</v>
      </c>
      <c r="F8" s="3">
        <v>22</v>
      </c>
      <c r="G8" s="3" t="s">
        <v>27</v>
      </c>
      <c r="H8" s="3">
        <v>69</v>
      </c>
      <c r="I8" s="3" t="s">
        <v>28</v>
      </c>
      <c r="J8" s="3" t="s">
        <v>52</v>
      </c>
      <c r="K8" s="3" t="s">
        <v>88</v>
      </c>
      <c r="L8" s="3" t="s">
        <v>31</v>
      </c>
      <c r="M8" s="3" t="s">
        <v>147</v>
      </c>
      <c r="N8" s="3" t="s">
        <v>33</v>
      </c>
      <c r="O8" s="3" t="s">
        <v>34</v>
      </c>
      <c r="P8" s="3" t="s">
        <v>69</v>
      </c>
      <c r="Q8" s="3" t="s">
        <v>36</v>
      </c>
      <c r="R8" s="3" t="s">
        <v>37</v>
      </c>
      <c r="S8" s="3">
        <v>175</v>
      </c>
      <c r="T8" s="3">
        <v>73</v>
      </c>
      <c r="U8" s="3" t="s">
        <v>48</v>
      </c>
      <c r="V8" s="4">
        <f t="shared" si="0"/>
        <v>23.836734693877553</v>
      </c>
    </row>
    <row r="9" spans="1:22" x14ac:dyDescent="0.25">
      <c r="A9" s="3" t="s">
        <v>174</v>
      </c>
      <c r="B9" s="3" t="s">
        <v>175</v>
      </c>
      <c r="C9" s="3" t="s">
        <v>24</v>
      </c>
      <c r="D9" s="3" t="s">
        <v>25</v>
      </c>
      <c r="E9" s="3" t="s">
        <v>26</v>
      </c>
      <c r="F9" s="3">
        <v>21</v>
      </c>
      <c r="G9" s="3" t="s">
        <v>27</v>
      </c>
      <c r="H9" s="3">
        <v>86</v>
      </c>
      <c r="I9" s="3" t="s">
        <v>28</v>
      </c>
      <c r="J9" s="3" t="s">
        <v>176</v>
      </c>
      <c r="K9" s="3" t="s">
        <v>177</v>
      </c>
      <c r="L9" s="3" t="s">
        <v>31</v>
      </c>
      <c r="M9" s="3" t="s">
        <v>178</v>
      </c>
      <c r="N9" s="3" t="s">
        <v>89</v>
      </c>
      <c r="O9" s="3" t="s">
        <v>34</v>
      </c>
      <c r="P9" s="3" t="s">
        <v>62</v>
      </c>
      <c r="Q9" s="3" t="s">
        <v>63</v>
      </c>
      <c r="R9" s="3" t="s">
        <v>37</v>
      </c>
      <c r="S9" s="3">
        <v>163</v>
      </c>
      <c r="T9" s="3">
        <v>45</v>
      </c>
      <c r="U9" s="3" t="s">
        <v>179</v>
      </c>
      <c r="V9" s="4">
        <f t="shared" si="0"/>
        <v>16.937031879257784</v>
      </c>
    </row>
    <row r="10" spans="1:22" x14ac:dyDescent="0.25">
      <c r="A10" s="3" t="s">
        <v>132</v>
      </c>
      <c r="B10" s="3" t="s">
        <v>133</v>
      </c>
      <c r="C10" s="3" t="s">
        <v>24</v>
      </c>
      <c r="D10" s="3" t="s">
        <v>25</v>
      </c>
      <c r="E10" s="3" t="s">
        <v>26</v>
      </c>
      <c r="F10" s="3">
        <v>21</v>
      </c>
      <c r="G10" s="3" t="s">
        <v>27</v>
      </c>
      <c r="H10" s="3">
        <v>72</v>
      </c>
      <c r="I10" s="3" t="s">
        <v>28</v>
      </c>
      <c r="J10" s="3" t="s">
        <v>52</v>
      </c>
      <c r="K10" s="3" t="s">
        <v>53</v>
      </c>
      <c r="L10" s="3" t="s">
        <v>31</v>
      </c>
      <c r="M10" s="3" t="s">
        <v>134</v>
      </c>
      <c r="N10" s="3" t="s">
        <v>33</v>
      </c>
      <c r="O10" s="3" t="s">
        <v>34</v>
      </c>
      <c r="P10" s="3" t="s">
        <v>69</v>
      </c>
      <c r="Q10" s="3" t="s">
        <v>36</v>
      </c>
      <c r="R10" s="3" t="s">
        <v>37</v>
      </c>
      <c r="S10" s="3">
        <v>167</v>
      </c>
      <c r="T10" s="3">
        <v>43</v>
      </c>
      <c r="U10" s="3" t="s">
        <v>38</v>
      </c>
      <c r="V10" s="4">
        <f t="shared" si="0"/>
        <v>15.418265265875435</v>
      </c>
    </row>
    <row r="11" spans="1:22" x14ac:dyDescent="0.25">
      <c r="A11" s="3" t="s">
        <v>321</v>
      </c>
      <c r="B11" s="3" t="s">
        <v>322</v>
      </c>
      <c r="C11" s="3" t="s">
        <v>24</v>
      </c>
      <c r="D11" s="3" t="s">
        <v>25</v>
      </c>
      <c r="E11" s="3" t="s">
        <v>42</v>
      </c>
      <c r="F11" s="3">
        <v>19</v>
      </c>
      <c r="G11" s="3" t="s">
        <v>27</v>
      </c>
      <c r="H11" s="5">
        <v>60</v>
      </c>
      <c r="I11" s="3" t="s">
        <v>72</v>
      </c>
      <c r="J11" s="3" t="s">
        <v>52</v>
      </c>
      <c r="K11" s="3" t="s">
        <v>53</v>
      </c>
      <c r="L11" s="3" t="s">
        <v>31</v>
      </c>
      <c r="M11" s="3" t="s">
        <v>316</v>
      </c>
      <c r="N11" s="3" t="s">
        <v>33</v>
      </c>
      <c r="O11" s="3" t="s">
        <v>34</v>
      </c>
      <c r="P11" s="3" t="s">
        <v>35</v>
      </c>
      <c r="Q11" s="3" t="s">
        <v>36</v>
      </c>
      <c r="R11" s="3" t="s">
        <v>37</v>
      </c>
      <c r="S11" s="3">
        <v>152</v>
      </c>
      <c r="T11" s="3">
        <v>45</v>
      </c>
      <c r="U11" s="3" t="s">
        <v>42</v>
      </c>
      <c r="V11" s="4">
        <f t="shared" si="0"/>
        <v>19.477146814404431</v>
      </c>
    </row>
    <row r="12" spans="1:22" x14ac:dyDescent="0.25">
      <c r="A12" s="3" t="s">
        <v>208</v>
      </c>
      <c r="B12" s="3" t="s">
        <v>209</v>
      </c>
      <c r="C12" s="3" t="s">
        <v>24</v>
      </c>
      <c r="D12" s="3" t="s">
        <v>25</v>
      </c>
      <c r="E12" s="3" t="s">
        <v>114</v>
      </c>
      <c r="F12" s="3">
        <v>21</v>
      </c>
      <c r="G12" s="3" t="s">
        <v>66</v>
      </c>
      <c r="H12" s="3">
        <v>73.400000000000006</v>
      </c>
      <c r="I12" s="3" t="s">
        <v>28</v>
      </c>
      <c r="J12" s="3" t="s">
        <v>52</v>
      </c>
      <c r="K12" s="3" t="s">
        <v>210</v>
      </c>
      <c r="L12" s="3" t="s">
        <v>31</v>
      </c>
      <c r="M12" s="3" t="s">
        <v>207</v>
      </c>
      <c r="N12" s="3" t="s">
        <v>61</v>
      </c>
      <c r="O12" s="3" t="s">
        <v>34</v>
      </c>
      <c r="P12" s="3" t="s">
        <v>69</v>
      </c>
      <c r="Q12" s="3" t="s">
        <v>63</v>
      </c>
      <c r="R12" s="3" t="s">
        <v>37</v>
      </c>
      <c r="S12" s="3">
        <v>158</v>
      </c>
      <c r="T12" s="3">
        <v>56</v>
      </c>
      <c r="U12" s="3" t="s">
        <v>38</v>
      </c>
      <c r="V12" s="4">
        <f t="shared" si="0"/>
        <v>22.432302515622492</v>
      </c>
    </row>
    <row r="13" spans="1:22" x14ac:dyDescent="0.25">
      <c r="A13" s="3" t="s">
        <v>287</v>
      </c>
      <c r="B13" s="3" t="s">
        <v>288</v>
      </c>
      <c r="C13" s="3" t="s">
        <v>24</v>
      </c>
      <c r="D13" s="3" t="s">
        <v>25</v>
      </c>
      <c r="E13" s="3" t="s">
        <v>42</v>
      </c>
      <c r="F13" s="3">
        <v>19</v>
      </c>
      <c r="G13" s="3" t="s">
        <v>27</v>
      </c>
      <c r="H13" s="5">
        <v>85</v>
      </c>
      <c r="I13" s="3" t="s">
        <v>28</v>
      </c>
      <c r="J13" s="3" t="s">
        <v>52</v>
      </c>
      <c r="K13" s="3" t="s">
        <v>289</v>
      </c>
      <c r="L13" s="3" t="s">
        <v>38</v>
      </c>
      <c r="M13" s="3" t="s">
        <v>286</v>
      </c>
      <c r="N13" s="3" t="s">
        <v>96</v>
      </c>
      <c r="O13" s="3" t="s">
        <v>34</v>
      </c>
      <c r="P13" s="3" t="s">
        <v>62</v>
      </c>
      <c r="Q13" s="3" t="s">
        <v>63</v>
      </c>
      <c r="R13" s="3" t="s">
        <v>37</v>
      </c>
      <c r="S13" s="3">
        <v>165</v>
      </c>
      <c r="T13" s="3">
        <v>71</v>
      </c>
      <c r="U13" s="3" t="s">
        <v>48</v>
      </c>
      <c r="V13" s="4">
        <f t="shared" si="0"/>
        <v>26.078971533516992</v>
      </c>
    </row>
    <row r="14" spans="1:22" x14ac:dyDescent="0.25">
      <c r="A14" s="3" t="s">
        <v>140</v>
      </c>
      <c r="B14" s="3" t="s">
        <v>141</v>
      </c>
      <c r="C14" s="3" t="s">
        <v>24</v>
      </c>
      <c r="D14" s="3" t="s">
        <v>25</v>
      </c>
      <c r="E14" s="3" t="s">
        <v>26</v>
      </c>
      <c r="F14" s="3">
        <v>23</v>
      </c>
      <c r="G14" s="3" t="s">
        <v>27</v>
      </c>
      <c r="H14" s="3">
        <v>81</v>
      </c>
      <c r="I14" s="3" t="s">
        <v>28</v>
      </c>
      <c r="J14" s="3" t="s">
        <v>137</v>
      </c>
      <c r="K14" s="3" t="s">
        <v>142</v>
      </c>
      <c r="L14" s="3" t="s">
        <v>31</v>
      </c>
      <c r="M14" s="3" t="s">
        <v>139</v>
      </c>
      <c r="N14" s="3" t="s">
        <v>101</v>
      </c>
      <c r="O14" s="3" t="s">
        <v>34</v>
      </c>
      <c r="P14" s="3" t="s">
        <v>62</v>
      </c>
      <c r="Q14" s="3" t="s">
        <v>36</v>
      </c>
      <c r="R14" s="3" t="s">
        <v>37</v>
      </c>
      <c r="S14" s="3">
        <v>156</v>
      </c>
      <c r="T14" s="3">
        <v>48</v>
      </c>
      <c r="U14" s="3" t="s">
        <v>38</v>
      </c>
      <c r="V14" s="4">
        <f t="shared" si="0"/>
        <v>19.723865877712029</v>
      </c>
    </row>
    <row r="15" spans="1:22" x14ac:dyDescent="0.25">
      <c r="A15" s="3" t="s">
        <v>240</v>
      </c>
      <c r="B15" s="3" t="s">
        <v>241</v>
      </c>
      <c r="C15" s="3" t="s">
        <v>24</v>
      </c>
      <c r="D15" s="3" t="s">
        <v>25</v>
      </c>
      <c r="E15" s="3" t="s">
        <v>26</v>
      </c>
      <c r="F15" s="3">
        <v>22</v>
      </c>
      <c r="G15" s="3" t="s">
        <v>27</v>
      </c>
      <c r="H15" s="3">
        <v>79</v>
      </c>
      <c r="I15" s="3" t="s">
        <v>28</v>
      </c>
      <c r="J15" s="3" t="s">
        <v>52</v>
      </c>
      <c r="K15" s="3" t="s">
        <v>53</v>
      </c>
      <c r="L15" s="3" t="s">
        <v>38</v>
      </c>
      <c r="M15" s="3" t="s">
        <v>234</v>
      </c>
      <c r="N15" s="3" t="s">
        <v>101</v>
      </c>
      <c r="O15" s="3" t="s">
        <v>34</v>
      </c>
      <c r="P15" s="3" t="s">
        <v>35</v>
      </c>
      <c r="Q15" s="3" t="s">
        <v>63</v>
      </c>
      <c r="R15" s="3" t="s">
        <v>37</v>
      </c>
      <c r="S15" s="3">
        <v>158</v>
      </c>
      <c r="T15" s="3">
        <v>52</v>
      </c>
      <c r="U15" s="3" t="s">
        <v>69</v>
      </c>
      <c r="V15" s="4">
        <f t="shared" si="0"/>
        <v>20.82999519307803</v>
      </c>
    </row>
    <row r="16" spans="1:22" x14ac:dyDescent="0.25">
      <c r="A16" s="3" t="s">
        <v>70</v>
      </c>
      <c r="B16" s="3" t="s">
        <v>71</v>
      </c>
      <c r="C16" s="3" t="s">
        <v>24</v>
      </c>
      <c r="D16" s="3" t="s">
        <v>51</v>
      </c>
      <c r="E16" s="3" t="s">
        <v>42</v>
      </c>
      <c r="F16" s="3">
        <v>19</v>
      </c>
      <c r="G16" s="3" t="s">
        <v>66</v>
      </c>
      <c r="H16" s="3">
        <v>63</v>
      </c>
      <c r="I16" s="3" t="s">
        <v>72</v>
      </c>
      <c r="J16" s="3" t="s">
        <v>52</v>
      </c>
      <c r="K16" s="3" t="s">
        <v>73</v>
      </c>
      <c r="L16" s="3" t="s">
        <v>31</v>
      </c>
      <c r="M16" s="3" t="s">
        <v>74</v>
      </c>
      <c r="N16" s="3" t="s">
        <v>55</v>
      </c>
      <c r="O16" s="3" t="s">
        <v>34</v>
      </c>
      <c r="P16" s="3" t="s">
        <v>35</v>
      </c>
      <c r="Q16" s="3" t="s">
        <v>36</v>
      </c>
      <c r="R16" s="3" t="s">
        <v>37</v>
      </c>
      <c r="S16" s="3">
        <v>158</v>
      </c>
      <c r="T16" s="3">
        <v>80</v>
      </c>
      <c r="U16" s="3" t="s">
        <v>48</v>
      </c>
      <c r="V16" s="4">
        <f t="shared" si="0"/>
        <v>32.046146450889275</v>
      </c>
    </row>
    <row r="17" spans="1:22" x14ac:dyDescent="0.25">
      <c r="A17" s="3" t="s">
        <v>130</v>
      </c>
      <c r="B17" s="3" t="s">
        <v>131</v>
      </c>
      <c r="C17" s="3" t="s">
        <v>24</v>
      </c>
      <c r="D17" s="3" t="s">
        <v>25</v>
      </c>
      <c r="E17" s="3" t="s">
        <v>26</v>
      </c>
      <c r="F17" s="3">
        <v>21</v>
      </c>
      <c r="G17" s="3" t="s">
        <v>27</v>
      </c>
      <c r="H17" s="3">
        <v>72</v>
      </c>
      <c r="I17" s="3" t="s">
        <v>28</v>
      </c>
      <c r="J17" s="3" t="s">
        <v>52</v>
      </c>
      <c r="K17" s="3" t="s">
        <v>88</v>
      </c>
      <c r="L17" s="3" t="s">
        <v>31</v>
      </c>
      <c r="M17" s="3" t="s">
        <v>118</v>
      </c>
      <c r="N17" s="3" t="s">
        <v>33</v>
      </c>
      <c r="O17" s="3" t="s">
        <v>34</v>
      </c>
      <c r="P17" s="3" t="s">
        <v>69</v>
      </c>
      <c r="Q17" s="3" t="s">
        <v>36</v>
      </c>
      <c r="R17" s="3" t="s">
        <v>37</v>
      </c>
      <c r="S17" s="3">
        <v>167</v>
      </c>
      <c r="T17" s="3">
        <v>43</v>
      </c>
      <c r="U17" s="3" t="s">
        <v>38</v>
      </c>
      <c r="V17" s="4">
        <f t="shared" si="0"/>
        <v>15.418265265875435</v>
      </c>
    </row>
    <row r="18" spans="1:22" x14ac:dyDescent="0.25">
      <c r="A18" s="3" t="s">
        <v>124</v>
      </c>
      <c r="B18" s="3" t="s">
        <v>125</v>
      </c>
      <c r="C18" s="3" t="s">
        <v>24</v>
      </c>
      <c r="D18" s="3" t="s">
        <v>25</v>
      </c>
      <c r="E18" s="3" t="s">
        <v>42</v>
      </c>
      <c r="F18" s="3">
        <v>20</v>
      </c>
      <c r="G18" s="3" t="s">
        <v>27</v>
      </c>
      <c r="H18" s="3">
        <v>75</v>
      </c>
      <c r="I18" s="3" t="s">
        <v>28</v>
      </c>
      <c r="J18" s="3" t="s">
        <v>52</v>
      </c>
      <c r="K18" s="3" t="s">
        <v>53</v>
      </c>
      <c r="L18" s="3" t="s">
        <v>31</v>
      </c>
      <c r="M18" s="5" t="s">
        <v>118</v>
      </c>
      <c r="N18" s="3" t="s">
        <v>55</v>
      </c>
      <c r="O18" s="3" t="s">
        <v>90</v>
      </c>
      <c r="P18" s="3" t="s">
        <v>69</v>
      </c>
      <c r="Q18" s="3" t="s">
        <v>36</v>
      </c>
      <c r="R18" s="3" t="s">
        <v>37</v>
      </c>
      <c r="S18" s="3">
        <v>155</v>
      </c>
      <c r="T18" s="3">
        <v>56</v>
      </c>
      <c r="U18" s="3" t="s">
        <v>42</v>
      </c>
      <c r="V18" s="4">
        <f t="shared" si="0"/>
        <v>23.309053069719038</v>
      </c>
    </row>
    <row r="19" spans="1:22" x14ac:dyDescent="0.25">
      <c r="A19" s="3" t="s">
        <v>145</v>
      </c>
      <c r="B19" s="3" t="s">
        <v>307</v>
      </c>
      <c r="C19" s="3" t="s">
        <v>24</v>
      </c>
      <c r="D19" s="3" t="s">
        <v>25</v>
      </c>
      <c r="E19" s="3" t="s">
        <v>42</v>
      </c>
      <c r="F19" s="3">
        <v>18</v>
      </c>
      <c r="G19" s="3" t="s">
        <v>27</v>
      </c>
      <c r="H19" s="3">
        <v>82</v>
      </c>
      <c r="I19" s="3" t="s">
        <v>160</v>
      </c>
      <c r="J19" s="3" t="s">
        <v>52</v>
      </c>
      <c r="K19" s="3" t="s">
        <v>53</v>
      </c>
      <c r="L19" s="3" t="s">
        <v>38</v>
      </c>
      <c r="M19" s="3" t="s">
        <v>306</v>
      </c>
      <c r="N19" s="3" t="s">
        <v>96</v>
      </c>
      <c r="O19" s="3" t="s">
        <v>90</v>
      </c>
      <c r="P19" s="3" t="s">
        <v>69</v>
      </c>
      <c r="Q19" s="3" t="s">
        <v>63</v>
      </c>
      <c r="R19" s="3" t="s">
        <v>47</v>
      </c>
      <c r="S19" s="3">
        <v>152</v>
      </c>
      <c r="T19" s="3">
        <v>41</v>
      </c>
      <c r="U19" s="3" t="s">
        <v>42</v>
      </c>
      <c r="V19" s="4">
        <f t="shared" si="0"/>
        <v>17.745844875346261</v>
      </c>
    </row>
    <row r="20" spans="1:22" x14ac:dyDescent="0.25">
      <c r="A20" s="3" t="s">
        <v>81</v>
      </c>
      <c r="B20" s="3" t="s">
        <v>82</v>
      </c>
      <c r="C20" s="3" t="s">
        <v>24</v>
      </c>
      <c r="D20" s="3" t="s">
        <v>51</v>
      </c>
      <c r="E20" s="3" t="s">
        <v>42</v>
      </c>
      <c r="F20" s="3">
        <v>20</v>
      </c>
      <c r="G20" s="3" t="s">
        <v>66</v>
      </c>
      <c r="H20" s="3">
        <v>82</v>
      </c>
      <c r="I20" s="3" t="s">
        <v>28</v>
      </c>
      <c r="J20" s="3" t="s">
        <v>52</v>
      </c>
      <c r="K20" s="3" t="s">
        <v>83</v>
      </c>
      <c r="L20" s="3" t="s">
        <v>31</v>
      </c>
      <c r="M20" s="5" t="s">
        <v>84</v>
      </c>
      <c r="N20" s="3" t="s">
        <v>55</v>
      </c>
      <c r="O20" s="3" t="s">
        <v>34</v>
      </c>
      <c r="P20" s="3" t="s">
        <v>35</v>
      </c>
      <c r="Q20" s="3" t="s">
        <v>36</v>
      </c>
      <c r="R20" s="3" t="s">
        <v>47</v>
      </c>
      <c r="S20" s="3">
        <v>152</v>
      </c>
      <c r="T20" s="3">
        <v>54</v>
      </c>
      <c r="U20" s="3" t="s">
        <v>42</v>
      </c>
      <c r="V20" s="4">
        <f t="shared" si="0"/>
        <v>23.372576177285318</v>
      </c>
    </row>
    <row r="21" spans="1:22" x14ac:dyDescent="0.25">
      <c r="A21" s="3" t="s">
        <v>325</v>
      </c>
      <c r="B21" s="3" t="s">
        <v>326</v>
      </c>
      <c r="C21" s="3" t="s">
        <v>24</v>
      </c>
      <c r="D21" s="3" t="s">
        <v>25</v>
      </c>
      <c r="E21" s="3" t="s">
        <v>26</v>
      </c>
      <c r="F21" s="3">
        <v>22</v>
      </c>
      <c r="G21" s="3" t="s">
        <v>27</v>
      </c>
      <c r="H21" s="3">
        <v>50</v>
      </c>
      <c r="I21" s="3" t="s">
        <v>28</v>
      </c>
      <c r="J21" s="3" t="s">
        <v>52</v>
      </c>
      <c r="K21" s="3" t="s">
        <v>53</v>
      </c>
      <c r="L21" s="3" t="s">
        <v>31</v>
      </c>
      <c r="M21" s="3" t="s">
        <v>316</v>
      </c>
      <c r="N21" s="3" t="s">
        <v>96</v>
      </c>
      <c r="O21" s="3" t="s">
        <v>34</v>
      </c>
      <c r="P21" s="3" t="s">
        <v>62</v>
      </c>
      <c r="Q21" s="3" t="s">
        <v>63</v>
      </c>
      <c r="R21" s="3" t="s">
        <v>37</v>
      </c>
      <c r="S21" s="3">
        <v>155</v>
      </c>
      <c r="T21" s="3">
        <v>44</v>
      </c>
      <c r="U21" s="3" t="s">
        <v>38</v>
      </c>
      <c r="V21" s="4">
        <f t="shared" si="0"/>
        <v>18.314255983350673</v>
      </c>
    </row>
    <row r="22" spans="1:22" x14ac:dyDescent="0.25">
      <c r="A22" s="3" t="s">
        <v>308</v>
      </c>
      <c r="B22" s="3" t="s">
        <v>309</v>
      </c>
      <c r="C22" s="3" t="s">
        <v>24</v>
      </c>
      <c r="D22" s="3" t="s">
        <v>51</v>
      </c>
      <c r="E22" s="3" t="s">
        <v>42</v>
      </c>
      <c r="F22" s="3">
        <v>21</v>
      </c>
      <c r="G22" s="3" t="s">
        <v>27</v>
      </c>
      <c r="H22" s="5">
        <v>68</v>
      </c>
      <c r="I22" s="3" t="s">
        <v>72</v>
      </c>
      <c r="J22" s="3" t="s">
        <v>52</v>
      </c>
      <c r="K22" s="3" t="s">
        <v>77</v>
      </c>
      <c r="L22" s="3" t="s">
        <v>38</v>
      </c>
      <c r="M22" s="3" t="s">
        <v>306</v>
      </c>
      <c r="N22" s="3" t="s">
        <v>55</v>
      </c>
      <c r="O22" s="3" t="s">
        <v>34</v>
      </c>
      <c r="P22" s="3" t="s">
        <v>69</v>
      </c>
      <c r="Q22" s="3" t="s">
        <v>36</v>
      </c>
      <c r="R22" s="3" t="s">
        <v>37</v>
      </c>
      <c r="S22" s="3">
        <v>164</v>
      </c>
      <c r="T22" s="3">
        <v>50</v>
      </c>
      <c r="U22" s="3" t="s">
        <v>48</v>
      </c>
      <c r="V22" s="4">
        <f t="shared" si="0"/>
        <v>18.590124925639504</v>
      </c>
    </row>
    <row r="23" spans="1:22" x14ac:dyDescent="0.25">
      <c r="A23" s="3" t="s">
        <v>264</v>
      </c>
      <c r="B23" s="3" t="s">
        <v>265</v>
      </c>
      <c r="C23" s="3" t="s">
        <v>24</v>
      </c>
      <c r="D23" s="3" t="s">
        <v>25</v>
      </c>
      <c r="E23" s="3" t="s">
        <v>26</v>
      </c>
      <c r="F23" s="3">
        <v>21</v>
      </c>
      <c r="G23" s="3" t="s">
        <v>27</v>
      </c>
      <c r="H23" s="3">
        <v>70</v>
      </c>
      <c r="I23" s="3" t="s">
        <v>28</v>
      </c>
      <c r="J23" s="3" t="s">
        <v>58</v>
      </c>
      <c r="K23" s="3" t="s">
        <v>266</v>
      </c>
      <c r="L23" s="3" t="s">
        <v>31</v>
      </c>
      <c r="M23" s="3" t="s">
        <v>258</v>
      </c>
      <c r="N23" s="3" t="s">
        <v>33</v>
      </c>
      <c r="O23" s="3" t="s">
        <v>34</v>
      </c>
      <c r="P23" s="3" t="s">
        <v>35</v>
      </c>
      <c r="Q23" s="3" t="s">
        <v>36</v>
      </c>
      <c r="R23" s="3" t="s">
        <v>37</v>
      </c>
      <c r="S23" s="3">
        <v>170</v>
      </c>
      <c r="T23" s="3">
        <v>52</v>
      </c>
      <c r="U23" s="3" t="s">
        <v>38</v>
      </c>
      <c r="V23" s="4">
        <f t="shared" si="0"/>
        <v>17.993079584775089</v>
      </c>
    </row>
    <row r="24" spans="1:22" x14ac:dyDescent="0.25">
      <c r="A24" s="3" t="s">
        <v>22</v>
      </c>
      <c r="B24" s="3" t="s">
        <v>23</v>
      </c>
      <c r="C24" s="3" t="s">
        <v>24</v>
      </c>
      <c r="D24" s="3" t="s">
        <v>25</v>
      </c>
      <c r="E24" s="3" t="s">
        <v>26</v>
      </c>
      <c r="F24" s="3">
        <v>23</v>
      </c>
      <c r="G24" s="3" t="s">
        <v>27</v>
      </c>
      <c r="H24" s="3">
        <v>72</v>
      </c>
      <c r="I24" s="3" t="s">
        <v>28</v>
      </c>
      <c r="J24" s="3" t="s">
        <v>29</v>
      </c>
      <c r="K24" s="3" t="s">
        <v>30</v>
      </c>
      <c r="L24" s="3" t="s">
        <v>31</v>
      </c>
      <c r="M24" s="3" t="s">
        <v>32</v>
      </c>
      <c r="N24" s="3" t="s">
        <v>33</v>
      </c>
      <c r="O24" s="3" t="s">
        <v>34</v>
      </c>
      <c r="P24" s="3" t="s">
        <v>35</v>
      </c>
      <c r="Q24" s="3" t="s">
        <v>36</v>
      </c>
      <c r="R24" s="3" t="s">
        <v>37</v>
      </c>
      <c r="S24" s="3">
        <v>154</v>
      </c>
      <c r="T24" s="3">
        <v>50</v>
      </c>
      <c r="U24" s="3" t="s">
        <v>38</v>
      </c>
      <c r="V24" s="4">
        <f t="shared" si="0"/>
        <v>21.0828132906055</v>
      </c>
    </row>
    <row r="25" spans="1:22" x14ac:dyDescent="0.25">
      <c r="A25" s="3" t="s">
        <v>267</v>
      </c>
      <c r="B25" s="3" t="s">
        <v>268</v>
      </c>
      <c r="C25" s="3" t="s">
        <v>24</v>
      </c>
      <c r="D25" s="3" t="s">
        <v>25</v>
      </c>
      <c r="E25" s="3" t="s">
        <v>42</v>
      </c>
      <c r="F25" s="3">
        <v>19</v>
      </c>
      <c r="G25" s="3" t="s">
        <v>27</v>
      </c>
      <c r="H25" s="3">
        <v>60</v>
      </c>
      <c r="I25" s="3" t="s">
        <v>28</v>
      </c>
      <c r="J25" s="3" t="s">
        <v>44</v>
      </c>
      <c r="K25" s="3" t="s">
        <v>269</v>
      </c>
      <c r="L25" s="3" t="s">
        <v>31</v>
      </c>
      <c r="M25" s="3" t="s">
        <v>258</v>
      </c>
      <c r="N25" s="3" t="s">
        <v>55</v>
      </c>
      <c r="O25" s="3" t="s">
        <v>34</v>
      </c>
      <c r="P25" s="3" t="s">
        <v>35</v>
      </c>
      <c r="Q25" s="3" t="s">
        <v>63</v>
      </c>
      <c r="R25" s="3" t="s">
        <v>37</v>
      </c>
      <c r="S25" s="3">
        <v>160</v>
      </c>
      <c r="T25" s="3">
        <v>52</v>
      </c>
      <c r="U25" s="3" t="s">
        <v>38</v>
      </c>
      <c r="V25" s="4">
        <f t="shared" si="0"/>
        <v>20.312499999999996</v>
      </c>
    </row>
    <row r="26" spans="1:22" x14ac:dyDescent="0.25">
      <c r="A26" s="3" t="s">
        <v>277</v>
      </c>
      <c r="B26" s="3" t="s">
        <v>268</v>
      </c>
      <c r="C26" s="3" t="s">
        <v>24</v>
      </c>
      <c r="D26" s="3" t="s">
        <v>25</v>
      </c>
      <c r="E26" s="3" t="s">
        <v>278</v>
      </c>
      <c r="F26" s="3">
        <v>21</v>
      </c>
      <c r="G26" s="3" t="s">
        <v>66</v>
      </c>
      <c r="H26" s="3">
        <v>65</v>
      </c>
      <c r="I26" s="3" t="s">
        <v>28</v>
      </c>
      <c r="J26" s="3" t="s">
        <v>52</v>
      </c>
      <c r="K26" s="3" t="s">
        <v>53</v>
      </c>
      <c r="L26" s="3" t="s">
        <v>31</v>
      </c>
      <c r="M26" s="3" t="s">
        <v>275</v>
      </c>
      <c r="N26" s="3" t="s">
        <v>33</v>
      </c>
      <c r="O26" s="3" t="s">
        <v>34</v>
      </c>
      <c r="P26" s="3" t="s">
        <v>35</v>
      </c>
      <c r="Q26" s="3" t="s">
        <v>36</v>
      </c>
      <c r="R26" s="3" t="s">
        <v>37</v>
      </c>
      <c r="S26" s="3">
        <v>162</v>
      </c>
      <c r="T26" s="3">
        <v>50</v>
      </c>
      <c r="U26" s="3" t="s">
        <v>69</v>
      </c>
      <c r="V26" s="4">
        <f t="shared" si="0"/>
        <v>19.051973784484069</v>
      </c>
    </row>
    <row r="27" spans="1:22" x14ac:dyDescent="0.25">
      <c r="A27" s="3" t="s">
        <v>121</v>
      </c>
      <c r="B27" s="3" t="s">
        <v>122</v>
      </c>
      <c r="C27" s="3" t="s">
        <v>24</v>
      </c>
      <c r="D27" s="3" t="s">
        <v>25</v>
      </c>
      <c r="E27" s="3" t="s">
        <v>26</v>
      </c>
      <c r="F27" s="3">
        <v>21</v>
      </c>
      <c r="G27" s="3" t="s">
        <v>27</v>
      </c>
      <c r="H27" s="3">
        <v>58</v>
      </c>
      <c r="I27" s="3" t="s">
        <v>28</v>
      </c>
      <c r="J27" s="3" t="s">
        <v>52</v>
      </c>
      <c r="K27" s="3" t="s">
        <v>53</v>
      </c>
      <c r="L27" s="3" t="s">
        <v>31</v>
      </c>
      <c r="M27" s="5" t="s">
        <v>118</v>
      </c>
      <c r="N27" s="3" t="s">
        <v>89</v>
      </c>
      <c r="O27" s="3" t="s">
        <v>34</v>
      </c>
      <c r="P27" s="3" t="s">
        <v>69</v>
      </c>
      <c r="Q27" s="3" t="s">
        <v>63</v>
      </c>
      <c r="R27" s="3" t="s">
        <v>37</v>
      </c>
      <c r="S27" s="3">
        <v>154</v>
      </c>
      <c r="T27" s="3">
        <v>85</v>
      </c>
      <c r="U27" s="3" t="s">
        <v>38</v>
      </c>
      <c r="V27" s="4">
        <f t="shared" si="0"/>
        <v>35.840782594029349</v>
      </c>
    </row>
    <row r="28" spans="1:22" x14ac:dyDescent="0.25">
      <c r="A28" s="3" t="s">
        <v>123</v>
      </c>
      <c r="B28" s="3" t="s">
        <v>273</v>
      </c>
      <c r="C28" s="3" t="s">
        <v>24</v>
      </c>
      <c r="D28" s="3" t="s">
        <v>25</v>
      </c>
      <c r="E28" s="3" t="s">
        <v>114</v>
      </c>
      <c r="F28" s="3">
        <v>21</v>
      </c>
      <c r="G28" s="3" t="s">
        <v>27</v>
      </c>
      <c r="H28" s="3">
        <v>89</v>
      </c>
      <c r="I28" s="3" t="s">
        <v>28</v>
      </c>
      <c r="J28" s="3" t="s">
        <v>52</v>
      </c>
      <c r="K28" s="3" t="s">
        <v>274</v>
      </c>
      <c r="L28" s="3" t="s">
        <v>31</v>
      </c>
      <c r="M28" s="3" t="s">
        <v>275</v>
      </c>
      <c r="N28" s="3" t="s">
        <v>89</v>
      </c>
      <c r="O28" s="3" t="s">
        <v>34</v>
      </c>
      <c r="P28" s="3" t="s">
        <v>35</v>
      </c>
      <c r="Q28" s="3" t="s">
        <v>63</v>
      </c>
      <c r="R28" s="3" t="s">
        <v>37</v>
      </c>
      <c r="S28" s="3">
        <v>167</v>
      </c>
      <c r="T28" s="3">
        <v>54</v>
      </c>
      <c r="U28" s="3" t="s">
        <v>38</v>
      </c>
      <c r="V28" s="4">
        <f t="shared" si="0"/>
        <v>19.362472659471475</v>
      </c>
    </row>
    <row r="29" spans="1:22" x14ac:dyDescent="0.25">
      <c r="A29" s="3" t="s">
        <v>211</v>
      </c>
      <c r="B29" s="3" t="s">
        <v>212</v>
      </c>
      <c r="C29" s="3" t="s">
        <v>24</v>
      </c>
      <c r="D29" s="3" t="s">
        <v>25</v>
      </c>
      <c r="E29" s="3" t="s">
        <v>42</v>
      </c>
      <c r="F29" s="3">
        <v>20</v>
      </c>
      <c r="G29" s="3" t="s">
        <v>27</v>
      </c>
      <c r="H29" s="3">
        <v>50</v>
      </c>
      <c r="I29" s="3" t="s">
        <v>28</v>
      </c>
      <c r="J29" s="3" t="s">
        <v>52</v>
      </c>
      <c r="K29" s="3" t="s">
        <v>88</v>
      </c>
      <c r="L29" s="3" t="s">
        <v>31</v>
      </c>
      <c r="M29" s="5" t="s">
        <v>213</v>
      </c>
      <c r="N29" s="3" t="s">
        <v>55</v>
      </c>
      <c r="O29" s="3" t="s">
        <v>34</v>
      </c>
      <c r="P29" s="3" t="s">
        <v>35</v>
      </c>
      <c r="Q29" s="3" t="s">
        <v>63</v>
      </c>
      <c r="R29" s="3" t="s">
        <v>37</v>
      </c>
      <c r="S29" s="3">
        <v>165</v>
      </c>
      <c r="T29" s="3">
        <v>82</v>
      </c>
      <c r="U29" s="3" t="s">
        <v>48</v>
      </c>
      <c r="V29" s="4">
        <f t="shared" si="0"/>
        <v>30.119375573921033</v>
      </c>
    </row>
    <row r="30" spans="1:22" x14ac:dyDescent="0.25">
      <c r="A30" s="3" t="s">
        <v>119</v>
      </c>
      <c r="B30" s="3" t="s">
        <v>120</v>
      </c>
      <c r="C30" s="3" t="s">
        <v>24</v>
      </c>
      <c r="D30" s="3" t="s">
        <v>25</v>
      </c>
      <c r="E30" s="3" t="s">
        <v>26</v>
      </c>
      <c r="F30" s="3">
        <v>21</v>
      </c>
      <c r="G30" s="3" t="s">
        <v>27</v>
      </c>
      <c r="H30" s="3">
        <v>66</v>
      </c>
      <c r="I30" s="3" t="s">
        <v>72</v>
      </c>
      <c r="J30" s="3" t="s">
        <v>52</v>
      </c>
      <c r="K30" s="3" t="s">
        <v>53</v>
      </c>
      <c r="L30" s="3" t="s">
        <v>31</v>
      </c>
      <c r="M30" s="5" t="s">
        <v>118</v>
      </c>
      <c r="N30" s="3" t="s">
        <v>101</v>
      </c>
      <c r="O30" s="3" t="s">
        <v>90</v>
      </c>
      <c r="P30" s="3" t="s">
        <v>69</v>
      </c>
      <c r="Q30" s="3" t="s">
        <v>63</v>
      </c>
      <c r="R30" s="3" t="s">
        <v>37</v>
      </c>
      <c r="S30" s="3">
        <v>155</v>
      </c>
      <c r="T30" s="3">
        <v>46</v>
      </c>
      <c r="U30" s="3" t="s">
        <v>38</v>
      </c>
      <c r="V30" s="4">
        <f t="shared" si="0"/>
        <v>19.146722164412068</v>
      </c>
    </row>
    <row r="31" spans="1:22" x14ac:dyDescent="0.25">
      <c r="A31" s="3" t="s">
        <v>123</v>
      </c>
      <c r="B31" s="3" t="s">
        <v>120</v>
      </c>
      <c r="C31" s="3" t="s">
        <v>24</v>
      </c>
      <c r="D31" s="3" t="s">
        <v>25</v>
      </c>
      <c r="E31" s="3" t="s">
        <v>42</v>
      </c>
      <c r="F31" s="3">
        <v>20</v>
      </c>
      <c r="G31" s="3" t="s">
        <v>27</v>
      </c>
      <c r="H31" s="3">
        <v>64</v>
      </c>
      <c r="I31" s="3" t="s">
        <v>28</v>
      </c>
      <c r="J31" s="3" t="s">
        <v>52</v>
      </c>
      <c r="K31" s="3" t="s">
        <v>53</v>
      </c>
      <c r="L31" s="3" t="s">
        <v>31</v>
      </c>
      <c r="M31" s="5" t="s">
        <v>118</v>
      </c>
      <c r="N31" s="3" t="s">
        <v>96</v>
      </c>
      <c r="O31" s="3" t="s">
        <v>34</v>
      </c>
      <c r="P31" s="3" t="s">
        <v>35</v>
      </c>
      <c r="Q31" s="3" t="s">
        <v>63</v>
      </c>
      <c r="R31" s="3" t="s">
        <v>37</v>
      </c>
      <c r="S31" s="3">
        <v>154</v>
      </c>
      <c r="T31" s="3">
        <v>59</v>
      </c>
      <c r="U31" s="3" t="s">
        <v>42</v>
      </c>
      <c r="V31" s="4">
        <f t="shared" si="0"/>
        <v>24.877719682914488</v>
      </c>
    </row>
    <row r="32" spans="1:22" x14ac:dyDescent="0.25">
      <c r="A32" s="3" t="s">
        <v>199</v>
      </c>
      <c r="B32" s="3" t="s">
        <v>120</v>
      </c>
      <c r="C32" s="3" t="s">
        <v>24</v>
      </c>
      <c r="D32" s="3" t="s">
        <v>25</v>
      </c>
      <c r="E32" s="3" t="s">
        <v>42</v>
      </c>
      <c r="F32" s="3">
        <v>19</v>
      </c>
      <c r="G32" s="3" t="s">
        <v>66</v>
      </c>
      <c r="H32" s="3">
        <v>65</v>
      </c>
      <c r="I32" s="3" t="s">
        <v>72</v>
      </c>
      <c r="J32" s="3" t="s">
        <v>52</v>
      </c>
      <c r="K32" s="3" t="s">
        <v>53</v>
      </c>
      <c r="L32" s="3" t="s">
        <v>38</v>
      </c>
      <c r="M32" s="3" t="s">
        <v>185</v>
      </c>
      <c r="N32" s="3" t="s">
        <v>33</v>
      </c>
      <c r="O32" s="3" t="s">
        <v>90</v>
      </c>
      <c r="P32" s="3" t="s">
        <v>62</v>
      </c>
      <c r="Q32" s="3" t="s">
        <v>63</v>
      </c>
      <c r="R32" s="3" t="s">
        <v>37</v>
      </c>
      <c r="S32" s="3">
        <v>156</v>
      </c>
      <c r="T32" s="3">
        <v>41</v>
      </c>
      <c r="U32" s="3" t="s">
        <v>42</v>
      </c>
      <c r="V32" s="4">
        <f t="shared" si="0"/>
        <v>16.847468770545692</v>
      </c>
    </row>
    <row r="33" spans="1:22" x14ac:dyDescent="0.25">
      <c r="A33" s="3" t="s">
        <v>247</v>
      </c>
      <c r="B33" s="3" t="s">
        <v>120</v>
      </c>
      <c r="C33" s="3" t="s">
        <v>24</v>
      </c>
      <c r="D33" s="3" t="s">
        <v>25</v>
      </c>
      <c r="E33" s="3" t="s">
        <v>26</v>
      </c>
      <c r="F33" s="3">
        <v>21</v>
      </c>
      <c r="G33" s="3" t="s">
        <v>27</v>
      </c>
      <c r="H33" s="3">
        <v>75</v>
      </c>
      <c r="I33" s="3" t="s">
        <v>28</v>
      </c>
      <c r="J33" s="3" t="s">
        <v>52</v>
      </c>
      <c r="K33" s="3" t="s">
        <v>77</v>
      </c>
      <c r="L33" s="3" t="s">
        <v>31</v>
      </c>
      <c r="M33" s="3" t="s">
        <v>234</v>
      </c>
      <c r="N33" s="3" t="s">
        <v>55</v>
      </c>
      <c r="O33" s="3" t="s">
        <v>90</v>
      </c>
      <c r="P33" s="3" t="s">
        <v>69</v>
      </c>
      <c r="Q33" s="3" t="s">
        <v>63</v>
      </c>
      <c r="R33" s="3" t="s">
        <v>37</v>
      </c>
      <c r="S33" s="3">
        <v>167</v>
      </c>
      <c r="T33" s="3">
        <v>58</v>
      </c>
      <c r="U33" s="3" t="s">
        <v>38</v>
      </c>
      <c r="V33" s="4">
        <f t="shared" si="0"/>
        <v>20.796729893506402</v>
      </c>
    </row>
    <row r="34" spans="1:22" x14ac:dyDescent="0.25">
      <c r="A34" s="3" t="s">
        <v>248</v>
      </c>
      <c r="B34" s="3" t="s">
        <v>120</v>
      </c>
      <c r="C34" s="3" t="s">
        <v>24</v>
      </c>
      <c r="D34" s="3" t="s">
        <v>25</v>
      </c>
      <c r="E34" s="3" t="s">
        <v>26</v>
      </c>
      <c r="F34" s="3">
        <v>21</v>
      </c>
      <c r="G34" s="3" t="s">
        <v>27</v>
      </c>
      <c r="H34" s="3">
        <v>66</v>
      </c>
      <c r="I34" s="3" t="s">
        <v>72</v>
      </c>
      <c r="J34" s="3" t="s">
        <v>52</v>
      </c>
      <c r="K34" s="3" t="s">
        <v>88</v>
      </c>
      <c r="L34" s="3" t="s">
        <v>31</v>
      </c>
      <c r="M34" s="3" t="s">
        <v>234</v>
      </c>
      <c r="N34" s="3" t="s">
        <v>55</v>
      </c>
      <c r="O34" s="3" t="s">
        <v>34</v>
      </c>
      <c r="P34" s="3" t="s">
        <v>35</v>
      </c>
      <c r="Q34" s="3" t="s">
        <v>63</v>
      </c>
      <c r="R34" s="3" t="s">
        <v>37</v>
      </c>
      <c r="S34" s="3">
        <v>153</v>
      </c>
      <c r="T34" s="3">
        <v>55</v>
      </c>
      <c r="U34" s="3" t="s">
        <v>38</v>
      </c>
      <c r="V34" s="4">
        <f t="shared" ref="V34:V65" si="1">T34/(S34/100)^2</f>
        <v>23.495236874706311</v>
      </c>
    </row>
    <row r="35" spans="1:22" x14ac:dyDescent="0.25">
      <c r="A35" s="3" t="s">
        <v>295</v>
      </c>
      <c r="B35" s="3" t="s">
        <v>120</v>
      </c>
      <c r="C35" s="3" t="s">
        <v>24</v>
      </c>
      <c r="D35" s="3" t="s">
        <v>25</v>
      </c>
      <c r="E35" s="3" t="s">
        <v>42</v>
      </c>
      <c r="F35" s="3">
        <v>20</v>
      </c>
      <c r="G35" s="3" t="s">
        <v>27</v>
      </c>
      <c r="H35" s="3">
        <v>69</v>
      </c>
      <c r="I35" s="3" t="s">
        <v>72</v>
      </c>
      <c r="J35" s="3" t="s">
        <v>52</v>
      </c>
      <c r="K35" s="3" t="s">
        <v>53</v>
      </c>
      <c r="L35" s="3" t="s">
        <v>31</v>
      </c>
      <c r="M35" s="3" t="s">
        <v>286</v>
      </c>
      <c r="N35" s="3" t="s">
        <v>96</v>
      </c>
      <c r="O35" s="3" t="s">
        <v>90</v>
      </c>
      <c r="P35" s="3" t="s">
        <v>62</v>
      </c>
      <c r="Q35" s="3" t="s">
        <v>63</v>
      </c>
      <c r="R35" s="3" t="s">
        <v>37</v>
      </c>
      <c r="S35" s="3">
        <v>147</v>
      </c>
      <c r="T35" s="3">
        <v>47</v>
      </c>
      <c r="U35" s="3" t="s">
        <v>69</v>
      </c>
      <c r="V35" s="4">
        <f t="shared" si="1"/>
        <v>21.750196677310381</v>
      </c>
    </row>
    <row r="36" spans="1:22" x14ac:dyDescent="0.25">
      <c r="A36" s="3" t="s">
        <v>335</v>
      </c>
      <c r="B36" s="3" t="s">
        <v>120</v>
      </c>
      <c r="C36" s="3" t="s">
        <v>24</v>
      </c>
      <c r="D36" s="3" t="s">
        <v>25</v>
      </c>
      <c r="E36" s="3" t="s">
        <v>26</v>
      </c>
      <c r="F36" s="3">
        <v>21</v>
      </c>
      <c r="G36" s="3" t="s">
        <v>27</v>
      </c>
      <c r="H36" s="3">
        <v>89</v>
      </c>
      <c r="I36" s="3" t="s">
        <v>72</v>
      </c>
      <c r="J36" s="3" t="s">
        <v>52</v>
      </c>
      <c r="K36" s="3" t="s">
        <v>202</v>
      </c>
      <c r="L36" s="3" t="s">
        <v>31</v>
      </c>
      <c r="M36" s="3" t="s">
        <v>336</v>
      </c>
      <c r="N36" s="3" t="s">
        <v>55</v>
      </c>
      <c r="O36" s="3" t="s">
        <v>90</v>
      </c>
      <c r="P36" s="3" t="s">
        <v>35</v>
      </c>
      <c r="Q36" s="3" t="s">
        <v>36</v>
      </c>
      <c r="R36" s="3" t="s">
        <v>37</v>
      </c>
      <c r="S36" s="3">
        <v>152</v>
      </c>
      <c r="T36" s="3">
        <v>49</v>
      </c>
      <c r="U36" s="3" t="s">
        <v>38</v>
      </c>
      <c r="V36" s="4">
        <f t="shared" si="1"/>
        <v>21.208448753462605</v>
      </c>
    </row>
    <row r="37" spans="1:22" x14ac:dyDescent="0.25">
      <c r="A37" s="3" t="s">
        <v>271</v>
      </c>
      <c r="B37" s="3" t="s">
        <v>120</v>
      </c>
      <c r="C37" s="3" t="s">
        <v>24</v>
      </c>
      <c r="D37" s="3" t="s">
        <v>25</v>
      </c>
      <c r="E37" s="3" t="s">
        <v>26</v>
      </c>
      <c r="F37" s="3">
        <v>21</v>
      </c>
      <c r="G37" s="3" t="s">
        <v>27</v>
      </c>
      <c r="H37" s="3">
        <v>70</v>
      </c>
      <c r="I37" s="3" t="s">
        <v>28</v>
      </c>
      <c r="J37" s="3" t="s">
        <v>52</v>
      </c>
      <c r="K37" s="3" t="s">
        <v>53</v>
      </c>
      <c r="L37" s="3" t="s">
        <v>31</v>
      </c>
      <c r="M37" s="3" t="s">
        <v>258</v>
      </c>
      <c r="N37" s="3" t="s">
        <v>89</v>
      </c>
      <c r="O37" s="3" t="s">
        <v>34</v>
      </c>
      <c r="P37" s="3" t="s">
        <v>35</v>
      </c>
      <c r="Q37" s="3" t="s">
        <v>63</v>
      </c>
      <c r="R37" s="3" t="s">
        <v>37</v>
      </c>
      <c r="S37" s="3">
        <v>164</v>
      </c>
      <c r="T37" s="3">
        <v>70</v>
      </c>
      <c r="U37" s="3" t="s">
        <v>38</v>
      </c>
      <c r="V37" s="4">
        <f t="shared" si="1"/>
        <v>26.026174895895306</v>
      </c>
    </row>
    <row r="38" spans="1:22" x14ac:dyDescent="0.25">
      <c r="A38" s="3" t="s">
        <v>319</v>
      </c>
      <c r="B38" s="3" t="s">
        <v>320</v>
      </c>
      <c r="C38" s="3" t="s">
        <v>24</v>
      </c>
      <c r="D38" s="3" t="s">
        <v>25</v>
      </c>
      <c r="E38" s="3" t="s">
        <v>26</v>
      </c>
      <c r="F38" s="3">
        <v>22</v>
      </c>
      <c r="G38" s="3" t="s">
        <v>27</v>
      </c>
      <c r="H38" s="3">
        <v>69</v>
      </c>
      <c r="I38" s="3" t="s">
        <v>72</v>
      </c>
      <c r="J38" s="3" t="s">
        <v>52</v>
      </c>
      <c r="K38" s="3" t="s">
        <v>53</v>
      </c>
      <c r="L38" s="3" t="s">
        <v>31</v>
      </c>
      <c r="M38" s="3" t="s">
        <v>316</v>
      </c>
      <c r="N38" s="3" t="s">
        <v>33</v>
      </c>
      <c r="O38" s="3" t="s">
        <v>90</v>
      </c>
      <c r="P38" s="3" t="s">
        <v>35</v>
      </c>
      <c r="Q38" s="3" t="s">
        <v>63</v>
      </c>
      <c r="R38" s="3" t="s">
        <v>37</v>
      </c>
      <c r="S38" s="3">
        <v>156</v>
      </c>
      <c r="T38" s="3">
        <v>43</v>
      </c>
      <c r="U38" s="3" t="s">
        <v>38</v>
      </c>
      <c r="V38" s="4">
        <f t="shared" si="1"/>
        <v>17.669296515450359</v>
      </c>
    </row>
    <row r="39" spans="1:22" x14ac:dyDescent="0.25">
      <c r="A39" s="3" t="s">
        <v>128</v>
      </c>
      <c r="B39" s="3" t="s">
        <v>129</v>
      </c>
      <c r="C39" s="3" t="s">
        <v>24</v>
      </c>
      <c r="D39" s="3" t="s">
        <v>25</v>
      </c>
      <c r="E39" s="3" t="s">
        <v>26</v>
      </c>
      <c r="F39" s="3">
        <v>22</v>
      </c>
      <c r="G39" s="3" t="s">
        <v>27</v>
      </c>
      <c r="H39" s="3">
        <v>79</v>
      </c>
      <c r="I39" s="3" t="s">
        <v>28</v>
      </c>
      <c r="J39" s="3" t="s">
        <v>52</v>
      </c>
      <c r="K39" s="5" t="s">
        <v>53</v>
      </c>
      <c r="L39" s="3" t="s">
        <v>31</v>
      </c>
      <c r="M39" s="5" t="s">
        <v>118</v>
      </c>
      <c r="N39" s="3" t="s">
        <v>101</v>
      </c>
      <c r="O39" s="3" t="s">
        <v>34</v>
      </c>
      <c r="P39" s="3" t="s">
        <v>35</v>
      </c>
      <c r="Q39" s="3" t="s">
        <v>63</v>
      </c>
      <c r="R39" s="3" t="s">
        <v>37</v>
      </c>
      <c r="S39" s="3">
        <v>167</v>
      </c>
      <c r="T39" s="3">
        <v>54</v>
      </c>
      <c r="U39" s="3" t="s">
        <v>69</v>
      </c>
      <c r="V39" s="4">
        <f t="shared" si="1"/>
        <v>19.362472659471475</v>
      </c>
    </row>
    <row r="40" spans="1:22" x14ac:dyDescent="0.25">
      <c r="A40" s="3" t="s">
        <v>126</v>
      </c>
      <c r="B40" s="3" t="s">
        <v>127</v>
      </c>
      <c r="C40" s="3" t="s">
        <v>24</v>
      </c>
      <c r="D40" s="3" t="s">
        <v>25</v>
      </c>
      <c r="E40" s="3" t="s">
        <v>42</v>
      </c>
      <c r="F40" s="3">
        <v>18</v>
      </c>
      <c r="G40" s="3" t="s">
        <v>27</v>
      </c>
      <c r="H40" s="3">
        <v>87</v>
      </c>
      <c r="I40" s="3" t="s">
        <v>72</v>
      </c>
      <c r="J40" s="3" t="s">
        <v>52</v>
      </c>
      <c r="K40" s="3" t="s">
        <v>53</v>
      </c>
      <c r="L40" s="3" t="s">
        <v>31</v>
      </c>
      <c r="M40" s="3" t="s">
        <v>118</v>
      </c>
      <c r="N40" s="3" t="s">
        <v>61</v>
      </c>
      <c r="O40" s="3" t="s">
        <v>90</v>
      </c>
      <c r="P40" s="3" t="s">
        <v>35</v>
      </c>
      <c r="Q40" s="3" t="s">
        <v>36</v>
      </c>
      <c r="R40" s="3" t="s">
        <v>37</v>
      </c>
      <c r="S40" s="3">
        <v>158</v>
      </c>
      <c r="T40" s="3">
        <v>50</v>
      </c>
      <c r="U40" s="3" t="s">
        <v>48</v>
      </c>
      <c r="V40" s="4">
        <f t="shared" si="1"/>
        <v>20.028841531805796</v>
      </c>
    </row>
    <row r="41" spans="1:22" x14ac:dyDescent="0.25">
      <c r="A41" s="3" t="s">
        <v>235</v>
      </c>
      <c r="B41" s="3" t="s">
        <v>236</v>
      </c>
      <c r="C41" s="3" t="s">
        <v>24</v>
      </c>
      <c r="D41" s="3" t="s">
        <v>25</v>
      </c>
      <c r="E41" s="3" t="s">
        <v>26</v>
      </c>
      <c r="F41" s="3">
        <v>21</v>
      </c>
      <c r="G41" s="3" t="s">
        <v>27</v>
      </c>
      <c r="H41" s="3">
        <v>82</v>
      </c>
      <c r="I41" s="3" t="s">
        <v>28</v>
      </c>
      <c r="J41" s="3" t="s">
        <v>44</v>
      </c>
      <c r="K41" s="5" t="s">
        <v>237</v>
      </c>
      <c r="L41" s="3" t="s">
        <v>31</v>
      </c>
      <c r="M41" s="3" t="s">
        <v>234</v>
      </c>
      <c r="N41" s="3" t="s">
        <v>33</v>
      </c>
      <c r="O41" s="3" t="s">
        <v>34</v>
      </c>
      <c r="P41" s="3" t="s">
        <v>69</v>
      </c>
      <c r="Q41" s="3" t="s">
        <v>63</v>
      </c>
      <c r="R41" s="3" t="s">
        <v>37</v>
      </c>
      <c r="S41" s="3">
        <v>164</v>
      </c>
      <c r="T41" s="3">
        <v>54</v>
      </c>
      <c r="U41" s="3" t="s">
        <v>38</v>
      </c>
      <c r="V41" s="4">
        <f t="shared" si="1"/>
        <v>20.077334919690664</v>
      </c>
    </row>
    <row r="42" spans="1:22" x14ac:dyDescent="0.25">
      <c r="A42" s="3" t="s">
        <v>272</v>
      </c>
      <c r="B42" s="3" t="s">
        <v>194</v>
      </c>
      <c r="C42" s="3" t="s">
        <v>24</v>
      </c>
      <c r="D42" s="3" t="s">
        <v>51</v>
      </c>
      <c r="E42" s="3" t="s">
        <v>42</v>
      </c>
      <c r="F42" s="3">
        <v>20</v>
      </c>
      <c r="G42" s="3" t="s">
        <v>27</v>
      </c>
      <c r="H42" s="5">
        <v>50</v>
      </c>
      <c r="I42" s="3" t="s">
        <v>72</v>
      </c>
      <c r="J42" s="3" t="s">
        <v>52</v>
      </c>
      <c r="K42" s="3" t="s">
        <v>77</v>
      </c>
      <c r="L42" s="3" t="s">
        <v>38</v>
      </c>
      <c r="M42" s="3" t="s">
        <v>258</v>
      </c>
      <c r="N42" s="3" t="s">
        <v>55</v>
      </c>
      <c r="O42" s="3" t="s">
        <v>90</v>
      </c>
      <c r="P42" s="3" t="s">
        <v>35</v>
      </c>
      <c r="Q42" s="3" t="s">
        <v>36</v>
      </c>
      <c r="R42" s="3" t="s">
        <v>37</v>
      </c>
      <c r="S42" s="3">
        <v>156</v>
      </c>
      <c r="T42" s="3">
        <v>42</v>
      </c>
      <c r="U42" s="3" t="s">
        <v>48</v>
      </c>
      <c r="V42" s="4">
        <f t="shared" si="1"/>
        <v>17.258382642998026</v>
      </c>
    </row>
    <row r="43" spans="1:22" x14ac:dyDescent="0.25">
      <c r="A43" s="3" t="s">
        <v>135</v>
      </c>
      <c r="B43" s="3" t="s">
        <v>136</v>
      </c>
      <c r="C43" s="3" t="s">
        <v>24</v>
      </c>
      <c r="D43" s="3" t="s">
        <v>25</v>
      </c>
      <c r="E43" s="3" t="s">
        <v>42</v>
      </c>
      <c r="F43" s="3">
        <v>19</v>
      </c>
      <c r="G43" s="3" t="s">
        <v>27</v>
      </c>
      <c r="H43" s="3">
        <v>93</v>
      </c>
      <c r="I43" s="3" t="s">
        <v>28</v>
      </c>
      <c r="J43" s="3" t="s">
        <v>137</v>
      </c>
      <c r="K43" s="3" t="s">
        <v>138</v>
      </c>
      <c r="L43" s="3" t="s">
        <v>38</v>
      </c>
      <c r="M43" s="5" t="s">
        <v>139</v>
      </c>
      <c r="N43" s="3" t="s">
        <v>55</v>
      </c>
      <c r="O43" s="3" t="s">
        <v>90</v>
      </c>
      <c r="P43" s="3" t="s">
        <v>35</v>
      </c>
      <c r="Q43" s="3" t="s">
        <v>36</v>
      </c>
      <c r="R43" s="3" t="s">
        <v>37</v>
      </c>
      <c r="S43" s="3">
        <v>162</v>
      </c>
      <c r="T43" s="3">
        <v>54</v>
      </c>
      <c r="U43" s="3" t="s">
        <v>42</v>
      </c>
      <c r="V43" s="4">
        <f t="shared" si="1"/>
        <v>20.576131687242793</v>
      </c>
    </row>
    <row r="44" spans="1:22" x14ac:dyDescent="0.25">
      <c r="A44" s="3" t="s">
        <v>338</v>
      </c>
      <c r="B44" s="3" t="s">
        <v>339</v>
      </c>
      <c r="C44" s="3" t="s">
        <v>24</v>
      </c>
      <c r="D44" s="3" t="s">
        <v>25</v>
      </c>
      <c r="E44" s="3" t="s">
        <v>42</v>
      </c>
      <c r="F44" s="3">
        <v>18</v>
      </c>
      <c r="G44" s="3" t="s">
        <v>27</v>
      </c>
      <c r="H44" s="5">
        <v>69</v>
      </c>
      <c r="I44" s="3" t="s">
        <v>28</v>
      </c>
      <c r="J44" s="3" t="s">
        <v>52</v>
      </c>
      <c r="K44" s="3" t="s">
        <v>53</v>
      </c>
      <c r="L44" s="3" t="s">
        <v>31</v>
      </c>
      <c r="M44" s="3" t="s">
        <v>336</v>
      </c>
      <c r="N44" s="3" t="s">
        <v>55</v>
      </c>
      <c r="O44" s="3" t="s">
        <v>34</v>
      </c>
      <c r="P44" s="3" t="s">
        <v>35</v>
      </c>
      <c r="Q44" s="3" t="s">
        <v>36</v>
      </c>
      <c r="R44" s="3" t="s">
        <v>37</v>
      </c>
      <c r="S44" s="3">
        <v>152</v>
      </c>
      <c r="T44" s="3">
        <v>36</v>
      </c>
      <c r="U44" s="3" t="s">
        <v>42</v>
      </c>
      <c r="V44" s="4">
        <f t="shared" si="1"/>
        <v>15.581717451523545</v>
      </c>
    </row>
    <row r="45" spans="1:22" x14ac:dyDescent="0.25">
      <c r="A45" s="3" t="s">
        <v>231</v>
      </c>
      <c r="B45" s="3" t="s">
        <v>232</v>
      </c>
      <c r="C45" s="3" t="s">
        <v>24</v>
      </c>
      <c r="D45" s="3" t="s">
        <v>25</v>
      </c>
      <c r="E45" s="3" t="s">
        <v>42</v>
      </c>
      <c r="F45" s="3">
        <v>20</v>
      </c>
      <c r="G45" s="3" t="s">
        <v>66</v>
      </c>
      <c r="H45" s="3">
        <v>89</v>
      </c>
      <c r="I45" s="3" t="s">
        <v>28</v>
      </c>
      <c r="J45" s="3" t="s">
        <v>233</v>
      </c>
      <c r="K45" s="3" t="s">
        <v>233</v>
      </c>
      <c r="L45" s="3" t="s">
        <v>31</v>
      </c>
      <c r="M45" s="3" t="s">
        <v>234</v>
      </c>
      <c r="N45" s="3" t="s">
        <v>55</v>
      </c>
      <c r="O45" s="3" t="s">
        <v>34</v>
      </c>
      <c r="P45" s="3" t="s">
        <v>35</v>
      </c>
      <c r="Q45" s="3" t="s">
        <v>63</v>
      </c>
      <c r="R45" s="3" t="s">
        <v>37</v>
      </c>
      <c r="S45" s="3">
        <v>176</v>
      </c>
      <c r="T45" s="3">
        <v>80</v>
      </c>
      <c r="U45" s="3" t="s">
        <v>48</v>
      </c>
      <c r="V45" s="4">
        <f t="shared" si="1"/>
        <v>25.826446280991735</v>
      </c>
    </row>
    <row r="46" spans="1:22" x14ac:dyDescent="0.25">
      <c r="A46" s="3" t="s">
        <v>85</v>
      </c>
      <c r="B46" s="3" t="s">
        <v>86</v>
      </c>
      <c r="C46" s="3" t="s">
        <v>24</v>
      </c>
      <c r="D46" s="3" t="s">
        <v>25</v>
      </c>
      <c r="E46" s="3" t="s">
        <v>42</v>
      </c>
      <c r="F46" s="3">
        <v>20</v>
      </c>
      <c r="G46" s="3" t="s">
        <v>87</v>
      </c>
      <c r="H46" s="5">
        <v>69</v>
      </c>
      <c r="I46" s="3" t="s">
        <v>72</v>
      </c>
      <c r="J46" s="3" t="s">
        <v>52</v>
      </c>
      <c r="K46" s="3" t="s">
        <v>88</v>
      </c>
      <c r="L46" s="3" t="s">
        <v>31</v>
      </c>
      <c r="M46" s="5" t="s">
        <v>84</v>
      </c>
      <c r="N46" s="3" t="s">
        <v>89</v>
      </c>
      <c r="O46" s="3" t="s">
        <v>90</v>
      </c>
      <c r="P46" s="3" t="s">
        <v>69</v>
      </c>
      <c r="Q46" s="3" t="s">
        <v>63</v>
      </c>
      <c r="R46" s="3" t="s">
        <v>37</v>
      </c>
      <c r="S46" s="3">
        <v>158</v>
      </c>
      <c r="T46" s="3">
        <v>40</v>
      </c>
      <c r="U46" s="3" t="s">
        <v>48</v>
      </c>
      <c r="V46" s="4">
        <f t="shared" si="1"/>
        <v>16.023073225444637</v>
      </c>
    </row>
    <row r="47" spans="1:22" x14ac:dyDescent="0.25">
      <c r="A47" s="3" t="s">
        <v>166</v>
      </c>
      <c r="B47" s="3" t="s">
        <v>167</v>
      </c>
      <c r="C47" s="3" t="s">
        <v>24</v>
      </c>
      <c r="D47" s="3" t="s">
        <v>25</v>
      </c>
      <c r="E47" s="3" t="s">
        <v>26</v>
      </c>
      <c r="F47" s="3">
        <v>22</v>
      </c>
      <c r="G47" s="3" t="s">
        <v>27</v>
      </c>
      <c r="H47" s="3">
        <v>84.5</v>
      </c>
      <c r="I47" s="3" t="s">
        <v>28</v>
      </c>
      <c r="J47" s="3" t="s">
        <v>52</v>
      </c>
      <c r="K47" s="3" t="s">
        <v>53</v>
      </c>
      <c r="L47" s="3" t="s">
        <v>31</v>
      </c>
      <c r="M47" s="3" t="s">
        <v>168</v>
      </c>
      <c r="N47" s="3" t="s">
        <v>101</v>
      </c>
      <c r="O47" s="3" t="s">
        <v>34</v>
      </c>
      <c r="P47" s="3" t="s">
        <v>35</v>
      </c>
      <c r="Q47" s="3" t="s">
        <v>63</v>
      </c>
      <c r="R47" s="3" t="s">
        <v>37</v>
      </c>
      <c r="S47" s="3">
        <v>158</v>
      </c>
      <c r="T47" s="3">
        <v>58</v>
      </c>
      <c r="U47" s="3" t="s">
        <v>38</v>
      </c>
      <c r="V47" s="4">
        <f t="shared" si="1"/>
        <v>23.233456176894723</v>
      </c>
    </row>
    <row r="48" spans="1:22" x14ac:dyDescent="0.25">
      <c r="A48" s="3" t="s">
        <v>270</v>
      </c>
      <c r="B48" s="3" t="s">
        <v>167</v>
      </c>
      <c r="C48" s="3" t="s">
        <v>24</v>
      </c>
      <c r="D48" s="3" t="s">
        <v>25</v>
      </c>
      <c r="E48" s="3" t="s">
        <v>26</v>
      </c>
      <c r="F48" s="3">
        <v>22</v>
      </c>
      <c r="G48" s="3" t="s">
        <v>27</v>
      </c>
      <c r="H48" s="3">
        <v>68</v>
      </c>
      <c r="I48" s="3" t="s">
        <v>72</v>
      </c>
      <c r="J48" s="3" t="s">
        <v>52</v>
      </c>
      <c r="K48" s="3" t="s">
        <v>53</v>
      </c>
      <c r="L48" s="3" t="s">
        <v>31</v>
      </c>
      <c r="M48" s="5" t="s">
        <v>258</v>
      </c>
      <c r="N48" s="3" t="s">
        <v>33</v>
      </c>
      <c r="O48" s="3" t="s">
        <v>34</v>
      </c>
      <c r="P48" s="3" t="s">
        <v>69</v>
      </c>
      <c r="Q48" s="3" t="s">
        <v>63</v>
      </c>
      <c r="R48" s="3" t="s">
        <v>37</v>
      </c>
      <c r="S48" s="3">
        <v>140</v>
      </c>
      <c r="T48" s="3">
        <v>68</v>
      </c>
      <c r="U48" s="3" t="s">
        <v>38</v>
      </c>
      <c r="V48" s="4">
        <f t="shared" si="1"/>
        <v>34.693877551020414</v>
      </c>
    </row>
    <row r="49" spans="1:22" x14ac:dyDescent="0.25">
      <c r="A49" s="3" t="s">
        <v>333</v>
      </c>
      <c r="B49" s="3" t="s">
        <v>334</v>
      </c>
      <c r="C49" s="3" t="s">
        <v>24</v>
      </c>
      <c r="D49" s="3" t="s">
        <v>51</v>
      </c>
      <c r="E49" s="3" t="s">
        <v>26</v>
      </c>
      <c r="F49" s="3">
        <v>22</v>
      </c>
      <c r="G49" s="3" t="s">
        <v>27</v>
      </c>
      <c r="H49" s="3">
        <v>62</v>
      </c>
      <c r="I49" s="3" t="s">
        <v>28</v>
      </c>
      <c r="J49" s="3" t="s">
        <v>52</v>
      </c>
      <c r="K49" s="3" t="s">
        <v>77</v>
      </c>
      <c r="L49" s="3" t="s">
        <v>31</v>
      </c>
      <c r="M49" s="3" t="s">
        <v>332</v>
      </c>
      <c r="N49" s="3" t="s">
        <v>61</v>
      </c>
      <c r="O49" s="3" t="s">
        <v>34</v>
      </c>
      <c r="P49" s="3" t="s">
        <v>35</v>
      </c>
      <c r="Q49" s="3" t="s">
        <v>36</v>
      </c>
      <c r="R49" s="3" t="s">
        <v>37</v>
      </c>
      <c r="S49" s="3">
        <v>162</v>
      </c>
      <c r="T49" s="3">
        <v>47</v>
      </c>
      <c r="U49" s="3" t="s">
        <v>38</v>
      </c>
      <c r="V49" s="4">
        <f t="shared" si="1"/>
        <v>17.908855357415025</v>
      </c>
    </row>
    <row r="50" spans="1:22" x14ac:dyDescent="0.25">
      <c r="A50" s="3" t="s">
        <v>203</v>
      </c>
      <c r="B50" s="3" t="s">
        <v>40</v>
      </c>
      <c r="C50" s="3" t="s">
        <v>24</v>
      </c>
      <c r="D50" s="3" t="s">
        <v>25</v>
      </c>
      <c r="E50" s="3" t="s">
        <v>42</v>
      </c>
      <c r="F50" s="5">
        <v>22</v>
      </c>
      <c r="G50" s="3" t="s">
        <v>27</v>
      </c>
      <c r="H50" s="3">
        <v>75</v>
      </c>
      <c r="I50" s="3" t="s">
        <v>28</v>
      </c>
      <c r="J50" s="3" t="s">
        <v>94</v>
      </c>
      <c r="K50" s="3" t="s">
        <v>94</v>
      </c>
      <c r="L50" s="3" t="s">
        <v>38</v>
      </c>
      <c r="M50" s="3" t="s">
        <v>185</v>
      </c>
      <c r="N50" s="3" t="s">
        <v>101</v>
      </c>
      <c r="O50" s="3" t="s">
        <v>90</v>
      </c>
      <c r="P50" s="3" t="s">
        <v>35</v>
      </c>
      <c r="Q50" s="3" t="s">
        <v>63</v>
      </c>
      <c r="R50" s="3" t="s">
        <v>37</v>
      </c>
      <c r="S50" s="3">
        <v>162</v>
      </c>
      <c r="T50" s="3">
        <v>45</v>
      </c>
      <c r="U50" s="3" t="s">
        <v>42</v>
      </c>
      <c r="V50" s="4">
        <f t="shared" si="1"/>
        <v>17.146776406035663</v>
      </c>
    </row>
    <row r="51" spans="1:22" x14ac:dyDescent="0.25">
      <c r="A51" s="3" t="s">
        <v>242</v>
      </c>
      <c r="B51" s="3" t="s">
        <v>40</v>
      </c>
      <c r="C51" s="3" t="s">
        <v>24</v>
      </c>
      <c r="D51" s="3" t="s">
        <v>25</v>
      </c>
      <c r="E51" s="3" t="s">
        <v>42</v>
      </c>
      <c r="F51" s="3">
        <v>19</v>
      </c>
      <c r="G51" s="3" t="s">
        <v>27</v>
      </c>
      <c r="H51" s="3">
        <v>54</v>
      </c>
      <c r="I51" s="3" t="s">
        <v>28</v>
      </c>
      <c r="J51" s="3" t="s">
        <v>52</v>
      </c>
      <c r="K51" s="3" t="s">
        <v>53</v>
      </c>
      <c r="L51" s="3" t="s">
        <v>31</v>
      </c>
      <c r="M51" s="3" t="s">
        <v>234</v>
      </c>
      <c r="N51" s="3" t="s">
        <v>96</v>
      </c>
      <c r="O51" s="3" t="s">
        <v>90</v>
      </c>
      <c r="P51" s="3" t="s">
        <v>69</v>
      </c>
      <c r="Q51" s="3" t="s">
        <v>63</v>
      </c>
      <c r="R51" s="3" t="s">
        <v>37</v>
      </c>
      <c r="S51" s="3">
        <v>156</v>
      </c>
      <c r="T51" s="3">
        <v>53</v>
      </c>
      <c r="U51" s="3" t="s">
        <v>42</v>
      </c>
      <c r="V51" s="4">
        <f t="shared" si="1"/>
        <v>21.7784352399737</v>
      </c>
    </row>
    <row r="52" spans="1:22" x14ac:dyDescent="0.25">
      <c r="A52" s="3" t="s">
        <v>243</v>
      </c>
      <c r="B52" s="3" t="s">
        <v>40</v>
      </c>
      <c r="C52" s="3" t="s">
        <v>24</v>
      </c>
      <c r="D52" s="3" t="s">
        <v>25</v>
      </c>
      <c r="E52" s="3" t="s">
        <v>42</v>
      </c>
      <c r="F52" s="3">
        <v>19</v>
      </c>
      <c r="G52" s="3" t="s">
        <v>27</v>
      </c>
      <c r="H52" s="3">
        <v>54</v>
      </c>
      <c r="I52" s="3" t="s">
        <v>28</v>
      </c>
      <c r="J52" s="3" t="s">
        <v>52</v>
      </c>
      <c r="K52" s="3" t="s">
        <v>53</v>
      </c>
      <c r="L52" s="3" t="s">
        <v>31</v>
      </c>
      <c r="M52" s="3" t="s">
        <v>234</v>
      </c>
      <c r="N52" s="3" t="s">
        <v>96</v>
      </c>
      <c r="O52" s="3" t="s">
        <v>90</v>
      </c>
      <c r="P52" s="3" t="s">
        <v>69</v>
      </c>
      <c r="Q52" s="3" t="s">
        <v>36</v>
      </c>
      <c r="R52" s="3" t="s">
        <v>37</v>
      </c>
      <c r="S52" s="3">
        <v>156</v>
      </c>
      <c r="T52" s="3">
        <v>53</v>
      </c>
      <c r="U52" s="3" t="s">
        <v>42</v>
      </c>
      <c r="V52" s="4">
        <f t="shared" si="1"/>
        <v>21.7784352399737</v>
      </c>
    </row>
    <row r="53" spans="1:22" x14ac:dyDescent="0.25">
      <c r="A53" s="3" t="s">
        <v>143</v>
      </c>
      <c r="B53" s="3" t="s">
        <v>144</v>
      </c>
      <c r="C53" s="3" t="s">
        <v>24</v>
      </c>
      <c r="D53" s="3" t="s">
        <v>25</v>
      </c>
      <c r="E53" s="3" t="s">
        <v>42</v>
      </c>
      <c r="F53" s="3">
        <v>19</v>
      </c>
      <c r="G53" s="3" t="s">
        <v>27</v>
      </c>
      <c r="H53" s="5">
        <v>51</v>
      </c>
      <c r="I53" s="3" t="s">
        <v>72</v>
      </c>
      <c r="J53" s="3" t="s">
        <v>52</v>
      </c>
      <c r="K53" s="3" t="s">
        <v>77</v>
      </c>
      <c r="L53" s="3" t="s">
        <v>38</v>
      </c>
      <c r="M53" s="3" t="s">
        <v>139</v>
      </c>
      <c r="N53" s="3" t="s">
        <v>55</v>
      </c>
      <c r="O53" s="3" t="s">
        <v>34</v>
      </c>
      <c r="P53" s="3" t="s">
        <v>35</v>
      </c>
      <c r="Q53" s="3" t="s">
        <v>63</v>
      </c>
      <c r="R53" s="3" t="s">
        <v>37</v>
      </c>
      <c r="S53" s="3">
        <v>156</v>
      </c>
      <c r="T53" s="3">
        <v>80</v>
      </c>
      <c r="U53" s="3" t="s">
        <v>42</v>
      </c>
      <c r="V53" s="4">
        <f t="shared" si="1"/>
        <v>32.873109796186718</v>
      </c>
    </row>
    <row r="54" spans="1:22" x14ac:dyDescent="0.25">
      <c r="A54" s="3" t="s">
        <v>228</v>
      </c>
      <c r="B54" s="3" t="s">
        <v>229</v>
      </c>
      <c r="C54" s="3" t="s">
        <v>24</v>
      </c>
      <c r="D54" s="3" t="s">
        <v>25</v>
      </c>
      <c r="E54" s="3" t="s">
        <v>26</v>
      </c>
      <c r="F54" s="3">
        <v>21</v>
      </c>
      <c r="G54" s="3" t="s">
        <v>66</v>
      </c>
      <c r="H54" s="3">
        <v>65</v>
      </c>
      <c r="I54" s="3" t="s">
        <v>28</v>
      </c>
      <c r="J54" s="3" t="s">
        <v>52</v>
      </c>
      <c r="K54" s="3" t="s">
        <v>230</v>
      </c>
      <c r="L54" s="3" t="s">
        <v>38</v>
      </c>
      <c r="M54" s="3" t="s">
        <v>185</v>
      </c>
      <c r="N54" s="3" t="s">
        <v>55</v>
      </c>
      <c r="O54" s="3" t="s">
        <v>90</v>
      </c>
      <c r="P54" s="3" t="s">
        <v>35</v>
      </c>
      <c r="Q54" s="3" t="s">
        <v>63</v>
      </c>
      <c r="R54" s="3" t="s">
        <v>37</v>
      </c>
      <c r="S54" s="3">
        <v>154</v>
      </c>
      <c r="T54" s="3">
        <v>40</v>
      </c>
      <c r="U54" s="3" t="s">
        <v>38</v>
      </c>
      <c r="V54" s="4">
        <f t="shared" si="1"/>
        <v>16.866250632484398</v>
      </c>
    </row>
    <row r="55" spans="1:22" x14ac:dyDescent="0.25">
      <c r="A55" s="3" t="s">
        <v>331</v>
      </c>
      <c r="B55" s="3" t="s">
        <v>229</v>
      </c>
      <c r="C55" s="3" t="s">
        <v>24</v>
      </c>
      <c r="D55" s="3" t="s">
        <v>25</v>
      </c>
      <c r="E55" s="3" t="s">
        <v>42</v>
      </c>
      <c r="F55" s="3">
        <v>19</v>
      </c>
      <c r="G55" s="3" t="s">
        <v>27</v>
      </c>
      <c r="H55" s="3">
        <v>72</v>
      </c>
      <c r="I55" s="3" t="s">
        <v>28</v>
      </c>
      <c r="J55" s="3" t="s">
        <v>52</v>
      </c>
      <c r="K55" s="3" t="s">
        <v>53</v>
      </c>
      <c r="L55" s="3" t="s">
        <v>38</v>
      </c>
      <c r="M55" s="3" t="s">
        <v>332</v>
      </c>
      <c r="N55" s="3" t="s">
        <v>55</v>
      </c>
      <c r="O55" s="3" t="s">
        <v>90</v>
      </c>
      <c r="P55" s="3" t="s">
        <v>62</v>
      </c>
      <c r="Q55" s="3" t="s">
        <v>63</v>
      </c>
      <c r="R55" s="3" t="s">
        <v>37</v>
      </c>
      <c r="S55" s="3">
        <v>155</v>
      </c>
      <c r="T55" s="3">
        <v>45</v>
      </c>
      <c r="U55" s="3" t="s">
        <v>42</v>
      </c>
      <c r="V55" s="4">
        <f t="shared" si="1"/>
        <v>18.730489073881373</v>
      </c>
    </row>
    <row r="56" spans="1:22" x14ac:dyDescent="0.25">
      <c r="A56" s="3" t="s">
        <v>337</v>
      </c>
      <c r="B56" s="3" t="s">
        <v>229</v>
      </c>
      <c r="C56" s="3" t="s">
        <v>24</v>
      </c>
      <c r="D56" s="3" t="s">
        <v>25</v>
      </c>
      <c r="E56" s="3" t="s">
        <v>42</v>
      </c>
      <c r="F56" s="3">
        <v>20</v>
      </c>
      <c r="G56" s="3" t="s">
        <v>27</v>
      </c>
      <c r="H56" s="3">
        <v>57</v>
      </c>
      <c r="I56" s="3" t="s">
        <v>72</v>
      </c>
      <c r="J56" s="3" t="s">
        <v>52</v>
      </c>
      <c r="K56" s="3" t="s">
        <v>53</v>
      </c>
      <c r="L56" s="3" t="s">
        <v>31</v>
      </c>
      <c r="M56" s="5" t="s">
        <v>336</v>
      </c>
      <c r="N56" s="3" t="s">
        <v>33</v>
      </c>
      <c r="O56" s="3" t="s">
        <v>34</v>
      </c>
      <c r="P56" s="3" t="s">
        <v>35</v>
      </c>
      <c r="Q56" s="3" t="s">
        <v>63</v>
      </c>
      <c r="R56" s="3" t="s">
        <v>37</v>
      </c>
      <c r="S56" s="3">
        <v>157</v>
      </c>
      <c r="T56" s="3">
        <v>56</v>
      </c>
      <c r="U56" s="3" t="s">
        <v>48</v>
      </c>
      <c r="V56" s="4">
        <f t="shared" si="1"/>
        <v>22.718974400584202</v>
      </c>
    </row>
    <row r="57" spans="1:22" x14ac:dyDescent="0.25">
      <c r="A57" s="3" t="s">
        <v>115</v>
      </c>
      <c r="B57" s="3" t="s">
        <v>116</v>
      </c>
      <c r="C57" s="3" t="s">
        <v>24</v>
      </c>
      <c r="D57" s="3" t="s">
        <v>25</v>
      </c>
      <c r="E57" s="3" t="s">
        <v>42</v>
      </c>
      <c r="F57" s="3">
        <v>21</v>
      </c>
      <c r="G57" s="3" t="s">
        <v>27</v>
      </c>
      <c r="H57" s="3">
        <v>47</v>
      </c>
      <c r="I57" s="3" t="s">
        <v>28</v>
      </c>
      <c r="J57" s="3" t="s">
        <v>52</v>
      </c>
      <c r="K57" s="3" t="s">
        <v>117</v>
      </c>
      <c r="L57" s="3" t="s">
        <v>38</v>
      </c>
      <c r="M57" s="5" t="s">
        <v>118</v>
      </c>
      <c r="N57" s="3" t="s">
        <v>55</v>
      </c>
      <c r="O57" s="3" t="s">
        <v>34</v>
      </c>
      <c r="P57" s="3" t="s">
        <v>35</v>
      </c>
      <c r="Q57" s="3" t="s">
        <v>63</v>
      </c>
      <c r="R57" s="3" t="s">
        <v>37</v>
      </c>
      <c r="S57" s="3">
        <v>163</v>
      </c>
      <c r="T57" s="3">
        <v>80</v>
      </c>
      <c r="U57" s="3" t="s">
        <v>48</v>
      </c>
      <c r="V57" s="4">
        <f t="shared" si="1"/>
        <v>30.110278896458279</v>
      </c>
    </row>
    <row r="58" spans="1:22" x14ac:dyDescent="0.25">
      <c r="A58" s="3" t="s">
        <v>49</v>
      </c>
      <c r="B58" s="3" t="s">
        <v>50</v>
      </c>
      <c r="C58" s="3" t="s">
        <v>24</v>
      </c>
      <c r="D58" s="3" t="s">
        <v>51</v>
      </c>
      <c r="E58" s="3" t="s">
        <v>42</v>
      </c>
      <c r="F58" s="3">
        <v>20</v>
      </c>
      <c r="G58" s="3" t="s">
        <v>27</v>
      </c>
      <c r="H58" s="3">
        <v>65</v>
      </c>
      <c r="I58" s="3" t="s">
        <v>28</v>
      </c>
      <c r="J58" s="3" t="s">
        <v>52</v>
      </c>
      <c r="K58" s="3" t="s">
        <v>53</v>
      </c>
      <c r="L58" s="3" t="s">
        <v>31</v>
      </c>
      <c r="M58" s="3" t="s">
        <v>54</v>
      </c>
      <c r="N58" s="3" t="s">
        <v>55</v>
      </c>
      <c r="O58" s="3" t="s">
        <v>34</v>
      </c>
      <c r="P58" s="3" t="s">
        <v>35</v>
      </c>
      <c r="Q58" s="3" t="s">
        <v>36</v>
      </c>
      <c r="R58" s="3" t="s">
        <v>37</v>
      </c>
      <c r="S58" s="3">
        <v>154</v>
      </c>
      <c r="T58" s="3">
        <v>53</v>
      </c>
      <c r="U58" s="3" t="s">
        <v>48</v>
      </c>
      <c r="V58" s="4">
        <f t="shared" si="1"/>
        <v>22.347782088041829</v>
      </c>
    </row>
    <row r="59" spans="1:22" x14ac:dyDescent="0.25">
      <c r="A59" s="3" t="s">
        <v>204</v>
      </c>
      <c r="B59" s="3" t="s">
        <v>205</v>
      </c>
      <c r="C59" s="3" t="s">
        <v>24</v>
      </c>
      <c r="D59" s="3" t="s">
        <v>25</v>
      </c>
      <c r="E59" s="3" t="s">
        <v>26</v>
      </c>
      <c r="F59" s="3">
        <v>21</v>
      </c>
      <c r="G59" s="3" t="s">
        <v>27</v>
      </c>
      <c r="H59" s="3">
        <v>72</v>
      </c>
      <c r="I59" s="3" t="s">
        <v>72</v>
      </c>
      <c r="J59" s="3" t="s">
        <v>52</v>
      </c>
      <c r="K59" s="3" t="s">
        <v>206</v>
      </c>
      <c r="L59" s="3" t="s">
        <v>31</v>
      </c>
      <c r="M59" s="3" t="s">
        <v>207</v>
      </c>
      <c r="N59" s="3" t="s">
        <v>61</v>
      </c>
      <c r="O59" s="3" t="s">
        <v>90</v>
      </c>
      <c r="P59" s="3" t="s">
        <v>35</v>
      </c>
      <c r="Q59" s="3" t="s">
        <v>63</v>
      </c>
      <c r="R59" s="3" t="s">
        <v>37</v>
      </c>
      <c r="S59" s="3">
        <v>154</v>
      </c>
      <c r="T59" s="3">
        <v>55</v>
      </c>
      <c r="U59" s="3" t="s">
        <v>38</v>
      </c>
      <c r="V59" s="4">
        <f t="shared" si="1"/>
        <v>23.19109461966605</v>
      </c>
    </row>
    <row r="60" spans="1:22" x14ac:dyDescent="0.25">
      <c r="A60" s="3" t="s">
        <v>317</v>
      </c>
      <c r="B60" s="3" t="s">
        <v>318</v>
      </c>
      <c r="C60" s="3" t="s">
        <v>24</v>
      </c>
      <c r="D60" s="3" t="s">
        <v>25</v>
      </c>
      <c r="E60" s="3" t="s">
        <v>26</v>
      </c>
      <c r="F60" s="3">
        <v>21</v>
      </c>
      <c r="G60" s="3" t="s">
        <v>27</v>
      </c>
      <c r="H60" s="3">
        <v>70</v>
      </c>
      <c r="I60" s="3" t="s">
        <v>72</v>
      </c>
      <c r="J60" s="3" t="s">
        <v>52</v>
      </c>
      <c r="K60" s="3" t="s">
        <v>312</v>
      </c>
      <c r="L60" s="3" t="s">
        <v>31</v>
      </c>
      <c r="M60" s="3" t="s">
        <v>316</v>
      </c>
      <c r="N60" s="3" t="s">
        <v>61</v>
      </c>
      <c r="O60" s="3" t="s">
        <v>34</v>
      </c>
      <c r="P60" s="3" t="s">
        <v>35</v>
      </c>
      <c r="Q60" s="3" t="s">
        <v>63</v>
      </c>
      <c r="R60" s="3" t="s">
        <v>37</v>
      </c>
      <c r="S60" s="3">
        <v>158</v>
      </c>
      <c r="T60" s="3">
        <v>49</v>
      </c>
      <c r="U60" s="3" t="s">
        <v>38</v>
      </c>
      <c r="V60" s="4">
        <f t="shared" si="1"/>
        <v>19.62826470116968</v>
      </c>
    </row>
    <row r="61" spans="1:22" x14ac:dyDescent="0.25">
      <c r="A61" s="3" t="s">
        <v>298</v>
      </c>
      <c r="B61" s="3" t="s">
        <v>299</v>
      </c>
      <c r="C61" s="3" t="s">
        <v>24</v>
      </c>
      <c r="D61" s="3" t="s">
        <v>25</v>
      </c>
      <c r="E61" s="3" t="s">
        <v>42</v>
      </c>
      <c r="F61" s="3">
        <v>18</v>
      </c>
      <c r="G61" s="3" t="s">
        <v>93</v>
      </c>
      <c r="H61" s="5">
        <v>82</v>
      </c>
      <c r="I61" s="3" t="s">
        <v>72</v>
      </c>
      <c r="J61" s="3" t="s">
        <v>52</v>
      </c>
      <c r="K61" s="3" t="s">
        <v>300</v>
      </c>
      <c r="L61" s="3" t="s">
        <v>38</v>
      </c>
      <c r="M61" s="5" t="s">
        <v>301</v>
      </c>
      <c r="N61" s="3" t="s">
        <v>96</v>
      </c>
      <c r="O61" s="3" t="s">
        <v>34</v>
      </c>
      <c r="P61" s="3" t="s">
        <v>62</v>
      </c>
      <c r="Q61" s="3" t="s">
        <v>63</v>
      </c>
      <c r="R61" s="3" t="s">
        <v>37</v>
      </c>
      <c r="S61" s="3">
        <v>155</v>
      </c>
      <c r="T61" s="3">
        <v>46</v>
      </c>
      <c r="U61" s="3" t="s">
        <v>42</v>
      </c>
      <c r="V61" s="4">
        <f t="shared" si="1"/>
        <v>19.146722164412068</v>
      </c>
    </row>
    <row r="62" spans="1:22" x14ac:dyDescent="0.25">
      <c r="A62" s="3" t="s">
        <v>259</v>
      </c>
      <c r="B62" s="3" t="s">
        <v>260</v>
      </c>
      <c r="C62" s="3" t="s">
        <v>24</v>
      </c>
      <c r="D62" s="3" t="s">
        <v>87</v>
      </c>
      <c r="E62" s="3" t="s">
        <v>42</v>
      </c>
      <c r="F62" s="3">
        <v>19</v>
      </c>
      <c r="G62" s="3" t="s">
        <v>27</v>
      </c>
      <c r="H62" s="3">
        <v>64</v>
      </c>
      <c r="I62" s="3" t="s">
        <v>28</v>
      </c>
      <c r="J62" s="3" t="s">
        <v>153</v>
      </c>
      <c r="K62" s="3" t="s">
        <v>261</v>
      </c>
      <c r="L62" s="3" t="s">
        <v>31</v>
      </c>
      <c r="M62" s="3" t="s">
        <v>258</v>
      </c>
      <c r="N62" s="3" t="s">
        <v>96</v>
      </c>
      <c r="O62" s="3" t="s">
        <v>34</v>
      </c>
      <c r="P62" s="3" t="s">
        <v>62</v>
      </c>
      <c r="Q62" s="3" t="s">
        <v>36</v>
      </c>
      <c r="R62" s="3" t="s">
        <v>37</v>
      </c>
      <c r="S62" s="3">
        <v>158</v>
      </c>
      <c r="T62" s="3">
        <v>45</v>
      </c>
      <c r="U62" s="3" t="s">
        <v>179</v>
      </c>
      <c r="V62" s="4">
        <f t="shared" si="1"/>
        <v>18.025957378625218</v>
      </c>
    </row>
    <row r="63" spans="1:22" x14ac:dyDescent="0.25">
      <c r="A63" s="3" t="s">
        <v>195</v>
      </c>
      <c r="B63" s="3" t="s">
        <v>196</v>
      </c>
      <c r="C63" s="3" t="s">
        <v>24</v>
      </c>
      <c r="D63" s="3" t="s">
        <v>25</v>
      </c>
      <c r="E63" s="3" t="s">
        <v>26</v>
      </c>
      <c r="F63" s="3">
        <v>20</v>
      </c>
      <c r="G63" s="3" t="s">
        <v>27</v>
      </c>
      <c r="H63" s="3">
        <v>90</v>
      </c>
      <c r="I63" s="3" t="s">
        <v>28</v>
      </c>
      <c r="J63" s="3" t="s">
        <v>197</v>
      </c>
      <c r="K63" s="3" t="s">
        <v>198</v>
      </c>
      <c r="L63" s="3" t="s">
        <v>31</v>
      </c>
      <c r="M63" s="3" t="s">
        <v>185</v>
      </c>
      <c r="N63" s="3" t="s">
        <v>89</v>
      </c>
      <c r="O63" s="3" t="s">
        <v>34</v>
      </c>
      <c r="P63" s="3" t="s">
        <v>62</v>
      </c>
      <c r="Q63" s="3" t="s">
        <v>36</v>
      </c>
      <c r="R63" s="3" t="s">
        <v>37</v>
      </c>
      <c r="S63" s="3">
        <v>159</v>
      </c>
      <c r="T63" s="3">
        <v>65</v>
      </c>
      <c r="U63" s="3" t="s">
        <v>38</v>
      </c>
      <c r="V63" s="4">
        <f t="shared" si="1"/>
        <v>25.711008267078039</v>
      </c>
    </row>
    <row r="64" spans="1:22" x14ac:dyDescent="0.25">
      <c r="A64" s="3" t="s">
        <v>148</v>
      </c>
      <c r="B64" s="3" t="s">
        <v>149</v>
      </c>
      <c r="C64" s="3" t="s">
        <v>41</v>
      </c>
      <c r="D64" s="3" t="s">
        <v>25</v>
      </c>
      <c r="E64" s="3" t="s">
        <v>42</v>
      </c>
      <c r="F64" s="3">
        <v>20</v>
      </c>
      <c r="G64" s="3" t="s">
        <v>27</v>
      </c>
      <c r="H64" s="5">
        <v>70</v>
      </c>
      <c r="I64" s="3" t="s">
        <v>28</v>
      </c>
      <c r="J64" s="3" t="s">
        <v>52</v>
      </c>
      <c r="K64" s="3" t="s">
        <v>77</v>
      </c>
      <c r="L64" s="3" t="s">
        <v>31</v>
      </c>
      <c r="M64" s="5" t="s">
        <v>150</v>
      </c>
      <c r="N64" s="3" t="s">
        <v>96</v>
      </c>
      <c r="O64" s="3" t="s">
        <v>34</v>
      </c>
      <c r="P64" s="3" t="s">
        <v>69</v>
      </c>
      <c r="Q64" s="3" t="s">
        <v>63</v>
      </c>
      <c r="R64" s="3" t="s">
        <v>37</v>
      </c>
      <c r="S64" s="3">
        <v>150</v>
      </c>
      <c r="T64" s="3">
        <v>70</v>
      </c>
      <c r="U64" s="3" t="s">
        <v>42</v>
      </c>
      <c r="V64" s="4">
        <f t="shared" si="1"/>
        <v>31.111111111111111</v>
      </c>
    </row>
    <row r="65" spans="1:22" x14ac:dyDescent="0.25">
      <c r="A65" s="3" t="s">
        <v>75</v>
      </c>
      <c r="B65" s="3" t="s">
        <v>76</v>
      </c>
      <c r="C65" s="3" t="s">
        <v>41</v>
      </c>
      <c r="D65" s="3" t="s">
        <v>25</v>
      </c>
      <c r="E65" s="3" t="s">
        <v>42</v>
      </c>
      <c r="F65" s="3">
        <v>19</v>
      </c>
      <c r="G65" s="3" t="s">
        <v>27</v>
      </c>
      <c r="H65" s="3">
        <v>58</v>
      </c>
      <c r="I65" s="3" t="s">
        <v>28</v>
      </c>
      <c r="J65" s="3" t="s">
        <v>52</v>
      </c>
      <c r="K65" s="3" t="s">
        <v>77</v>
      </c>
      <c r="L65" s="3" t="s">
        <v>31</v>
      </c>
      <c r="M65" s="3" t="s">
        <v>78</v>
      </c>
      <c r="N65" s="3" t="s">
        <v>33</v>
      </c>
      <c r="O65" s="3" t="s">
        <v>34</v>
      </c>
      <c r="P65" s="3" t="s">
        <v>35</v>
      </c>
      <c r="Q65" s="3" t="s">
        <v>63</v>
      </c>
      <c r="R65" s="3" t="s">
        <v>37</v>
      </c>
      <c r="S65" s="3">
        <v>160</v>
      </c>
      <c r="T65" s="3">
        <v>84</v>
      </c>
      <c r="U65" s="3" t="s">
        <v>42</v>
      </c>
      <c r="V65" s="4">
        <f t="shared" si="1"/>
        <v>32.812499999999993</v>
      </c>
    </row>
    <row r="66" spans="1:22" x14ac:dyDescent="0.25">
      <c r="A66" s="3" t="s">
        <v>102</v>
      </c>
      <c r="B66" s="3" t="s">
        <v>103</v>
      </c>
      <c r="C66" s="3" t="s">
        <v>41</v>
      </c>
      <c r="D66" s="3" t="s">
        <v>25</v>
      </c>
      <c r="E66" s="3" t="s">
        <v>42</v>
      </c>
      <c r="F66" s="3">
        <v>21</v>
      </c>
      <c r="G66" s="3" t="s">
        <v>66</v>
      </c>
      <c r="H66" s="3">
        <v>47</v>
      </c>
      <c r="I66" s="3" t="s">
        <v>72</v>
      </c>
      <c r="J66" s="3" t="s">
        <v>52</v>
      </c>
      <c r="K66" s="3" t="s">
        <v>104</v>
      </c>
      <c r="L66" s="3" t="s">
        <v>38</v>
      </c>
      <c r="M66" s="3" t="s">
        <v>95</v>
      </c>
      <c r="N66" s="3" t="s">
        <v>96</v>
      </c>
      <c r="O66" s="3" t="s">
        <v>34</v>
      </c>
      <c r="P66" s="3" t="s">
        <v>69</v>
      </c>
      <c r="Q66" s="3" t="s">
        <v>63</v>
      </c>
      <c r="R66" s="3" t="s">
        <v>37</v>
      </c>
      <c r="S66" s="3">
        <v>168</v>
      </c>
      <c r="T66" s="3">
        <v>45</v>
      </c>
      <c r="U66" s="3" t="s">
        <v>42</v>
      </c>
      <c r="V66" s="4">
        <f t="shared" ref="V66:V97" si="2">T66/(S66/100)^2</f>
        <v>15.94387755102041</v>
      </c>
    </row>
    <row r="67" spans="1:22" x14ac:dyDescent="0.25">
      <c r="A67" s="3" t="s">
        <v>189</v>
      </c>
      <c r="B67" s="3" t="s">
        <v>190</v>
      </c>
      <c r="C67" s="3" t="s">
        <v>41</v>
      </c>
      <c r="D67" s="3" t="s">
        <v>25</v>
      </c>
      <c r="E67" s="3" t="s">
        <v>42</v>
      </c>
      <c r="F67" s="3">
        <v>22</v>
      </c>
      <c r="G67" s="3" t="s">
        <v>66</v>
      </c>
      <c r="H67" s="3">
        <v>49</v>
      </c>
      <c r="I67" s="3" t="s">
        <v>72</v>
      </c>
      <c r="J67" s="3" t="s">
        <v>58</v>
      </c>
      <c r="K67" s="3" t="s">
        <v>191</v>
      </c>
      <c r="L67" s="3" t="s">
        <v>31</v>
      </c>
      <c r="M67" s="5" t="s">
        <v>192</v>
      </c>
      <c r="N67" s="3" t="s">
        <v>55</v>
      </c>
      <c r="O67" s="3" t="s">
        <v>34</v>
      </c>
      <c r="P67" s="3" t="s">
        <v>35</v>
      </c>
      <c r="Q67" s="3" t="s">
        <v>63</v>
      </c>
      <c r="R67" s="3" t="s">
        <v>37</v>
      </c>
      <c r="S67" s="3">
        <v>160</v>
      </c>
      <c r="T67" s="3">
        <v>63</v>
      </c>
      <c r="U67" s="3" t="s">
        <v>48</v>
      </c>
      <c r="V67" s="4">
        <f t="shared" si="2"/>
        <v>24.609374999999996</v>
      </c>
    </row>
    <row r="68" spans="1:22" x14ac:dyDescent="0.25">
      <c r="A68" s="3" t="s">
        <v>279</v>
      </c>
      <c r="B68" s="3" t="s">
        <v>280</v>
      </c>
      <c r="C68" s="3" t="s">
        <v>41</v>
      </c>
      <c r="D68" s="3" t="s">
        <v>25</v>
      </c>
      <c r="E68" s="3" t="s">
        <v>26</v>
      </c>
      <c r="F68" s="3">
        <v>22</v>
      </c>
      <c r="G68" s="3" t="s">
        <v>87</v>
      </c>
      <c r="H68" s="3">
        <v>76</v>
      </c>
      <c r="I68" s="3" t="s">
        <v>281</v>
      </c>
      <c r="J68" s="3" t="s">
        <v>282</v>
      </c>
      <c r="K68" s="3" t="s">
        <v>283</v>
      </c>
      <c r="L68" s="3" t="s">
        <v>31</v>
      </c>
      <c r="M68" s="3" t="s">
        <v>185</v>
      </c>
      <c r="N68" s="3" t="s">
        <v>55</v>
      </c>
      <c r="O68" s="3" t="s">
        <v>34</v>
      </c>
      <c r="P68" s="3" t="s">
        <v>62</v>
      </c>
      <c r="Q68" s="3" t="s">
        <v>36</v>
      </c>
      <c r="R68" s="3" t="s">
        <v>37</v>
      </c>
      <c r="S68" s="3">
        <v>182</v>
      </c>
      <c r="T68" s="3">
        <v>59</v>
      </c>
      <c r="U68" s="3" t="s">
        <v>69</v>
      </c>
      <c r="V68" s="4">
        <f t="shared" si="2"/>
        <v>17.81185847119913</v>
      </c>
    </row>
    <row r="69" spans="1:22" x14ac:dyDescent="0.25">
      <c r="A69" s="3" t="s">
        <v>186</v>
      </c>
      <c r="B69" s="3" t="s">
        <v>187</v>
      </c>
      <c r="C69" s="3" t="s">
        <v>41</v>
      </c>
      <c r="D69" s="3" t="s">
        <v>188</v>
      </c>
      <c r="E69" s="3" t="s">
        <v>42</v>
      </c>
      <c r="F69" s="3">
        <v>18</v>
      </c>
      <c r="G69" s="3" t="s">
        <v>66</v>
      </c>
      <c r="H69" s="3">
        <v>45</v>
      </c>
      <c r="I69" s="3" t="s">
        <v>28</v>
      </c>
      <c r="J69" s="3" t="s">
        <v>52</v>
      </c>
      <c r="K69" s="3" t="s">
        <v>53</v>
      </c>
      <c r="L69" s="3" t="s">
        <v>38</v>
      </c>
      <c r="M69" s="3" t="s">
        <v>185</v>
      </c>
      <c r="N69" s="3" t="s">
        <v>55</v>
      </c>
      <c r="O69" s="3" t="s">
        <v>34</v>
      </c>
      <c r="P69" s="3" t="s">
        <v>35</v>
      </c>
      <c r="Q69" s="3" t="s">
        <v>36</v>
      </c>
      <c r="R69" s="3" t="s">
        <v>37</v>
      </c>
      <c r="S69" s="3">
        <v>156</v>
      </c>
      <c r="T69" s="3">
        <v>90</v>
      </c>
      <c r="U69" s="3" t="s">
        <v>48</v>
      </c>
      <c r="V69" s="4">
        <f t="shared" si="2"/>
        <v>36.982248520710058</v>
      </c>
    </row>
    <row r="70" spans="1:22" x14ac:dyDescent="0.25">
      <c r="A70" s="3" t="s">
        <v>244</v>
      </c>
      <c r="B70" s="3" t="s">
        <v>245</v>
      </c>
      <c r="C70" s="3" t="s">
        <v>41</v>
      </c>
      <c r="D70" s="3" t="s">
        <v>25</v>
      </c>
      <c r="E70" s="3" t="s">
        <v>26</v>
      </c>
      <c r="F70" s="3">
        <v>21</v>
      </c>
      <c r="G70" s="3" t="s">
        <v>66</v>
      </c>
      <c r="H70" s="3">
        <v>72</v>
      </c>
      <c r="I70" s="3" t="s">
        <v>72</v>
      </c>
      <c r="J70" s="3" t="s">
        <v>52</v>
      </c>
      <c r="K70" s="3" t="s">
        <v>246</v>
      </c>
      <c r="L70" s="3" t="s">
        <v>31</v>
      </c>
      <c r="M70" s="3" t="s">
        <v>234</v>
      </c>
      <c r="N70" s="3" t="s">
        <v>96</v>
      </c>
      <c r="O70" s="3" t="s">
        <v>34</v>
      </c>
      <c r="P70" s="3" t="s">
        <v>69</v>
      </c>
      <c r="Q70" s="3" t="s">
        <v>63</v>
      </c>
      <c r="R70" s="3" t="s">
        <v>37</v>
      </c>
      <c r="S70" s="3">
        <v>168</v>
      </c>
      <c r="T70" s="3">
        <v>58</v>
      </c>
      <c r="U70" s="3" t="s">
        <v>38</v>
      </c>
      <c r="V70" s="4">
        <f t="shared" si="2"/>
        <v>20.549886621315196</v>
      </c>
    </row>
    <row r="71" spans="1:22" x14ac:dyDescent="0.25">
      <c r="A71" s="3" t="s">
        <v>310</v>
      </c>
      <c r="B71" s="3" t="s">
        <v>311</v>
      </c>
      <c r="C71" s="3" t="s">
        <v>41</v>
      </c>
      <c r="D71" s="3" t="s">
        <v>25</v>
      </c>
      <c r="E71" s="3" t="s">
        <v>26</v>
      </c>
      <c r="F71" s="3">
        <v>21</v>
      </c>
      <c r="G71" s="3" t="s">
        <v>66</v>
      </c>
      <c r="H71" s="3">
        <v>70</v>
      </c>
      <c r="I71" s="3" t="s">
        <v>72</v>
      </c>
      <c r="J71" s="3" t="s">
        <v>52</v>
      </c>
      <c r="K71" s="3" t="s">
        <v>312</v>
      </c>
      <c r="L71" s="3" t="s">
        <v>31</v>
      </c>
      <c r="M71" s="3" t="s">
        <v>313</v>
      </c>
      <c r="N71" s="3" t="s">
        <v>33</v>
      </c>
      <c r="O71" s="3" t="s">
        <v>34</v>
      </c>
      <c r="P71" s="3" t="s">
        <v>62</v>
      </c>
      <c r="Q71" s="3" t="s">
        <v>63</v>
      </c>
      <c r="R71" s="3" t="s">
        <v>37</v>
      </c>
      <c r="S71" s="3">
        <v>172</v>
      </c>
      <c r="T71" s="3">
        <v>55</v>
      </c>
      <c r="U71" s="3" t="s">
        <v>38</v>
      </c>
      <c r="V71" s="4">
        <f t="shared" si="2"/>
        <v>18.591130340724717</v>
      </c>
    </row>
    <row r="72" spans="1:22" x14ac:dyDescent="0.25">
      <c r="A72" s="3" t="s">
        <v>302</v>
      </c>
      <c r="B72" s="3" t="s">
        <v>146</v>
      </c>
      <c r="C72" s="3" t="s">
        <v>41</v>
      </c>
      <c r="D72" s="3" t="s">
        <v>25</v>
      </c>
      <c r="E72" s="3" t="s">
        <v>114</v>
      </c>
      <c r="F72" s="3">
        <v>21</v>
      </c>
      <c r="G72" s="3" t="s">
        <v>27</v>
      </c>
      <c r="H72" s="3">
        <v>72</v>
      </c>
      <c r="I72" s="3" t="s">
        <v>28</v>
      </c>
      <c r="J72" s="3" t="s">
        <v>52</v>
      </c>
      <c r="K72" s="3" t="s">
        <v>53</v>
      </c>
      <c r="L72" s="3" t="s">
        <v>38</v>
      </c>
      <c r="M72" s="3" t="s">
        <v>301</v>
      </c>
      <c r="N72" s="3" t="s">
        <v>89</v>
      </c>
      <c r="O72" s="3" t="s">
        <v>34</v>
      </c>
      <c r="P72" s="3" t="s">
        <v>35</v>
      </c>
      <c r="Q72" s="3" t="s">
        <v>63</v>
      </c>
      <c r="R72" s="3" t="s">
        <v>47</v>
      </c>
      <c r="S72" s="3">
        <v>178</v>
      </c>
      <c r="T72" s="3">
        <v>72</v>
      </c>
      <c r="U72" s="3" t="s">
        <v>69</v>
      </c>
      <c r="V72" s="4">
        <f t="shared" si="2"/>
        <v>22.724403484408533</v>
      </c>
    </row>
    <row r="73" spans="1:22" x14ac:dyDescent="0.25">
      <c r="A73" s="3" t="s">
        <v>56</v>
      </c>
      <c r="B73" s="3" t="s">
        <v>57</v>
      </c>
      <c r="C73" s="3" t="s">
        <v>41</v>
      </c>
      <c r="D73" s="3" t="s">
        <v>25</v>
      </c>
      <c r="E73" s="3" t="s">
        <v>26</v>
      </c>
      <c r="F73" s="3">
        <v>20</v>
      </c>
      <c r="G73" s="3" t="s">
        <v>27</v>
      </c>
      <c r="H73" s="3">
        <v>78</v>
      </c>
      <c r="I73" s="3" t="s">
        <v>28</v>
      </c>
      <c r="J73" s="3" t="s">
        <v>58</v>
      </c>
      <c r="K73" s="3" t="s">
        <v>59</v>
      </c>
      <c r="L73" s="3" t="s">
        <v>38</v>
      </c>
      <c r="M73" s="3" t="s">
        <v>60</v>
      </c>
      <c r="N73" s="3" t="s">
        <v>61</v>
      </c>
      <c r="O73" s="3" t="s">
        <v>34</v>
      </c>
      <c r="P73" s="3" t="s">
        <v>62</v>
      </c>
      <c r="Q73" s="3" t="s">
        <v>63</v>
      </c>
      <c r="R73" s="3" t="s">
        <v>37</v>
      </c>
      <c r="S73" s="3">
        <v>170</v>
      </c>
      <c r="T73" s="3">
        <v>65</v>
      </c>
      <c r="U73" s="3" t="s">
        <v>38</v>
      </c>
      <c r="V73" s="4">
        <f t="shared" si="2"/>
        <v>22.491349480968861</v>
      </c>
    </row>
    <row r="74" spans="1:22" x14ac:dyDescent="0.25">
      <c r="A74" s="3" t="s">
        <v>113</v>
      </c>
      <c r="B74" s="3" t="s">
        <v>57</v>
      </c>
      <c r="C74" s="3" t="s">
        <v>41</v>
      </c>
      <c r="D74" s="3" t="s">
        <v>25</v>
      </c>
      <c r="E74" s="3" t="s">
        <v>114</v>
      </c>
      <c r="F74" s="3">
        <v>22</v>
      </c>
      <c r="G74" s="3" t="s">
        <v>27</v>
      </c>
      <c r="H74" s="3">
        <v>58</v>
      </c>
      <c r="I74" s="3" t="s">
        <v>28</v>
      </c>
      <c r="J74" s="3" t="s">
        <v>52</v>
      </c>
      <c r="K74" s="3" t="s">
        <v>88</v>
      </c>
      <c r="L74" s="3" t="s">
        <v>31</v>
      </c>
      <c r="M74" s="3" t="s">
        <v>95</v>
      </c>
      <c r="N74" s="3" t="s">
        <v>61</v>
      </c>
      <c r="O74" s="3" t="s">
        <v>34</v>
      </c>
      <c r="P74" s="3" t="s">
        <v>35</v>
      </c>
      <c r="Q74" s="3" t="s">
        <v>63</v>
      </c>
      <c r="R74" s="3" t="s">
        <v>37</v>
      </c>
      <c r="S74" s="3">
        <v>179</v>
      </c>
      <c r="T74" s="3">
        <v>74</v>
      </c>
      <c r="U74" s="3" t="s">
        <v>38</v>
      </c>
      <c r="V74" s="4">
        <f t="shared" si="2"/>
        <v>23.095409007209515</v>
      </c>
    </row>
    <row r="75" spans="1:22" x14ac:dyDescent="0.25">
      <c r="A75" s="3" t="s">
        <v>156</v>
      </c>
      <c r="B75" s="3" t="s">
        <v>157</v>
      </c>
      <c r="C75" s="3" t="s">
        <v>41</v>
      </c>
      <c r="D75" s="3" t="s">
        <v>25</v>
      </c>
      <c r="E75" s="3" t="s">
        <v>26</v>
      </c>
      <c r="F75" s="3">
        <v>21</v>
      </c>
      <c r="G75" s="3" t="s">
        <v>27</v>
      </c>
      <c r="H75" s="3">
        <v>60</v>
      </c>
      <c r="I75" s="3" t="s">
        <v>28</v>
      </c>
      <c r="J75" s="3" t="s">
        <v>52</v>
      </c>
      <c r="K75" s="3" t="s">
        <v>77</v>
      </c>
      <c r="L75" s="3" t="s">
        <v>38</v>
      </c>
      <c r="M75" s="3" t="s">
        <v>155</v>
      </c>
      <c r="N75" s="3" t="s">
        <v>96</v>
      </c>
      <c r="O75" s="3" t="s">
        <v>34</v>
      </c>
      <c r="P75" s="3" t="s">
        <v>35</v>
      </c>
      <c r="Q75" s="3" t="s">
        <v>36</v>
      </c>
      <c r="R75" s="3" t="s">
        <v>37</v>
      </c>
      <c r="S75" s="3">
        <v>178</v>
      </c>
      <c r="T75" s="3">
        <v>75</v>
      </c>
      <c r="U75" s="3" t="s">
        <v>38</v>
      </c>
      <c r="V75" s="4">
        <f t="shared" si="2"/>
        <v>23.671253629592222</v>
      </c>
    </row>
    <row r="76" spans="1:22" x14ac:dyDescent="0.25">
      <c r="A76" s="3" t="s">
        <v>91</v>
      </c>
      <c r="B76" s="3" t="s">
        <v>92</v>
      </c>
      <c r="C76" s="3" t="s">
        <v>41</v>
      </c>
      <c r="D76" s="3" t="s">
        <v>25</v>
      </c>
      <c r="E76" s="3" t="s">
        <v>42</v>
      </c>
      <c r="F76" s="3">
        <v>21</v>
      </c>
      <c r="G76" s="3" t="s">
        <v>93</v>
      </c>
      <c r="H76" s="3">
        <v>46</v>
      </c>
      <c r="I76" s="3" t="s">
        <v>28</v>
      </c>
      <c r="J76" s="3" t="s">
        <v>94</v>
      </c>
      <c r="K76" s="3" t="s">
        <v>94</v>
      </c>
      <c r="L76" s="3" t="s">
        <v>31</v>
      </c>
      <c r="M76" s="3" t="s">
        <v>95</v>
      </c>
      <c r="N76" s="3" t="s">
        <v>96</v>
      </c>
      <c r="O76" s="3" t="s">
        <v>90</v>
      </c>
      <c r="P76" s="3" t="s">
        <v>62</v>
      </c>
      <c r="Q76" s="3" t="s">
        <v>36</v>
      </c>
      <c r="R76" s="3" t="s">
        <v>37</v>
      </c>
      <c r="S76" s="3">
        <v>154</v>
      </c>
      <c r="T76" s="3">
        <v>55</v>
      </c>
      <c r="U76" s="3" t="s">
        <v>38</v>
      </c>
      <c r="V76" s="4">
        <f t="shared" si="2"/>
        <v>23.19109461966605</v>
      </c>
    </row>
    <row r="77" spans="1:22" x14ac:dyDescent="0.25">
      <c r="A77" s="3" t="s">
        <v>183</v>
      </c>
      <c r="B77" s="3" t="s">
        <v>92</v>
      </c>
      <c r="C77" s="3" t="s">
        <v>41</v>
      </c>
      <c r="D77" s="3" t="s">
        <v>25</v>
      </c>
      <c r="E77" s="3" t="s">
        <v>42</v>
      </c>
      <c r="F77" s="5">
        <v>21</v>
      </c>
      <c r="G77" s="3" t="s">
        <v>66</v>
      </c>
      <c r="H77" s="3">
        <v>70.400000000000006</v>
      </c>
      <c r="I77" s="3" t="s">
        <v>160</v>
      </c>
      <c r="J77" s="3" t="s">
        <v>44</v>
      </c>
      <c r="K77" s="3" t="s">
        <v>184</v>
      </c>
      <c r="L77" s="3" t="s">
        <v>38</v>
      </c>
      <c r="M77" s="3" t="s">
        <v>185</v>
      </c>
      <c r="N77" s="3" t="s">
        <v>96</v>
      </c>
      <c r="O77" s="3" t="s">
        <v>90</v>
      </c>
      <c r="P77" s="3" t="s">
        <v>69</v>
      </c>
      <c r="Q77" s="3" t="s">
        <v>63</v>
      </c>
      <c r="R77" s="3" t="s">
        <v>37</v>
      </c>
      <c r="S77" s="3">
        <v>170</v>
      </c>
      <c r="T77" s="3">
        <v>45</v>
      </c>
      <c r="U77" s="3" t="s">
        <v>38</v>
      </c>
      <c r="V77" s="4">
        <f t="shared" si="2"/>
        <v>15.570934256055365</v>
      </c>
    </row>
    <row r="78" spans="1:22" x14ac:dyDescent="0.25">
      <c r="A78" s="3" t="s">
        <v>107</v>
      </c>
      <c r="B78" s="3" t="s">
        <v>108</v>
      </c>
      <c r="C78" s="3" t="s">
        <v>41</v>
      </c>
      <c r="D78" s="3" t="s">
        <v>25</v>
      </c>
      <c r="E78" s="3" t="s">
        <v>42</v>
      </c>
      <c r="F78" s="3">
        <v>21</v>
      </c>
      <c r="G78" s="3" t="s">
        <v>27</v>
      </c>
      <c r="H78" s="5">
        <v>65</v>
      </c>
      <c r="I78" s="3" t="s">
        <v>28</v>
      </c>
      <c r="J78" s="3" t="s">
        <v>52</v>
      </c>
      <c r="K78" s="3" t="s">
        <v>53</v>
      </c>
      <c r="L78" s="3" t="s">
        <v>38</v>
      </c>
      <c r="M78" s="3" t="s">
        <v>95</v>
      </c>
      <c r="N78" s="3" t="s">
        <v>89</v>
      </c>
      <c r="O78" s="3" t="s">
        <v>90</v>
      </c>
      <c r="P78" s="3" t="s">
        <v>35</v>
      </c>
      <c r="Q78" s="3" t="s">
        <v>36</v>
      </c>
      <c r="R78" s="3" t="s">
        <v>37</v>
      </c>
      <c r="S78" s="3">
        <v>171</v>
      </c>
      <c r="T78" s="3">
        <v>69</v>
      </c>
      <c r="U78" s="3" t="s">
        <v>38</v>
      </c>
      <c r="V78" s="4">
        <f t="shared" si="2"/>
        <v>23.59700420642249</v>
      </c>
    </row>
    <row r="79" spans="1:22" x14ac:dyDescent="0.25">
      <c r="A79" s="3" t="s">
        <v>340</v>
      </c>
      <c r="B79" s="3" t="s">
        <v>268</v>
      </c>
      <c r="C79" s="3" t="s">
        <v>41</v>
      </c>
      <c r="D79" s="3" t="s">
        <v>25</v>
      </c>
      <c r="E79" s="3" t="s">
        <v>42</v>
      </c>
      <c r="F79" s="3">
        <v>19</v>
      </c>
      <c r="G79" s="3" t="s">
        <v>27</v>
      </c>
      <c r="H79" s="3">
        <v>79</v>
      </c>
      <c r="I79" s="3" t="s">
        <v>160</v>
      </c>
      <c r="J79" s="3" t="s">
        <v>44</v>
      </c>
      <c r="K79" s="3" t="s">
        <v>341</v>
      </c>
      <c r="L79" s="3" t="s">
        <v>31</v>
      </c>
      <c r="M79" s="5" t="s">
        <v>342</v>
      </c>
      <c r="N79" s="3" t="s">
        <v>55</v>
      </c>
      <c r="O79" s="3" t="s">
        <v>34</v>
      </c>
      <c r="P79" s="3" t="s">
        <v>69</v>
      </c>
      <c r="Q79" s="3" t="s">
        <v>63</v>
      </c>
      <c r="R79" s="3" t="s">
        <v>37</v>
      </c>
      <c r="S79" s="3">
        <v>170</v>
      </c>
      <c r="T79" s="3">
        <v>53</v>
      </c>
      <c r="U79" s="3" t="s">
        <v>38</v>
      </c>
      <c r="V79" s="4">
        <f t="shared" si="2"/>
        <v>18.339100346020764</v>
      </c>
    </row>
    <row r="80" spans="1:22" x14ac:dyDescent="0.25">
      <c r="A80" s="3" t="s">
        <v>105</v>
      </c>
      <c r="B80" s="3" t="s">
        <v>106</v>
      </c>
      <c r="C80" s="3" t="s">
        <v>41</v>
      </c>
      <c r="D80" s="3" t="s">
        <v>25</v>
      </c>
      <c r="E80" s="3" t="s">
        <v>42</v>
      </c>
      <c r="F80" s="3">
        <v>18</v>
      </c>
      <c r="G80" s="3" t="s">
        <v>27</v>
      </c>
      <c r="H80" s="3">
        <v>55</v>
      </c>
      <c r="I80" s="3" t="s">
        <v>28</v>
      </c>
      <c r="J80" s="3" t="s">
        <v>52</v>
      </c>
      <c r="K80" s="3" t="s">
        <v>53</v>
      </c>
      <c r="L80" s="3" t="s">
        <v>38</v>
      </c>
      <c r="M80" s="3" t="s">
        <v>95</v>
      </c>
      <c r="N80" s="3" t="s">
        <v>96</v>
      </c>
      <c r="O80" s="3" t="s">
        <v>34</v>
      </c>
      <c r="P80" s="3" t="s">
        <v>62</v>
      </c>
      <c r="Q80" s="3" t="s">
        <v>63</v>
      </c>
      <c r="R80" s="3" t="s">
        <v>47</v>
      </c>
      <c r="S80" s="3">
        <v>164</v>
      </c>
      <c r="T80" s="3">
        <v>93</v>
      </c>
      <c r="U80" s="3" t="s">
        <v>48</v>
      </c>
      <c r="V80" s="4">
        <f t="shared" si="2"/>
        <v>34.577632361689474</v>
      </c>
    </row>
    <row r="81" spans="1:22" x14ac:dyDescent="0.25">
      <c r="A81" s="3" t="s">
        <v>169</v>
      </c>
      <c r="B81" s="3" t="s">
        <v>122</v>
      </c>
      <c r="C81" s="3" t="s">
        <v>41</v>
      </c>
      <c r="D81" s="3" t="s">
        <v>25</v>
      </c>
      <c r="E81" s="3" t="s">
        <v>26</v>
      </c>
      <c r="F81" s="3">
        <v>22</v>
      </c>
      <c r="G81" s="3" t="s">
        <v>27</v>
      </c>
      <c r="H81" s="3">
        <v>65</v>
      </c>
      <c r="I81" s="3" t="s">
        <v>28</v>
      </c>
      <c r="J81" s="3" t="s">
        <v>52</v>
      </c>
      <c r="K81" s="3" t="s">
        <v>77</v>
      </c>
      <c r="L81" s="3" t="s">
        <v>38</v>
      </c>
      <c r="M81" s="3" t="s">
        <v>170</v>
      </c>
      <c r="N81" s="3" t="s">
        <v>61</v>
      </c>
      <c r="O81" s="3" t="s">
        <v>34</v>
      </c>
      <c r="P81" s="3" t="s">
        <v>35</v>
      </c>
      <c r="Q81" s="3" t="s">
        <v>36</v>
      </c>
      <c r="R81" s="3" t="s">
        <v>37</v>
      </c>
      <c r="S81" s="3">
        <v>186</v>
      </c>
      <c r="T81" s="3">
        <v>92</v>
      </c>
      <c r="U81" s="3" t="s">
        <v>38</v>
      </c>
      <c r="V81" s="4">
        <f t="shared" si="2"/>
        <v>26.592669672794539</v>
      </c>
    </row>
    <row r="82" spans="1:22" x14ac:dyDescent="0.25">
      <c r="A82" s="3" t="s">
        <v>323</v>
      </c>
      <c r="B82" s="3" t="s">
        <v>122</v>
      </c>
      <c r="C82" s="3" t="s">
        <v>41</v>
      </c>
      <c r="D82" s="3" t="s">
        <v>25</v>
      </c>
      <c r="E82" s="3" t="s">
        <v>48</v>
      </c>
      <c r="F82" s="3">
        <v>21</v>
      </c>
      <c r="G82" s="3" t="s">
        <v>27</v>
      </c>
      <c r="H82" s="3">
        <v>70</v>
      </c>
      <c r="I82" s="3" t="s">
        <v>28</v>
      </c>
      <c r="J82" s="3" t="s">
        <v>29</v>
      </c>
      <c r="K82" s="3" t="s">
        <v>324</v>
      </c>
      <c r="L82" s="3" t="s">
        <v>38</v>
      </c>
      <c r="M82" s="3" t="s">
        <v>316</v>
      </c>
      <c r="N82" s="3" t="s">
        <v>55</v>
      </c>
      <c r="O82" s="3" t="s">
        <v>34</v>
      </c>
      <c r="P82" s="3" t="s">
        <v>35</v>
      </c>
      <c r="Q82" s="3" t="s">
        <v>63</v>
      </c>
      <c r="R82" s="3" t="s">
        <v>37</v>
      </c>
      <c r="S82" s="3">
        <v>175</v>
      </c>
      <c r="T82" s="3">
        <v>68</v>
      </c>
      <c r="U82" s="3" t="s">
        <v>48</v>
      </c>
      <c r="V82" s="4">
        <f t="shared" si="2"/>
        <v>22.204081632653061</v>
      </c>
    </row>
    <row r="83" spans="1:22" x14ac:dyDescent="0.25">
      <c r="A83" s="3" t="s">
        <v>64</v>
      </c>
      <c r="B83" s="3" t="s">
        <v>65</v>
      </c>
      <c r="C83" s="3" t="s">
        <v>41</v>
      </c>
      <c r="D83" s="3" t="s">
        <v>25</v>
      </c>
      <c r="E83" s="3" t="s">
        <v>26</v>
      </c>
      <c r="F83" s="3">
        <v>20</v>
      </c>
      <c r="G83" s="3" t="s">
        <v>66</v>
      </c>
      <c r="H83" s="3">
        <v>59</v>
      </c>
      <c r="I83" s="3" t="s">
        <v>28</v>
      </c>
      <c r="J83" s="3" t="s">
        <v>52</v>
      </c>
      <c r="K83" s="3" t="s">
        <v>67</v>
      </c>
      <c r="L83" s="3" t="s">
        <v>31</v>
      </c>
      <c r="M83" s="3" t="s">
        <v>68</v>
      </c>
      <c r="N83" s="3" t="s">
        <v>61</v>
      </c>
      <c r="O83" s="3" t="s">
        <v>34</v>
      </c>
      <c r="P83" s="3" t="s">
        <v>69</v>
      </c>
      <c r="Q83" s="3" t="s">
        <v>63</v>
      </c>
      <c r="R83" s="3" t="s">
        <v>37</v>
      </c>
      <c r="S83" s="3">
        <v>185</v>
      </c>
      <c r="T83" s="3">
        <v>55</v>
      </c>
      <c r="U83" s="3" t="s">
        <v>38</v>
      </c>
      <c r="V83" s="4">
        <f t="shared" si="2"/>
        <v>16.070124178232284</v>
      </c>
    </row>
    <row r="84" spans="1:22" x14ac:dyDescent="0.25">
      <c r="A84" s="3" t="s">
        <v>79</v>
      </c>
      <c r="B84" s="3" t="s">
        <v>65</v>
      </c>
      <c r="C84" s="3" t="s">
        <v>41</v>
      </c>
      <c r="D84" s="3" t="s">
        <v>25</v>
      </c>
      <c r="E84" s="3" t="s">
        <v>42</v>
      </c>
      <c r="F84" s="3">
        <v>20</v>
      </c>
      <c r="G84" s="3" t="s">
        <v>27</v>
      </c>
      <c r="H84" s="3">
        <v>70</v>
      </c>
      <c r="I84" s="3" t="s">
        <v>28</v>
      </c>
      <c r="J84" s="3" t="s">
        <v>52</v>
      </c>
      <c r="K84" s="3" t="s">
        <v>53</v>
      </c>
      <c r="L84" s="3" t="s">
        <v>38</v>
      </c>
      <c r="M84" s="3" t="s">
        <v>80</v>
      </c>
      <c r="N84" s="3" t="s">
        <v>55</v>
      </c>
      <c r="O84" s="3" t="s">
        <v>34</v>
      </c>
      <c r="P84" s="3" t="s">
        <v>35</v>
      </c>
      <c r="Q84" s="3" t="s">
        <v>63</v>
      </c>
      <c r="R84" s="3" t="s">
        <v>37</v>
      </c>
      <c r="S84" s="3">
        <v>170</v>
      </c>
      <c r="T84" s="3">
        <v>62</v>
      </c>
      <c r="U84" s="3" t="s">
        <v>48</v>
      </c>
      <c r="V84" s="4">
        <f t="shared" si="2"/>
        <v>21.453287197231838</v>
      </c>
    </row>
    <row r="85" spans="1:22" x14ac:dyDescent="0.25">
      <c r="A85" s="3" t="s">
        <v>163</v>
      </c>
      <c r="B85" s="3" t="s">
        <v>65</v>
      </c>
      <c r="C85" s="3" t="s">
        <v>41</v>
      </c>
      <c r="D85" s="3" t="s">
        <v>25</v>
      </c>
      <c r="E85" s="3" t="s">
        <v>26</v>
      </c>
      <c r="F85" s="3">
        <v>22</v>
      </c>
      <c r="G85" s="3" t="s">
        <v>66</v>
      </c>
      <c r="H85" s="5">
        <v>69</v>
      </c>
      <c r="I85" s="3" t="s">
        <v>28</v>
      </c>
      <c r="J85" s="3" t="s">
        <v>52</v>
      </c>
      <c r="K85" s="3" t="s">
        <v>67</v>
      </c>
      <c r="L85" s="3" t="s">
        <v>31</v>
      </c>
      <c r="M85" s="3" t="s">
        <v>161</v>
      </c>
      <c r="N85" s="3" t="s">
        <v>61</v>
      </c>
      <c r="O85" s="3" t="s">
        <v>34</v>
      </c>
      <c r="P85" s="3" t="s">
        <v>35</v>
      </c>
      <c r="Q85" s="3" t="s">
        <v>63</v>
      </c>
      <c r="R85" s="3" t="s">
        <v>37</v>
      </c>
      <c r="S85" s="3">
        <v>174</v>
      </c>
      <c r="T85" s="3">
        <v>75</v>
      </c>
      <c r="U85" s="3" t="s">
        <v>38</v>
      </c>
      <c r="V85" s="4">
        <f t="shared" si="2"/>
        <v>24.772096710265558</v>
      </c>
    </row>
    <row r="86" spans="1:22" x14ac:dyDescent="0.25">
      <c r="A86" s="3" t="s">
        <v>164</v>
      </c>
      <c r="B86" s="3" t="s">
        <v>165</v>
      </c>
      <c r="C86" s="3" t="s">
        <v>41</v>
      </c>
      <c r="D86" s="3" t="s">
        <v>25</v>
      </c>
      <c r="E86" s="3" t="s">
        <v>26</v>
      </c>
      <c r="F86" s="3">
        <v>22</v>
      </c>
      <c r="G86" s="3" t="s">
        <v>43</v>
      </c>
      <c r="H86" s="3">
        <v>81</v>
      </c>
      <c r="I86" s="3" t="s">
        <v>72</v>
      </c>
      <c r="J86" s="3" t="s">
        <v>52</v>
      </c>
      <c r="K86" s="3" t="s">
        <v>88</v>
      </c>
      <c r="L86" s="3" t="s">
        <v>38</v>
      </c>
      <c r="M86" s="3" t="s">
        <v>161</v>
      </c>
      <c r="N86" s="3" t="s">
        <v>33</v>
      </c>
      <c r="O86" s="3" t="s">
        <v>34</v>
      </c>
      <c r="P86" s="3" t="s">
        <v>69</v>
      </c>
      <c r="Q86" s="3" t="s">
        <v>36</v>
      </c>
      <c r="R86" s="3" t="s">
        <v>37</v>
      </c>
      <c r="S86" s="3">
        <v>169</v>
      </c>
      <c r="T86" s="3">
        <v>67</v>
      </c>
      <c r="U86" s="3" t="s">
        <v>69</v>
      </c>
      <c r="V86" s="4">
        <f t="shared" si="2"/>
        <v>23.458562375266975</v>
      </c>
    </row>
    <row r="87" spans="1:22" x14ac:dyDescent="0.25">
      <c r="A87" s="5" t="s">
        <v>171</v>
      </c>
      <c r="B87" s="3" t="s">
        <v>165</v>
      </c>
      <c r="C87" s="3" t="s">
        <v>41</v>
      </c>
      <c r="D87" s="3" t="s">
        <v>25</v>
      </c>
      <c r="E87" s="3" t="s">
        <v>42</v>
      </c>
      <c r="F87" s="3">
        <v>19</v>
      </c>
      <c r="G87" s="3" t="s">
        <v>27</v>
      </c>
      <c r="H87" s="3">
        <v>55.42</v>
      </c>
      <c r="I87" s="3" t="s">
        <v>160</v>
      </c>
      <c r="J87" s="3" t="s">
        <v>52</v>
      </c>
      <c r="K87" s="3" t="s">
        <v>77</v>
      </c>
      <c r="L87" s="3" t="s">
        <v>31</v>
      </c>
      <c r="M87" s="3" t="s">
        <v>170</v>
      </c>
      <c r="N87" s="3" t="s">
        <v>55</v>
      </c>
      <c r="O87" s="3" t="s">
        <v>90</v>
      </c>
      <c r="P87" s="3" t="s">
        <v>69</v>
      </c>
      <c r="Q87" s="3" t="s">
        <v>63</v>
      </c>
      <c r="R87" s="3" t="s">
        <v>37</v>
      </c>
      <c r="S87" s="3">
        <v>165</v>
      </c>
      <c r="T87" s="3">
        <v>52</v>
      </c>
      <c r="U87" s="3" t="s">
        <v>42</v>
      </c>
      <c r="V87" s="4">
        <f t="shared" si="2"/>
        <v>19.100091827364558</v>
      </c>
    </row>
    <row r="88" spans="1:22" x14ac:dyDescent="0.25">
      <c r="A88" s="3" t="s">
        <v>214</v>
      </c>
      <c r="B88" s="3" t="s">
        <v>165</v>
      </c>
      <c r="C88" s="3" t="s">
        <v>41</v>
      </c>
      <c r="D88" s="3" t="s">
        <v>25</v>
      </c>
      <c r="E88" s="3" t="s">
        <v>26</v>
      </c>
      <c r="F88" s="3">
        <v>21</v>
      </c>
      <c r="G88" s="3" t="s">
        <v>66</v>
      </c>
      <c r="H88" s="3">
        <v>72</v>
      </c>
      <c r="I88" s="3" t="s">
        <v>72</v>
      </c>
      <c r="J88" s="3" t="s">
        <v>52</v>
      </c>
      <c r="K88" s="3" t="s">
        <v>215</v>
      </c>
      <c r="L88" s="3" t="s">
        <v>31</v>
      </c>
      <c r="M88" s="3" t="s">
        <v>216</v>
      </c>
      <c r="N88" s="3" t="s">
        <v>89</v>
      </c>
      <c r="O88" s="3" t="s">
        <v>34</v>
      </c>
      <c r="P88" s="3" t="s">
        <v>69</v>
      </c>
      <c r="Q88" s="3" t="s">
        <v>63</v>
      </c>
      <c r="R88" s="3" t="s">
        <v>37</v>
      </c>
      <c r="S88" s="3">
        <v>166</v>
      </c>
      <c r="T88" s="3">
        <v>75</v>
      </c>
      <c r="U88" s="3" t="s">
        <v>38</v>
      </c>
      <c r="V88" s="4">
        <f t="shared" si="2"/>
        <v>27.217302946726669</v>
      </c>
    </row>
    <row r="89" spans="1:22" x14ac:dyDescent="0.25">
      <c r="A89" s="5" t="s">
        <v>238</v>
      </c>
      <c r="B89" s="3" t="s">
        <v>165</v>
      </c>
      <c r="C89" s="3" t="s">
        <v>41</v>
      </c>
      <c r="D89" s="3" t="s">
        <v>25</v>
      </c>
      <c r="E89" s="3" t="s">
        <v>42</v>
      </c>
      <c r="F89" s="3">
        <v>18</v>
      </c>
      <c r="G89" s="3" t="s">
        <v>43</v>
      </c>
      <c r="H89" s="3">
        <v>83.8</v>
      </c>
      <c r="I89" s="3" t="s">
        <v>28</v>
      </c>
      <c r="J89" s="3" t="s">
        <v>52</v>
      </c>
      <c r="K89" s="3" t="s">
        <v>239</v>
      </c>
      <c r="L89" s="3" t="s">
        <v>31</v>
      </c>
      <c r="M89" s="3" t="s">
        <v>234</v>
      </c>
      <c r="N89" s="3" t="s">
        <v>96</v>
      </c>
      <c r="O89" s="3" t="s">
        <v>34</v>
      </c>
      <c r="P89" s="3" t="s">
        <v>62</v>
      </c>
      <c r="Q89" s="3" t="s">
        <v>36</v>
      </c>
      <c r="R89" s="3" t="s">
        <v>37</v>
      </c>
      <c r="S89" s="3">
        <v>162</v>
      </c>
      <c r="T89" s="3">
        <v>64</v>
      </c>
      <c r="U89" s="3" t="s">
        <v>42</v>
      </c>
      <c r="V89" s="4">
        <f t="shared" si="2"/>
        <v>24.386526444139609</v>
      </c>
    </row>
    <row r="90" spans="1:22" x14ac:dyDescent="0.25">
      <c r="A90" s="3" t="s">
        <v>220</v>
      </c>
      <c r="B90" s="3" t="s">
        <v>165</v>
      </c>
      <c r="C90" s="3" t="s">
        <v>41</v>
      </c>
      <c r="D90" s="3" t="s">
        <v>25</v>
      </c>
      <c r="E90" s="3" t="s">
        <v>42</v>
      </c>
      <c r="F90" s="3">
        <v>19</v>
      </c>
      <c r="G90" s="3" t="s">
        <v>27</v>
      </c>
      <c r="H90" s="3">
        <v>50</v>
      </c>
      <c r="I90" s="3" t="s">
        <v>72</v>
      </c>
      <c r="J90" s="3" t="s">
        <v>52</v>
      </c>
      <c r="K90" s="3" t="s">
        <v>221</v>
      </c>
      <c r="L90" s="3" t="s">
        <v>38</v>
      </c>
      <c r="M90" s="3" t="s">
        <v>222</v>
      </c>
      <c r="N90" s="3" t="s">
        <v>55</v>
      </c>
      <c r="O90" s="3" t="s">
        <v>90</v>
      </c>
      <c r="P90" s="3" t="s">
        <v>35</v>
      </c>
      <c r="Q90" s="3" t="s">
        <v>63</v>
      </c>
      <c r="R90" s="3" t="s">
        <v>37</v>
      </c>
      <c r="S90" s="3">
        <v>150</v>
      </c>
      <c r="T90" s="3">
        <v>50</v>
      </c>
      <c r="U90" s="3" t="s">
        <v>42</v>
      </c>
      <c r="V90" s="4">
        <f t="shared" si="2"/>
        <v>22.222222222222221</v>
      </c>
    </row>
    <row r="91" spans="1:22" x14ac:dyDescent="0.25">
      <c r="A91" s="3" t="s">
        <v>345</v>
      </c>
      <c r="B91" s="3" t="s">
        <v>165</v>
      </c>
      <c r="C91" s="3" t="s">
        <v>41</v>
      </c>
      <c r="D91" s="3" t="s">
        <v>25</v>
      </c>
      <c r="E91" s="3" t="s">
        <v>26</v>
      </c>
      <c r="F91" s="3">
        <v>22</v>
      </c>
      <c r="G91" s="3" t="s">
        <v>66</v>
      </c>
      <c r="H91" s="3">
        <v>59</v>
      </c>
      <c r="I91" s="3" t="s">
        <v>28</v>
      </c>
      <c r="J91" s="3" t="s">
        <v>52</v>
      </c>
      <c r="K91" s="3" t="s">
        <v>346</v>
      </c>
      <c r="L91" s="3" t="s">
        <v>38</v>
      </c>
      <c r="M91" s="3" t="s">
        <v>347</v>
      </c>
      <c r="N91" s="3" t="s">
        <v>55</v>
      </c>
      <c r="O91" s="3" t="s">
        <v>90</v>
      </c>
      <c r="P91" s="3" t="s">
        <v>69</v>
      </c>
      <c r="Q91" s="3" t="s">
        <v>63</v>
      </c>
      <c r="R91" s="3" t="s">
        <v>47</v>
      </c>
      <c r="S91" s="3">
        <v>168</v>
      </c>
      <c r="T91" s="3">
        <v>50</v>
      </c>
      <c r="U91" s="3" t="s">
        <v>38</v>
      </c>
      <c r="V91" s="4">
        <f t="shared" si="2"/>
        <v>17.715419501133791</v>
      </c>
    </row>
    <row r="92" spans="1:22" x14ac:dyDescent="0.25">
      <c r="A92" s="3" t="s">
        <v>250</v>
      </c>
      <c r="B92" s="3" t="s">
        <v>120</v>
      </c>
      <c r="C92" s="3" t="s">
        <v>41</v>
      </c>
      <c r="D92" s="3" t="s">
        <v>25</v>
      </c>
      <c r="E92" s="3" t="s">
        <v>26</v>
      </c>
      <c r="F92" s="3">
        <v>21</v>
      </c>
      <c r="G92" s="3" t="s">
        <v>27</v>
      </c>
      <c r="H92" s="3">
        <v>79</v>
      </c>
      <c r="I92" s="3" t="s">
        <v>28</v>
      </c>
      <c r="J92" s="3" t="s">
        <v>52</v>
      </c>
      <c r="K92" s="3" t="s">
        <v>251</v>
      </c>
      <c r="L92" s="3" t="s">
        <v>31</v>
      </c>
      <c r="M92" s="3" t="s">
        <v>252</v>
      </c>
      <c r="N92" s="3" t="s">
        <v>89</v>
      </c>
      <c r="O92" s="3" t="s">
        <v>90</v>
      </c>
      <c r="P92" s="3" t="s">
        <v>62</v>
      </c>
      <c r="Q92" s="3" t="s">
        <v>63</v>
      </c>
      <c r="R92" s="3" t="s">
        <v>37</v>
      </c>
      <c r="S92" s="3">
        <v>184</v>
      </c>
      <c r="T92" s="3">
        <v>98</v>
      </c>
      <c r="U92" s="3" t="s">
        <v>69</v>
      </c>
      <c r="V92" s="4">
        <f t="shared" si="2"/>
        <v>28.946124763705104</v>
      </c>
    </row>
    <row r="93" spans="1:22" x14ac:dyDescent="0.25">
      <c r="A93" s="5" t="s">
        <v>294</v>
      </c>
      <c r="B93" s="3" t="s">
        <v>120</v>
      </c>
      <c r="C93" s="3" t="s">
        <v>41</v>
      </c>
      <c r="D93" s="3" t="s">
        <v>25</v>
      </c>
      <c r="E93" s="3" t="s">
        <v>42</v>
      </c>
      <c r="F93" s="3">
        <v>19</v>
      </c>
      <c r="G93" s="3" t="s">
        <v>27</v>
      </c>
      <c r="H93" s="3">
        <v>64</v>
      </c>
      <c r="I93" s="3" t="s">
        <v>28</v>
      </c>
      <c r="J93" s="3" t="s">
        <v>52</v>
      </c>
      <c r="K93" s="3" t="s">
        <v>53</v>
      </c>
      <c r="L93" s="3" t="s">
        <v>38</v>
      </c>
      <c r="M93" s="3" t="s">
        <v>286</v>
      </c>
      <c r="N93" s="3" t="s">
        <v>55</v>
      </c>
      <c r="O93" s="3" t="s">
        <v>90</v>
      </c>
      <c r="P93" s="3" t="s">
        <v>69</v>
      </c>
      <c r="Q93" s="3" t="s">
        <v>63</v>
      </c>
      <c r="R93" s="3" t="s">
        <v>37</v>
      </c>
      <c r="S93" s="3">
        <v>180</v>
      </c>
      <c r="T93" s="3">
        <v>73</v>
      </c>
      <c r="U93" s="3" t="s">
        <v>48</v>
      </c>
      <c r="V93" s="4">
        <f t="shared" si="2"/>
        <v>22.530864197530864</v>
      </c>
    </row>
    <row r="94" spans="1:22" x14ac:dyDescent="0.25">
      <c r="A94" s="3" t="s">
        <v>172</v>
      </c>
      <c r="B94" s="3" t="s">
        <v>173</v>
      </c>
      <c r="C94" s="3" t="s">
        <v>41</v>
      </c>
      <c r="D94" s="3" t="s">
        <v>51</v>
      </c>
      <c r="E94" s="3" t="s">
        <v>42</v>
      </c>
      <c r="F94" s="3">
        <v>19</v>
      </c>
      <c r="G94" s="3" t="s">
        <v>27</v>
      </c>
      <c r="H94" s="5">
        <v>58</v>
      </c>
      <c r="I94" s="3" t="s">
        <v>160</v>
      </c>
      <c r="J94" s="3" t="s">
        <v>52</v>
      </c>
      <c r="K94" s="3" t="s">
        <v>77</v>
      </c>
      <c r="L94" s="3" t="s">
        <v>31</v>
      </c>
      <c r="M94" s="3" t="s">
        <v>170</v>
      </c>
      <c r="N94" s="3" t="s">
        <v>55</v>
      </c>
      <c r="O94" s="3" t="s">
        <v>90</v>
      </c>
      <c r="P94" s="3" t="s">
        <v>69</v>
      </c>
      <c r="Q94" s="3" t="s">
        <v>36</v>
      </c>
      <c r="R94" s="3" t="s">
        <v>37</v>
      </c>
      <c r="S94" s="3">
        <v>165</v>
      </c>
      <c r="T94" s="3">
        <v>56</v>
      </c>
      <c r="U94" s="3" t="s">
        <v>42</v>
      </c>
      <c r="V94" s="4">
        <f t="shared" si="2"/>
        <v>20.569329660238754</v>
      </c>
    </row>
    <row r="95" spans="1:22" x14ac:dyDescent="0.25">
      <c r="A95" s="3" t="s">
        <v>296</v>
      </c>
      <c r="B95" s="3" t="s">
        <v>297</v>
      </c>
      <c r="C95" s="3" t="s">
        <v>41</v>
      </c>
      <c r="D95" s="3" t="s">
        <v>25</v>
      </c>
      <c r="E95" s="3" t="s">
        <v>42</v>
      </c>
      <c r="F95" s="3">
        <v>20</v>
      </c>
      <c r="G95" s="3" t="s">
        <v>87</v>
      </c>
      <c r="H95" s="3">
        <v>62</v>
      </c>
      <c r="I95" s="3" t="s">
        <v>72</v>
      </c>
      <c r="J95" s="3" t="s">
        <v>52</v>
      </c>
      <c r="K95" s="3" t="s">
        <v>77</v>
      </c>
      <c r="L95" s="3" t="s">
        <v>38</v>
      </c>
      <c r="M95" s="3" t="s">
        <v>286</v>
      </c>
      <c r="N95" s="3" t="s">
        <v>96</v>
      </c>
      <c r="O95" s="3" t="s">
        <v>90</v>
      </c>
      <c r="P95" s="3" t="s">
        <v>35</v>
      </c>
      <c r="Q95" s="3" t="s">
        <v>63</v>
      </c>
      <c r="R95" s="3" t="s">
        <v>37</v>
      </c>
      <c r="S95" s="3">
        <v>183</v>
      </c>
      <c r="T95" s="3">
        <v>61</v>
      </c>
      <c r="U95" s="3" t="s">
        <v>42</v>
      </c>
      <c r="V95" s="4">
        <f t="shared" si="2"/>
        <v>18.214936247723131</v>
      </c>
    </row>
    <row r="96" spans="1:22" x14ac:dyDescent="0.25">
      <c r="A96" s="3" t="s">
        <v>97</v>
      </c>
      <c r="B96" s="3" t="s">
        <v>98</v>
      </c>
      <c r="C96" s="3" t="s">
        <v>41</v>
      </c>
      <c r="D96" s="3" t="s">
        <v>25</v>
      </c>
      <c r="E96" s="3" t="s">
        <v>48</v>
      </c>
      <c r="F96" s="3">
        <v>21</v>
      </c>
      <c r="G96" s="3" t="s">
        <v>27</v>
      </c>
      <c r="H96" s="3">
        <v>60</v>
      </c>
      <c r="I96" s="3" t="s">
        <v>72</v>
      </c>
      <c r="J96" s="3" t="s">
        <v>52</v>
      </c>
      <c r="K96" s="3" t="s">
        <v>99</v>
      </c>
      <c r="L96" s="3" t="s">
        <v>31</v>
      </c>
      <c r="M96" s="3" t="s">
        <v>95</v>
      </c>
      <c r="N96" s="3" t="s">
        <v>33</v>
      </c>
      <c r="O96" s="3" t="s">
        <v>34</v>
      </c>
      <c r="P96" s="3" t="s">
        <v>35</v>
      </c>
      <c r="Q96" s="3" t="s">
        <v>63</v>
      </c>
      <c r="R96" s="3" t="s">
        <v>37</v>
      </c>
      <c r="S96" s="3">
        <v>163</v>
      </c>
      <c r="T96" s="3">
        <v>54</v>
      </c>
      <c r="U96" s="3" t="s">
        <v>48</v>
      </c>
      <c r="V96" s="4">
        <f t="shared" si="2"/>
        <v>20.324438255109339</v>
      </c>
    </row>
    <row r="97" spans="1:22" x14ac:dyDescent="0.25">
      <c r="A97" s="5" t="s">
        <v>100</v>
      </c>
      <c r="B97" s="3" t="s">
        <v>98</v>
      </c>
      <c r="C97" s="3" t="s">
        <v>41</v>
      </c>
      <c r="D97" s="3" t="s">
        <v>25</v>
      </c>
      <c r="E97" s="3" t="s">
        <v>26</v>
      </c>
      <c r="F97" s="3">
        <v>21</v>
      </c>
      <c r="G97" s="3" t="s">
        <v>27</v>
      </c>
      <c r="H97" s="3">
        <v>50</v>
      </c>
      <c r="I97" s="3" t="s">
        <v>72</v>
      </c>
      <c r="J97" s="3" t="s">
        <v>52</v>
      </c>
      <c r="K97" s="3" t="s">
        <v>99</v>
      </c>
      <c r="L97" s="3" t="s">
        <v>31</v>
      </c>
      <c r="M97" s="3" t="s">
        <v>95</v>
      </c>
      <c r="N97" s="3" t="s">
        <v>101</v>
      </c>
      <c r="O97" s="3" t="s">
        <v>34</v>
      </c>
      <c r="P97" s="3" t="s">
        <v>62</v>
      </c>
      <c r="Q97" s="3" t="s">
        <v>63</v>
      </c>
      <c r="R97" s="3" t="s">
        <v>37</v>
      </c>
      <c r="S97" s="3">
        <v>188</v>
      </c>
      <c r="T97" s="3">
        <v>91</v>
      </c>
      <c r="U97" s="3" t="s">
        <v>38</v>
      </c>
      <c r="V97" s="4">
        <f t="shared" si="2"/>
        <v>25.746944318696244</v>
      </c>
    </row>
    <row r="98" spans="1:22" x14ac:dyDescent="0.25">
      <c r="A98" s="3" t="s">
        <v>303</v>
      </c>
      <c r="B98" s="3" t="s">
        <v>304</v>
      </c>
      <c r="C98" s="3" t="s">
        <v>41</v>
      </c>
      <c r="D98" s="3" t="s">
        <v>25</v>
      </c>
      <c r="E98" s="3" t="s">
        <v>26</v>
      </c>
      <c r="F98" s="3">
        <v>22</v>
      </c>
      <c r="G98" s="3" t="s">
        <v>66</v>
      </c>
      <c r="H98" s="3">
        <v>45</v>
      </c>
      <c r="I98" s="3" t="s">
        <v>72</v>
      </c>
      <c r="J98" s="3" t="s">
        <v>52</v>
      </c>
      <c r="K98" s="3" t="s">
        <v>305</v>
      </c>
      <c r="L98" s="3" t="s">
        <v>31</v>
      </c>
      <c r="M98" s="3" t="s">
        <v>306</v>
      </c>
      <c r="N98" s="3" t="s">
        <v>96</v>
      </c>
      <c r="O98" s="3" t="s">
        <v>90</v>
      </c>
      <c r="P98" s="3" t="s">
        <v>62</v>
      </c>
      <c r="Q98" s="3" t="s">
        <v>63</v>
      </c>
      <c r="R98" s="3" t="s">
        <v>37</v>
      </c>
      <c r="S98" s="5">
        <v>186</v>
      </c>
      <c r="T98" s="5">
        <v>72</v>
      </c>
      <c r="U98" s="3" t="s">
        <v>69</v>
      </c>
      <c r="V98" s="4">
        <f t="shared" ref="V98:V116" si="3">T98/(S98/100)^2</f>
        <v>20.811654526534856</v>
      </c>
    </row>
    <row r="99" spans="1:22" x14ac:dyDescent="0.25">
      <c r="A99" s="3" t="s">
        <v>262</v>
      </c>
      <c r="B99" s="3" t="s">
        <v>263</v>
      </c>
      <c r="C99" s="3" t="s">
        <v>41</v>
      </c>
      <c r="D99" s="3" t="s">
        <v>25</v>
      </c>
      <c r="E99" s="3" t="s">
        <v>42</v>
      </c>
      <c r="F99" s="3">
        <v>22</v>
      </c>
      <c r="G99" s="3" t="s">
        <v>27</v>
      </c>
      <c r="H99" s="3">
        <v>73</v>
      </c>
      <c r="I99" s="3" t="s">
        <v>28</v>
      </c>
      <c r="J99" s="3" t="s">
        <v>153</v>
      </c>
      <c r="K99" s="3" t="s">
        <v>261</v>
      </c>
      <c r="L99" s="3" t="s">
        <v>31</v>
      </c>
      <c r="M99" s="3" t="s">
        <v>258</v>
      </c>
      <c r="N99" s="3" t="s">
        <v>101</v>
      </c>
      <c r="O99" s="3" t="s">
        <v>90</v>
      </c>
      <c r="P99" s="3" t="s">
        <v>62</v>
      </c>
      <c r="Q99" s="3" t="s">
        <v>36</v>
      </c>
      <c r="R99" s="3" t="s">
        <v>37</v>
      </c>
      <c r="S99" s="3">
        <v>156</v>
      </c>
      <c r="T99" s="3">
        <v>78</v>
      </c>
      <c r="U99" s="3" t="s">
        <v>42</v>
      </c>
      <c r="V99" s="4">
        <f t="shared" si="3"/>
        <v>32.051282051282051</v>
      </c>
    </row>
    <row r="100" spans="1:22" x14ac:dyDescent="0.25">
      <c r="A100" s="3" t="s">
        <v>217</v>
      </c>
      <c r="B100" s="3" t="s">
        <v>218</v>
      </c>
      <c r="C100" s="3" t="s">
        <v>41</v>
      </c>
      <c r="D100" s="3" t="s">
        <v>25</v>
      </c>
      <c r="E100" s="3" t="s">
        <v>42</v>
      </c>
      <c r="F100" s="3">
        <v>18</v>
      </c>
      <c r="G100" s="3" t="s">
        <v>66</v>
      </c>
      <c r="H100" s="3">
        <v>81</v>
      </c>
      <c r="I100" s="3" t="s">
        <v>28</v>
      </c>
      <c r="J100" s="3" t="s">
        <v>52</v>
      </c>
      <c r="K100" s="3" t="s">
        <v>219</v>
      </c>
      <c r="L100" s="3" t="s">
        <v>38</v>
      </c>
      <c r="M100" s="3" t="s">
        <v>216</v>
      </c>
      <c r="N100" s="3" t="s">
        <v>61</v>
      </c>
      <c r="O100" s="3" t="s">
        <v>90</v>
      </c>
      <c r="P100" s="3" t="s">
        <v>35</v>
      </c>
      <c r="Q100" s="3" t="s">
        <v>63</v>
      </c>
      <c r="R100" s="3" t="s">
        <v>37</v>
      </c>
      <c r="S100" s="3">
        <v>173</v>
      </c>
      <c r="T100" s="3">
        <v>45</v>
      </c>
      <c r="U100" s="3" t="s">
        <v>42</v>
      </c>
      <c r="V100" s="4">
        <f t="shared" si="3"/>
        <v>15.035584215977813</v>
      </c>
    </row>
    <row r="101" spans="1:22" x14ac:dyDescent="0.25">
      <c r="A101" s="3" t="s">
        <v>193</v>
      </c>
      <c r="B101" s="3" t="s">
        <v>194</v>
      </c>
      <c r="C101" s="3" t="s">
        <v>41</v>
      </c>
      <c r="D101" s="3" t="s">
        <v>25</v>
      </c>
      <c r="E101" s="3" t="s">
        <v>42</v>
      </c>
      <c r="F101" s="3">
        <v>20</v>
      </c>
      <c r="G101" s="3" t="s">
        <v>27</v>
      </c>
      <c r="H101" s="5">
        <v>71</v>
      </c>
      <c r="I101" s="3" t="s">
        <v>72</v>
      </c>
      <c r="J101" s="3" t="s">
        <v>52</v>
      </c>
      <c r="K101" s="3" t="s">
        <v>67</v>
      </c>
      <c r="L101" s="3" t="s">
        <v>38</v>
      </c>
      <c r="M101" s="3" t="s">
        <v>185</v>
      </c>
      <c r="N101" s="3" t="s">
        <v>96</v>
      </c>
      <c r="O101" s="3" t="s">
        <v>34</v>
      </c>
      <c r="P101" s="3" t="s">
        <v>69</v>
      </c>
      <c r="Q101" s="3" t="s">
        <v>63</v>
      </c>
      <c r="R101" s="3" t="s">
        <v>37</v>
      </c>
      <c r="S101" s="3">
        <v>160</v>
      </c>
      <c r="T101" s="3">
        <v>49</v>
      </c>
      <c r="U101" s="3" t="s">
        <v>42</v>
      </c>
      <c r="V101" s="4">
        <f t="shared" si="3"/>
        <v>19.140624999999996</v>
      </c>
    </row>
    <row r="102" spans="1:22" x14ac:dyDescent="0.25">
      <c r="A102" s="3" t="s">
        <v>111</v>
      </c>
      <c r="B102" s="3" t="s">
        <v>112</v>
      </c>
      <c r="C102" s="3" t="s">
        <v>41</v>
      </c>
      <c r="D102" s="3" t="s">
        <v>25</v>
      </c>
      <c r="E102" s="3" t="s">
        <v>26</v>
      </c>
      <c r="F102" s="3">
        <v>19</v>
      </c>
      <c r="G102" s="3" t="s">
        <v>87</v>
      </c>
      <c r="H102" s="3">
        <v>75</v>
      </c>
      <c r="I102" s="3" t="s">
        <v>28</v>
      </c>
      <c r="J102" s="3" t="s">
        <v>52</v>
      </c>
      <c r="K102" s="3" t="s">
        <v>77</v>
      </c>
      <c r="L102" s="3" t="s">
        <v>38</v>
      </c>
      <c r="M102" s="3" t="s">
        <v>95</v>
      </c>
      <c r="N102" s="3" t="s">
        <v>33</v>
      </c>
      <c r="O102" s="3" t="s">
        <v>34</v>
      </c>
      <c r="P102" s="3" t="s">
        <v>35</v>
      </c>
      <c r="Q102" s="3" t="s">
        <v>36</v>
      </c>
      <c r="R102" s="3" t="s">
        <v>37</v>
      </c>
      <c r="S102" s="3">
        <v>172</v>
      </c>
      <c r="T102" s="3">
        <v>67</v>
      </c>
      <c r="U102" s="3" t="s">
        <v>38</v>
      </c>
      <c r="V102" s="4">
        <f t="shared" si="3"/>
        <v>22.647376960519203</v>
      </c>
    </row>
    <row r="103" spans="1:22" x14ac:dyDescent="0.25">
      <c r="A103" s="3" t="s">
        <v>225</v>
      </c>
      <c r="B103" s="3" t="s">
        <v>226</v>
      </c>
      <c r="C103" s="3" t="s">
        <v>41</v>
      </c>
      <c r="D103" s="3" t="s">
        <v>25</v>
      </c>
      <c r="E103" s="3" t="s">
        <v>42</v>
      </c>
      <c r="F103" s="3">
        <v>19</v>
      </c>
      <c r="G103" s="3" t="s">
        <v>27</v>
      </c>
      <c r="H103" s="3">
        <v>59</v>
      </c>
      <c r="I103" s="3" t="s">
        <v>28</v>
      </c>
      <c r="J103" s="3" t="s">
        <v>153</v>
      </c>
      <c r="K103" s="3" t="s">
        <v>227</v>
      </c>
      <c r="L103" s="3" t="s">
        <v>38</v>
      </c>
      <c r="M103" s="3" t="s">
        <v>222</v>
      </c>
      <c r="N103" s="3" t="s">
        <v>55</v>
      </c>
      <c r="O103" s="3" t="s">
        <v>90</v>
      </c>
      <c r="P103" s="3" t="s">
        <v>62</v>
      </c>
      <c r="Q103" s="3" t="s">
        <v>36</v>
      </c>
      <c r="R103" s="3" t="s">
        <v>37</v>
      </c>
      <c r="S103" s="3">
        <v>173</v>
      </c>
      <c r="T103" s="3">
        <v>70</v>
      </c>
      <c r="U103" s="3" t="s">
        <v>179</v>
      </c>
      <c r="V103" s="4">
        <f t="shared" si="3"/>
        <v>23.388686558187711</v>
      </c>
    </row>
    <row r="104" spans="1:22" x14ac:dyDescent="0.25">
      <c r="A104" s="3" t="s">
        <v>158</v>
      </c>
      <c r="B104" s="3" t="s">
        <v>159</v>
      </c>
      <c r="C104" s="3" t="s">
        <v>41</v>
      </c>
      <c r="D104" s="3" t="s">
        <v>25</v>
      </c>
      <c r="E104" s="3" t="s">
        <v>42</v>
      </c>
      <c r="F104" s="3">
        <v>18</v>
      </c>
      <c r="G104" s="3" t="s">
        <v>27</v>
      </c>
      <c r="H104" s="3">
        <v>61</v>
      </c>
      <c r="I104" s="3" t="s">
        <v>160</v>
      </c>
      <c r="J104" s="3" t="s">
        <v>94</v>
      </c>
      <c r="K104" s="3" t="s">
        <v>94</v>
      </c>
      <c r="L104" s="3" t="s">
        <v>38</v>
      </c>
      <c r="M104" s="3" t="s">
        <v>161</v>
      </c>
      <c r="N104" s="3" t="s">
        <v>96</v>
      </c>
      <c r="O104" s="3" t="s">
        <v>34</v>
      </c>
      <c r="P104" s="3" t="s">
        <v>69</v>
      </c>
      <c r="Q104" s="3" t="s">
        <v>36</v>
      </c>
      <c r="R104" s="3" t="s">
        <v>37</v>
      </c>
      <c r="S104" s="3">
        <v>162</v>
      </c>
      <c r="T104" s="3">
        <v>50</v>
      </c>
      <c r="U104" s="3" t="s">
        <v>42</v>
      </c>
      <c r="V104" s="4">
        <f t="shared" si="3"/>
        <v>19.051973784484069</v>
      </c>
    </row>
    <row r="105" spans="1:22" x14ac:dyDescent="0.25">
      <c r="A105" s="3" t="s">
        <v>249</v>
      </c>
      <c r="B105" s="3" t="s">
        <v>159</v>
      </c>
      <c r="C105" s="3" t="s">
        <v>41</v>
      </c>
      <c r="D105" s="3" t="s">
        <v>25</v>
      </c>
      <c r="E105" s="3" t="s">
        <v>42</v>
      </c>
      <c r="F105" s="3">
        <v>20</v>
      </c>
      <c r="G105" s="3" t="s">
        <v>27</v>
      </c>
      <c r="H105" s="3">
        <v>60</v>
      </c>
      <c r="I105" s="3" t="s">
        <v>160</v>
      </c>
      <c r="J105" s="3" t="s">
        <v>52</v>
      </c>
      <c r="K105" s="3" t="s">
        <v>77</v>
      </c>
      <c r="L105" s="3" t="s">
        <v>31</v>
      </c>
      <c r="M105" s="3" t="s">
        <v>234</v>
      </c>
      <c r="N105" s="3" t="s">
        <v>55</v>
      </c>
      <c r="O105" s="3" t="s">
        <v>90</v>
      </c>
      <c r="P105" s="3" t="s">
        <v>62</v>
      </c>
      <c r="Q105" s="3" t="s">
        <v>63</v>
      </c>
      <c r="R105" s="3" t="s">
        <v>37</v>
      </c>
      <c r="S105" s="3">
        <v>165</v>
      </c>
      <c r="T105" s="5">
        <v>79</v>
      </c>
      <c r="U105" s="3" t="s">
        <v>48</v>
      </c>
      <c r="V105" s="4">
        <f t="shared" si="3"/>
        <v>29.017447199265384</v>
      </c>
    </row>
    <row r="106" spans="1:22" x14ac:dyDescent="0.25">
      <c r="A106" s="3" t="s">
        <v>39</v>
      </c>
      <c r="B106" s="3" t="s">
        <v>40</v>
      </c>
      <c r="C106" s="3" t="s">
        <v>41</v>
      </c>
      <c r="D106" s="3" t="s">
        <v>25</v>
      </c>
      <c r="E106" s="3" t="s">
        <v>42</v>
      </c>
      <c r="F106" s="3">
        <v>19</v>
      </c>
      <c r="G106" s="3" t="s">
        <v>43</v>
      </c>
      <c r="H106" s="3">
        <v>58</v>
      </c>
      <c r="I106" s="3" t="s">
        <v>28</v>
      </c>
      <c r="J106" s="3" t="s">
        <v>44</v>
      </c>
      <c r="K106" s="3" t="s">
        <v>45</v>
      </c>
      <c r="L106" s="3" t="s">
        <v>38</v>
      </c>
      <c r="M106" s="5" t="s">
        <v>46</v>
      </c>
      <c r="N106" s="3" t="s">
        <v>33</v>
      </c>
      <c r="O106" s="3" t="s">
        <v>34</v>
      </c>
      <c r="P106" s="3" t="s">
        <v>35</v>
      </c>
      <c r="Q106" s="3" t="s">
        <v>36</v>
      </c>
      <c r="R106" s="3" t="s">
        <v>47</v>
      </c>
      <c r="S106" s="3">
        <v>172</v>
      </c>
      <c r="T106" s="3">
        <v>60</v>
      </c>
      <c r="U106" s="3" t="s">
        <v>48</v>
      </c>
      <c r="V106" s="4">
        <f t="shared" si="3"/>
        <v>20.281233098972418</v>
      </c>
    </row>
    <row r="107" spans="1:22" x14ac:dyDescent="0.25">
      <c r="A107" s="3" t="s">
        <v>162</v>
      </c>
      <c r="B107" s="3" t="s">
        <v>40</v>
      </c>
      <c r="C107" s="3" t="s">
        <v>41</v>
      </c>
      <c r="D107" s="3" t="s">
        <v>25</v>
      </c>
      <c r="E107" s="3" t="s">
        <v>26</v>
      </c>
      <c r="F107" s="3">
        <v>21</v>
      </c>
      <c r="G107" s="3" t="s">
        <v>27</v>
      </c>
      <c r="H107" s="3">
        <v>70</v>
      </c>
      <c r="I107" s="3" t="s">
        <v>28</v>
      </c>
      <c r="J107" s="3" t="s">
        <v>52</v>
      </c>
      <c r="K107" s="3" t="s">
        <v>53</v>
      </c>
      <c r="L107" s="3" t="s">
        <v>31</v>
      </c>
      <c r="M107" s="3" t="s">
        <v>161</v>
      </c>
      <c r="N107" s="3" t="s">
        <v>101</v>
      </c>
      <c r="O107" s="3" t="s">
        <v>34</v>
      </c>
      <c r="P107" s="3" t="s">
        <v>69</v>
      </c>
      <c r="Q107" s="3" t="s">
        <v>36</v>
      </c>
      <c r="R107" s="3" t="s">
        <v>37</v>
      </c>
      <c r="S107" s="3">
        <v>178</v>
      </c>
      <c r="T107" s="3">
        <v>77</v>
      </c>
      <c r="U107" s="3" t="s">
        <v>38</v>
      </c>
      <c r="V107" s="4">
        <f t="shared" si="3"/>
        <v>24.302487059714682</v>
      </c>
    </row>
    <row r="108" spans="1:22" x14ac:dyDescent="0.25">
      <c r="A108" s="3" t="s">
        <v>180</v>
      </c>
      <c r="B108" s="3" t="s">
        <v>181</v>
      </c>
      <c r="C108" s="3" t="s">
        <v>41</v>
      </c>
      <c r="D108" s="3" t="s">
        <v>25</v>
      </c>
      <c r="E108" s="3" t="s">
        <v>26</v>
      </c>
      <c r="F108" s="3">
        <v>21</v>
      </c>
      <c r="G108" s="3" t="s">
        <v>27</v>
      </c>
      <c r="H108" s="3">
        <v>68</v>
      </c>
      <c r="I108" s="3" t="s">
        <v>28</v>
      </c>
      <c r="J108" s="3" t="s">
        <v>52</v>
      </c>
      <c r="K108" s="3" t="s">
        <v>67</v>
      </c>
      <c r="L108" s="3" t="s">
        <v>31</v>
      </c>
      <c r="M108" s="3" t="s">
        <v>182</v>
      </c>
      <c r="N108" s="3" t="s">
        <v>101</v>
      </c>
      <c r="O108" s="3" t="s">
        <v>90</v>
      </c>
      <c r="P108" s="3" t="s">
        <v>62</v>
      </c>
      <c r="Q108" s="3" t="s">
        <v>63</v>
      </c>
      <c r="R108" s="3" t="s">
        <v>37</v>
      </c>
      <c r="S108" s="3">
        <v>158</v>
      </c>
      <c r="T108" s="3">
        <v>50</v>
      </c>
      <c r="U108" s="3" t="s">
        <v>38</v>
      </c>
      <c r="V108" s="4">
        <f t="shared" si="3"/>
        <v>20.028841531805796</v>
      </c>
    </row>
    <row r="109" spans="1:22" x14ac:dyDescent="0.25">
      <c r="A109" s="3" t="s">
        <v>163</v>
      </c>
      <c r="B109" s="3" t="s">
        <v>293</v>
      </c>
      <c r="C109" s="3" t="s">
        <v>41</v>
      </c>
      <c r="D109" s="3" t="s">
        <v>25</v>
      </c>
      <c r="E109" s="3" t="s">
        <v>26</v>
      </c>
      <c r="F109" s="3">
        <v>21</v>
      </c>
      <c r="G109" s="3" t="s">
        <v>27</v>
      </c>
      <c r="H109" s="3">
        <v>72</v>
      </c>
      <c r="I109" s="3" t="s">
        <v>28</v>
      </c>
      <c r="J109" s="3" t="s">
        <v>52</v>
      </c>
      <c r="K109" s="3" t="s">
        <v>53</v>
      </c>
      <c r="L109" s="3" t="s">
        <v>31</v>
      </c>
      <c r="M109" s="3" t="s">
        <v>286</v>
      </c>
      <c r="N109" s="3" t="s">
        <v>101</v>
      </c>
      <c r="O109" s="3" t="s">
        <v>34</v>
      </c>
      <c r="P109" s="3" t="s">
        <v>35</v>
      </c>
      <c r="Q109" s="3" t="s">
        <v>63</v>
      </c>
      <c r="R109" s="3" t="s">
        <v>37</v>
      </c>
      <c r="S109" s="3">
        <v>177</v>
      </c>
      <c r="T109" s="3">
        <v>45</v>
      </c>
      <c r="U109" s="3" t="s">
        <v>38</v>
      </c>
      <c r="V109" s="4">
        <f t="shared" si="3"/>
        <v>14.363688595231254</v>
      </c>
    </row>
    <row r="110" spans="1:22" x14ac:dyDescent="0.25">
      <c r="A110" s="3" t="s">
        <v>284</v>
      </c>
      <c r="B110" s="3" t="s">
        <v>285</v>
      </c>
      <c r="C110" s="3" t="s">
        <v>41</v>
      </c>
      <c r="D110" s="3" t="s">
        <v>25</v>
      </c>
      <c r="E110" s="3" t="s">
        <v>42</v>
      </c>
      <c r="F110" s="3">
        <v>20</v>
      </c>
      <c r="G110" s="3" t="s">
        <v>87</v>
      </c>
      <c r="H110" s="3">
        <v>73.400000000000006</v>
      </c>
      <c r="I110" s="3" t="s">
        <v>28</v>
      </c>
      <c r="J110" s="3" t="s">
        <v>52</v>
      </c>
      <c r="K110" s="3" t="s">
        <v>53</v>
      </c>
      <c r="L110" s="3" t="s">
        <v>38</v>
      </c>
      <c r="M110" s="3" t="s">
        <v>286</v>
      </c>
      <c r="N110" s="3" t="s">
        <v>101</v>
      </c>
      <c r="O110" s="3" t="s">
        <v>34</v>
      </c>
      <c r="P110" s="3" t="s">
        <v>35</v>
      </c>
      <c r="Q110" s="3" t="s">
        <v>36</v>
      </c>
      <c r="R110" s="3" t="s">
        <v>37</v>
      </c>
      <c r="S110" s="3">
        <v>164</v>
      </c>
      <c r="T110" s="3">
        <v>48</v>
      </c>
      <c r="U110" s="3" t="s">
        <v>42</v>
      </c>
      <c r="V110" s="4">
        <f t="shared" si="3"/>
        <v>17.846519928613922</v>
      </c>
    </row>
    <row r="111" spans="1:22" x14ac:dyDescent="0.25">
      <c r="A111" s="3" t="s">
        <v>91</v>
      </c>
      <c r="B111" s="3" t="s">
        <v>314</v>
      </c>
      <c r="C111" s="3" t="s">
        <v>41</v>
      </c>
      <c r="D111" s="3" t="s">
        <v>25</v>
      </c>
      <c r="E111" s="3" t="s">
        <v>42</v>
      </c>
      <c r="F111" s="3">
        <v>20</v>
      </c>
      <c r="G111" s="3" t="s">
        <v>27</v>
      </c>
      <c r="H111" s="5">
        <v>56</v>
      </c>
      <c r="I111" s="3" t="s">
        <v>160</v>
      </c>
      <c r="J111" s="3" t="s">
        <v>44</v>
      </c>
      <c r="K111" s="3" t="s">
        <v>315</v>
      </c>
      <c r="L111" s="3" t="s">
        <v>31</v>
      </c>
      <c r="M111" s="3" t="s">
        <v>316</v>
      </c>
      <c r="N111" s="3" t="s">
        <v>96</v>
      </c>
      <c r="O111" s="3" t="s">
        <v>90</v>
      </c>
      <c r="P111" s="3" t="s">
        <v>62</v>
      </c>
      <c r="Q111" s="3" t="s">
        <v>63</v>
      </c>
      <c r="R111" s="3" t="s">
        <v>37</v>
      </c>
      <c r="S111" s="3">
        <v>160</v>
      </c>
      <c r="T111" s="3">
        <v>40</v>
      </c>
      <c r="U111" s="3" t="s">
        <v>38</v>
      </c>
      <c r="V111" s="4">
        <f t="shared" si="3"/>
        <v>15.624999999999996</v>
      </c>
    </row>
    <row r="112" spans="1:22" x14ac:dyDescent="0.25">
      <c r="A112" s="3" t="s">
        <v>151</v>
      </c>
      <c r="B112" s="3" t="s">
        <v>152</v>
      </c>
      <c r="C112" s="3" t="s">
        <v>41</v>
      </c>
      <c r="D112" s="3" t="s">
        <v>25</v>
      </c>
      <c r="E112" s="3" t="s">
        <v>42</v>
      </c>
      <c r="F112" s="3">
        <v>19</v>
      </c>
      <c r="G112" s="3" t="s">
        <v>66</v>
      </c>
      <c r="H112" s="3">
        <v>54.6</v>
      </c>
      <c r="I112" s="3" t="s">
        <v>28</v>
      </c>
      <c r="J112" s="3" t="s">
        <v>153</v>
      </c>
      <c r="K112" s="3" t="s">
        <v>154</v>
      </c>
      <c r="L112" s="3" t="s">
        <v>31</v>
      </c>
      <c r="M112" s="3" t="s">
        <v>155</v>
      </c>
      <c r="N112" s="3" t="s">
        <v>96</v>
      </c>
      <c r="O112" s="3" t="s">
        <v>34</v>
      </c>
      <c r="P112" s="3" t="s">
        <v>62</v>
      </c>
      <c r="Q112" s="3" t="s">
        <v>36</v>
      </c>
      <c r="R112" s="3" t="s">
        <v>37</v>
      </c>
      <c r="S112" s="3">
        <v>157</v>
      </c>
      <c r="T112" s="5">
        <v>46</v>
      </c>
      <c r="U112" s="3" t="s">
        <v>42</v>
      </c>
      <c r="V112" s="4">
        <f t="shared" si="3"/>
        <v>18.662014686194166</v>
      </c>
    </row>
    <row r="113" spans="1:22" x14ac:dyDescent="0.25">
      <c r="A113" s="3" t="s">
        <v>109</v>
      </c>
      <c r="B113" s="3" t="s">
        <v>110</v>
      </c>
      <c r="C113" s="3" t="s">
        <v>41</v>
      </c>
      <c r="D113" s="3" t="s">
        <v>25</v>
      </c>
      <c r="E113" s="3" t="s">
        <v>42</v>
      </c>
      <c r="F113" s="3">
        <v>21</v>
      </c>
      <c r="G113" s="3" t="s">
        <v>27</v>
      </c>
      <c r="H113" s="3">
        <v>50</v>
      </c>
      <c r="I113" s="3" t="s">
        <v>72</v>
      </c>
      <c r="J113" s="3" t="s">
        <v>52</v>
      </c>
      <c r="K113" s="3" t="s">
        <v>53</v>
      </c>
      <c r="L113" s="3" t="s">
        <v>31</v>
      </c>
      <c r="M113" s="3" t="s">
        <v>95</v>
      </c>
      <c r="N113" s="3" t="s">
        <v>55</v>
      </c>
      <c r="O113" s="3" t="s">
        <v>34</v>
      </c>
      <c r="P113" s="3" t="s">
        <v>62</v>
      </c>
      <c r="Q113" s="3" t="s">
        <v>63</v>
      </c>
      <c r="R113" s="3" t="s">
        <v>37</v>
      </c>
      <c r="S113" s="3">
        <v>163</v>
      </c>
      <c r="T113" s="3">
        <v>75</v>
      </c>
      <c r="U113" s="3" t="s">
        <v>42</v>
      </c>
      <c r="V113" s="4">
        <f t="shared" si="3"/>
        <v>28.228386465429637</v>
      </c>
    </row>
    <row r="114" spans="1:22" x14ac:dyDescent="0.25">
      <c r="A114" s="3" t="s">
        <v>253</v>
      </c>
      <c r="B114" s="3" t="s">
        <v>110</v>
      </c>
      <c r="C114" s="3" t="s">
        <v>41</v>
      </c>
      <c r="D114" s="3" t="s">
        <v>25</v>
      </c>
      <c r="E114" s="3" t="s">
        <v>42</v>
      </c>
      <c r="F114" s="3">
        <v>20</v>
      </c>
      <c r="G114" s="3" t="s">
        <v>66</v>
      </c>
      <c r="H114" s="3">
        <v>52</v>
      </c>
      <c r="I114" s="3" t="s">
        <v>28</v>
      </c>
      <c r="J114" s="3" t="s">
        <v>52</v>
      </c>
      <c r="K114" s="3" t="s">
        <v>254</v>
      </c>
      <c r="L114" s="3" t="s">
        <v>38</v>
      </c>
      <c r="M114" s="3" t="s">
        <v>255</v>
      </c>
      <c r="N114" s="3" t="s">
        <v>96</v>
      </c>
      <c r="O114" s="3" t="s">
        <v>34</v>
      </c>
      <c r="P114" s="3" t="s">
        <v>35</v>
      </c>
      <c r="Q114" s="3" t="s">
        <v>63</v>
      </c>
      <c r="R114" s="3" t="s">
        <v>37</v>
      </c>
      <c r="S114" s="3">
        <v>173</v>
      </c>
      <c r="T114" s="3">
        <v>75</v>
      </c>
      <c r="U114" s="3" t="s">
        <v>42</v>
      </c>
      <c r="V114" s="4">
        <f t="shared" si="3"/>
        <v>25.059307026629689</v>
      </c>
    </row>
    <row r="115" spans="1:22" x14ac:dyDescent="0.25">
      <c r="A115" s="3" t="s">
        <v>276</v>
      </c>
      <c r="B115" s="3" t="s">
        <v>110</v>
      </c>
      <c r="C115" s="3" t="s">
        <v>41</v>
      </c>
      <c r="D115" s="3" t="s">
        <v>25</v>
      </c>
      <c r="E115" s="3" t="s">
        <v>114</v>
      </c>
      <c r="F115" s="3">
        <v>22</v>
      </c>
      <c r="G115" s="3" t="s">
        <v>27</v>
      </c>
      <c r="H115" s="3">
        <v>78</v>
      </c>
      <c r="I115" s="3" t="s">
        <v>28</v>
      </c>
      <c r="J115" s="3" t="s">
        <v>52</v>
      </c>
      <c r="K115" s="3" t="s">
        <v>53</v>
      </c>
      <c r="L115" s="3" t="s">
        <v>38</v>
      </c>
      <c r="M115" s="3" t="s">
        <v>275</v>
      </c>
      <c r="N115" s="3" t="s">
        <v>89</v>
      </c>
      <c r="O115" s="3" t="s">
        <v>34</v>
      </c>
      <c r="P115" s="3" t="s">
        <v>35</v>
      </c>
      <c r="Q115" s="3" t="s">
        <v>63</v>
      </c>
      <c r="R115" s="3" t="s">
        <v>37</v>
      </c>
      <c r="S115" s="3">
        <v>170</v>
      </c>
      <c r="T115" s="3">
        <v>75</v>
      </c>
      <c r="U115" s="3" t="s">
        <v>38</v>
      </c>
      <c r="V115" s="4">
        <f t="shared" si="3"/>
        <v>25.95155709342561</v>
      </c>
    </row>
    <row r="116" spans="1:22" x14ac:dyDescent="0.25">
      <c r="A116" s="3" t="s">
        <v>290</v>
      </c>
      <c r="B116" s="3" t="s">
        <v>291</v>
      </c>
      <c r="C116" s="3" t="s">
        <v>41</v>
      </c>
      <c r="D116" s="3" t="s">
        <v>25</v>
      </c>
      <c r="E116" s="3" t="s">
        <v>26</v>
      </c>
      <c r="F116" s="3">
        <v>23</v>
      </c>
      <c r="G116" s="3" t="s">
        <v>66</v>
      </c>
      <c r="H116" s="3">
        <v>75</v>
      </c>
      <c r="I116" s="3" t="s">
        <v>28</v>
      </c>
      <c r="J116" s="3" t="s">
        <v>52</v>
      </c>
      <c r="K116" s="3" t="s">
        <v>292</v>
      </c>
      <c r="L116" s="3" t="s">
        <v>31</v>
      </c>
      <c r="M116" s="3" t="s">
        <v>286</v>
      </c>
      <c r="N116" s="3" t="s">
        <v>55</v>
      </c>
      <c r="O116" s="3" t="s">
        <v>34</v>
      </c>
      <c r="P116" s="3" t="s">
        <v>35</v>
      </c>
      <c r="Q116" s="3" t="s">
        <v>63</v>
      </c>
      <c r="R116" s="3" t="s">
        <v>37</v>
      </c>
      <c r="S116" s="3">
        <v>173</v>
      </c>
      <c r="T116" s="3">
        <v>73</v>
      </c>
      <c r="U116" s="3" t="s">
        <v>38</v>
      </c>
      <c r="V116" s="4">
        <f t="shared" si="3"/>
        <v>24.391058839252899</v>
      </c>
    </row>
  </sheetData>
  <sortState xmlns:xlrd2="http://schemas.microsoft.com/office/spreadsheetml/2017/richdata2" ref="A2:V116">
    <sortCondition ref="C1:C11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1E2C-9617-49A9-8224-6EBBB2B63DCE}">
  <dimension ref="B2:J187"/>
  <sheetViews>
    <sheetView tabSelected="1" topLeftCell="A16" workbookViewId="0">
      <selection activeCell="C23" sqref="C23"/>
    </sheetView>
  </sheetViews>
  <sheetFormatPr defaultRowHeight="15" x14ac:dyDescent="0.25"/>
  <cols>
    <col min="2" max="2" width="16.140625" customWidth="1"/>
    <col min="3" max="3" width="18.28515625" customWidth="1"/>
    <col min="4" max="4" width="15" bestFit="1" customWidth="1"/>
    <col min="5" max="5" width="14.42578125" bestFit="1" customWidth="1"/>
    <col min="6" max="6" width="10.7109375" bestFit="1" customWidth="1"/>
    <col min="7" max="7" width="11.7109375" bestFit="1" customWidth="1"/>
    <col min="8" max="8" width="15.7109375" bestFit="1" customWidth="1"/>
    <col min="9" max="9" width="13.28515625" bestFit="1" customWidth="1"/>
    <col min="10" max="10" width="12.7109375" bestFit="1" customWidth="1"/>
  </cols>
  <sheetData>
    <row r="2" spans="2:8" s="8" customFormat="1" ht="18.75" x14ac:dyDescent="0.3">
      <c r="B2" s="7" t="s">
        <v>348</v>
      </c>
      <c r="C2" s="7" t="s">
        <v>349</v>
      </c>
      <c r="D2" s="7"/>
      <c r="E2" s="7"/>
      <c r="F2" s="7"/>
      <c r="G2" s="7"/>
      <c r="H2" s="7"/>
    </row>
    <row r="4" spans="2:8" x14ac:dyDescent="0.25">
      <c r="C4" s="9" t="s">
        <v>350</v>
      </c>
      <c r="D4" t="s">
        <v>352</v>
      </c>
    </row>
    <row r="5" spans="2:8" x14ac:dyDescent="0.25">
      <c r="C5" s="10" t="s">
        <v>24</v>
      </c>
      <c r="D5" s="11">
        <v>62</v>
      </c>
    </row>
    <row r="6" spans="2:8" x14ac:dyDescent="0.25">
      <c r="C6" s="10" t="s">
        <v>41</v>
      </c>
      <c r="D6" s="11">
        <v>53</v>
      </c>
    </row>
    <row r="7" spans="2:8" x14ac:dyDescent="0.25">
      <c r="C7" s="10" t="s">
        <v>351</v>
      </c>
      <c r="D7" s="11">
        <v>115</v>
      </c>
    </row>
    <row r="17" spans="2:10" ht="18.75" x14ac:dyDescent="0.3">
      <c r="B17" s="7" t="s">
        <v>353</v>
      </c>
      <c r="C17" s="7" t="s">
        <v>355</v>
      </c>
    </row>
    <row r="18" spans="2:10" ht="18.75" x14ac:dyDescent="0.3">
      <c r="B18" s="7"/>
    </row>
    <row r="19" spans="2:10" x14ac:dyDescent="0.25">
      <c r="D19" s="12" t="s">
        <v>547</v>
      </c>
      <c r="E19" s="12" t="s">
        <v>311</v>
      </c>
      <c r="F19" s="12" t="s">
        <v>125</v>
      </c>
      <c r="G19" s="12" t="s">
        <v>65</v>
      </c>
      <c r="H19" s="12" t="s">
        <v>320</v>
      </c>
      <c r="I19" s="12" t="s">
        <v>339</v>
      </c>
      <c r="J19" s="12" t="s">
        <v>116</v>
      </c>
    </row>
    <row r="20" spans="2:10" x14ac:dyDescent="0.25">
      <c r="D20" s="4" t="s">
        <v>148</v>
      </c>
      <c r="E20" s="4" t="s">
        <v>310</v>
      </c>
      <c r="F20" s="4" t="s">
        <v>124</v>
      </c>
      <c r="G20" s="4" t="s">
        <v>163</v>
      </c>
      <c r="H20" s="4" t="s">
        <v>319</v>
      </c>
      <c r="I20" s="4" t="s">
        <v>338</v>
      </c>
      <c r="J20" s="4" t="s">
        <v>115</v>
      </c>
    </row>
    <row r="21" spans="2:10" x14ac:dyDescent="0.25">
      <c r="D21" s="12" t="s">
        <v>76</v>
      </c>
      <c r="E21" s="12" t="s">
        <v>146</v>
      </c>
      <c r="F21" s="12" t="s">
        <v>92</v>
      </c>
      <c r="G21" s="4" t="s">
        <v>79</v>
      </c>
      <c r="H21" s="12" t="s">
        <v>173</v>
      </c>
      <c r="I21" s="12" t="s">
        <v>232</v>
      </c>
      <c r="J21" s="12" t="s">
        <v>50</v>
      </c>
    </row>
    <row r="22" spans="2:10" x14ac:dyDescent="0.25">
      <c r="D22" s="4" t="s">
        <v>75</v>
      </c>
      <c r="E22" s="4" t="s">
        <v>145</v>
      </c>
      <c r="F22" s="4" t="s">
        <v>91</v>
      </c>
      <c r="G22" s="4" t="s">
        <v>64</v>
      </c>
      <c r="H22" s="4" t="s">
        <v>172</v>
      </c>
      <c r="I22" s="4" t="s">
        <v>231</v>
      </c>
      <c r="J22" s="4" t="s">
        <v>49</v>
      </c>
    </row>
    <row r="23" spans="2:10" x14ac:dyDescent="0.25">
      <c r="D23" s="12" t="s">
        <v>103</v>
      </c>
      <c r="E23" s="4" t="s">
        <v>302</v>
      </c>
      <c r="F23" s="4" t="s">
        <v>183</v>
      </c>
      <c r="G23" s="12" t="s">
        <v>273</v>
      </c>
      <c r="H23" s="12" t="s">
        <v>129</v>
      </c>
      <c r="I23" s="12" t="s">
        <v>226</v>
      </c>
      <c r="J23" s="12" t="s">
        <v>205</v>
      </c>
    </row>
    <row r="24" spans="2:10" x14ac:dyDescent="0.25">
      <c r="D24" s="4" t="s">
        <v>102</v>
      </c>
      <c r="E24" s="12" t="s">
        <v>175</v>
      </c>
      <c r="F24" s="12" t="s">
        <v>307</v>
      </c>
      <c r="G24" s="4" t="s">
        <v>123</v>
      </c>
      <c r="H24" s="4" t="s">
        <v>128</v>
      </c>
      <c r="I24" s="4" t="s">
        <v>225</v>
      </c>
      <c r="J24" s="4" t="s">
        <v>204</v>
      </c>
    </row>
    <row r="25" spans="2:10" x14ac:dyDescent="0.25">
      <c r="D25" s="12" t="s">
        <v>224</v>
      </c>
      <c r="E25" s="4" t="s">
        <v>174</v>
      </c>
      <c r="F25" s="4" t="s">
        <v>145</v>
      </c>
      <c r="G25" s="12" t="s">
        <v>212</v>
      </c>
      <c r="H25" s="12" t="s">
        <v>127</v>
      </c>
      <c r="I25" s="12" t="s">
        <v>86</v>
      </c>
      <c r="J25" s="12" t="s">
        <v>293</v>
      </c>
    </row>
    <row r="26" spans="2:10" x14ac:dyDescent="0.25">
      <c r="D26" s="4" t="s">
        <v>223</v>
      </c>
      <c r="E26" s="12" t="s">
        <v>133</v>
      </c>
      <c r="F26" s="12" t="s">
        <v>82</v>
      </c>
      <c r="G26" s="4" t="s">
        <v>211</v>
      </c>
      <c r="H26" s="4" t="s">
        <v>126</v>
      </c>
      <c r="I26" s="4" t="s">
        <v>85</v>
      </c>
      <c r="J26" s="4" t="s">
        <v>163</v>
      </c>
    </row>
    <row r="27" spans="2:10" x14ac:dyDescent="0.25">
      <c r="D27" s="12" t="s">
        <v>190</v>
      </c>
      <c r="E27" s="4" t="s">
        <v>132</v>
      </c>
      <c r="F27" s="4" t="s">
        <v>81</v>
      </c>
      <c r="G27" s="12" t="s">
        <v>165</v>
      </c>
      <c r="H27" s="12" t="s">
        <v>236</v>
      </c>
      <c r="I27" s="12" t="s">
        <v>167</v>
      </c>
      <c r="J27" s="12" t="s">
        <v>318</v>
      </c>
    </row>
    <row r="28" spans="2:10" x14ac:dyDescent="0.25">
      <c r="D28" s="4" t="s">
        <v>189</v>
      </c>
      <c r="E28" s="12" t="s">
        <v>57</v>
      </c>
      <c r="F28" s="12" t="s">
        <v>326</v>
      </c>
      <c r="G28" s="4" t="s">
        <v>171</v>
      </c>
      <c r="H28" s="4" t="s">
        <v>235</v>
      </c>
      <c r="I28" s="4" t="s">
        <v>166</v>
      </c>
      <c r="J28" s="4" t="s">
        <v>317</v>
      </c>
    </row>
    <row r="29" spans="2:10" x14ac:dyDescent="0.25">
      <c r="D29" s="12" t="s">
        <v>344</v>
      </c>
      <c r="E29" s="4" t="s">
        <v>56</v>
      </c>
      <c r="F29" s="4" t="s">
        <v>325</v>
      </c>
      <c r="G29" s="4" t="s">
        <v>220</v>
      </c>
      <c r="H29" s="12" t="s">
        <v>297</v>
      </c>
      <c r="I29" s="4" t="s">
        <v>270</v>
      </c>
      <c r="J29" s="12" t="s">
        <v>285</v>
      </c>
    </row>
    <row r="30" spans="2:10" x14ac:dyDescent="0.25">
      <c r="D30" s="4" t="s">
        <v>343</v>
      </c>
      <c r="E30" s="4" t="s">
        <v>113</v>
      </c>
      <c r="F30" s="12" t="s">
        <v>309</v>
      </c>
      <c r="G30" s="4" t="s">
        <v>214</v>
      </c>
      <c r="H30" s="4" t="s">
        <v>296</v>
      </c>
      <c r="I30" s="12" t="s">
        <v>334</v>
      </c>
      <c r="J30" s="4" t="s">
        <v>284</v>
      </c>
    </row>
    <row r="31" spans="2:10" x14ac:dyDescent="0.25">
      <c r="D31" s="12" t="s">
        <v>280</v>
      </c>
      <c r="E31" s="12" t="s">
        <v>322</v>
      </c>
      <c r="F31" s="4" t="s">
        <v>308</v>
      </c>
      <c r="G31" s="4" t="s">
        <v>345</v>
      </c>
      <c r="H31" s="12" t="s">
        <v>98</v>
      </c>
      <c r="I31" s="4" t="s">
        <v>333</v>
      </c>
      <c r="J31" s="12" t="s">
        <v>299</v>
      </c>
    </row>
    <row r="32" spans="2:10" x14ac:dyDescent="0.25">
      <c r="D32" s="4" t="s">
        <v>279</v>
      </c>
      <c r="E32" s="4" t="s">
        <v>321</v>
      </c>
      <c r="F32" s="12" t="s">
        <v>265</v>
      </c>
      <c r="G32" s="4" t="s">
        <v>164</v>
      </c>
      <c r="H32" s="4" t="s">
        <v>100</v>
      </c>
      <c r="I32" s="12" t="s">
        <v>159</v>
      </c>
      <c r="J32" s="4" t="s">
        <v>298</v>
      </c>
    </row>
    <row r="33" spans="4:10" x14ac:dyDescent="0.25">
      <c r="D33" s="12" t="s">
        <v>201</v>
      </c>
      <c r="E33" s="12" t="s">
        <v>209</v>
      </c>
      <c r="F33" s="4" t="s">
        <v>264</v>
      </c>
      <c r="G33" s="4" t="s">
        <v>238</v>
      </c>
      <c r="H33" s="4" t="s">
        <v>97</v>
      </c>
      <c r="I33" s="4" t="s">
        <v>249</v>
      </c>
      <c r="J33" s="12" t="s">
        <v>314</v>
      </c>
    </row>
    <row r="34" spans="4:10" x14ac:dyDescent="0.25">
      <c r="D34" s="4" t="s">
        <v>200</v>
      </c>
      <c r="E34" s="4" t="s">
        <v>208</v>
      </c>
      <c r="F34" s="12" t="s">
        <v>108</v>
      </c>
      <c r="G34" s="12" t="s">
        <v>120</v>
      </c>
      <c r="H34" s="12" t="s">
        <v>304</v>
      </c>
      <c r="I34" s="4" t="s">
        <v>158</v>
      </c>
      <c r="J34" s="4" t="s">
        <v>91</v>
      </c>
    </row>
    <row r="35" spans="4:10" x14ac:dyDescent="0.25">
      <c r="D35" s="12" t="s">
        <v>187</v>
      </c>
      <c r="E35" s="12" t="s">
        <v>288</v>
      </c>
      <c r="F35" s="4" t="s">
        <v>107</v>
      </c>
      <c r="G35" s="4" t="s">
        <v>248</v>
      </c>
      <c r="H35" s="4" t="s">
        <v>303</v>
      </c>
      <c r="I35" s="12" t="s">
        <v>40</v>
      </c>
      <c r="J35" s="12" t="s">
        <v>152</v>
      </c>
    </row>
    <row r="36" spans="4:10" x14ac:dyDescent="0.25">
      <c r="D36" s="4" t="s">
        <v>186</v>
      </c>
      <c r="E36" s="4" t="s">
        <v>287</v>
      </c>
      <c r="F36" s="12" t="s">
        <v>23</v>
      </c>
      <c r="G36" s="4" t="s">
        <v>123</v>
      </c>
      <c r="H36" s="12" t="s">
        <v>263</v>
      </c>
      <c r="I36" s="4" t="s">
        <v>203</v>
      </c>
      <c r="J36" s="4" t="s">
        <v>151</v>
      </c>
    </row>
    <row r="37" spans="4:10" x14ac:dyDescent="0.25">
      <c r="D37" s="12" t="s">
        <v>330</v>
      </c>
      <c r="E37" s="12" t="s">
        <v>141</v>
      </c>
      <c r="F37" s="4" t="s">
        <v>22</v>
      </c>
      <c r="G37" s="4" t="s">
        <v>250</v>
      </c>
      <c r="H37" s="4" t="s">
        <v>262</v>
      </c>
      <c r="I37" s="4" t="s">
        <v>39</v>
      </c>
      <c r="J37" s="12" t="s">
        <v>110</v>
      </c>
    </row>
    <row r="38" spans="4:10" x14ac:dyDescent="0.25">
      <c r="D38" s="4" t="s">
        <v>329</v>
      </c>
      <c r="E38" s="4" t="s">
        <v>140</v>
      </c>
      <c r="F38" s="12" t="s">
        <v>268</v>
      </c>
      <c r="G38" s="4" t="s">
        <v>294</v>
      </c>
      <c r="H38" s="12" t="s">
        <v>218</v>
      </c>
      <c r="I38" s="4" t="s">
        <v>243</v>
      </c>
      <c r="J38" s="4" t="s">
        <v>249</v>
      </c>
    </row>
    <row r="39" spans="4:10" x14ac:dyDescent="0.25">
      <c r="D39" s="12" t="s">
        <v>257</v>
      </c>
      <c r="E39" s="12" t="s">
        <v>241</v>
      </c>
      <c r="F39" s="4" t="s">
        <v>267</v>
      </c>
      <c r="G39" s="4" t="s">
        <v>119</v>
      </c>
      <c r="H39" s="4" t="s">
        <v>217</v>
      </c>
      <c r="I39" s="4" t="s">
        <v>242</v>
      </c>
      <c r="J39" s="4" t="s">
        <v>276</v>
      </c>
    </row>
    <row r="40" spans="4:10" x14ac:dyDescent="0.25">
      <c r="D40" s="4" t="s">
        <v>256</v>
      </c>
      <c r="E40" s="4" t="s">
        <v>240</v>
      </c>
      <c r="F40" s="4" t="s">
        <v>340</v>
      </c>
      <c r="G40" s="4" t="s">
        <v>295</v>
      </c>
      <c r="H40" s="12" t="s">
        <v>194</v>
      </c>
      <c r="I40" s="4" t="s">
        <v>162</v>
      </c>
      <c r="J40" s="4" t="s">
        <v>109</v>
      </c>
    </row>
    <row r="41" spans="4:10" x14ac:dyDescent="0.25">
      <c r="D41" s="12" t="s">
        <v>245</v>
      </c>
      <c r="E41" s="12" t="s">
        <v>71</v>
      </c>
      <c r="F41" s="4" t="s">
        <v>277</v>
      </c>
      <c r="G41" s="4" t="s">
        <v>271</v>
      </c>
      <c r="H41" s="4" t="s">
        <v>272</v>
      </c>
      <c r="I41" s="12" t="s">
        <v>144</v>
      </c>
      <c r="J41" s="12" t="s">
        <v>260</v>
      </c>
    </row>
    <row r="42" spans="4:10" x14ac:dyDescent="0.25">
      <c r="D42" s="4" t="s">
        <v>244</v>
      </c>
      <c r="E42" s="4" t="s">
        <v>70</v>
      </c>
      <c r="F42" s="12" t="s">
        <v>106</v>
      </c>
      <c r="G42" s="4" t="s">
        <v>335</v>
      </c>
      <c r="H42" s="4" t="s">
        <v>193</v>
      </c>
      <c r="I42" s="4" t="s">
        <v>143</v>
      </c>
      <c r="J42" s="4" t="s">
        <v>259</v>
      </c>
    </row>
    <row r="43" spans="4:10" x14ac:dyDescent="0.25">
      <c r="D43" s="12" t="s">
        <v>328</v>
      </c>
      <c r="E43" s="12" t="s">
        <v>131</v>
      </c>
      <c r="F43" s="4" t="s">
        <v>105</v>
      </c>
      <c r="G43" s="4" t="s">
        <v>199</v>
      </c>
      <c r="H43" s="12" t="s">
        <v>112</v>
      </c>
      <c r="I43" s="12" t="s">
        <v>181</v>
      </c>
      <c r="J43" s="12" t="s">
        <v>196</v>
      </c>
    </row>
    <row r="44" spans="4:10" x14ac:dyDescent="0.25">
      <c r="D44" s="4" t="s">
        <v>327</v>
      </c>
      <c r="E44" s="4" t="s">
        <v>130</v>
      </c>
      <c r="F44" s="12" t="s">
        <v>122</v>
      </c>
      <c r="G44" s="4" t="s">
        <v>247</v>
      </c>
      <c r="H44" s="4" t="s">
        <v>111</v>
      </c>
      <c r="I44" s="4" t="s">
        <v>180</v>
      </c>
      <c r="J44" s="4" t="s">
        <v>195</v>
      </c>
    </row>
    <row r="45" spans="4:10" x14ac:dyDescent="0.25">
      <c r="D45" s="4"/>
      <c r="E45" s="12" t="s">
        <v>157</v>
      </c>
      <c r="F45" s="4" t="s">
        <v>169</v>
      </c>
      <c r="G45" s="4"/>
      <c r="H45" s="12" t="s">
        <v>136</v>
      </c>
      <c r="I45" s="12" t="s">
        <v>229</v>
      </c>
      <c r="J45" s="12" t="s">
        <v>291</v>
      </c>
    </row>
    <row r="46" spans="4:10" x14ac:dyDescent="0.25">
      <c r="D46" s="4"/>
      <c r="E46" s="4" t="s">
        <v>156</v>
      </c>
      <c r="F46" s="4" t="s">
        <v>121</v>
      </c>
      <c r="G46" s="4"/>
      <c r="H46" s="4" t="s">
        <v>135</v>
      </c>
      <c r="I46" s="4" t="s">
        <v>331</v>
      </c>
      <c r="J46" s="4" t="s">
        <v>290</v>
      </c>
    </row>
    <row r="47" spans="4:10" x14ac:dyDescent="0.25">
      <c r="D47" s="4"/>
      <c r="E47" s="4"/>
      <c r="F47" s="4" t="s">
        <v>323</v>
      </c>
      <c r="G47" s="4"/>
      <c r="H47" s="4"/>
      <c r="I47" s="4" t="s">
        <v>228</v>
      </c>
      <c r="J47" s="4"/>
    </row>
    <row r="48" spans="4:10" x14ac:dyDescent="0.25">
      <c r="D48" s="4"/>
      <c r="E48" s="4"/>
      <c r="F48" s="4"/>
      <c r="G48" s="4"/>
      <c r="H48" s="4"/>
      <c r="I48" s="4" t="s">
        <v>337</v>
      </c>
      <c r="J48" s="4"/>
    </row>
    <row r="50" spans="2:10" ht="18.75" x14ac:dyDescent="0.3">
      <c r="B50" s="7" t="s">
        <v>356</v>
      </c>
      <c r="C50" s="7" t="s">
        <v>357</v>
      </c>
    </row>
    <row r="52" spans="2:10" x14ac:dyDescent="0.25">
      <c r="D52" s="12" t="s">
        <v>27</v>
      </c>
      <c r="E52" s="12" t="s">
        <v>27</v>
      </c>
      <c r="F52" s="12" t="s">
        <v>27</v>
      </c>
      <c r="G52" s="12" t="s">
        <v>87</v>
      </c>
      <c r="H52" s="12" t="s">
        <v>43</v>
      </c>
      <c r="I52" s="12" t="s">
        <v>66</v>
      </c>
      <c r="J52" s="12" t="s">
        <v>93</v>
      </c>
    </row>
    <row r="53" spans="2:10" x14ac:dyDescent="0.25">
      <c r="D53" s="4" t="s">
        <v>128</v>
      </c>
      <c r="E53" s="4" t="s">
        <v>105</v>
      </c>
      <c r="F53" s="4" t="s">
        <v>169</v>
      </c>
      <c r="G53" s="4" t="s">
        <v>85</v>
      </c>
      <c r="H53" s="4" t="s">
        <v>39</v>
      </c>
      <c r="I53" s="4" t="s">
        <v>249</v>
      </c>
      <c r="J53" s="4" t="s">
        <v>298</v>
      </c>
    </row>
    <row r="54" spans="2:10" x14ac:dyDescent="0.25">
      <c r="D54" s="4" t="s">
        <v>248</v>
      </c>
      <c r="E54" s="4" t="s">
        <v>338</v>
      </c>
      <c r="F54" s="4" t="s">
        <v>22</v>
      </c>
      <c r="G54" s="4" t="s">
        <v>284</v>
      </c>
      <c r="H54" s="4" t="s">
        <v>164</v>
      </c>
      <c r="I54" s="4" t="s">
        <v>223</v>
      </c>
      <c r="J54" s="4" t="s">
        <v>91</v>
      </c>
    </row>
    <row r="55" spans="2:10" x14ac:dyDescent="0.25">
      <c r="D55" s="4" t="s">
        <v>333</v>
      </c>
      <c r="E55" s="4" t="s">
        <v>271</v>
      </c>
      <c r="F55" s="4" t="s">
        <v>145</v>
      </c>
      <c r="G55" s="4" t="s">
        <v>296</v>
      </c>
      <c r="H55" s="4" t="s">
        <v>329</v>
      </c>
      <c r="I55" s="4" t="s">
        <v>186</v>
      </c>
      <c r="J55" s="4"/>
    </row>
    <row r="56" spans="2:10" x14ac:dyDescent="0.25">
      <c r="D56" s="4" t="s">
        <v>249</v>
      </c>
      <c r="E56" s="4" t="s">
        <v>335</v>
      </c>
      <c r="F56" s="4" t="s">
        <v>325</v>
      </c>
      <c r="G56" s="4" t="s">
        <v>279</v>
      </c>
      <c r="H56" s="4" t="s">
        <v>238</v>
      </c>
      <c r="I56" s="4" t="s">
        <v>208</v>
      </c>
      <c r="J56" s="4"/>
    </row>
    <row r="57" spans="2:10" x14ac:dyDescent="0.25">
      <c r="D57" s="4" t="s">
        <v>56</v>
      </c>
      <c r="E57" s="4" t="s">
        <v>113</v>
      </c>
      <c r="F57" s="4" t="s">
        <v>180</v>
      </c>
      <c r="G57" s="4" t="s">
        <v>111</v>
      </c>
      <c r="H57" s="4"/>
      <c r="I57" s="4" t="s">
        <v>310</v>
      </c>
      <c r="J57" s="4"/>
    </row>
    <row r="58" spans="2:10" x14ac:dyDescent="0.25">
      <c r="D58" s="4" t="s">
        <v>171</v>
      </c>
      <c r="E58" s="4" t="s">
        <v>340</v>
      </c>
      <c r="F58" s="4" t="s">
        <v>211</v>
      </c>
      <c r="G58" s="4"/>
      <c r="H58" s="4"/>
      <c r="I58" s="4" t="s">
        <v>214</v>
      </c>
      <c r="J58" s="4"/>
    </row>
    <row r="59" spans="2:10" x14ac:dyDescent="0.25">
      <c r="D59" s="4" t="s">
        <v>158</v>
      </c>
      <c r="E59" s="4" t="s">
        <v>174</v>
      </c>
      <c r="F59" s="4" t="s">
        <v>132</v>
      </c>
      <c r="G59" s="4"/>
      <c r="H59" s="4"/>
      <c r="I59" s="4" t="s">
        <v>290</v>
      </c>
      <c r="J59" s="4"/>
    </row>
    <row r="60" spans="2:10" x14ac:dyDescent="0.25">
      <c r="D60" s="4" t="s">
        <v>91</v>
      </c>
      <c r="E60" s="4" t="s">
        <v>321</v>
      </c>
      <c r="F60" s="4" t="s">
        <v>115</v>
      </c>
      <c r="G60" s="4"/>
      <c r="H60" s="4"/>
      <c r="I60" s="4" t="s">
        <v>81</v>
      </c>
      <c r="J60" s="4"/>
    </row>
    <row r="61" spans="2:10" x14ac:dyDescent="0.25">
      <c r="D61" s="4" t="s">
        <v>203</v>
      </c>
      <c r="E61" s="4" t="s">
        <v>331</v>
      </c>
      <c r="F61" s="4" t="s">
        <v>163</v>
      </c>
      <c r="G61" s="4"/>
      <c r="H61" s="4"/>
      <c r="I61" s="4" t="s">
        <v>345</v>
      </c>
      <c r="J61" s="4"/>
    </row>
    <row r="62" spans="2:10" x14ac:dyDescent="0.25">
      <c r="D62" s="4" t="s">
        <v>276</v>
      </c>
      <c r="E62" s="4" t="s">
        <v>143</v>
      </c>
      <c r="F62" s="4" t="s">
        <v>79</v>
      </c>
      <c r="G62" s="4"/>
      <c r="H62" s="4"/>
      <c r="I62" s="4" t="s">
        <v>244</v>
      </c>
      <c r="J62" s="4"/>
    </row>
    <row r="63" spans="2:10" x14ac:dyDescent="0.25">
      <c r="D63" s="4" t="s">
        <v>123</v>
      </c>
      <c r="E63" s="4" t="s">
        <v>259</v>
      </c>
      <c r="F63" s="4" t="s">
        <v>302</v>
      </c>
      <c r="G63" s="4"/>
      <c r="H63" s="4"/>
      <c r="I63" s="4" t="s">
        <v>231</v>
      </c>
      <c r="J63" s="4"/>
    </row>
    <row r="64" spans="2:10" x14ac:dyDescent="0.25">
      <c r="D64" s="4" t="s">
        <v>172</v>
      </c>
      <c r="E64" s="4" t="s">
        <v>317</v>
      </c>
      <c r="F64" s="4" t="s">
        <v>124</v>
      </c>
      <c r="G64" s="4"/>
      <c r="H64" s="4"/>
      <c r="I64" s="4" t="s">
        <v>151</v>
      </c>
      <c r="J64" s="4"/>
    </row>
    <row r="65" spans="4:10" x14ac:dyDescent="0.25">
      <c r="D65" s="4" t="s">
        <v>267</v>
      </c>
      <c r="E65" s="4" t="s">
        <v>319</v>
      </c>
      <c r="F65" s="4" t="s">
        <v>264</v>
      </c>
      <c r="G65" s="4"/>
      <c r="H65" s="4"/>
      <c r="I65" s="4" t="s">
        <v>228</v>
      </c>
      <c r="J65" s="4"/>
    </row>
    <row r="66" spans="4:10" x14ac:dyDescent="0.25">
      <c r="D66" s="4" t="s">
        <v>225</v>
      </c>
      <c r="E66" s="4" t="s">
        <v>107</v>
      </c>
      <c r="F66" s="4" t="s">
        <v>121</v>
      </c>
      <c r="G66" s="4"/>
      <c r="H66" s="4"/>
      <c r="I66" s="4" t="s">
        <v>277</v>
      </c>
      <c r="J66" s="4"/>
    </row>
    <row r="67" spans="4:10" x14ac:dyDescent="0.25">
      <c r="D67" s="4" t="s">
        <v>262</v>
      </c>
      <c r="E67" s="4" t="s">
        <v>49</v>
      </c>
      <c r="F67" s="4" t="s">
        <v>240</v>
      </c>
      <c r="G67" s="4"/>
      <c r="H67" s="4"/>
      <c r="I67" s="4" t="s">
        <v>217</v>
      </c>
      <c r="J67" s="4"/>
    </row>
    <row r="68" spans="4:10" x14ac:dyDescent="0.25">
      <c r="D68" s="4" t="s">
        <v>343</v>
      </c>
      <c r="E68" s="4" t="s">
        <v>235</v>
      </c>
      <c r="F68" s="4" t="s">
        <v>97</v>
      </c>
      <c r="G68" s="4"/>
      <c r="H68" s="4"/>
      <c r="I68" s="4" t="s">
        <v>303</v>
      </c>
      <c r="J68" s="4"/>
    </row>
    <row r="69" spans="4:10" x14ac:dyDescent="0.25">
      <c r="D69" s="4" t="s">
        <v>327</v>
      </c>
      <c r="E69" s="4" t="s">
        <v>166</v>
      </c>
      <c r="F69" s="4" t="s">
        <v>130</v>
      </c>
      <c r="G69" s="4"/>
      <c r="H69" s="4"/>
      <c r="I69" s="4" t="s">
        <v>163</v>
      </c>
      <c r="J69" s="4"/>
    </row>
    <row r="70" spans="4:10" x14ac:dyDescent="0.25">
      <c r="D70" s="4" t="s">
        <v>250</v>
      </c>
      <c r="E70" s="4" t="s">
        <v>287</v>
      </c>
      <c r="F70" s="4" t="s">
        <v>323</v>
      </c>
      <c r="G70" s="4"/>
      <c r="H70" s="4"/>
      <c r="I70" s="4" t="s">
        <v>102</v>
      </c>
      <c r="J70" s="4"/>
    </row>
    <row r="71" spans="4:10" x14ac:dyDescent="0.25">
      <c r="D71" s="4" t="s">
        <v>294</v>
      </c>
      <c r="E71" s="4" t="s">
        <v>308</v>
      </c>
      <c r="F71" s="4" t="s">
        <v>337</v>
      </c>
      <c r="G71" s="4"/>
      <c r="H71" s="4"/>
      <c r="I71" s="4" t="s">
        <v>199</v>
      </c>
      <c r="J71" s="4"/>
    </row>
    <row r="72" spans="4:10" x14ac:dyDescent="0.25">
      <c r="D72" s="4" t="s">
        <v>119</v>
      </c>
      <c r="E72" s="4" t="s">
        <v>204</v>
      </c>
      <c r="F72" s="4" t="s">
        <v>109</v>
      </c>
      <c r="G72" s="4"/>
      <c r="H72" s="4"/>
      <c r="I72" s="4" t="s">
        <v>70</v>
      </c>
      <c r="J72" s="4"/>
    </row>
    <row r="73" spans="4:10" x14ac:dyDescent="0.25">
      <c r="D73" s="4" t="s">
        <v>295</v>
      </c>
      <c r="E73" s="4" t="s">
        <v>140</v>
      </c>
      <c r="F73" s="4" t="s">
        <v>247</v>
      </c>
      <c r="G73" s="4"/>
      <c r="H73" s="4"/>
      <c r="I73" s="4" t="s">
        <v>189</v>
      </c>
      <c r="J73" s="4"/>
    </row>
    <row r="74" spans="4:10" x14ac:dyDescent="0.25">
      <c r="D74" s="4" t="s">
        <v>220</v>
      </c>
      <c r="E74" s="4" t="s">
        <v>243</v>
      </c>
      <c r="F74" s="4" t="s">
        <v>135</v>
      </c>
      <c r="G74" s="4"/>
      <c r="H74" s="4"/>
      <c r="I74" s="4" t="s">
        <v>64</v>
      </c>
      <c r="J74" s="4"/>
    </row>
    <row r="75" spans="4:10" x14ac:dyDescent="0.25">
      <c r="D75" s="4" t="s">
        <v>272</v>
      </c>
      <c r="E75" s="4" t="s">
        <v>242</v>
      </c>
      <c r="F75" s="4" t="s">
        <v>156</v>
      </c>
      <c r="G75" s="4"/>
      <c r="H75" s="4"/>
      <c r="I75" s="4" t="s">
        <v>200</v>
      </c>
      <c r="J75" s="4"/>
    </row>
    <row r="76" spans="4:10" x14ac:dyDescent="0.25">
      <c r="D76" s="4" t="s">
        <v>75</v>
      </c>
      <c r="E76" s="4" t="s">
        <v>195</v>
      </c>
      <c r="F76" s="4" t="s">
        <v>148</v>
      </c>
      <c r="G76" s="4"/>
      <c r="H76" s="4"/>
      <c r="I76" s="4" t="s">
        <v>183</v>
      </c>
      <c r="J76" s="4"/>
    </row>
    <row r="77" spans="4:10" x14ac:dyDescent="0.25">
      <c r="D77" s="4" t="s">
        <v>126</v>
      </c>
      <c r="E77" s="4" t="s">
        <v>162</v>
      </c>
      <c r="F77" s="4" t="s">
        <v>270</v>
      </c>
      <c r="G77" s="4"/>
      <c r="H77" s="4"/>
      <c r="I77" s="4" t="s">
        <v>256</v>
      </c>
      <c r="J77" s="4"/>
    </row>
    <row r="78" spans="4:10" x14ac:dyDescent="0.25">
      <c r="D78" s="4" t="s">
        <v>193</v>
      </c>
      <c r="E78" s="4" t="s">
        <v>100</v>
      </c>
      <c r="G78" s="4"/>
      <c r="H78" s="4"/>
      <c r="I78" s="4"/>
    </row>
    <row r="79" spans="4:10" x14ac:dyDescent="0.25">
      <c r="F79" s="4"/>
      <c r="G79" s="4"/>
      <c r="H79" s="4"/>
    </row>
    <row r="80" spans="4:10" x14ac:dyDescent="0.25">
      <c r="F80" s="4"/>
      <c r="G80" s="4"/>
      <c r="H80" s="4"/>
    </row>
    <row r="81" spans="2:8" ht="18.75" x14ac:dyDescent="0.3">
      <c r="B81" s="7" t="s">
        <v>361</v>
      </c>
      <c r="C81" s="7" t="s">
        <v>362</v>
      </c>
      <c r="F81" s="4"/>
      <c r="G81" s="4"/>
      <c r="H81" s="4"/>
    </row>
    <row r="82" spans="2:8" ht="15.75" thickBot="1" x14ac:dyDescent="0.3">
      <c r="F82" s="4"/>
      <c r="G82" s="4"/>
      <c r="H82" s="4"/>
    </row>
    <row r="83" spans="2:8" ht="15.75" thickBot="1" x14ac:dyDescent="0.3">
      <c r="D83" s="17" t="s">
        <v>363</v>
      </c>
      <c r="E83" s="14" t="s">
        <v>364</v>
      </c>
      <c r="F83" s="4"/>
      <c r="G83" s="4"/>
      <c r="H83" s="4"/>
    </row>
    <row r="84" spans="2:8" x14ac:dyDescent="0.25">
      <c r="D84" s="18" t="s">
        <v>358</v>
      </c>
      <c r="E84" s="13">
        <v>32</v>
      </c>
      <c r="F84" s="4"/>
      <c r="G84" s="4"/>
      <c r="H84" s="4"/>
    </row>
    <row r="85" spans="2:8" x14ac:dyDescent="0.25">
      <c r="D85" s="18" t="s">
        <v>359</v>
      </c>
      <c r="E85" s="13">
        <v>60</v>
      </c>
      <c r="F85" s="4"/>
      <c r="G85" s="4"/>
      <c r="H85" s="4"/>
    </row>
    <row r="86" spans="2:8" ht="15.75" thickBot="1" x14ac:dyDescent="0.3">
      <c r="D86" s="18" t="s">
        <v>360</v>
      </c>
      <c r="E86" s="13">
        <v>23</v>
      </c>
      <c r="F86" s="4"/>
      <c r="G86" s="4"/>
      <c r="H86" s="4"/>
    </row>
    <row r="87" spans="2:8" ht="15.75" thickBot="1" x14ac:dyDescent="0.3">
      <c r="D87" s="19" t="s">
        <v>351</v>
      </c>
      <c r="E87" s="16">
        <v>115</v>
      </c>
      <c r="F87" s="4"/>
      <c r="G87" s="4"/>
      <c r="H87" s="4"/>
    </row>
    <row r="88" spans="2:8" x14ac:dyDescent="0.25">
      <c r="F88" s="4"/>
      <c r="G88" s="4"/>
      <c r="H88" s="4"/>
    </row>
    <row r="89" spans="2:8" x14ac:dyDescent="0.25">
      <c r="F89" s="4"/>
      <c r="G89" s="4"/>
      <c r="H89" s="4"/>
    </row>
    <row r="90" spans="2:8" ht="18.75" x14ac:dyDescent="0.3">
      <c r="B90" s="7" t="s">
        <v>377</v>
      </c>
      <c r="C90" s="7" t="s">
        <v>376</v>
      </c>
      <c r="F90" s="4"/>
      <c r="G90" s="4"/>
      <c r="H90" s="4"/>
    </row>
    <row r="91" spans="2:8" ht="15.75" thickBot="1" x14ac:dyDescent="0.3">
      <c r="F91" s="4"/>
      <c r="G91" s="4"/>
      <c r="H91" s="4"/>
    </row>
    <row r="92" spans="2:8" ht="15.75" thickBot="1" x14ac:dyDescent="0.3">
      <c r="D92" s="17" t="s">
        <v>375</v>
      </c>
      <c r="E92" s="14" t="s">
        <v>364</v>
      </c>
      <c r="F92" s="4"/>
      <c r="G92" s="4"/>
      <c r="H92" s="4"/>
    </row>
    <row r="93" spans="2:8" x14ac:dyDescent="0.25">
      <c r="D93" s="18" t="s">
        <v>365</v>
      </c>
      <c r="E93" s="13">
        <v>6</v>
      </c>
      <c r="F93" s="4"/>
      <c r="G93" s="4"/>
      <c r="H93" s="4"/>
    </row>
    <row r="94" spans="2:8" x14ac:dyDescent="0.25">
      <c r="D94" s="18" t="s">
        <v>366</v>
      </c>
      <c r="E94" s="13">
        <v>12</v>
      </c>
      <c r="F94" s="4"/>
      <c r="G94" s="4"/>
      <c r="H94" s="4"/>
    </row>
    <row r="95" spans="2:8" x14ac:dyDescent="0.25">
      <c r="D95" s="18" t="s">
        <v>367</v>
      </c>
      <c r="E95" s="13">
        <v>13</v>
      </c>
      <c r="F95" s="4"/>
      <c r="G95" s="4"/>
      <c r="H95" s="4"/>
    </row>
    <row r="96" spans="2:8" x14ac:dyDescent="0.25">
      <c r="D96" s="18" t="s">
        <v>368</v>
      </c>
      <c r="E96" s="13">
        <v>13</v>
      </c>
      <c r="F96" s="4"/>
      <c r="G96" s="4"/>
      <c r="H96" s="4"/>
    </row>
    <row r="97" spans="2:8" x14ac:dyDescent="0.25">
      <c r="D97" s="18" t="s">
        <v>369</v>
      </c>
      <c r="E97" s="13">
        <v>19</v>
      </c>
      <c r="F97" s="4"/>
      <c r="G97" s="4"/>
      <c r="H97" s="4"/>
    </row>
    <row r="98" spans="2:8" x14ac:dyDescent="0.25">
      <c r="D98" s="18" t="s">
        <v>370</v>
      </c>
      <c r="E98" s="13">
        <v>22</v>
      </c>
      <c r="F98" s="4"/>
      <c r="G98" s="4"/>
      <c r="H98" s="4"/>
    </row>
    <row r="99" spans="2:8" x14ac:dyDescent="0.25">
      <c r="D99" s="18" t="s">
        <v>371</v>
      </c>
      <c r="E99" s="13">
        <v>12</v>
      </c>
      <c r="F99" s="4"/>
      <c r="G99" s="4"/>
      <c r="H99" s="4"/>
    </row>
    <row r="100" spans="2:8" x14ac:dyDescent="0.25">
      <c r="D100" s="18" t="s">
        <v>372</v>
      </c>
      <c r="E100" s="13">
        <v>10</v>
      </c>
      <c r="F100" s="4"/>
      <c r="G100" s="4"/>
      <c r="H100" s="4"/>
    </row>
    <row r="101" spans="2:8" x14ac:dyDescent="0.25">
      <c r="D101" s="18" t="s">
        <v>373</v>
      </c>
      <c r="E101" s="13">
        <v>6</v>
      </c>
      <c r="F101" s="4"/>
      <c r="G101" s="4"/>
      <c r="H101" s="4"/>
    </row>
    <row r="102" spans="2:8" ht="15.75" thickBot="1" x14ac:dyDescent="0.3">
      <c r="D102" s="18" t="s">
        <v>374</v>
      </c>
      <c r="E102" s="13">
        <v>2</v>
      </c>
      <c r="F102" s="4"/>
      <c r="G102" s="4"/>
      <c r="H102" s="4"/>
    </row>
    <row r="103" spans="2:8" ht="15.75" thickBot="1" x14ac:dyDescent="0.3">
      <c r="D103" s="19" t="s">
        <v>351</v>
      </c>
      <c r="E103" s="16">
        <v>115</v>
      </c>
      <c r="F103" s="4"/>
      <c r="G103" s="4"/>
      <c r="H103" s="4"/>
    </row>
    <row r="104" spans="2:8" x14ac:dyDescent="0.25">
      <c r="E104" s="4"/>
      <c r="F104" s="4"/>
      <c r="G104" s="4"/>
      <c r="H104" s="4"/>
    </row>
    <row r="105" spans="2:8" x14ac:dyDescent="0.25">
      <c r="E105" s="4"/>
      <c r="F105" s="4"/>
      <c r="G105" s="4"/>
      <c r="H105" s="4"/>
    </row>
    <row r="106" spans="2:8" ht="18.75" x14ac:dyDescent="0.3">
      <c r="B106" s="7" t="s">
        <v>378</v>
      </c>
      <c r="C106" s="7" t="s">
        <v>379</v>
      </c>
      <c r="E106" s="4"/>
      <c r="F106" s="4"/>
      <c r="G106" s="4"/>
      <c r="H106" s="4"/>
    </row>
    <row r="107" spans="2:8" x14ac:dyDescent="0.25">
      <c r="E107" s="4"/>
      <c r="F107" s="4"/>
      <c r="G107" s="4"/>
      <c r="H107" s="4"/>
    </row>
    <row r="108" spans="2:8" ht="15.75" x14ac:dyDescent="0.25">
      <c r="C108" s="6" t="s">
        <v>380</v>
      </c>
      <c r="E108" s="4"/>
      <c r="F108" s="4"/>
      <c r="G108" s="4"/>
      <c r="H108" s="4"/>
    </row>
    <row r="109" spans="2:8" x14ac:dyDescent="0.25">
      <c r="E109" s="4"/>
      <c r="F109" s="4"/>
      <c r="G109" s="4"/>
      <c r="H109" s="4"/>
    </row>
    <row r="110" spans="2:8" ht="15.75" x14ac:dyDescent="0.25">
      <c r="C110" s="21" t="s">
        <v>381</v>
      </c>
      <c r="D110" s="22">
        <f>CORREL(data!F2:F116,data!H2:H116)</f>
        <v>7.2088741251564253E-2</v>
      </c>
      <c r="E110" s="4"/>
      <c r="F110" s="4"/>
      <c r="G110" s="4"/>
      <c r="H110" s="4"/>
    </row>
    <row r="111" spans="2:8" x14ac:dyDescent="0.25">
      <c r="E111" s="4"/>
      <c r="F111" s="4"/>
      <c r="G111" s="4"/>
      <c r="H111" s="4"/>
    </row>
    <row r="112" spans="2:8" x14ac:dyDescent="0.25">
      <c r="E112" s="4"/>
      <c r="F112" s="4"/>
      <c r="G112" s="4"/>
      <c r="H112" s="4"/>
    </row>
    <row r="113" spans="2:8" ht="18.75" x14ac:dyDescent="0.3">
      <c r="B113" s="7" t="s">
        <v>382</v>
      </c>
      <c r="C113" s="7" t="s">
        <v>383</v>
      </c>
      <c r="E113" s="4"/>
      <c r="F113" s="4"/>
      <c r="G113" s="4"/>
      <c r="H113" s="4"/>
    </row>
    <row r="114" spans="2:8" ht="15.75" thickBot="1" x14ac:dyDescent="0.3">
      <c r="E114" s="4"/>
      <c r="F114" s="4"/>
      <c r="G114" s="4"/>
      <c r="H114" s="4"/>
    </row>
    <row r="115" spans="2:8" ht="15.75" thickBot="1" x14ac:dyDescent="0.3">
      <c r="C115" s="17" t="s">
        <v>384</v>
      </c>
      <c r="D115" s="14" t="s">
        <v>385</v>
      </c>
      <c r="E115" s="4"/>
      <c r="F115" s="4"/>
      <c r="G115" s="4"/>
      <c r="H115" s="4"/>
    </row>
    <row r="116" spans="2:8" x14ac:dyDescent="0.25">
      <c r="C116" s="18" t="s">
        <v>28</v>
      </c>
      <c r="D116" s="13">
        <v>71</v>
      </c>
      <c r="E116" s="4"/>
      <c r="F116" s="4"/>
      <c r="G116" s="4"/>
      <c r="H116" s="4"/>
    </row>
    <row r="117" spans="2:8" x14ac:dyDescent="0.25">
      <c r="C117" s="18" t="s">
        <v>72</v>
      </c>
      <c r="D117" s="13">
        <v>35</v>
      </c>
      <c r="E117" s="4"/>
      <c r="F117" s="4"/>
      <c r="G117" s="4"/>
      <c r="H117" s="4"/>
    </row>
    <row r="118" spans="2:8" x14ac:dyDescent="0.25">
      <c r="C118" s="18" t="s">
        <v>160</v>
      </c>
      <c r="D118" s="13">
        <v>8</v>
      </c>
      <c r="E118" s="4"/>
      <c r="F118" s="4"/>
      <c r="G118" s="4"/>
      <c r="H118" s="4"/>
    </row>
    <row r="119" spans="2:8" ht="15.75" thickBot="1" x14ac:dyDescent="0.3">
      <c r="C119" s="25" t="s">
        <v>281</v>
      </c>
      <c r="D119" s="13">
        <v>1</v>
      </c>
      <c r="E119" s="4"/>
      <c r="F119" s="4"/>
      <c r="G119" s="4"/>
      <c r="H119" s="4"/>
    </row>
    <row r="120" spans="2:8" ht="15.75" thickBot="1" x14ac:dyDescent="0.3">
      <c r="C120" s="15" t="s">
        <v>351</v>
      </c>
      <c r="D120" s="16">
        <v>115</v>
      </c>
      <c r="E120" s="4"/>
      <c r="F120" s="4"/>
      <c r="G120" s="4"/>
      <c r="H120" s="4"/>
    </row>
    <row r="121" spans="2:8" x14ac:dyDescent="0.25">
      <c r="E121" s="4"/>
      <c r="F121" s="4"/>
      <c r="G121" s="4"/>
      <c r="H121" s="4"/>
    </row>
    <row r="122" spans="2:8" x14ac:dyDescent="0.25">
      <c r="E122" s="4"/>
      <c r="F122" s="4"/>
      <c r="G122" s="4"/>
      <c r="H122" s="4"/>
    </row>
    <row r="123" spans="2:8" x14ac:dyDescent="0.25">
      <c r="E123" s="4"/>
      <c r="F123" s="4"/>
      <c r="G123" s="4"/>
      <c r="H123" s="4"/>
    </row>
    <row r="124" spans="2:8" x14ac:dyDescent="0.25">
      <c r="E124" s="4"/>
      <c r="F124" s="4"/>
      <c r="G124" s="4"/>
      <c r="H124" s="4"/>
    </row>
    <row r="125" spans="2:8" x14ac:dyDescent="0.25">
      <c r="E125" s="4"/>
      <c r="F125" s="4"/>
      <c r="G125" s="4"/>
      <c r="H125" s="4"/>
    </row>
    <row r="126" spans="2:8" x14ac:dyDescent="0.25">
      <c r="E126" s="4"/>
      <c r="F126" s="4"/>
      <c r="G126" s="4"/>
      <c r="H126" s="4"/>
    </row>
    <row r="127" spans="2:8" x14ac:dyDescent="0.25">
      <c r="E127" s="4"/>
      <c r="F127" s="4"/>
      <c r="G127" s="4"/>
      <c r="H127" s="4"/>
    </row>
    <row r="128" spans="2:8" x14ac:dyDescent="0.25">
      <c r="E128" s="4"/>
      <c r="F128" s="4"/>
      <c r="G128" s="4"/>
      <c r="H128" s="4"/>
    </row>
    <row r="129" spans="2:8" x14ac:dyDescent="0.25">
      <c r="E129" s="4"/>
      <c r="F129" s="4"/>
      <c r="G129" s="4"/>
      <c r="H129" s="4"/>
    </row>
    <row r="130" spans="2:8" x14ac:dyDescent="0.25">
      <c r="E130" s="4"/>
      <c r="F130" s="4"/>
      <c r="G130" s="4"/>
      <c r="H130" s="4"/>
    </row>
    <row r="131" spans="2:8" x14ac:dyDescent="0.25">
      <c r="E131" s="4"/>
      <c r="F131" s="4"/>
      <c r="G131" s="4"/>
      <c r="H131" s="4"/>
    </row>
    <row r="132" spans="2:8" ht="18.75" x14ac:dyDescent="0.3">
      <c r="B132" s="7" t="s">
        <v>388</v>
      </c>
      <c r="C132" s="7" t="s">
        <v>387</v>
      </c>
    </row>
    <row r="133" spans="2:8" ht="15.75" thickBot="1" x14ac:dyDescent="0.3"/>
    <row r="134" spans="2:8" ht="15.75" thickBot="1" x14ac:dyDescent="0.3">
      <c r="C134" s="17" t="s">
        <v>386</v>
      </c>
      <c r="D134" s="14" t="s">
        <v>364</v>
      </c>
    </row>
    <row r="135" spans="2:8" x14ac:dyDescent="0.25">
      <c r="C135" s="18" t="s">
        <v>94</v>
      </c>
      <c r="D135" s="29">
        <v>3</v>
      </c>
    </row>
    <row r="136" spans="2:8" x14ac:dyDescent="0.25">
      <c r="C136" s="18" t="s">
        <v>233</v>
      </c>
      <c r="D136" s="29">
        <v>1</v>
      </c>
    </row>
    <row r="137" spans="2:8" x14ac:dyDescent="0.25">
      <c r="C137" s="18" t="s">
        <v>52</v>
      </c>
      <c r="D137" s="29">
        <v>91</v>
      </c>
    </row>
    <row r="138" spans="2:8" x14ac:dyDescent="0.25">
      <c r="C138" s="18" t="s">
        <v>29</v>
      </c>
      <c r="D138" s="29">
        <v>2</v>
      </c>
    </row>
    <row r="139" spans="2:8" x14ac:dyDescent="0.25">
      <c r="C139" s="18" t="s">
        <v>137</v>
      </c>
      <c r="D139" s="29">
        <v>2</v>
      </c>
    </row>
    <row r="140" spans="2:8" x14ac:dyDescent="0.25">
      <c r="C140" s="18" t="s">
        <v>176</v>
      </c>
      <c r="D140" s="29">
        <v>2</v>
      </c>
    </row>
    <row r="141" spans="2:8" x14ac:dyDescent="0.25">
      <c r="C141" s="18" t="s">
        <v>153</v>
      </c>
      <c r="D141" s="29">
        <v>4</v>
      </c>
    </row>
    <row r="142" spans="2:8" x14ac:dyDescent="0.25">
      <c r="C142" s="18" t="s">
        <v>58</v>
      </c>
      <c r="D142" s="29">
        <v>3</v>
      </c>
    </row>
    <row r="143" spans="2:8" x14ac:dyDescent="0.25">
      <c r="C143" s="18" t="s">
        <v>197</v>
      </c>
      <c r="D143" s="29">
        <v>1</v>
      </c>
    </row>
    <row r="144" spans="2:8" ht="15.75" thickBot="1" x14ac:dyDescent="0.3">
      <c r="C144" s="18" t="s">
        <v>44</v>
      </c>
      <c r="D144" s="29">
        <v>6</v>
      </c>
    </row>
    <row r="145" spans="2:8" ht="15.75" thickBot="1" x14ac:dyDescent="0.3">
      <c r="C145" s="30" t="s">
        <v>351</v>
      </c>
      <c r="D145" s="31">
        <v>115</v>
      </c>
    </row>
    <row r="151" spans="2:8" ht="18.75" x14ac:dyDescent="0.3">
      <c r="B151" s="7" t="s">
        <v>389</v>
      </c>
      <c r="C151" s="7" t="s">
        <v>390</v>
      </c>
    </row>
    <row r="153" spans="2:8" ht="15.75" thickBot="1" x14ac:dyDescent="0.3"/>
    <row r="154" spans="2:8" ht="15.75" thickBot="1" x14ac:dyDescent="0.3">
      <c r="C154" s="17" t="s">
        <v>391</v>
      </c>
      <c r="D154" s="17" t="s">
        <v>188</v>
      </c>
      <c r="E154" s="17" t="s">
        <v>25</v>
      </c>
      <c r="F154" s="17" t="s">
        <v>51</v>
      </c>
      <c r="G154" s="17" t="s">
        <v>87</v>
      </c>
      <c r="H154" s="38" t="s">
        <v>351</v>
      </c>
    </row>
    <row r="155" spans="2:8" x14ac:dyDescent="0.25">
      <c r="C155" s="26" t="s">
        <v>24</v>
      </c>
      <c r="D155" s="34">
        <v>1</v>
      </c>
      <c r="E155" s="32">
        <v>54</v>
      </c>
      <c r="F155" s="32">
        <v>6</v>
      </c>
      <c r="G155" s="32">
        <v>1</v>
      </c>
      <c r="H155" s="29">
        <v>62</v>
      </c>
    </row>
    <row r="156" spans="2:8" ht="15.75" thickBot="1" x14ac:dyDescent="0.3">
      <c r="C156" s="25" t="s">
        <v>41</v>
      </c>
      <c r="D156" s="35">
        <v>1</v>
      </c>
      <c r="E156" s="33">
        <v>51</v>
      </c>
      <c r="F156" s="33">
        <v>1</v>
      </c>
      <c r="G156" s="37">
        <v>0</v>
      </c>
      <c r="H156" s="29">
        <v>53</v>
      </c>
    </row>
    <row r="157" spans="2:8" ht="15.75" thickBot="1" x14ac:dyDescent="0.3">
      <c r="C157" s="30" t="s">
        <v>351</v>
      </c>
      <c r="D157" s="36">
        <v>2</v>
      </c>
      <c r="E157" s="36">
        <v>105</v>
      </c>
      <c r="F157" s="36">
        <v>7</v>
      </c>
      <c r="G157" s="36">
        <v>1</v>
      </c>
      <c r="H157" s="31">
        <v>115</v>
      </c>
    </row>
    <row r="160" spans="2:8" ht="18.75" x14ac:dyDescent="0.3">
      <c r="B160" s="7" t="s">
        <v>392</v>
      </c>
      <c r="C160" s="7" t="s">
        <v>393</v>
      </c>
    </row>
    <row r="162" spans="2:8" ht="15.75" thickBot="1" x14ac:dyDescent="0.3"/>
    <row r="163" spans="2:8" ht="15.75" thickBot="1" x14ac:dyDescent="0.3">
      <c r="C163" s="17" t="s">
        <v>394</v>
      </c>
      <c r="D163" s="17" t="s">
        <v>188</v>
      </c>
      <c r="E163" s="17" t="s">
        <v>25</v>
      </c>
      <c r="F163" s="17" t="s">
        <v>51</v>
      </c>
      <c r="G163" s="17" t="s">
        <v>87</v>
      </c>
      <c r="H163" s="38" t="s">
        <v>351</v>
      </c>
    </row>
    <row r="164" spans="2:8" x14ac:dyDescent="0.25">
      <c r="C164" s="26" t="s">
        <v>90</v>
      </c>
      <c r="D164" s="26">
        <v>1</v>
      </c>
      <c r="E164" s="26">
        <v>35</v>
      </c>
      <c r="F164" s="26">
        <v>2</v>
      </c>
      <c r="G164" s="26">
        <v>0</v>
      </c>
      <c r="H164" s="27">
        <v>38</v>
      </c>
    </row>
    <row r="165" spans="2:8" ht="15.75" thickBot="1" x14ac:dyDescent="0.3">
      <c r="C165" s="25" t="s">
        <v>34</v>
      </c>
      <c r="D165" s="25">
        <v>1</v>
      </c>
      <c r="E165" s="25">
        <v>70</v>
      </c>
      <c r="F165" s="25">
        <v>5</v>
      </c>
      <c r="G165" s="25">
        <v>1</v>
      </c>
      <c r="H165" s="39">
        <v>77</v>
      </c>
    </row>
    <row r="166" spans="2:8" ht="15.75" thickBot="1" x14ac:dyDescent="0.3">
      <c r="C166" s="30" t="s">
        <v>351</v>
      </c>
      <c r="D166" s="30">
        <v>2</v>
      </c>
      <c r="E166" s="30">
        <v>105</v>
      </c>
      <c r="F166" s="30">
        <v>7</v>
      </c>
      <c r="G166" s="30">
        <v>1</v>
      </c>
      <c r="H166" s="40">
        <v>115</v>
      </c>
    </row>
    <row r="169" spans="2:8" ht="18.75" x14ac:dyDescent="0.3">
      <c r="B169" s="7" t="s">
        <v>395</v>
      </c>
      <c r="C169" s="7" t="s">
        <v>396</v>
      </c>
    </row>
    <row r="170" spans="2:8" ht="15.75" thickBot="1" x14ac:dyDescent="0.3"/>
    <row r="171" spans="2:8" ht="16.5" thickBot="1" x14ac:dyDescent="0.3">
      <c r="C171" s="42" t="s">
        <v>400</v>
      </c>
      <c r="D171" s="41"/>
      <c r="F171" s="6" t="s">
        <v>403</v>
      </c>
      <c r="G171" s="6"/>
      <c r="H171" s="6"/>
    </row>
    <row r="172" spans="2:8" ht="15.75" thickBot="1" x14ac:dyDescent="0.3">
      <c r="C172" s="26" t="s">
        <v>397</v>
      </c>
      <c r="D172" s="27">
        <v>30</v>
      </c>
    </row>
    <row r="173" spans="2:8" ht="15.75" thickBot="1" x14ac:dyDescent="0.3">
      <c r="C173" s="26" t="s">
        <v>398</v>
      </c>
      <c r="D173" s="27">
        <v>28</v>
      </c>
      <c r="G173" s="8" t="s">
        <v>401</v>
      </c>
      <c r="H173" s="43">
        <f>D172/D175</f>
        <v>0.2608695652173913</v>
      </c>
    </row>
    <row r="174" spans="2:8" ht="15.75" thickBot="1" x14ac:dyDescent="0.3">
      <c r="C174" s="26" t="s">
        <v>399</v>
      </c>
      <c r="D174" s="27">
        <v>57</v>
      </c>
    </row>
    <row r="175" spans="2:8" ht="15.75" thickBot="1" x14ac:dyDescent="0.3">
      <c r="C175" s="30" t="s">
        <v>351</v>
      </c>
      <c r="D175" s="40">
        <v>115</v>
      </c>
    </row>
    <row r="178" spans="2:7" ht="18.75" x14ac:dyDescent="0.3">
      <c r="B178" s="7" t="s">
        <v>402</v>
      </c>
      <c r="C178" s="7" t="s">
        <v>404</v>
      </c>
    </row>
    <row r="180" spans="2:7" ht="15.75" thickBot="1" x14ac:dyDescent="0.3"/>
    <row r="181" spans="2:7" ht="15.75" thickBot="1" x14ac:dyDescent="0.3">
      <c r="C181" s="17" t="s">
        <v>391</v>
      </c>
      <c r="D181" s="47" t="s">
        <v>397</v>
      </c>
      <c r="E181" s="47" t="s">
        <v>398</v>
      </c>
      <c r="F181" s="14" t="s">
        <v>399</v>
      </c>
      <c r="G181" s="44"/>
    </row>
    <row r="182" spans="2:7" x14ac:dyDescent="0.25">
      <c r="C182" s="18" t="s">
        <v>24</v>
      </c>
      <c r="D182" s="37">
        <v>15</v>
      </c>
      <c r="E182" s="37">
        <v>12</v>
      </c>
      <c r="F182" s="29">
        <v>35</v>
      </c>
      <c r="G182" s="45"/>
    </row>
    <row r="183" spans="2:7" ht="15.75" thickBot="1" x14ac:dyDescent="0.3">
      <c r="C183" s="18" t="s">
        <v>41</v>
      </c>
      <c r="D183" s="37">
        <v>15</v>
      </c>
      <c r="E183" s="37">
        <v>16</v>
      </c>
      <c r="F183" s="29">
        <v>22</v>
      </c>
      <c r="G183" s="45"/>
    </row>
    <row r="184" spans="2:7" ht="16.5" thickBot="1" x14ac:dyDescent="0.3">
      <c r="C184" s="30" t="s">
        <v>351</v>
      </c>
      <c r="D184" s="36">
        <v>30</v>
      </c>
      <c r="E184" s="36">
        <v>28</v>
      </c>
      <c r="F184" s="31">
        <v>57</v>
      </c>
      <c r="G184" s="46"/>
    </row>
    <row r="187" spans="2:7" ht="18.75" x14ac:dyDescent="0.3">
      <c r="B187" s="7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8BFB-8DA4-40C5-969C-92E0CAF31916}">
  <dimension ref="B3:X62"/>
  <sheetViews>
    <sheetView workbookViewId="0">
      <selection activeCell="C3" sqref="C3"/>
    </sheetView>
  </sheetViews>
  <sheetFormatPr defaultRowHeight="15" x14ac:dyDescent="0.25"/>
  <cols>
    <col min="2" max="2" width="16.28515625" bestFit="1" customWidth="1"/>
    <col min="4" max="4" width="9.7109375" customWidth="1"/>
    <col min="5" max="5" width="18.140625" bestFit="1" customWidth="1"/>
    <col min="6" max="6" width="9.7109375" customWidth="1"/>
    <col min="7" max="7" width="14.7109375" bestFit="1" customWidth="1"/>
    <col min="8" max="8" width="10.85546875" bestFit="1" customWidth="1"/>
    <col min="11" max="11" width="9.7109375" bestFit="1" customWidth="1"/>
  </cols>
  <sheetData>
    <row r="3" spans="2:5" ht="18.75" x14ac:dyDescent="0.3">
      <c r="B3" s="7" t="s">
        <v>348</v>
      </c>
      <c r="C3" s="7" t="s">
        <v>405</v>
      </c>
    </row>
    <row r="5" spans="2:5" ht="15.75" x14ac:dyDescent="0.25">
      <c r="C5" s="6" t="s">
        <v>406</v>
      </c>
    </row>
    <row r="7" spans="2:5" ht="15.75" thickBot="1" x14ac:dyDescent="0.3">
      <c r="D7" t="s">
        <v>407</v>
      </c>
    </row>
    <row r="8" spans="2:5" ht="15.75" thickBot="1" x14ac:dyDescent="0.3">
      <c r="D8" s="51" t="s">
        <v>2</v>
      </c>
      <c r="E8" s="48" t="s">
        <v>7</v>
      </c>
    </row>
    <row r="9" spans="2:5" x14ac:dyDescent="0.25">
      <c r="D9" s="52" t="s">
        <v>41</v>
      </c>
      <c r="E9" s="49">
        <v>46</v>
      </c>
    </row>
    <row r="10" spans="2:5" ht="15.75" thickBot="1" x14ac:dyDescent="0.3">
      <c r="D10" s="53" t="s">
        <v>24</v>
      </c>
      <c r="E10" s="50">
        <v>82</v>
      </c>
    </row>
    <row r="13" spans="2:5" ht="18.75" x14ac:dyDescent="0.3">
      <c r="B13" s="7" t="s">
        <v>353</v>
      </c>
      <c r="C13" s="7" t="s">
        <v>408</v>
      </c>
    </row>
    <row r="15" spans="2:5" ht="15.75" thickBot="1" x14ac:dyDescent="0.3"/>
    <row r="16" spans="2:5" ht="15.75" thickBot="1" x14ac:dyDescent="0.3">
      <c r="D16" s="17" t="s">
        <v>410</v>
      </c>
      <c r="E16" s="14" t="s">
        <v>411</v>
      </c>
    </row>
    <row r="17" spans="2:5" x14ac:dyDescent="0.25">
      <c r="D17" s="52" t="s">
        <v>409</v>
      </c>
      <c r="E17" s="49" t="s">
        <v>245</v>
      </c>
    </row>
    <row r="18" spans="2:5" x14ac:dyDescent="0.25">
      <c r="D18" s="52" t="s">
        <v>310</v>
      </c>
      <c r="E18" s="49" t="s">
        <v>311</v>
      </c>
    </row>
    <row r="19" spans="2:5" x14ac:dyDescent="0.25">
      <c r="D19" s="52" t="s">
        <v>183</v>
      </c>
      <c r="E19" s="49" t="s">
        <v>92</v>
      </c>
    </row>
    <row r="20" spans="2:5" x14ac:dyDescent="0.25">
      <c r="D20" s="52" t="s">
        <v>163</v>
      </c>
      <c r="E20" s="49" t="s">
        <v>65</v>
      </c>
    </row>
    <row r="21" spans="2:5" x14ac:dyDescent="0.25">
      <c r="D21" s="52" t="s">
        <v>214</v>
      </c>
      <c r="E21" s="49" t="s">
        <v>165</v>
      </c>
    </row>
    <row r="22" spans="2:5" x14ac:dyDescent="0.25">
      <c r="D22" s="52" t="s">
        <v>217</v>
      </c>
      <c r="E22" s="49" t="s">
        <v>218</v>
      </c>
    </row>
    <row r="23" spans="2:5" ht="15.75" thickBot="1" x14ac:dyDescent="0.3">
      <c r="D23" s="53" t="s">
        <v>290</v>
      </c>
      <c r="E23" s="54" t="s">
        <v>291</v>
      </c>
    </row>
    <row r="26" spans="2:5" ht="18.75" x14ac:dyDescent="0.3">
      <c r="B26" s="7" t="s">
        <v>356</v>
      </c>
      <c r="C26" s="7" t="s">
        <v>412</v>
      </c>
    </row>
    <row r="28" spans="2:5" ht="15.75" x14ac:dyDescent="0.25">
      <c r="D28" s="6" t="s">
        <v>413</v>
      </c>
    </row>
    <row r="31" spans="2:5" ht="18.75" x14ac:dyDescent="0.3">
      <c r="B31" s="7" t="s">
        <v>361</v>
      </c>
      <c r="C31" s="7" t="s">
        <v>414</v>
      </c>
    </row>
    <row r="33" spans="4:11" ht="15.75" thickBot="1" x14ac:dyDescent="0.3"/>
    <row r="34" spans="4:11" ht="15.75" thickBot="1" x14ac:dyDescent="0.3">
      <c r="D34" s="17" t="s">
        <v>410</v>
      </c>
      <c r="E34" s="14" t="s">
        <v>411</v>
      </c>
      <c r="G34" s="17" t="s">
        <v>410</v>
      </c>
      <c r="H34" s="14" t="s">
        <v>411</v>
      </c>
      <c r="J34" s="17" t="s">
        <v>410</v>
      </c>
      <c r="K34" s="14" t="s">
        <v>411</v>
      </c>
    </row>
    <row r="35" spans="4:11" x14ac:dyDescent="0.25">
      <c r="D35" s="52" t="s">
        <v>148</v>
      </c>
      <c r="E35" s="49" t="s">
        <v>149</v>
      </c>
      <c r="G35" s="52" t="s">
        <v>163</v>
      </c>
      <c r="H35" s="49" t="s">
        <v>65</v>
      </c>
      <c r="J35" s="52" t="s">
        <v>180</v>
      </c>
      <c r="K35" s="49" t="s">
        <v>181</v>
      </c>
    </row>
    <row r="36" spans="4:11" x14ac:dyDescent="0.25">
      <c r="D36" s="52" t="s">
        <v>102</v>
      </c>
      <c r="E36" s="49" t="s">
        <v>103</v>
      </c>
      <c r="G36" s="55" t="s">
        <v>171</v>
      </c>
      <c r="H36" s="49" t="s">
        <v>165</v>
      </c>
      <c r="J36" s="52" t="s">
        <v>163</v>
      </c>
      <c r="K36" s="49" t="s">
        <v>293</v>
      </c>
    </row>
    <row r="37" spans="4:11" x14ac:dyDescent="0.25">
      <c r="D37" s="52" t="s">
        <v>189</v>
      </c>
      <c r="E37" s="49" t="s">
        <v>190</v>
      </c>
      <c r="G37" s="52" t="s">
        <v>214</v>
      </c>
      <c r="H37" s="49" t="s">
        <v>165</v>
      </c>
      <c r="J37" s="52" t="s">
        <v>91</v>
      </c>
      <c r="K37" s="49" t="s">
        <v>314</v>
      </c>
    </row>
    <row r="38" spans="4:11" x14ac:dyDescent="0.25">
      <c r="D38" s="52" t="s">
        <v>244</v>
      </c>
      <c r="E38" s="49" t="s">
        <v>245</v>
      </c>
      <c r="G38" s="52" t="s">
        <v>220</v>
      </c>
      <c r="H38" s="49" t="s">
        <v>165</v>
      </c>
      <c r="J38" s="52" t="s">
        <v>109</v>
      </c>
      <c r="K38" s="49" t="s">
        <v>110</v>
      </c>
    </row>
    <row r="39" spans="4:11" x14ac:dyDescent="0.25">
      <c r="D39" s="52" t="s">
        <v>302</v>
      </c>
      <c r="E39" s="49" t="s">
        <v>146</v>
      </c>
      <c r="G39" s="52" t="s">
        <v>345</v>
      </c>
      <c r="H39" s="49" t="s">
        <v>165</v>
      </c>
      <c r="J39" s="52" t="s">
        <v>253</v>
      </c>
      <c r="K39" s="49" t="s">
        <v>110</v>
      </c>
    </row>
    <row r="40" spans="4:11" ht="15.75" thickBot="1" x14ac:dyDescent="0.3">
      <c r="D40" s="52" t="s">
        <v>56</v>
      </c>
      <c r="E40" s="49" t="s">
        <v>57</v>
      </c>
      <c r="G40" s="52" t="s">
        <v>250</v>
      </c>
      <c r="H40" s="49" t="s">
        <v>120</v>
      </c>
      <c r="J40" s="53" t="s">
        <v>290</v>
      </c>
      <c r="K40" s="54" t="s">
        <v>291</v>
      </c>
    </row>
    <row r="41" spans="4:11" x14ac:dyDescent="0.25">
      <c r="D41" s="52" t="s">
        <v>113</v>
      </c>
      <c r="E41" s="49" t="s">
        <v>57</v>
      </c>
      <c r="G41" s="55" t="s">
        <v>294</v>
      </c>
      <c r="H41" s="49" t="s">
        <v>120</v>
      </c>
    </row>
    <row r="42" spans="4:11" x14ac:dyDescent="0.25">
      <c r="D42" s="52" t="s">
        <v>183</v>
      </c>
      <c r="E42" s="49" t="s">
        <v>92</v>
      </c>
      <c r="G42" s="52" t="s">
        <v>296</v>
      </c>
      <c r="H42" s="49" t="s">
        <v>297</v>
      </c>
    </row>
    <row r="43" spans="4:11" x14ac:dyDescent="0.25">
      <c r="D43" s="52" t="s">
        <v>340</v>
      </c>
      <c r="E43" s="49" t="s">
        <v>268</v>
      </c>
      <c r="G43" s="55" t="s">
        <v>100</v>
      </c>
      <c r="H43" s="49" t="s">
        <v>98</v>
      </c>
    </row>
    <row r="44" spans="4:11" x14ac:dyDescent="0.25">
      <c r="D44" s="52" t="s">
        <v>105</v>
      </c>
      <c r="E44" s="49" t="s">
        <v>106</v>
      </c>
      <c r="G44" s="52" t="s">
        <v>303</v>
      </c>
      <c r="H44" s="49" t="s">
        <v>304</v>
      </c>
    </row>
    <row r="45" spans="4:11" x14ac:dyDescent="0.25">
      <c r="D45" s="52" t="s">
        <v>323</v>
      </c>
      <c r="E45" s="49" t="s">
        <v>122</v>
      </c>
      <c r="G45" s="52" t="s">
        <v>217</v>
      </c>
      <c r="H45" s="49" t="s">
        <v>218</v>
      </c>
    </row>
    <row r="46" spans="4:11" x14ac:dyDescent="0.25">
      <c r="D46" s="52" t="s">
        <v>64</v>
      </c>
      <c r="E46" s="49" t="s">
        <v>65</v>
      </c>
      <c r="G46" s="52" t="s">
        <v>193</v>
      </c>
      <c r="H46" s="49" t="s">
        <v>194</v>
      </c>
    </row>
    <row r="47" spans="4:11" ht="15.75" thickBot="1" x14ac:dyDescent="0.3">
      <c r="D47" s="53" t="s">
        <v>79</v>
      </c>
      <c r="E47" s="54" t="s">
        <v>65</v>
      </c>
      <c r="G47" s="53" t="s">
        <v>249</v>
      </c>
      <c r="H47" s="54" t="s">
        <v>159</v>
      </c>
    </row>
    <row r="50" spans="2:24" ht="18.75" x14ac:dyDescent="0.3">
      <c r="B50" s="7" t="s">
        <v>377</v>
      </c>
      <c r="C50" s="7" t="s">
        <v>415</v>
      </c>
    </row>
    <row r="52" spans="2:24" ht="15.75" x14ac:dyDescent="0.25">
      <c r="D52" s="6" t="s">
        <v>416</v>
      </c>
    </row>
    <row r="55" spans="2:24" ht="18.75" x14ac:dyDescent="0.3">
      <c r="B55" s="7" t="s">
        <v>378</v>
      </c>
      <c r="C55" s="7" t="s">
        <v>417</v>
      </c>
    </row>
    <row r="56" spans="2:24" ht="15.75" thickBot="1" x14ac:dyDescent="0.3"/>
    <row r="57" spans="2:24" ht="15.75" thickBot="1" x14ac:dyDescent="0.3">
      <c r="C57" s="81" t="s">
        <v>428</v>
      </c>
      <c r="D57" s="82"/>
      <c r="E57" s="82"/>
      <c r="F57" s="82"/>
      <c r="G57" s="82"/>
      <c r="H57" s="83"/>
      <c r="I57" s="82" t="s">
        <v>429</v>
      </c>
      <c r="J57" s="82"/>
      <c r="K57" s="82"/>
      <c r="L57" s="82"/>
      <c r="M57" s="82"/>
      <c r="N57" s="83"/>
    </row>
    <row r="58" spans="2:24" ht="15.75" thickBot="1" x14ac:dyDescent="0.3">
      <c r="C58" s="78" t="s">
        <v>426</v>
      </c>
      <c r="D58" s="79"/>
      <c r="E58" s="80"/>
      <c r="F58" s="79" t="s">
        <v>427</v>
      </c>
      <c r="G58" s="79"/>
      <c r="H58" s="80"/>
      <c r="I58" s="78" t="s">
        <v>426</v>
      </c>
      <c r="J58" s="79"/>
      <c r="K58" s="80"/>
      <c r="L58" s="79" t="s">
        <v>427</v>
      </c>
      <c r="M58" s="79"/>
      <c r="N58" s="80"/>
    </row>
    <row r="59" spans="2:24" ht="15.75" thickBot="1" x14ac:dyDescent="0.3">
      <c r="C59" s="24" t="s">
        <v>423</v>
      </c>
      <c r="D59" s="59" t="s">
        <v>424</v>
      </c>
      <c r="E59" s="23" t="s">
        <v>425</v>
      </c>
      <c r="F59" s="24" t="s">
        <v>423</v>
      </c>
      <c r="G59" s="59" t="s">
        <v>424</v>
      </c>
      <c r="H59" s="23" t="s">
        <v>425</v>
      </c>
      <c r="I59" s="24" t="s">
        <v>423</v>
      </c>
      <c r="J59" s="59" t="s">
        <v>424</v>
      </c>
      <c r="K59" s="23" t="s">
        <v>425</v>
      </c>
      <c r="L59" s="24" t="s">
        <v>423</v>
      </c>
      <c r="M59" s="59" t="s">
        <v>424</v>
      </c>
      <c r="N59" s="23" t="s">
        <v>425</v>
      </c>
    </row>
    <row r="60" spans="2:24" ht="15.75" thickBot="1" x14ac:dyDescent="0.3">
      <c r="C60" s="25">
        <v>2</v>
      </c>
      <c r="D60" s="33">
        <v>7</v>
      </c>
      <c r="E60" s="58">
        <v>30</v>
      </c>
      <c r="F60" s="25">
        <v>1</v>
      </c>
      <c r="G60" s="33">
        <v>3</v>
      </c>
      <c r="H60" s="58">
        <v>19</v>
      </c>
      <c r="I60" s="25">
        <v>7</v>
      </c>
      <c r="J60" s="33">
        <v>2</v>
      </c>
      <c r="K60" s="58">
        <v>8</v>
      </c>
      <c r="L60" s="25">
        <v>1</v>
      </c>
      <c r="M60" s="33">
        <v>13</v>
      </c>
      <c r="N60" s="58">
        <v>22</v>
      </c>
    </row>
    <row r="62" spans="2:24" s="56" customFormat="1" x14ac:dyDescent="0.25"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</row>
  </sheetData>
  <mergeCells count="6">
    <mergeCell ref="C58:E58"/>
    <mergeCell ref="F58:H58"/>
    <mergeCell ref="I58:K58"/>
    <mergeCell ref="L58:N58"/>
    <mergeCell ref="C57:H57"/>
    <mergeCell ref="I57:N5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73FB-E8A5-48AC-BE9A-508551BFADF1}">
  <dimension ref="B3:O147"/>
  <sheetViews>
    <sheetView topLeftCell="A127" workbookViewId="0">
      <selection activeCell="C147" sqref="C147"/>
    </sheetView>
  </sheetViews>
  <sheetFormatPr defaultRowHeight="15" x14ac:dyDescent="0.25"/>
  <cols>
    <col min="2" max="2" width="15" bestFit="1" customWidth="1"/>
    <col min="3" max="3" width="16.85546875" customWidth="1"/>
    <col min="4" max="4" width="11.5703125" bestFit="1" customWidth="1"/>
    <col min="5" max="5" width="19.5703125" customWidth="1"/>
    <col min="8" max="8" width="16.140625" customWidth="1"/>
    <col min="9" max="9" width="11.7109375" customWidth="1"/>
    <col min="10" max="10" width="17.7109375" customWidth="1"/>
    <col min="12" max="12" width="29" customWidth="1"/>
    <col min="13" max="13" width="11.7109375" customWidth="1"/>
  </cols>
  <sheetData>
    <row r="3" spans="2:6" ht="18.75" x14ac:dyDescent="0.3">
      <c r="B3" s="7" t="s">
        <v>348</v>
      </c>
      <c r="C3" s="7" t="s">
        <v>430</v>
      </c>
    </row>
    <row r="5" spans="2:6" ht="15.75" x14ac:dyDescent="0.25">
      <c r="C5" s="6" t="s">
        <v>431</v>
      </c>
      <c r="F5" s="6" t="s">
        <v>432</v>
      </c>
    </row>
    <row r="6" spans="2:6" ht="15.75" thickBot="1" x14ac:dyDescent="0.3"/>
    <row r="7" spans="2:6" ht="15.75" thickBot="1" x14ac:dyDescent="0.3">
      <c r="C7" s="38" t="s">
        <v>433</v>
      </c>
      <c r="D7" s="38" t="s">
        <v>434</v>
      </c>
      <c r="E7" s="60" t="s">
        <v>439</v>
      </c>
    </row>
    <row r="8" spans="2:6" x14ac:dyDescent="0.25">
      <c r="C8" s="84" t="s">
        <v>435</v>
      </c>
      <c r="D8" s="27" t="s">
        <v>436</v>
      </c>
      <c r="E8" s="20">
        <f>CORREL(data!F2:F116,data!H2:H116)</f>
        <v>7.2088741251564253E-2</v>
      </c>
    </row>
    <row r="9" spans="2:6" x14ac:dyDescent="0.25">
      <c r="C9" s="85"/>
      <c r="D9" s="28" t="s">
        <v>437</v>
      </c>
      <c r="E9" s="29">
        <f>CORREL(data!S2:S116,data!F2:F116)</f>
        <v>0.17401518493390095</v>
      </c>
    </row>
    <row r="10" spans="2:6" ht="15.75" thickBot="1" x14ac:dyDescent="0.3">
      <c r="C10" s="86"/>
      <c r="D10" s="39" t="s">
        <v>438</v>
      </c>
      <c r="E10" s="58">
        <f>CORREL(data!F2:F116,data!T2:T116)</f>
        <v>4.1698460828421428E-2</v>
      </c>
    </row>
    <row r="11" spans="2:6" x14ac:dyDescent="0.25">
      <c r="C11" s="84" t="s">
        <v>436</v>
      </c>
      <c r="D11" s="27" t="s">
        <v>437</v>
      </c>
      <c r="E11" s="20">
        <f>CORREL(data!S2:S116,data!H2:H116)</f>
        <v>-1.1365970728014005E-2</v>
      </c>
    </row>
    <row r="12" spans="2:6" ht="15.75" thickBot="1" x14ac:dyDescent="0.3">
      <c r="C12" s="86"/>
      <c r="D12" s="39" t="s">
        <v>438</v>
      </c>
      <c r="E12" s="58">
        <f>CORREL(data!H2:H116,data!T2:T116)</f>
        <v>-0.15492680264931807</v>
      </c>
    </row>
    <row r="13" spans="2:6" ht="15.75" thickBot="1" x14ac:dyDescent="0.3">
      <c r="C13" s="39" t="s">
        <v>437</v>
      </c>
      <c r="D13" s="39" t="s">
        <v>438</v>
      </c>
      <c r="E13" s="58">
        <f>CORREL(data!S2:S116,data!T2:T116)</f>
        <v>0.43805831772360732</v>
      </c>
    </row>
    <row r="16" spans="2:6" ht="18.75" x14ac:dyDescent="0.3">
      <c r="B16" s="7" t="s">
        <v>353</v>
      </c>
      <c r="C16" s="7" t="s">
        <v>440</v>
      </c>
    </row>
    <row r="19" spans="3:8" x14ac:dyDescent="0.25">
      <c r="C19" t="s">
        <v>441</v>
      </c>
    </row>
    <row r="20" spans="3:8" ht="15.75" thickBot="1" x14ac:dyDescent="0.3"/>
    <row r="21" spans="3:8" x14ac:dyDescent="0.25">
      <c r="C21" s="64" t="s">
        <v>442</v>
      </c>
      <c r="D21" s="64"/>
    </row>
    <row r="22" spans="3:8" x14ac:dyDescent="0.25">
      <c r="C22" s="61" t="s">
        <v>443</v>
      </c>
      <c r="D22" s="61">
        <v>0.43945951710887221</v>
      </c>
    </row>
    <row r="23" spans="3:8" x14ac:dyDescent="0.25">
      <c r="C23" s="61" t="s">
        <v>444</v>
      </c>
      <c r="D23" s="61">
        <v>0.19312466717756316</v>
      </c>
    </row>
    <row r="24" spans="3:8" x14ac:dyDescent="0.25">
      <c r="C24" s="61" t="s">
        <v>445</v>
      </c>
      <c r="D24" s="61">
        <v>0.17871617909144821</v>
      </c>
    </row>
    <row r="25" spans="3:8" x14ac:dyDescent="0.25">
      <c r="C25" s="61" t="s">
        <v>446</v>
      </c>
      <c r="D25" s="61">
        <v>12.92723495411078</v>
      </c>
    </row>
    <row r="26" spans="3:8" ht="15.75" thickBot="1" x14ac:dyDescent="0.3">
      <c r="C26" s="62" t="s">
        <v>447</v>
      </c>
      <c r="D26" s="62">
        <v>115</v>
      </c>
    </row>
    <row r="28" spans="3:8" ht="15.75" thickBot="1" x14ac:dyDescent="0.3">
      <c r="C28" t="s">
        <v>448</v>
      </c>
    </row>
    <row r="29" spans="3:8" x14ac:dyDescent="0.25">
      <c r="C29" s="63"/>
      <c r="D29" s="63" t="s">
        <v>453</v>
      </c>
      <c r="E29" s="63" t="s">
        <v>454</v>
      </c>
      <c r="F29" s="63" t="s">
        <v>455</v>
      </c>
      <c r="G29" s="63" t="s">
        <v>456</v>
      </c>
      <c r="H29" s="63" t="s">
        <v>457</v>
      </c>
    </row>
    <row r="30" spans="3:8" x14ac:dyDescent="0.25">
      <c r="C30" s="61" t="s">
        <v>449</v>
      </c>
      <c r="D30" s="61">
        <v>2</v>
      </c>
      <c r="E30" s="61">
        <v>4479.8205405466724</v>
      </c>
      <c r="F30" s="61">
        <v>2239.9102702733362</v>
      </c>
      <c r="G30" s="61">
        <v>13.403534501560367</v>
      </c>
      <c r="H30" s="61">
        <v>6.0417196619884783E-6</v>
      </c>
    </row>
    <row r="31" spans="3:8" x14ac:dyDescent="0.25">
      <c r="C31" s="61" t="s">
        <v>450</v>
      </c>
      <c r="D31" s="61">
        <v>112</v>
      </c>
      <c r="E31" s="61">
        <v>18716.701198583756</v>
      </c>
      <c r="F31" s="61">
        <v>167.11340355878355</v>
      </c>
      <c r="G31" s="61"/>
      <c r="H31" s="61"/>
    </row>
    <row r="32" spans="3:8" ht="15.75" thickBot="1" x14ac:dyDescent="0.3">
      <c r="C32" s="62" t="s">
        <v>451</v>
      </c>
      <c r="D32" s="62">
        <v>114</v>
      </c>
      <c r="E32" s="62">
        <v>23196.521739130429</v>
      </c>
      <c r="F32" s="62"/>
      <c r="G32" s="62"/>
      <c r="H32" s="62"/>
    </row>
    <row r="33" spans="2:11" ht="15.75" thickBot="1" x14ac:dyDescent="0.3"/>
    <row r="34" spans="2:11" x14ac:dyDescent="0.25">
      <c r="C34" s="63"/>
      <c r="D34" s="63" t="s">
        <v>458</v>
      </c>
      <c r="E34" s="63" t="s">
        <v>446</v>
      </c>
      <c r="F34" s="63" t="s">
        <v>459</v>
      </c>
      <c r="G34" s="63" t="s">
        <v>460</v>
      </c>
      <c r="H34" s="63" t="s">
        <v>461</v>
      </c>
      <c r="I34" s="63" t="s">
        <v>462</v>
      </c>
      <c r="J34" s="63" t="s">
        <v>463</v>
      </c>
      <c r="K34" s="63" t="s">
        <v>464</v>
      </c>
    </row>
    <row r="35" spans="2:11" x14ac:dyDescent="0.25">
      <c r="C35" s="61" t="s">
        <v>452</v>
      </c>
      <c r="D35" s="61">
        <v>-42.246527101644233</v>
      </c>
      <c r="E35" s="61">
        <v>26.213341656666625</v>
      </c>
      <c r="F35" s="61">
        <v>-1.6116421803436884</v>
      </c>
      <c r="G35" s="61">
        <v>0.10985439608094054</v>
      </c>
      <c r="H35" s="61">
        <v>-94.184903433886376</v>
      </c>
      <c r="I35" s="61">
        <v>9.6918492305979171</v>
      </c>
      <c r="J35" s="61">
        <v>-94.184903433886376</v>
      </c>
      <c r="K35" s="61">
        <v>9.6918492305979171</v>
      </c>
    </row>
    <row r="36" spans="2:11" x14ac:dyDescent="0.25">
      <c r="C36" s="61" t="s">
        <v>5</v>
      </c>
      <c r="D36" s="61">
        <v>-0.39431731553602717</v>
      </c>
      <c r="E36" s="61">
        <v>0.95446962408169467</v>
      </c>
      <c r="F36" s="61">
        <v>-0.41312714997651606</v>
      </c>
      <c r="G36" s="61">
        <v>0.68030333197403614</v>
      </c>
      <c r="H36" s="61">
        <v>-2.2854765268470771</v>
      </c>
      <c r="I36" s="61">
        <v>1.4968418957750229</v>
      </c>
      <c r="J36" s="61">
        <v>-2.2854765268470771</v>
      </c>
      <c r="K36" s="61">
        <v>1.4968418957750229</v>
      </c>
    </row>
    <row r="37" spans="2:11" ht="15.75" thickBot="1" x14ac:dyDescent="0.3">
      <c r="C37" s="62" t="s">
        <v>18</v>
      </c>
      <c r="D37" s="62">
        <v>0.66873667344767229</v>
      </c>
      <c r="E37" s="62">
        <v>0.12974611807165948</v>
      </c>
      <c r="F37" s="62">
        <v>5.1541940783024076</v>
      </c>
      <c r="G37" s="62">
        <v>1.1058608215262634E-6</v>
      </c>
      <c r="H37" s="62">
        <v>0.41166137201087327</v>
      </c>
      <c r="I37" s="62">
        <v>0.92581197488447131</v>
      </c>
      <c r="J37" s="62">
        <v>0.41166137201087327</v>
      </c>
      <c r="K37" s="62">
        <v>0.92581197488447131</v>
      </c>
    </row>
    <row r="39" spans="2:11" x14ac:dyDescent="0.25">
      <c r="C39" t="s">
        <v>471</v>
      </c>
    </row>
    <row r="40" spans="2:11" x14ac:dyDescent="0.25">
      <c r="C40" t="s">
        <v>470</v>
      </c>
    </row>
    <row r="41" spans="2:11" x14ac:dyDescent="0.25">
      <c r="C41" t="s">
        <v>469</v>
      </c>
    </row>
    <row r="43" spans="2:11" ht="15.75" x14ac:dyDescent="0.25">
      <c r="C43" s="65" t="s">
        <v>472</v>
      </c>
      <c r="D43" s="66" t="s">
        <v>473</v>
      </c>
      <c r="E43" s="6"/>
    </row>
    <row r="44" spans="2:11" ht="15.75" x14ac:dyDescent="0.25">
      <c r="C44" s="65" t="s">
        <v>474</v>
      </c>
      <c r="D44" s="67">
        <f>D35+D36*20+D37*165</f>
        <v>60.208677706501149</v>
      </c>
      <c r="E44" s="6"/>
    </row>
    <row r="45" spans="2:11" ht="15.75" x14ac:dyDescent="0.25">
      <c r="C45" s="6"/>
      <c r="D45" s="6"/>
      <c r="E45" s="6"/>
    </row>
    <row r="46" spans="2:11" ht="15.75" x14ac:dyDescent="0.25">
      <c r="C46" s="6" t="s">
        <v>475</v>
      </c>
    </row>
    <row r="48" spans="2:11" ht="18.75" x14ac:dyDescent="0.3">
      <c r="B48" s="7" t="s">
        <v>356</v>
      </c>
      <c r="C48" s="7" t="s">
        <v>476</v>
      </c>
    </row>
    <row r="70" spans="2:10" ht="18.75" x14ac:dyDescent="0.3">
      <c r="B70" s="7" t="s">
        <v>361</v>
      </c>
      <c r="C70" s="7" t="s">
        <v>477</v>
      </c>
    </row>
    <row r="72" spans="2:10" x14ac:dyDescent="0.25">
      <c r="C72" s="68" t="s">
        <v>493</v>
      </c>
      <c r="D72">
        <v>9.4349469029974866</v>
      </c>
    </row>
    <row r="73" spans="2:10" ht="15.75" thickBot="1" x14ac:dyDescent="0.3"/>
    <row r="74" spans="2:10" x14ac:dyDescent="0.25">
      <c r="C74" s="69" t="s">
        <v>478</v>
      </c>
      <c r="D74" s="70"/>
      <c r="F74" t="s">
        <v>485</v>
      </c>
    </row>
    <row r="75" spans="2:10" x14ac:dyDescent="0.25">
      <c r="C75" s="71" t="s">
        <v>479</v>
      </c>
      <c r="D75" s="72" t="s">
        <v>480</v>
      </c>
      <c r="F75" t="s">
        <v>31</v>
      </c>
      <c r="G75" t="s">
        <v>486</v>
      </c>
      <c r="H75" t="s">
        <v>487</v>
      </c>
      <c r="I75" t="s">
        <v>488</v>
      </c>
      <c r="J75" t="s">
        <v>489</v>
      </c>
    </row>
    <row r="76" spans="2:10" x14ac:dyDescent="0.25">
      <c r="C76" s="71" t="s">
        <v>481</v>
      </c>
      <c r="D76" s="72" t="s">
        <v>482</v>
      </c>
      <c r="F76">
        <v>115</v>
      </c>
      <c r="G76">
        <v>163.678</v>
      </c>
      <c r="H76">
        <v>9.4760000000000009</v>
      </c>
      <c r="I76">
        <v>0.88</v>
      </c>
      <c r="J76" t="s">
        <v>490</v>
      </c>
    </row>
    <row r="77" spans="2:10" x14ac:dyDescent="0.25">
      <c r="C77" s="71" t="s">
        <v>483</v>
      </c>
      <c r="D77" s="72" t="s">
        <v>484</v>
      </c>
      <c r="F77" t="s">
        <v>491</v>
      </c>
    </row>
    <row r="78" spans="2:10" ht="15.75" thickBot="1" x14ac:dyDescent="0.3">
      <c r="C78" s="73">
        <v>4.18</v>
      </c>
      <c r="D78" s="74">
        <v>0</v>
      </c>
      <c r="F78" t="s">
        <v>492</v>
      </c>
    </row>
    <row r="79" spans="2:10" x14ac:dyDescent="0.25">
      <c r="C79" s="75"/>
      <c r="D79" s="75"/>
    </row>
    <row r="82" spans="2:14" ht="18.75" x14ac:dyDescent="0.3">
      <c r="B82" s="7" t="s">
        <v>377</v>
      </c>
      <c r="C82" s="7" t="s">
        <v>506</v>
      </c>
    </row>
    <row r="85" spans="2:14" x14ac:dyDescent="0.25">
      <c r="D85" s="68" t="s">
        <v>494</v>
      </c>
      <c r="E85" s="10">
        <f>_xlfn.VAR.P(data!S64:S116)</f>
        <v>87.205411178355277</v>
      </c>
      <c r="H85" t="s">
        <v>507</v>
      </c>
      <c r="L85" t="s">
        <v>511</v>
      </c>
    </row>
    <row r="86" spans="2:14" ht="15.75" thickBot="1" x14ac:dyDescent="0.3">
      <c r="D86" t="s">
        <v>495</v>
      </c>
      <c r="E86" s="10">
        <f>_xlfn.VAR.P(data!S2:S63)</f>
        <v>39.748178980228914</v>
      </c>
    </row>
    <row r="87" spans="2:14" x14ac:dyDescent="0.25">
      <c r="H87" s="63"/>
      <c r="I87" s="63" t="s">
        <v>497</v>
      </c>
      <c r="J87" s="63" t="s">
        <v>498</v>
      </c>
      <c r="L87" s="63"/>
      <c r="M87" s="63" t="s">
        <v>497</v>
      </c>
      <c r="N87" s="63" t="s">
        <v>498</v>
      </c>
    </row>
    <row r="88" spans="2:14" x14ac:dyDescent="0.25">
      <c r="H88" s="61" t="s">
        <v>486</v>
      </c>
      <c r="I88" s="61">
        <v>169.33962264150944</v>
      </c>
      <c r="J88" s="61">
        <v>158.83870967741936</v>
      </c>
      <c r="L88" s="61" t="s">
        <v>486</v>
      </c>
      <c r="M88" s="61">
        <v>169.33962264150944</v>
      </c>
      <c r="N88" s="61">
        <v>158.83870967741936</v>
      </c>
    </row>
    <row r="89" spans="2:14" x14ac:dyDescent="0.25">
      <c r="C89" t="s">
        <v>496</v>
      </c>
      <c r="H89" s="61" t="s">
        <v>508</v>
      </c>
      <c r="I89" s="61">
        <v>88.882438316400567</v>
      </c>
      <c r="J89" s="61">
        <v>40.399788471708078</v>
      </c>
      <c r="L89" s="61" t="s">
        <v>508</v>
      </c>
      <c r="M89" s="61">
        <v>88.882438316400567</v>
      </c>
      <c r="N89" s="61">
        <v>40.399788471708078</v>
      </c>
    </row>
    <row r="90" spans="2:14" ht="15.75" thickBot="1" x14ac:dyDescent="0.3">
      <c r="H90" s="61" t="s">
        <v>447</v>
      </c>
      <c r="I90" s="61">
        <v>53</v>
      </c>
      <c r="J90" s="61">
        <v>62</v>
      </c>
      <c r="L90" s="61" t="s">
        <v>447</v>
      </c>
      <c r="M90" s="61">
        <v>53</v>
      </c>
      <c r="N90" s="61">
        <v>62</v>
      </c>
    </row>
    <row r="91" spans="2:14" x14ac:dyDescent="0.25">
      <c r="C91" s="63"/>
      <c r="D91" s="63" t="s">
        <v>497</v>
      </c>
      <c r="E91" s="63" t="s">
        <v>498</v>
      </c>
      <c r="H91" s="61" t="s">
        <v>453</v>
      </c>
      <c r="I91" s="61">
        <v>52</v>
      </c>
      <c r="J91" s="61">
        <v>61</v>
      </c>
      <c r="L91" s="61" t="s">
        <v>500</v>
      </c>
      <c r="M91" s="61">
        <v>0</v>
      </c>
      <c r="N91" s="61"/>
    </row>
    <row r="92" spans="2:14" x14ac:dyDescent="0.25">
      <c r="C92" s="61" t="s">
        <v>486</v>
      </c>
      <c r="D92" s="61">
        <v>169.33962264150944</v>
      </c>
      <c r="E92" s="61">
        <v>158.83870967741936</v>
      </c>
      <c r="H92" s="61" t="s">
        <v>456</v>
      </c>
      <c r="I92" s="61">
        <v>2.2000718736100517</v>
      </c>
      <c r="J92" s="61"/>
      <c r="L92" s="61" t="s">
        <v>453</v>
      </c>
      <c r="M92" s="61">
        <v>89</v>
      </c>
      <c r="N92" s="61"/>
    </row>
    <row r="93" spans="2:14" x14ac:dyDescent="0.25">
      <c r="C93" s="61" t="s">
        <v>499</v>
      </c>
      <c r="D93" s="61">
        <v>87.2</v>
      </c>
      <c r="E93" s="61">
        <v>39.75</v>
      </c>
      <c r="H93" s="61" t="s">
        <v>509</v>
      </c>
      <c r="I93" s="61">
        <v>1.6347888993483611E-3</v>
      </c>
      <c r="J93" s="61"/>
      <c r="L93" s="61" t="s">
        <v>459</v>
      </c>
      <c r="M93" s="61">
        <v>6.8813903890365289</v>
      </c>
      <c r="N93" s="61"/>
    </row>
    <row r="94" spans="2:14" ht="15.75" thickBot="1" x14ac:dyDescent="0.3">
      <c r="C94" s="61" t="s">
        <v>447</v>
      </c>
      <c r="D94" s="61">
        <v>53</v>
      </c>
      <c r="E94" s="61">
        <v>62</v>
      </c>
      <c r="H94" s="62" t="s">
        <v>510</v>
      </c>
      <c r="I94" s="62">
        <v>1.8619997587755552</v>
      </c>
      <c r="J94" s="62"/>
      <c r="L94" s="61" t="s">
        <v>512</v>
      </c>
      <c r="M94" s="61">
        <v>3.99296540876816E-10</v>
      </c>
      <c r="N94" s="61"/>
    </row>
    <row r="95" spans="2:14" x14ac:dyDescent="0.25">
      <c r="C95" s="61" t="s">
        <v>500</v>
      </c>
      <c r="D95" s="61">
        <v>0</v>
      </c>
      <c r="E95" s="61"/>
      <c r="L95" s="61" t="s">
        <v>513</v>
      </c>
      <c r="M95" s="61">
        <v>2.3689793041867127</v>
      </c>
      <c r="N95" s="61"/>
    </row>
    <row r="96" spans="2:14" x14ac:dyDescent="0.25">
      <c r="C96" s="61" t="s">
        <v>501</v>
      </c>
      <c r="D96" s="61">
        <v>6.9446411378930009</v>
      </c>
      <c r="E96" s="61"/>
      <c r="L96" s="61" t="s">
        <v>514</v>
      </c>
      <c r="M96" s="61">
        <v>7.98593081753632E-10</v>
      </c>
      <c r="N96" s="61"/>
    </row>
    <row r="97" spans="2:14" ht="15.75" thickBot="1" x14ac:dyDescent="0.3">
      <c r="C97" s="61" t="s">
        <v>502</v>
      </c>
      <c r="D97" s="61">
        <v>1.8971491044794675E-12</v>
      </c>
      <c r="E97" s="61"/>
      <c r="L97" s="62" t="s">
        <v>515</v>
      </c>
      <c r="M97" s="62">
        <v>2.6322041912000063</v>
      </c>
      <c r="N97" s="62"/>
    </row>
    <row r="98" spans="2:14" x14ac:dyDescent="0.25">
      <c r="C98" s="61" t="s">
        <v>503</v>
      </c>
      <c r="D98" s="61">
        <v>2.3263478740408408</v>
      </c>
      <c r="E98" s="61"/>
    </row>
    <row r="99" spans="2:14" x14ac:dyDescent="0.25">
      <c r="C99" s="61" t="s">
        <v>504</v>
      </c>
      <c r="D99" s="61">
        <v>3.794298208958935E-12</v>
      </c>
      <c r="E99" s="61"/>
    </row>
    <row r="100" spans="2:14" ht="15.75" thickBot="1" x14ac:dyDescent="0.3">
      <c r="C100" s="62" t="s">
        <v>505</v>
      </c>
      <c r="D100" s="62">
        <v>2.5758293035488999</v>
      </c>
      <c r="E100" s="62"/>
    </row>
    <row r="103" spans="2:14" ht="18.75" x14ac:dyDescent="0.3">
      <c r="B103" s="7" t="s">
        <v>378</v>
      </c>
      <c r="C103" s="7" t="s">
        <v>516</v>
      </c>
    </row>
    <row r="105" spans="2:14" x14ac:dyDescent="0.25">
      <c r="D105" s="68" t="s">
        <v>494</v>
      </c>
      <c r="E105" s="10">
        <f>_xlfn.VAR.P(data!V64:V116)</f>
        <v>25.115562186726702</v>
      </c>
    </row>
    <row r="106" spans="2:14" x14ac:dyDescent="0.25">
      <c r="D106" t="s">
        <v>495</v>
      </c>
      <c r="E106" s="10">
        <f>_xlfn.VAR.P(data!V2:V63)</f>
        <v>21.977990543617636</v>
      </c>
    </row>
    <row r="108" spans="2:14" x14ac:dyDescent="0.25">
      <c r="H108" t="s">
        <v>507</v>
      </c>
      <c r="L108" t="s">
        <v>517</v>
      </c>
    </row>
    <row r="109" spans="2:14" ht="15.75" thickBot="1" x14ac:dyDescent="0.3">
      <c r="C109" t="s">
        <v>496</v>
      </c>
    </row>
    <row r="110" spans="2:14" ht="15.75" thickBot="1" x14ac:dyDescent="0.3">
      <c r="H110" s="63"/>
      <c r="I110" s="63" t="s">
        <v>497</v>
      </c>
      <c r="J110" s="63" t="s">
        <v>498</v>
      </c>
      <c r="L110" s="63"/>
      <c r="M110" s="63" t="s">
        <v>497</v>
      </c>
      <c r="N110" s="63" t="s">
        <v>498</v>
      </c>
    </row>
    <row r="111" spans="2:14" x14ac:dyDescent="0.25">
      <c r="C111" s="63"/>
      <c r="D111" s="63" t="s">
        <v>497</v>
      </c>
      <c r="E111" s="63" t="s">
        <v>498</v>
      </c>
      <c r="H111" s="61" t="s">
        <v>486</v>
      </c>
      <c r="I111" s="61">
        <v>22.699621052465464</v>
      </c>
      <c r="J111" s="61">
        <v>21.499265062179635</v>
      </c>
      <c r="L111" s="61" t="s">
        <v>486</v>
      </c>
      <c r="M111" s="61">
        <v>22.699621052465464</v>
      </c>
      <c r="N111" s="61">
        <v>21.499265062179635</v>
      </c>
    </row>
    <row r="112" spans="2:14" x14ac:dyDescent="0.25">
      <c r="C112" s="61" t="s">
        <v>486</v>
      </c>
      <c r="D112" s="61">
        <v>22.699621052465464</v>
      </c>
      <c r="E112" s="61">
        <v>21.499265062179635</v>
      </c>
      <c r="H112" s="61" t="s">
        <v>508</v>
      </c>
      <c r="I112" s="61">
        <v>25.598553767240656</v>
      </c>
      <c r="J112" s="61">
        <v>22.338285470562205</v>
      </c>
      <c r="L112" s="61" t="s">
        <v>508</v>
      </c>
      <c r="M112" s="61">
        <v>25.598553767240656</v>
      </c>
      <c r="N112" s="61">
        <v>22.338285470562205</v>
      </c>
    </row>
    <row r="113" spans="2:14" x14ac:dyDescent="0.25">
      <c r="C113" s="61" t="s">
        <v>499</v>
      </c>
      <c r="D113" s="61">
        <v>25.12</v>
      </c>
      <c r="E113" s="61">
        <v>21.98</v>
      </c>
      <c r="H113" s="61" t="s">
        <v>447</v>
      </c>
      <c r="I113" s="61">
        <v>53</v>
      </c>
      <c r="J113" s="61">
        <v>62</v>
      </c>
      <c r="L113" s="61" t="s">
        <v>447</v>
      </c>
      <c r="M113" s="61">
        <v>53</v>
      </c>
      <c r="N113" s="61">
        <v>62</v>
      </c>
    </row>
    <row r="114" spans="2:14" x14ac:dyDescent="0.25">
      <c r="C114" s="61" t="s">
        <v>447</v>
      </c>
      <c r="D114" s="61">
        <v>53</v>
      </c>
      <c r="E114" s="61">
        <v>62</v>
      </c>
      <c r="H114" s="61" t="s">
        <v>453</v>
      </c>
      <c r="I114" s="61">
        <v>52</v>
      </c>
      <c r="J114" s="61">
        <v>61</v>
      </c>
      <c r="L114" s="61" t="s">
        <v>518</v>
      </c>
      <c r="M114" s="61">
        <v>23.838585925670873</v>
      </c>
      <c r="N114" s="61"/>
    </row>
    <row r="115" spans="2:14" x14ac:dyDescent="0.25">
      <c r="C115" s="61" t="s">
        <v>500</v>
      </c>
      <c r="D115" s="61">
        <v>0</v>
      </c>
      <c r="E115" s="61"/>
      <c r="H115" s="61" t="s">
        <v>456</v>
      </c>
      <c r="I115" s="61">
        <v>1.1459497999958363</v>
      </c>
      <c r="J115" s="61"/>
      <c r="L115" s="61" t="s">
        <v>500</v>
      </c>
      <c r="M115" s="61">
        <v>0</v>
      </c>
      <c r="N115" s="61"/>
    </row>
    <row r="116" spans="2:14" x14ac:dyDescent="0.25">
      <c r="C116" s="61" t="s">
        <v>501</v>
      </c>
      <c r="D116" s="61">
        <v>1.3187712506103133</v>
      </c>
      <c r="E116" s="61"/>
      <c r="H116" s="61" t="s">
        <v>509</v>
      </c>
      <c r="I116" s="61">
        <v>0.30294359227691703</v>
      </c>
      <c r="J116" s="61"/>
      <c r="L116" s="61" t="s">
        <v>453</v>
      </c>
      <c r="M116" s="61">
        <v>113</v>
      </c>
      <c r="N116" s="61"/>
    </row>
    <row r="117" spans="2:14" ht="15.75" thickBot="1" x14ac:dyDescent="0.3">
      <c r="C117" s="61" t="s">
        <v>502</v>
      </c>
      <c r="D117" s="61">
        <v>9.3622799170103521E-2</v>
      </c>
      <c r="E117" s="61"/>
      <c r="H117" s="62" t="s">
        <v>510</v>
      </c>
      <c r="I117" s="62">
        <v>1.8619997587755552</v>
      </c>
      <c r="J117" s="62"/>
      <c r="L117" s="61" t="s">
        <v>459</v>
      </c>
      <c r="M117" s="61">
        <v>1.314179470236017</v>
      </c>
      <c r="N117" s="61"/>
    </row>
    <row r="118" spans="2:14" x14ac:dyDescent="0.25">
      <c r="C118" s="61" t="s">
        <v>503</v>
      </c>
      <c r="D118" s="61">
        <v>2.3263478740408408</v>
      </c>
      <c r="E118" s="61"/>
      <c r="L118" s="61" t="s">
        <v>512</v>
      </c>
      <c r="M118" s="61">
        <v>9.5723636810525134E-2</v>
      </c>
      <c r="N118" s="61"/>
    </row>
    <row r="119" spans="2:14" x14ac:dyDescent="0.25">
      <c r="C119" s="61" t="s">
        <v>504</v>
      </c>
      <c r="D119" s="61">
        <v>0.18724559834020704</v>
      </c>
      <c r="E119" s="61"/>
      <c r="L119" s="61" t="s">
        <v>513</v>
      </c>
      <c r="M119" s="61">
        <v>2.3598011620674364</v>
      </c>
      <c r="N119" s="61"/>
    </row>
    <row r="120" spans="2:14" ht="15.75" thickBot="1" x14ac:dyDescent="0.3">
      <c r="C120" s="62" t="s">
        <v>505</v>
      </c>
      <c r="D120" s="62">
        <v>2.5758293035488999</v>
      </c>
      <c r="E120" s="62"/>
      <c r="L120" s="61" t="s">
        <v>514</v>
      </c>
      <c r="M120" s="61">
        <v>0.19144727362105027</v>
      </c>
      <c r="N120" s="61"/>
    </row>
    <row r="121" spans="2:14" ht="15.75" thickBot="1" x14ac:dyDescent="0.3">
      <c r="L121" s="62" t="s">
        <v>515</v>
      </c>
      <c r="M121" s="62">
        <v>2.6200389567971949</v>
      </c>
      <c r="N121" s="62"/>
    </row>
    <row r="125" spans="2:14" ht="18.75" x14ac:dyDescent="0.3">
      <c r="B125" s="7" t="s">
        <v>382</v>
      </c>
      <c r="C125" s="7" t="s">
        <v>519</v>
      </c>
    </row>
    <row r="127" spans="2:14" ht="15.75" thickBot="1" x14ac:dyDescent="0.3"/>
    <row r="128" spans="2:14" x14ac:dyDescent="0.25">
      <c r="C128" s="69" t="s">
        <v>520</v>
      </c>
      <c r="D128" s="76"/>
      <c r="E128" s="70"/>
      <c r="G128" s="69" t="s">
        <v>526</v>
      </c>
      <c r="H128" s="76"/>
      <c r="I128" s="76"/>
      <c r="J128" s="76"/>
      <c r="K128" s="76"/>
      <c r="L128" s="70"/>
    </row>
    <row r="129" spans="2:15" x14ac:dyDescent="0.25">
      <c r="C129" s="71" t="s">
        <v>479</v>
      </c>
      <c r="D129" s="75" t="s">
        <v>521</v>
      </c>
      <c r="E129" s="72"/>
      <c r="G129" s="71" t="s">
        <v>527</v>
      </c>
      <c r="H129" s="75" t="s">
        <v>528</v>
      </c>
      <c r="I129" s="75" t="s">
        <v>529</v>
      </c>
      <c r="J129" s="75"/>
      <c r="K129" s="75"/>
      <c r="L129" s="72"/>
    </row>
    <row r="130" spans="2:15" ht="15.75" thickBot="1" x14ac:dyDescent="0.3">
      <c r="C130" s="71" t="s">
        <v>481</v>
      </c>
      <c r="D130" s="75" t="s">
        <v>522</v>
      </c>
      <c r="E130" s="72"/>
      <c r="G130" s="73" t="s">
        <v>527</v>
      </c>
      <c r="H130" s="77">
        <v>3</v>
      </c>
      <c r="I130" s="77" t="s">
        <v>530</v>
      </c>
      <c r="J130" s="77"/>
      <c r="K130" s="77"/>
      <c r="L130" s="74"/>
    </row>
    <row r="131" spans="2:15" x14ac:dyDescent="0.25">
      <c r="C131" s="71" t="s">
        <v>523</v>
      </c>
      <c r="D131" s="75" t="s">
        <v>524</v>
      </c>
      <c r="E131" s="72"/>
    </row>
    <row r="132" spans="2:15" ht="15.75" thickBot="1" x14ac:dyDescent="0.3">
      <c r="C132" s="73" t="s">
        <v>525</v>
      </c>
      <c r="D132" s="77"/>
      <c r="E132" s="74"/>
    </row>
    <row r="134" spans="2:15" ht="15.75" thickBot="1" x14ac:dyDescent="0.3"/>
    <row r="135" spans="2:15" x14ac:dyDescent="0.25">
      <c r="C135" s="69" t="s">
        <v>531</v>
      </c>
      <c r="D135" s="76"/>
      <c r="E135" s="76"/>
      <c r="F135" s="76"/>
      <c r="G135" s="76"/>
      <c r="H135" s="70"/>
      <c r="J135" s="69" t="s">
        <v>539</v>
      </c>
      <c r="K135" s="76"/>
      <c r="L135" s="76"/>
      <c r="M135" s="76"/>
      <c r="N135" s="76"/>
      <c r="O135" s="70"/>
    </row>
    <row r="136" spans="2:15" x14ac:dyDescent="0.25">
      <c r="C136" s="71" t="s">
        <v>532</v>
      </c>
      <c r="D136" s="75" t="s">
        <v>533</v>
      </c>
      <c r="E136" s="75" t="s">
        <v>534</v>
      </c>
      <c r="F136" s="75" t="s">
        <v>535</v>
      </c>
      <c r="G136" s="75" t="s">
        <v>536</v>
      </c>
      <c r="H136" s="72" t="s">
        <v>484</v>
      </c>
      <c r="J136" s="71" t="s">
        <v>527</v>
      </c>
      <c r="K136" s="75" t="s">
        <v>31</v>
      </c>
      <c r="L136" s="75" t="s">
        <v>486</v>
      </c>
      <c r="M136" s="75" t="s">
        <v>487</v>
      </c>
      <c r="N136" s="75" t="s">
        <v>540</v>
      </c>
      <c r="O136" s="72"/>
    </row>
    <row r="137" spans="2:15" x14ac:dyDescent="0.25">
      <c r="C137" s="71" t="s">
        <v>527</v>
      </c>
      <c r="D137" s="75">
        <v>2</v>
      </c>
      <c r="E137" s="75">
        <v>1263450</v>
      </c>
      <c r="F137" s="75">
        <v>631725</v>
      </c>
      <c r="G137" s="75">
        <v>6425.7</v>
      </c>
      <c r="H137" s="72">
        <v>0</v>
      </c>
      <c r="J137" s="71" t="s">
        <v>5</v>
      </c>
      <c r="K137" s="75">
        <v>115</v>
      </c>
      <c r="L137" s="75">
        <v>20.382999999999999</v>
      </c>
      <c r="M137" s="75">
        <v>1.288</v>
      </c>
      <c r="N137" s="75" t="s">
        <v>541</v>
      </c>
      <c r="O137" s="72"/>
    </row>
    <row r="138" spans="2:15" x14ac:dyDescent="0.25">
      <c r="C138" s="71" t="s">
        <v>537</v>
      </c>
      <c r="D138" s="75">
        <v>342</v>
      </c>
      <c r="E138" s="75">
        <v>33623</v>
      </c>
      <c r="F138" s="75">
        <v>98</v>
      </c>
      <c r="G138" s="75" t="s">
        <v>538</v>
      </c>
      <c r="H138" s="72" t="s">
        <v>538</v>
      </c>
      <c r="J138" s="71" t="s">
        <v>18</v>
      </c>
      <c r="K138" s="75">
        <v>115</v>
      </c>
      <c r="L138" s="75">
        <v>163.678</v>
      </c>
      <c r="M138" s="75">
        <v>9.4760000000000009</v>
      </c>
      <c r="N138" s="75" t="s">
        <v>542</v>
      </c>
      <c r="O138" s="72"/>
    </row>
    <row r="139" spans="2:15" ht="15.75" thickBot="1" x14ac:dyDescent="0.3">
      <c r="C139" s="73" t="s">
        <v>451</v>
      </c>
      <c r="D139" s="77">
        <v>344</v>
      </c>
      <c r="E139" s="77">
        <v>1297073</v>
      </c>
      <c r="F139" s="77" t="s">
        <v>538</v>
      </c>
      <c r="G139" s="77" t="s">
        <v>538</v>
      </c>
      <c r="H139" s="74" t="s">
        <v>538</v>
      </c>
      <c r="J139" s="71" t="s">
        <v>19</v>
      </c>
      <c r="K139" s="75">
        <v>115</v>
      </c>
      <c r="L139" s="75">
        <v>59.17</v>
      </c>
      <c r="M139" s="75">
        <v>14.26</v>
      </c>
      <c r="N139" s="75" t="s">
        <v>543</v>
      </c>
      <c r="O139" s="72"/>
    </row>
    <row r="140" spans="2:15" ht="15.75" thickBot="1" x14ac:dyDescent="0.3">
      <c r="J140" s="73" t="s">
        <v>544</v>
      </c>
      <c r="K140" s="77"/>
      <c r="L140" s="77"/>
      <c r="M140" s="77"/>
      <c r="N140" s="77"/>
      <c r="O140" s="74"/>
    </row>
    <row r="143" spans="2:15" ht="18.75" x14ac:dyDescent="0.3">
      <c r="B143" s="7" t="s">
        <v>388</v>
      </c>
      <c r="C143" s="7" t="s">
        <v>545</v>
      </c>
    </row>
    <row r="147" spans="2:3" ht="18.75" x14ac:dyDescent="0.3">
      <c r="B147" s="7" t="s">
        <v>389</v>
      </c>
      <c r="C147" s="7" t="s">
        <v>546</v>
      </c>
    </row>
  </sheetData>
  <mergeCells count="2">
    <mergeCell ref="C8:C10"/>
    <mergeCell ref="C11:C12"/>
  </mergeCells>
  <pageMargins left="0.7" right="0.7" top="0.75" bottom="0.75" header="0.3" footer="0.3"/>
  <ignoredErrors>
    <ignoredError sqref="E85:E86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AC60-D1C6-4B7F-85A6-E3D7AD202556}">
  <dimension ref="A3:W267"/>
  <sheetViews>
    <sheetView workbookViewId="0">
      <selection activeCell="E134" sqref="E134"/>
    </sheetView>
  </sheetViews>
  <sheetFormatPr defaultRowHeight="15" x14ac:dyDescent="0.25"/>
  <cols>
    <col min="1" max="1" width="16.42578125" bestFit="1" customWidth="1"/>
    <col min="2" max="2" width="17.42578125" bestFit="1" customWidth="1"/>
    <col min="3" max="3" width="3.140625" bestFit="1" customWidth="1"/>
    <col min="4" max="4" width="5.28515625" bestFit="1" customWidth="1"/>
    <col min="5" max="5" width="20.28515625" bestFit="1" customWidth="1"/>
    <col min="6" max="6" width="12.140625" bestFit="1" customWidth="1"/>
    <col min="7" max="7" width="5.7109375" bestFit="1" customWidth="1"/>
    <col min="8" max="8" width="5.28515625" bestFit="1" customWidth="1"/>
    <col min="9" max="9" width="3" bestFit="1" customWidth="1"/>
    <col min="10" max="10" width="14.85546875" bestFit="1" customWidth="1"/>
    <col min="11" max="11" width="11.7109375" bestFit="1" customWidth="1"/>
    <col min="12" max="12" width="17.42578125" bestFit="1" customWidth="1"/>
    <col min="13" max="13" width="5.7109375" bestFit="1" customWidth="1"/>
    <col min="14" max="14" width="3.140625" bestFit="1" customWidth="1"/>
    <col min="15" max="15" width="5.28515625" bestFit="1" customWidth="1"/>
    <col min="16" max="16" width="3" bestFit="1" customWidth="1"/>
    <col min="17" max="17" width="20.28515625" bestFit="1" customWidth="1"/>
    <col min="18" max="18" width="12.140625" bestFit="1" customWidth="1"/>
    <col min="19" max="19" width="5.7109375" bestFit="1" customWidth="1"/>
    <col min="20" max="20" width="5.28515625" bestFit="1" customWidth="1"/>
    <col min="21" max="21" width="14.85546875" bestFit="1" customWidth="1"/>
    <col min="22" max="22" width="9.85546875" bestFit="1" customWidth="1"/>
    <col min="23" max="23" width="10.7109375" bestFit="1" customWidth="1"/>
    <col min="24" max="24" width="9.85546875" bestFit="1" customWidth="1"/>
    <col min="25" max="25" width="7" bestFit="1" customWidth="1"/>
    <col min="26" max="26" width="7.7109375" bestFit="1" customWidth="1"/>
    <col min="27" max="27" width="14.85546875" bestFit="1" customWidth="1"/>
    <col min="28" max="28" width="10.7109375" bestFit="1" customWidth="1"/>
    <col min="29" max="30" width="17.42578125" bestFit="1" customWidth="1"/>
    <col min="31" max="31" width="30.28515625" bestFit="1" customWidth="1"/>
    <col min="32" max="32" width="31.7109375" bestFit="1" customWidth="1"/>
    <col min="33" max="38" width="16.42578125" bestFit="1" customWidth="1"/>
    <col min="39" max="39" width="24.7109375" bestFit="1" customWidth="1"/>
    <col min="40" max="40" width="26.28515625" bestFit="1" customWidth="1"/>
    <col min="41" max="41" width="19.7109375" bestFit="1" customWidth="1"/>
    <col min="42" max="42" width="21.28515625" bestFit="1" customWidth="1"/>
    <col min="43" max="43" width="19.7109375" bestFit="1" customWidth="1"/>
    <col min="44" max="44" width="21.28515625" bestFit="1" customWidth="1"/>
    <col min="45" max="45" width="4" bestFit="1" customWidth="1"/>
    <col min="46" max="47" width="3" bestFit="1" customWidth="1"/>
    <col min="48" max="48" width="10.7109375" bestFit="1" customWidth="1"/>
  </cols>
  <sheetData>
    <row r="3" spans="1:23" x14ac:dyDescent="0.25">
      <c r="B3" s="9" t="s">
        <v>354</v>
      </c>
    </row>
    <row r="4" spans="1:23" x14ac:dyDescent="0.25">
      <c r="B4" t="s">
        <v>24</v>
      </c>
      <c r="K4" t="s">
        <v>418</v>
      </c>
      <c r="L4" t="s">
        <v>41</v>
      </c>
      <c r="V4" t="s">
        <v>419</v>
      </c>
      <c r="W4" t="s">
        <v>351</v>
      </c>
    </row>
    <row r="5" spans="1:23" x14ac:dyDescent="0.25">
      <c r="B5" t="s">
        <v>36</v>
      </c>
      <c r="E5" t="s">
        <v>421</v>
      </c>
      <c r="F5" t="s">
        <v>63</v>
      </c>
      <c r="J5" t="s">
        <v>420</v>
      </c>
      <c r="L5" t="s">
        <v>36</v>
      </c>
      <c r="Q5" t="s">
        <v>421</v>
      </c>
      <c r="R5" t="s">
        <v>63</v>
      </c>
      <c r="U5" t="s">
        <v>420</v>
      </c>
    </row>
    <row r="6" spans="1:23" x14ac:dyDescent="0.25">
      <c r="B6" t="s">
        <v>27</v>
      </c>
      <c r="C6" t="s">
        <v>43</v>
      </c>
      <c r="D6" t="s">
        <v>66</v>
      </c>
      <c r="F6" t="s">
        <v>27</v>
      </c>
      <c r="G6" t="s">
        <v>87</v>
      </c>
      <c r="H6" t="s">
        <v>66</v>
      </c>
      <c r="I6" t="s">
        <v>93</v>
      </c>
      <c r="L6" t="s">
        <v>27</v>
      </c>
      <c r="M6" t="s">
        <v>87</v>
      </c>
      <c r="N6" t="s">
        <v>43</v>
      </c>
      <c r="O6" t="s">
        <v>66</v>
      </c>
      <c r="P6" t="s">
        <v>93</v>
      </c>
      <c r="R6" t="s">
        <v>27</v>
      </c>
      <c r="S6" t="s">
        <v>87</v>
      </c>
      <c r="T6" t="s">
        <v>66</v>
      </c>
    </row>
    <row r="7" spans="1:23" x14ac:dyDescent="0.25">
      <c r="A7" t="s">
        <v>422</v>
      </c>
      <c r="B7" s="11">
        <v>19</v>
      </c>
      <c r="C7" s="11">
        <v>1</v>
      </c>
      <c r="D7" s="11">
        <v>3</v>
      </c>
      <c r="E7" s="11">
        <v>23</v>
      </c>
      <c r="F7" s="11">
        <v>30</v>
      </c>
      <c r="G7" s="11">
        <v>1</v>
      </c>
      <c r="H7" s="11">
        <v>7</v>
      </c>
      <c r="I7" s="11">
        <v>1</v>
      </c>
      <c r="J7" s="11">
        <v>39</v>
      </c>
      <c r="K7" s="11">
        <v>62</v>
      </c>
      <c r="L7" s="11">
        <v>8</v>
      </c>
      <c r="M7" s="11">
        <v>3</v>
      </c>
      <c r="N7" s="11">
        <v>3</v>
      </c>
      <c r="O7" s="11">
        <v>2</v>
      </c>
      <c r="P7" s="11">
        <v>1</v>
      </c>
      <c r="Q7" s="11">
        <v>17</v>
      </c>
      <c r="R7" s="11">
        <v>22</v>
      </c>
      <c r="S7" s="11">
        <v>1</v>
      </c>
      <c r="T7" s="11">
        <v>13</v>
      </c>
      <c r="U7" s="11">
        <v>36</v>
      </c>
      <c r="V7" s="11">
        <v>53</v>
      </c>
      <c r="W7" s="11">
        <v>115</v>
      </c>
    </row>
    <row r="11" spans="1:23" ht="15.75" thickBot="1" x14ac:dyDescent="0.3">
      <c r="J11" s="1" t="s">
        <v>5</v>
      </c>
      <c r="K11" s="1" t="s">
        <v>18</v>
      </c>
      <c r="L11" s="1" t="s">
        <v>19</v>
      </c>
    </row>
    <row r="12" spans="1:23" x14ac:dyDescent="0.25">
      <c r="J12" s="3">
        <v>20</v>
      </c>
      <c r="K12" s="3">
        <v>150</v>
      </c>
      <c r="L12" s="3">
        <v>70</v>
      </c>
    </row>
    <row r="13" spans="1:23" x14ac:dyDescent="0.25">
      <c r="J13" s="3">
        <v>19</v>
      </c>
      <c r="K13" s="3">
        <v>160</v>
      </c>
      <c r="L13" s="3">
        <v>84</v>
      </c>
    </row>
    <row r="14" spans="1:23" x14ac:dyDescent="0.25">
      <c r="J14" s="3">
        <v>21</v>
      </c>
      <c r="K14" s="3">
        <v>168</v>
      </c>
      <c r="L14" s="3">
        <v>45</v>
      </c>
    </row>
    <row r="15" spans="1:23" x14ac:dyDescent="0.25">
      <c r="J15" s="3">
        <v>20</v>
      </c>
      <c r="K15" s="3">
        <v>160</v>
      </c>
      <c r="L15" s="3">
        <v>39</v>
      </c>
    </row>
    <row r="16" spans="1:23" x14ac:dyDescent="0.25">
      <c r="J16" s="3">
        <v>22</v>
      </c>
      <c r="K16" s="3">
        <v>160</v>
      </c>
      <c r="L16" s="3">
        <v>63</v>
      </c>
    </row>
    <row r="17" spans="10:12" x14ac:dyDescent="0.25">
      <c r="J17" s="3">
        <v>21</v>
      </c>
      <c r="K17" s="3">
        <v>152</v>
      </c>
      <c r="L17" s="3">
        <v>50</v>
      </c>
    </row>
    <row r="18" spans="10:12" x14ac:dyDescent="0.25">
      <c r="J18" s="3">
        <v>22</v>
      </c>
      <c r="K18" s="3">
        <v>182</v>
      </c>
      <c r="L18" s="3">
        <v>59</v>
      </c>
    </row>
    <row r="19" spans="10:12" x14ac:dyDescent="0.25">
      <c r="J19" s="3">
        <v>18</v>
      </c>
      <c r="K19" s="3">
        <v>167</v>
      </c>
      <c r="L19" s="3">
        <v>74</v>
      </c>
    </row>
    <row r="20" spans="10:12" x14ac:dyDescent="0.25">
      <c r="J20" s="3">
        <v>18</v>
      </c>
      <c r="K20" s="3">
        <v>156</v>
      </c>
      <c r="L20" s="3">
        <v>90</v>
      </c>
    </row>
    <row r="21" spans="10:12" x14ac:dyDescent="0.25">
      <c r="J21" s="3">
        <v>22</v>
      </c>
      <c r="K21" s="3">
        <v>158</v>
      </c>
      <c r="L21" s="3">
        <v>42</v>
      </c>
    </row>
    <row r="22" spans="10:12" x14ac:dyDescent="0.25">
      <c r="J22" s="3">
        <v>20</v>
      </c>
      <c r="K22" s="3">
        <v>162</v>
      </c>
      <c r="L22" s="3">
        <v>49</v>
      </c>
    </row>
    <row r="23" spans="10:12" x14ac:dyDescent="0.25">
      <c r="J23" s="3">
        <v>21</v>
      </c>
      <c r="K23" s="3">
        <v>168</v>
      </c>
      <c r="L23" s="3">
        <v>58</v>
      </c>
    </row>
    <row r="24" spans="10:12" x14ac:dyDescent="0.25">
      <c r="J24" s="3">
        <v>19</v>
      </c>
      <c r="K24" s="3">
        <v>166</v>
      </c>
      <c r="L24" s="3">
        <v>67</v>
      </c>
    </row>
    <row r="25" spans="10:12" x14ac:dyDescent="0.25">
      <c r="J25" s="3">
        <v>21</v>
      </c>
      <c r="K25" s="3">
        <v>172</v>
      </c>
      <c r="L25" s="3">
        <v>55</v>
      </c>
    </row>
    <row r="26" spans="10:12" x14ac:dyDescent="0.25">
      <c r="J26" s="3">
        <v>22</v>
      </c>
      <c r="K26" s="3">
        <v>175</v>
      </c>
      <c r="L26" s="3">
        <v>73</v>
      </c>
    </row>
    <row r="27" spans="10:12" x14ac:dyDescent="0.25">
      <c r="J27" s="3">
        <v>21</v>
      </c>
      <c r="K27" s="3">
        <v>178</v>
      </c>
      <c r="L27" s="3">
        <v>72</v>
      </c>
    </row>
    <row r="28" spans="10:12" x14ac:dyDescent="0.25">
      <c r="J28" s="3">
        <v>21</v>
      </c>
      <c r="K28" s="3">
        <v>163</v>
      </c>
      <c r="L28" s="3">
        <v>45</v>
      </c>
    </row>
    <row r="29" spans="10:12" x14ac:dyDescent="0.25">
      <c r="J29" s="3">
        <v>21</v>
      </c>
      <c r="K29" s="3">
        <v>167</v>
      </c>
      <c r="L29" s="3">
        <v>43</v>
      </c>
    </row>
    <row r="30" spans="10:12" x14ac:dyDescent="0.25">
      <c r="J30" s="3">
        <v>20</v>
      </c>
      <c r="K30" s="3">
        <v>170</v>
      </c>
      <c r="L30" s="3">
        <v>65</v>
      </c>
    </row>
    <row r="31" spans="10:12" x14ac:dyDescent="0.25">
      <c r="J31" s="3">
        <v>22</v>
      </c>
      <c r="K31" s="3">
        <v>179</v>
      </c>
      <c r="L31" s="3">
        <v>74</v>
      </c>
    </row>
    <row r="32" spans="10:12" x14ac:dyDescent="0.25">
      <c r="J32" s="3">
        <v>19</v>
      </c>
      <c r="K32" s="3">
        <v>152</v>
      </c>
      <c r="L32" s="3">
        <v>45</v>
      </c>
    </row>
    <row r="33" spans="10:12" x14ac:dyDescent="0.25">
      <c r="J33" s="3">
        <v>21</v>
      </c>
      <c r="K33" s="3">
        <v>158</v>
      </c>
      <c r="L33" s="3">
        <v>56</v>
      </c>
    </row>
    <row r="34" spans="10:12" x14ac:dyDescent="0.25">
      <c r="J34" s="3">
        <v>19</v>
      </c>
      <c r="K34" s="3">
        <v>165</v>
      </c>
      <c r="L34" s="3">
        <v>71</v>
      </c>
    </row>
    <row r="35" spans="10:12" x14ac:dyDescent="0.25">
      <c r="J35" s="3">
        <v>23</v>
      </c>
      <c r="K35" s="3">
        <v>156</v>
      </c>
      <c r="L35" s="3">
        <v>48</v>
      </c>
    </row>
    <row r="36" spans="10:12" x14ac:dyDescent="0.25">
      <c r="J36" s="3">
        <v>22</v>
      </c>
      <c r="K36" s="3">
        <v>158</v>
      </c>
      <c r="L36" s="3">
        <v>52</v>
      </c>
    </row>
    <row r="37" spans="10:12" x14ac:dyDescent="0.25">
      <c r="J37" s="3">
        <v>19</v>
      </c>
      <c r="K37" s="3">
        <v>158</v>
      </c>
      <c r="L37" s="3">
        <v>80</v>
      </c>
    </row>
    <row r="38" spans="10:12" x14ac:dyDescent="0.25">
      <c r="J38" s="3">
        <v>21</v>
      </c>
      <c r="K38" s="3">
        <v>167</v>
      </c>
      <c r="L38" s="3">
        <v>43</v>
      </c>
    </row>
    <row r="39" spans="10:12" x14ac:dyDescent="0.25">
      <c r="J39" s="3">
        <v>21</v>
      </c>
      <c r="K39" s="3">
        <v>178</v>
      </c>
      <c r="L39" s="3">
        <v>75</v>
      </c>
    </row>
    <row r="40" spans="10:12" x14ac:dyDescent="0.25">
      <c r="J40" s="3">
        <v>20</v>
      </c>
      <c r="K40" s="3">
        <v>155</v>
      </c>
      <c r="L40" s="3">
        <v>56</v>
      </c>
    </row>
    <row r="41" spans="10:12" x14ac:dyDescent="0.25">
      <c r="J41" s="3">
        <v>21</v>
      </c>
      <c r="K41" s="3">
        <v>154</v>
      </c>
      <c r="L41" s="3">
        <v>55</v>
      </c>
    </row>
    <row r="42" spans="10:12" x14ac:dyDescent="0.25">
      <c r="J42" s="5">
        <v>21</v>
      </c>
      <c r="K42" s="3">
        <v>170</v>
      </c>
      <c r="L42" s="3">
        <v>45</v>
      </c>
    </row>
    <row r="43" spans="10:12" x14ac:dyDescent="0.25">
      <c r="J43" s="3">
        <v>18</v>
      </c>
      <c r="K43" s="3">
        <v>152</v>
      </c>
      <c r="L43" s="3">
        <v>41</v>
      </c>
    </row>
    <row r="44" spans="10:12" x14ac:dyDescent="0.25">
      <c r="J44" s="3">
        <v>20</v>
      </c>
      <c r="K44" s="3">
        <v>152</v>
      </c>
      <c r="L44" s="3">
        <v>54</v>
      </c>
    </row>
    <row r="45" spans="10:12" x14ac:dyDescent="0.25">
      <c r="J45" s="3">
        <v>22</v>
      </c>
      <c r="K45" s="3">
        <v>155</v>
      </c>
      <c r="L45" s="3">
        <v>44</v>
      </c>
    </row>
    <row r="46" spans="10:12" x14ac:dyDescent="0.25">
      <c r="J46" s="3">
        <v>21</v>
      </c>
      <c r="K46" s="3">
        <v>164</v>
      </c>
      <c r="L46" s="3">
        <v>50</v>
      </c>
    </row>
    <row r="47" spans="10:12" x14ac:dyDescent="0.25">
      <c r="J47" s="3">
        <v>21</v>
      </c>
      <c r="K47" s="3">
        <v>170</v>
      </c>
      <c r="L47" s="3">
        <v>52</v>
      </c>
    </row>
    <row r="48" spans="10:12" x14ac:dyDescent="0.25">
      <c r="J48" s="3">
        <v>21</v>
      </c>
      <c r="K48" s="3">
        <v>171</v>
      </c>
      <c r="L48" s="3">
        <v>69</v>
      </c>
    </row>
    <row r="49" spans="10:12" x14ac:dyDescent="0.25">
      <c r="J49" s="3">
        <v>23</v>
      </c>
      <c r="K49" s="3">
        <v>154</v>
      </c>
      <c r="L49" s="3">
        <v>50</v>
      </c>
    </row>
    <row r="50" spans="10:12" x14ac:dyDescent="0.25">
      <c r="J50" s="3">
        <v>19</v>
      </c>
      <c r="K50" s="3">
        <v>160</v>
      </c>
      <c r="L50" s="3">
        <v>52</v>
      </c>
    </row>
    <row r="51" spans="10:12" x14ac:dyDescent="0.25">
      <c r="J51" s="3">
        <v>21</v>
      </c>
      <c r="K51" s="3">
        <v>162</v>
      </c>
      <c r="L51" s="3">
        <v>50</v>
      </c>
    </row>
    <row r="52" spans="10:12" x14ac:dyDescent="0.25">
      <c r="J52" s="3">
        <v>19</v>
      </c>
      <c r="K52" s="3">
        <v>170</v>
      </c>
      <c r="L52" s="3">
        <v>53</v>
      </c>
    </row>
    <row r="53" spans="10:12" x14ac:dyDescent="0.25">
      <c r="J53" s="3">
        <v>18</v>
      </c>
      <c r="K53" s="3">
        <v>164</v>
      </c>
      <c r="L53" s="3">
        <v>93</v>
      </c>
    </row>
    <row r="54" spans="10:12" x14ac:dyDescent="0.25">
      <c r="J54" s="3">
        <v>21</v>
      </c>
      <c r="K54" s="3">
        <v>154</v>
      </c>
      <c r="L54" s="3">
        <v>85</v>
      </c>
    </row>
    <row r="55" spans="10:12" x14ac:dyDescent="0.25">
      <c r="J55" s="3">
        <v>22</v>
      </c>
      <c r="K55" s="3">
        <v>186</v>
      </c>
      <c r="L55" s="3">
        <v>92</v>
      </c>
    </row>
    <row r="56" spans="10:12" x14ac:dyDescent="0.25">
      <c r="J56" s="3">
        <v>21</v>
      </c>
      <c r="K56" s="3">
        <v>175</v>
      </c>
      <c r="L56" s="3">
        <v>68</v>
      </c>
    </row>
    <row r="57" spans="10:12" x14ac:dyDescent="0.25">
      <c r="J57" s="3">
        <v>20</v>
      </c>
      <c r="K57" s="3">
        <v>185</v>
      </c>
      <c r="L57" s="3">
        <v>55</v>
      </c>
    </row>
    <row r="58" spans="10:12" x14ac:dyDescent="0.25">
      <c r="J58" s="3">
        <v>20</v>
      </c>
      <c r="K58" s="3">
        <v>170</v>
      </c>
      <c r="L58" s="3">
        <v>62</v>
      </c>
    </row>
    <row r="59" spans="10:12" x14ac:dyDescent="0.25">
      <c r="J59" s="3">
        <v>22</v>
      </c>
      <c r="K59" s="3">
        <v>174</v>
      </c>
      <c r="L59" s="3">
        <v>75</v>
      </c>
    </row>
    <row r="60" spans="10:12" x14ac:dyDescent="0.25">
      <c r="J60" s="3">
        <v>21</v>
      </c>
      <c r="K60" s="3">
        <v>167</v>
      </c>
      <c r="L60" s="3">
        <v>54</v>
      </c>
    </row>
    <row r="61" spans="10:12" x14ac:dyDescent="0.25">
      <c r="J61" s="3">
        <v>20</v>
      </c>
      <c r="K61" s="3">
        <v>165</v>
      </c>
      <c r="L61" s="3">
        <v>82</v>
      </c>
    </row>
    <row r="62" spans="10:12" x14ac:dyDescent="0.25">
      <c r="J62" s="3">
        <v>22</v>
      </c>
      <c r="K62" s="3">
        <v>169</v>
      </c>
      <c r="L62" s="3">
        <v>67</v>
      </c>
    </row>
    <row r="63" spans="10:12" x14ac:dyDescent="0.25">
      <c r="J63" s="3">
        <v>19</v>
      </c>
      <c r="K63" s="3">
        <v>165</v>
      </c>
      <c r="L63" s="3">
        <v>52</v>
      </c>
    </row>
    <row r="64" spans="10:12" x14ac:dyDescent="0.25">
      <c r="J64" s="3">
        <v>21</v>
      </c>
      <c r="K64" s="3">
        <v>166</v>
      </c>
      <c r="L64" s="3">
        <v>75</v>
      </c>
    </row>
    <row r="65" spans="10:12" x14ac:dyDescent="0.25">
      <c r="J65" s="3">
        <v>18</v>
      </c>
      <c r="K65" s="3">
        <v>162</v>
      </c>
      <c r="L65" s="3">
        <v>64</v>
      </c>
    </row>
    <row r="66" spans="10:12" x14ac:dyDescent="0.25">
      <c r="J66" s="3">
        <v>19</v>
      </c>
      <c r="K66" s="3">
        <v>150</v>
      </c>
      <c r="L66" s="3">
        <v>50</v>
      </c>
    </row>
    <row r="67" spans="10:12" x14ac:dyDescent="0.25">
      <c r="J67" s="3">
        <v>22</v>
      </c>
      <c r="K67" s="3">
        <v>168</v>
      </c>
      <c r="L67" s="3">
        <v>50</v>
      </c>
    </row>
    <row r="68" spans="10:12" x14ac:dyDescent="0.25">
      <c r="J68" s="3">
        <v>21</v>
      </c>
      <c r="K68" s="3">
        <v>155</v>
      </c>
      <c r="L68" s="3">
        <v>46</v>
      </c>
    </row>
    <row r="69" spans="10:12" x14ac:dyDescent="0.25">
      <c r="J69" s="3">
        <v>20</v>
      </c>
      <c r="K69" s="3">
        <v>154</v>
      </c>
      <c r="L69" s="3">
        <v>59</v>
      </c>
    </row>
    <row r="70" spans="10:12" x14ac:dyDescent="0.25">
      <c r="J70" s="3">
        <v>19</v>
      </c>
      <c r="K70" s="3">
        <v>156</v>
      </c>
      <c r="L70" s="3">
        <v>41</v>
      </c>
    </row>
    <row r="71" spans="10:12" x14ac:dyDescent="0.25">
      <c r="J71" s="3">
        <v>21</v>
      </c>
      <c r="K71" s="3">
        <v>167</v>
      </c>
      <c r="L71" s="3">
        <v>58</v>
      </c>
    </row>
    <row r="72" spans="10:12" x14ac:dyDescent="0.25">
      <c r="J72" s="3">
        <v>21</v>
      </c>
      <c r="K72" s="3">
        <v>153</v>
      </c>
      <c r="L72" s="3">
        <v>55</v>
      </c>
    </row>
    <row r="73" spans="10:12" x14ac:dyDescent="0.25">
      <c r="J73" s="3">
        <v>21</v>
      </c>
      <c r="K73" s="3">
        <v>184</v>
      </c>
      <c r="L73" s="3">
        <v>98</v>
      </c>
    </row>
    <row r="74" spans="10:12" x14ac:dyDescent="0.25">
      <c r="J74" s="3">
        <v>19</v>
      </c>
      <c r="K74" s="3">
        <v>180</v>
      </c>
      <c r="L74" s="3">
        <v>73</v>
      </c>
    </row>
    <row r="75" spans="10:12" x14ac:dyDescent="0.25">
      <c r="J75" s="3">
        <v>20</v>
      </c>
      <c r="K75" s="3">
        <v>147</v>
      </c>
      <c r="L75" s="3">
        <v>47</v>
      </c>
    </row>
    <row r="76" spans="10:12" x14ac:dyDescent="0.25">
      <c r="J76" s="3">
        <v>21</v>
      </c>
      <c r="K76" s="3">
        <v>152</v>
      </c>
      <c r="L76" s="3">
        <v>49</v>
      </c>
    </row>
    <row r="77" spans="10:12" x14ac:dyDescent="0.25">
      <c r="J77" s="3">
        <v>21</v>
      </c>
      <c r="K77" s="3">
        <v>164</v>
      </c>
      <c r="L77" s="3">
        <v>70</v>
      </c>
    </row>
    <row r="78" spans="10:12" x14ac:dyDescent="0.25">
      <c r="J78" s="3">
        <v>22</v>
      </c>
      <c r="K78" s="3">
        <v>156</v>
      </c>
      <c r="L78" s="3">
        <v>43</v>
      </c>
    </row>
    <row r="79" spans="10:12" x14ac:dyDescent="0.25">
      <c r="J79" s="3">
        <v>19</v>
      </c>
      <c r="K79" s="3">
        <v>165</v>
      </c>
      <c r="L79" s="3">
        <v>56</v>
      </c>
    </row>
    <row r="80" spans="10:12" x14ac:dyDescent="0.25">
      <c r="J80" s="3">
        <v>22</v>
      </c>
      <c r="K80" s="3">
        <v>167</v>
      </c>
      <c r="L80" s="3">
        <v>54</v>
      </c>
    </row>
    <row r="81" spans="10:12" x14ac:dyDescent="0.25">
      <c r="J81" s="3">
        <v>18</v>
      </c>
      <c r="K81" s="3">
        <v>158</v>
      </c>
      <c r="L81" s="3">
        <v>50</v>
      </c>
    </row>
    <row r="82" spans="10:12" x14ac:dyDescent="0.25">
      <c r="J82" s="3">
        <v>21</v>
      </c>
      <c r="K82" s="3">
        <v>164</v>
      </c>
      <c r="L82" s="3">
        <v>54</v>
      </c>
    </row>
    <row r="83" spans="10:12" x14ac:dyDescent="0.25">
      <c r="J83" s="3">
        <v>20</v>
      </c>
      <c r="K83" s="3">
        <v>183</v>
      </c>
      <c r="L83" s="3">
        <v>61</v>
      </c>
    </row>
    <row r="84" spans="10:12" x14ac:dyDescent="0.25">
      <c r="J84" s="3">
        <v>21</v>
      </c>
      <c r="K84" s="3">
        <v>163</v>
      </c>
      <c r="L84" s="3">
        <v>54</v>
      </c>
    </row>
    <row r="85" spans="10:12" x14ac:dyDescent="0.25">
      <c r="J85" s="3">
        <v>21</v>
      </c>
      <c r="K85" s="3">
        <v>188</v>
      </c>
      <c r="L85" s="3">
        <v>91</v>
      </c>
    </row>
    <row r="86" spans="10:12" x14ac:dyDescent="0.25">
      <c r="J86" s="3">
        <v>22</v>
      </c>
      <c r="K86" s="5">
        <v>186</v>
      </c>
      <c r="L86" s="5">
        <v>72</v>
      </c>
    </row>
    <row r="87" spans="10:12" x14ac:dyDescent="0.25">
      <c r="J87" s="3">
        <v>22</v>
      </c>
      <c r="K87" s="3">
        <v>156</v>
      </c>
      <c r="L87" s="3">
        <v>78</v>
      </c>
    </row>
    <row r="88" spans="10:12" x14ac:dyDescent="0.25">
      <c r="J88" s="3">
        <v>18</v>
      </c>
      <c r="K88" s="3">
        <v>173</v>
      </c>
      <c r="L88" s="3">
        <v>45</v>
      </c>
    </row>
    <row r="89" spans="10:12" x14ac:dyDescent="0.25">
      <c r="J89" s="3">
        <v>20</v>
      </c>
      <c r="K89" s="3">
        <v>160</v>
      </c>
      <c r="L89" s="3">
        <v>49</v>
      </c>
    </row>
    <row r="90" spans="10:12" x14ac:dyDescent="0.25">
      <c r="J90" s="3">
        <v>20</v>
      </c>
      <c r="K90" s="3">
        <v>156</v>
      </c>
      <c r="L90" s="3">
        <v>42</v>
      </c>
    </row>
    <row r="91" spans="10:12" x14ac:dyDescent="0.25">
      <c r="J91" s="3">
        <v>19</v>
      </c>
      <c r="K91" s="3">
        <v>172</v>
      </c>
      <c r="L91" s="3">
        <v>67</v>
      </c>
    </row>
    <row r="92" spans="10:12" x14ac:dyDescent="0.25">
      <c r="J92" s="3">
        <v>19</v>
      </c>
      <c r="K92" s="3">
        <v>162</v>
      </c>
      <c r="L92" s="3">
        <v>54</v>
      </c>
    </row>
    <row r="93" spans="10:12" x14ac:dyDescent="0.25">
      <c r="J93" s="3">
        <v>18</v>
      </c>
      <c r="K93" s="3">
        <v>152</v>
      </c>
      <c r="L93" s="3">
        <v>36</v>
      </c>
    </row>
    <row r="94" spans="10:12" x14ac:dyDescent="0.25">
      <c r="J94" s="3">
        <v>20</v>
      </c>
      <c r="K94" s="3">
        <v>176</v>
      </c>
      <c r="L94" s="3">
        <v>80</v>
      </c>
    </row>
    <row r="95" spans="10:12" x14ac:dyDescent="0.25">
      <c r="J95" s="3">
        <v>19</v>
      </c>
      <c r="K95" s="3">
        <v>173</v>
      </c>
      <c r="L95" s="3">
        <v>70</v>
      </c>
    </row>
    <row r="96" spans="10:12" x14ac:dyDescent="0.25">
      <c r="J96" s="3">
        <v>20</v>
      </c>
      <c r="K96" s="3">
        <v>158</v>
      </c>
      <c r="L96" s="3">
        <v>40</v>
      </c>
    </row>
    <row r="97" spans="10:12" x14ac:dyDescent="0.25">
      <c r="J97" s="3">
        <v>22</v>
      </c>
      <c r="K97" s="3">
        <v>158</v>
      </c>
      <c r="L97" s="3">
        <v>58</v>
      </c>
    </row>
    <row r="98" spans="10:12" x14ac:dyDescent="0.25">
      <c r="J98" s="3">
        <v>22</v>
      </c>
      <c r="K98" s="3">
        <v>140</v>
      </c>
      <c r="L98" s="3">
        <v>68</v>
      </c>
    </row>
    <row r="99" spans="10:12" x14ac:dyDescent="0.25">
      <c r="J99" s="3">
        <v>22</v>
      </c>
      <c r="K99" s="3">
        <v>162</v>
      </c>
      <c r="L99" s="3">
        <v>47</v>
      </c>
    </row>
    <row r="100" spans="10:12" x14ac:dyDescent="0.25">
      <c r="J100" s="3">
        <v>18</v>
      </c>
      <c r="K100" s="3">
        <v>162</v>
      </c>
      <c r="L100" s="3">
        <v>50</v>
      </c>
    </row>
    <row r="101" spans="10:12" x14ac:dyDescent="0.25">
      <c r="J101" s="3">
        <v>20</v>
      </c>
      <c r="K101" s="3">
        <v>165</v>
      </c>
      <c r="L101" s="5">
        <v>79</v>
      </c>
    </row>
    <row r="102" spans="10:12" x14ac:dyDescent="0.25">
      <c r="J102" s="3">
        <v>19</v>
      </c>
      <c r="K102" s="3">
        <v>172</v>
      </c>
      <c r="L102" s="3">
        <v>60</v>
      </c>
    </row>
    <row r="103" spans="10:12" x14ac:dyDescent="0.25">
      <c r="J103" s="3">
        <v>21</v>
      </c>
      <c r="K103" s="3">
        <v>178</v>
      </c>
      <c r="L103" s="3">
        <v>77</v>
      </c>
    </row>
    <row r="104" spans="10:12" x14ac:dyDescent="0.25">
      <c r="J104" s="5">
        <v>22</v>
      </c>
      <c r="K104" s="3">
        <v>162</v>
      </c>
      <c r="L104" s="3">
        <v>45</v>
      </c>
    </row>
    <row r="105" spans="10:12" x14ac:dyDescent="0.25">
      <c r="J105" s="3">
        <v>19</v>
      </c>
      <c r="K105" s="3">
        <v>156</v>
      </c>
      <c r="L105" s="3">
        <v>53</v>
      </c>
    </row>
    <row r="106" spans="10:12" x14ac:dyDescent="0.25">
      <c r="J106" s="3">
        <v>19</v>
      </c>
      <c r="K106" s="3">
        <v>156</v>
      </c>
      <c r="L106" s="3">
        <v>53</v>
      </c>
    </row>
    <row r="107" spans="10:12" x14ac:dyDescent="0.25">
      <c r="J107" s="3">
        <v>19</v>
      </c>
      <c r="K107" s="3">
        <v>156</v>
      </c>
      <c r="L107" s="3">
        <v>80</v>
      </c>
    </row>
    <row r="108" spans="10:12" x14ac:dyDescent="0.25">
      <c r="J108" s="3">
        <v>21</v>
      </c>
      <c r="K108" s="3">
        <v>158</v>
      </c>
      <c r="L108" s="3">
        <v>50</v>
      </c>
    </row>
    <row r="109" spans="10:12" x14ac:dyDescent="0.25">
      <c r="J109" s="3">
        <v>21</v>
      </c>
      <c r="K109" s="3">
        <v>154</v>
      </c>
      <c r="L109" s="3">
        <v>40</v>
      </c>
    </row>
    <row r="110" spans="10:12" x14ac:dyDescent="0.25">
      <c r="J110" s="3">
        <v>19</v>
      </c>
      <c r="K110" s="3">
        <v>155</v>
      </c>
      <c r="L110" s="3">
        <v>45</v>
      </c>
    </row>
    <row r="111" spans="10:12" x14ac:dyDescent="0.25">
      <c r="J111" s="3">
        <v>20</v>
      </c>
      <c r="K111" s="3">
        <v>157</v>
      </c>
      <c r="L111" s="3">
        <v>56</v>
      </c>
    </row>
    <row r="112" spans="10:12" x14ac:dyDescent="0.25">
      <c r="J112" s="3">
        <v>21</v>
      </c>
      <c r="K112" s="3">
        <v>163</v>
      </c>
      <c r="L112" s="3">
        <v>80</v>
      </c>
    </row>
    <row r="113" spans="10:12" x14ac:dyDescent="0.25">
      <c r="J113" s="3">
        <v>20</v>
      </c>
      <c r="K113" s="3">
        <v>154</v>
      </c>
      <c r="L113" s="3">
        <v>53</v>
      </c>
    </row>
    <row r="114" spans="10:12" x14ac:dyDescent="0.25">
      <c r="J114" s="3">
        <v>21</v>
      </c>
      <c r="K114" s="3">
        <v>154</v>
      </c>
      <c r="L114" s="3">
        <v>55</v>
      </c>
    </row>
    <row r="115" spans="10:12" x14ac:dyDescent="0.25">
      <c r="J115" s="3">
        <v>21</v>
      </c>
      <c r="K115" s="3">
        <v>177</v>
      </c>
      <c r="L115" s="3">
        <v>45</v>
      </c>
    </row>
    <row r="116" spans="10:12" x14ac:dyDescent="0.25">
      <c r="J116" s="3">
        <v>21</v>
      </c>
      <c r="K116" s="3">
        <v>158</v>
      </c>
      <c r="L116" s="3">
        <v>49</v>
      </c>
    </row>
    <row r="117" spans="10:12" x14ac:dyDescent="0.25">
      <c r="J117" s="3">
        <v>20</v>
      </c>
      <c r="K117" s="3">
        <v>164</v>
      </c>
      <c r="L117" s="3">
        <v>48</v>
      </c>
    </row>
    <row r="118" spans="10:12" x14ac:dyDescent="0.25">
      <c r="J118" s="3">
        <v>18</v>
      </c>
      <c r="K118" s="3">
        <v>155</v>
      </c>
      <c r="L118" s="3">
        <v>46</v>
      </c>
    </row>
    <row r="119" spans="10:12" x14ac:dyDescent="0.25">
      <c r="J119" s="3">
        <v>20</v>
      </c>
      <c r="K119" s="3">
        <v>160</v>
      </c>
      <c r="L119" s="3">
        <v>40</v>
      </c>
    </row>
    <row r="120" spans="10:12" x14ac:dyDescent="0.25">
      <c r="J120" s="3">
        <v>19</v>
      </c>
      <c r="K120" s="3">
        <v>157</v>
      </c>
      <c r="L120" s="5">
        <v>46</v>
      </c>
    </row>
    <row r="121" spans="10:12" x14ac:dyDescent="0.25">
      <c r="J121" s="3">
        <v>21</v>
      </c>
      <c r="K121" s="3">
        <v>163</v>
      </c>
      <c r="L121" s="3">
        <v>75</v>
      </c>
    </row>
    <row r="122" spans="10:12" x14ac:dyDescent="0.25">
      <c r="J122" s="3">
        <v>20</v>
      </c>
      <c r="K122" s="3">
        <v>173</v>
      </c>
      <c r="L122" s="3">
        <v>75</v>
      </c>
    </row>
    <row r="123" spans="10:12" x14ac:dyDescent="0.25">
      <c r="J123" s="3">
        <v>22</v>
      </c>
      <c r="K123" s="3">
        <v>170</v>
      </c>
      <c r="L123" s="3">
        <v>75</v>
      </c>
    </row>
    <row r="124" spans="10:12" x14ac:dyDescent="0.25">
      <c r="J124" s="3">
        <v>19</v>
      </c>
      <c r="K124" s="3">
        <v>158</v>
      </c>
      <c r="L124" s="3">
        <v>45</v>
      </c>
    </row>
    <row r="125" spans="10:12" x14ac:dyDescent="0.25">
      <c r="J125" s="3">
        <v>20</v>
      </c>
      <c r="K125" s="3">
        <v>159</v>
      </c>
      <c r="L125" s="3">
        <v>65</v>
      </c>
    </row>
    <row r="126" spans="10:12" x14ac:dyDescent="0.25">
      <c r="J126" s="3">
        <v>23</v>
      </c>
      <c r="K126" s="3">
        <v>173</v>
      </c>
      <c r="L126" s="3">
        <v>73</v>
      </c>
    </row>
    <row r="133" spans="2:2" x14ac:dyDescent="0.25">
      <c r="B133">
        <f>_xlfn.STDEV.P(data!S2:S116)</f>
        <v>9.4349469029974866</v>
      </c>
    </row>
    <row r="150" spans="4:6" x14ac:dyDescent="0.25">
      <c r="D150" t="s">
        <v>465</v>
      </c>
    </row>
    <row r="151" spans="4:6" ht="15.75" thickBot="1" x14ac:dyDescent="0.3"/>
    <row r="152" spans="4:6" x14ac:dyDescent="0.25">
      <c r="D152" s="63" t="s">
        <v>466</v>
      </c>
      <c r="E152" s="63" t="s">
        <v>467</v>
      </c>
      <c r="F152" s="63" t="s">
        <v>468</v>
      </c>
    </row>
    <row r="153" spans="4:6" x14ac:dyDescent="0.25">
      <c r="D153" s="61">
        <v>1</v>
      </c>
      <c r="E153" s="61">
        <v>50.177627604786068</v>
      </c>
      <c r="F153" s="61">
        <v>19.822372395213932</v>
      </c>
    </row>
    <row r="154" spans="4:6" x14ac:dyDescent="0.25">
      <c r="D154" s="61">
        <v>2</v>
      </c>
      <c r="E154" s="61">
        <v>57.259311654798815</v>
      </c>
      <c r="F154" s="61">
        <v>26.740688345201185</v>
      </c>
    </row>
    <row r="155" spans="4:6" x14ac:dyDescent="0.25">
      <c r="D155" s="61">
        <v>3</v>
      </c>
      <c r="E155" s="61">
        <v>61.82057041130814</v>
      </c>
      <c r="F155" s="61">
        <v>-16.82057041130814</v>
      </c>
    </row>
    <row r="156" spans="4:6" x14ac:dyDescent="0.25">
      <c r="D156" s="61">
        <v>4</v>
      </c>
      <c r="E156" s="61">
        <v>56.864994339262793</v>
      </c>
      <c r="F156" s="61">
        <v>-17.864994339262793</v>
      </c>
    </row>
    <row r="157" spans="4:6" x14ac:dyDescent="0.25">
      <c r="D157" s="61">
        <v>5</v>
      </c>
      <c r="E157" s="61">
        <v>56.076359708190736</v>
      </c>
      <c r="F157" s="61">
        <v>6.9236402918092637</v>
      </c>
    </row>
    <row r="158" spans="4:6" x14ac:dyDescent="0.25">
      <c r="D158" s="61">
        <v>6</v>
      </c>
      <c r="E158" s="61">
        <v>51.12078363614539</v>
      </c>
      <c r="F158" s="61">
        <v>-1.12078363614539</v>
      </c>
    </row>
    <row r="159" spans="4:6" x14ac:dyDescent="0.25">
      <c r="D159" s="61">
        <v>7</v>
      </c>
      <c r="E159" s="61">
        <v>70.788566524039524</v>
      </c>
      <c r="F159" s="61">
        <v>-11.788566524039524</v>
      </c>
    </row>
    <row r="160" spans="4:6" x14ac:dyDescent="0.25">
      <c r="D160" s="61">
        <v>8</v>
      </c>
      <c r="E160" s="61">
        <v>62.33478568446855</v>
      </c>
      <c r="F160" s="61">
        <v>11.66521431553145</v>
      </c>
    </row>
    <row r="161" spans="4:6" x14ac:dyDescent="0.25">
      <c r="D161" s="61">
        <v>9</v>
      </c>
      <c r="E161" s="61">
        <v>54.978682276544156</v>
      </c>
      <c r="F161" s="61">
        <v>35.021317723455844</v>
      </c>
    </row>
    <row r="162" spans="4:6" x14ac:dyDescent="0.25">
      <c r="D162" s="61">
        <v>10</v>
      </c>
      <c r="E162" s="61">
        <v>54.738886361295386</v>
      </c>
      <c r="F162" s="61">
        <v>-12.738886361295386</v>
      </c>
    </row>
    <row r="163" spans="4:6" x14ac:dyDescent="0.25">
      <c r="D163" s="61">
        <v>11</v>
      </c>
      <c r="E163" s="61">
        <v>58.202467686158144</v>
      </c>
      <c r="F163" s="61">
        <v>-9.202467686158144</v>
      </c>
    </row>
    <row r="164" spans="4:6" x14ac:dyDescent="0.25">
      <c r="D164" s="61">
        <v>12</v>
      </c>
      <c r="E164" s="61">
        <v>61.82057041130814</v>
      </c>
      <c r="F164" s="61">
        <v>-3.8205704113081396</v>
      </c>
    </row>
    <row r="165" spans="4:6" x14ac:dyDescent="0.25">
      <c r="D165" s="61">
        <v>13</v>
      </c>
      <c r="E165" s="61">
        <v>61.271731695484853</v>
      </c>
      <c r="F165" s="61">
        <v>5.7282683045151472</v>
      </c>
    </row>
    <row r="166" spans="4:6" x14ac:dyDescent="0.25">
      <c r="D166" s="61">
        <v>14</v>
      </c>
      <c r="E166" s="61">
        <v>64.495517105098827</v>
      </c>
      <c r="F166" s="61">
        <v>-9.495517105098827</v>
      </c>
    </row>
    <row r="167" spans="4:6" x14ac:dyDescent="0.25">
      <c r="D167" s="61">
        <v>15</v>
      </c>
      <c r="E167" s="61">
        <v>66.107409809905818</v>
      </c>
      <c r="F167" s="61">
        <v>6.8925901900941824</v>
      </c>
    </row>
    <row r="168" spans="4:6" x14ac:dyDescent="0.25">
      <c r="D168" s="61">
        <v>16</v>
      </c>
      <c r="E168" s="61">
        <v>68.507937145784865</v>
      </c>
      <c r="F168" s="61">
        <v>3.4920628542151348</v>
      </c>
    </row>
    <row r="169" spans="4:6" x14ac:dyDescent="0.25">
      <c r="D169" s="61">
        <v>17</v>
      </c>
      <c r="E169" s="61">
        <v>58.476887044069784</v>
      </c>
      <c r="F169" s="61">
        <v>-13.476887044069784</v>
      </c>
    </row>
    <row r="170" spans="4:6" x14ac:dyDescent="0.25">
      <c r="D170" s="61">
        <v>18</v>
      </c>
      <c r="E170" s="61">
        <v>61.151833737860471</v>
      </c>
      <c r="F170" s="61">
        <v>-18.151833737860471</v>
      </c>
    </row>
    <row r="171" spans="4:6" x14ac:dyDescent="0.25">
      <c r="D171" s="61">
        <v>19</v>
      </c>
      <c r="E171" s="61">
        <v>63.552361073739519</v>
      </c>
      <c r="F171" s="61">
        <v>1.4476389262604812</v>
      </c>
    </row>
    <row r="172" spans="4:6" x14ac:dyDescent="0.25">
      <c r="D172" s="61">
        <v>20</v>
      </c>
      <c r="E172" s="61">
        <v>68.782356503696505</v>
      </c>
      <c r="F172" s="61">
        <v>5.217643496303495</v>
      </c>
    </row>
    <row r="173" spans="4:6" x14ac:dyDescent="0.25">
      <c r="D173" s="61">
        <v>21</v>
      </c>
      <c r="E173" s="61">
        <v>51.90941826721744</v>
      </c>
      <c r="F173" s="61">
        <v>-6.9094182672174398</v>
      </c>
    </row>
    <row r="174" spans="4:6" x14ac:dyDescent="0.25">
      <c r="D174" s="61">
        <v>22</v>
      </c>
      <c r="E174" s="61">
        <v>55.133203676831414</v>
      </c>
      <c r="F174" s="61">
        <v>0.86679632316858601</v>
      </c>
    </row>
    <row r="175" spans="4:6" x14ac:dyDescent="0.25">
      <c r="D175" s="61">
        <v>23</v>
      </c>
      <c r="E175" s="61">
        <v>60.60299502203717</v>
      </c>
      <c r="F175" s="61">
        <v>10.39700497796283</v>
      </c>
    </row>
    <row r="176" spans="4:6" x14ac:dyDescent="0.25">
      <c r="D176" s="61">
        <v>24</v>
      </c>
      <c r="E176" s="61">
        <v>53.007095698864021</v>
      </c>
      <c r="F176" s="61">
        <v>-5.0070956988640205</v>
      </c>
    </row>
    <row r="177" spans="4:6" x14ac:dyDescent="0.25">
      <c r="D177" s="61">
        <v>25</v>
      </c>
      <c r="E177" s="61">
        <v>54.738886361295386</v>
      </c>
      <c r="F177" s="61">
        <v>-2.7388863612953855</v>
      </c>
    </row>
    <row r="178" spans="4:6" x14ac:dyDescent="0.25">
      <c r="D178" s="61">
        <v>26</v>
      </c>
      <c r="E178" s="61">
        <v>55.921838307903464</v>
      </c>
      <c r="F178" s="61">
        <v>24.078161692096536</v>
      </c>
    </row>
    <row r="179" spans="4:6" x14ac:dyDescent="0.25">
      <c r="D179" s="61">
        <v>27</v>
      </c>
      <c r="E179" s="61">
        <v>61.151833737860471</v>
      </c>
      <c r="F179" s="61">
        <v>-18.151833737860471</v>
      </c>
    </row>
    <row r="180" spans="4:6" x14ac:dyDescent="0.25">
      <c r="D180" s="61">
        <v>28</v>
      </c>
      <c r="E180" s="61">
        <v>68.507937145784865</v>
      </c>
      <c r="F180" s="61">
        <v>6.4920628542151348</v>
      </c>
    </row>
    <row r="181" spans="4:6" x14ac:dyDescent="0.25">
      <c r="D181" s="61">
        <v>29</v>
      </c>
      <c r="E181" s="61">
        <v>53.521310972024438</v>
      </c>
      <c r="F181" s="61">
        <v>2.4786890279755625</v>
      </c>
    </row>
    <row r="182" spans="4:6" x14ac:dyDescent="0.25">
      <c r="D182" s="61">
        <v>30</v>
      </c>
      <c r="E182" s="61">
        <v>52.458256983040727</v>
      </c>
      <c r="F182" s="61">
        <v>2.5417430169592734</v>
      </c>
    </row>
    <row r="183" spans="4:6" x14ac:dyDescent="0.25">
      <c r="D183" s="61">
        <v>31</v>
      </c>
      <c r="E183" s="61">
        <v>63.15804375820349</v>
      </c>
      <c r="F183" s="61">
        <v>-18.15804375820349</v>
      </c>
    </row>
    <row r="184" spans="4:6" x14ac:dyDescent="0.25">
      <c r="D184" s="61">
        <v>32</v>
      </c>
      <c r="E184" s="61">
        <v>52.303735582753468</v>
      </c>
      <c r="F184" s="61">
        <v>-11.303735582753468</v>
      </c>
    </row>
    <row r="185" spans="4:6" x14ac:dyDescent="0.25">
      <c r="D185" s="61">
        <v>33</v>
      </c>
      <c r="E185" s="61">
        <v>51.515100951681418</v>
      </c>
      <c r="F185" s="61">
        <v>2.4848990483185815</v>
      </c>
    </row>
    <row r="186" spans="4:6" x14ac:dyDescent="0.25">
      <c r="D186" s="61">
        <v>34</v>
      </c>
      <c r="E186" s="61">
        <v>52.732676340952381</v>
      </c>
      <c r="F186" s="61">
        <v>-8.7326763409523807</v>
      </c>
    </row>
    <row r="187" spans="4:6" x14ac:dyDescent="0.25">
      <c r="D187" s="61">
        <v>35</v>
      </c>
      <c r="E187" s="61">
        <v>59.145623717517452</v>
      </c>
      <c r="F187" s="61">
        <v>-9.1456237175174522</v>
      </c>
    </row>
    <row r="188" spans="4:6" x14ac:dyDescent="0.25">
      <c r="D188" s="61">
        <v>36</v>
      </c>
      <c r="E188" s="61">
        <v>63.15804375820349</v>
      </c>
      <c r="F188" s="61">
        <v>-11.15804375820349</v>
      </c>
    </row>
    <row r="189" spans="4:6" x14ac:dyDescent="0.25">
      <c r="D189" s="61">
        <v>37</v>
      </c>
      <c r="E189" s="61">
        <v>63.826780431651159</v>
      </c>
      <c r="F189" s="61">
        <v>5.1732195683488413</v>
      </c>
    </row>
    <row r="190" spans="4:6" x14ac:dyDescent="0.25">
      <c r="D190" s="61">
        <v>38</v>
      </c>
      <c r="E190" s="61">
        <v>51.66962235196867</v>
      </c>
      <c r="F190" s="61">
        <v>-1.6696223519686697</v>
      </c>
    </row>
    <row r="191" spans="4:6" x14ac:dyDescent="0.25">
      <c r="D191" s="61">
        <v>39</v>
      </c>
      <c r="E191" s="61">
        <v>57.259311654798815</v>
      </c>
      <c r="F191" s="61">
        <v>-5.2593116547988146</v>
      </c>
    </row>
    <row r="192" spans="4:6" x14ac:dyDescent="0.25">
      <c r="D192" s="61">
        <v>40</v>
      </c>
      <c r="E192" s="61">
        <v>57.808150370622116</v>
      </c>
      <c r="F192" s="61">
        <v>-7.8081503706221156</v>
      </c>
    </row>
    <row r="193" spans="4:6" x14ac:dyDescent="0.25">
      <c r="D193" s="61">
        <v>41</v>
      </c>
      <c r="E193" s="61">
        <v>63.94667838927554</v>
      </c>
      <c r="F193" s="61">
        <v>-10.94667838927554</v>
      </c>
    </row>
    <row r="194" spans="4:6" x14ac:dyDescent="0.25">
      <c r="D194" s="61">
        <v>42</v>
      </c>
      <c r="E194" s="61">
        <v>60.32857566412553</v>
      </c>
      <c r="F194" s="61">
        <v>32.67142433587447</v>
      </c>
    </row>
    <row r="195" spans="4:6" x14ac:dyDescent="0.25">
      <c r="D195" s="61">
        <v>43</v>
      </c>
      <c r="E195" s="61">
        <v>52.458256983040727</v>
      </c>
      <c r="F195" s="61">
        <v>32.541743016959273</v>
      </c>
    </row>
    <row r="196" spans="4:6" x14ac:dyDescent="0.25">
      <c r="D196" s="61">
        <v>44</v>
      </c>
      <c r="E196" s="61">
        <v>73.463513217830211</v>
      </c>
      <c r="F196" s="61">
        <v>18.536486782169789</v>
      </c>
    </row>
    <row r="197" spans="4:6" x14ac:dyDescent="0.25">
      <c r="D197" s="61">
        <v>45</v>
      </c>
      <c r="E197" s="61">
        <v>66.501727125441846</v>
      </c>
      <c r="F197" s="61">
        <v>1.4982728745581539</v>
      </c>
    </row>
    <row r="198" spans="4:6" x14ac:dyDescent="0.25">
      <c r="D198" s="61">
        <v>46</v>
      </c>
      <c r="E198" s="61">
        <v>73.5834111754546</v>
      </c>
      <c r="F198" s="61">
        <v>-18.5834111754546</v>
      </c>
    </row>
    <row r="199" spans="4:6" x14ac:dyDescent="0.25">
      <c r="D199" s="61">
        <v>47</v>
      </c>
      <c r="E199" s="61">
        <v>63.552361073739519</v>
      </c>
      <c r="F199" s="61">
        <v>-1.5523610737395188</v>
      </c>
    </row>
    <row r="200" spans="4:6" x14ac:dyDescent="0.25">
      <c r="D200" s="61">
        <v>48</v>
      </c>
      <c r="E200" s="61">
        <v>65.438673136458149</v>
      </c>
      <c r="F200" s="61">
        <v>9.5613268635418507</v>
      </c>
    </row>
    <row r="201" spans="4:6" x14ac:dyDescent="0.25">
      <c r="D201" s="61">
        <v>49</v>
      </c>
      <c r="E201" s="61">
        <v>61.151833737860471</v>
      </c>
      <c r="F201" s="61">
        <v>-7.1518337378604713</v>
      </c>
    </row>
    <row r="202" spans="4:6" x14ac:dyDescent="0.25">
      <c r="D202" s="61">
        <v>50</v>
      </c>
      <c r="E202" s="61">
        <v>60.208677706501149</v>
      </c>
      <c r="F202" s="61">
        <v>21.791322293498851</v>
      </c>
    </row>
    <row r="203" spans="4:6" x14ac:dyDescent="0.25">
      <c r="D203" s="61">
        <v>51</v>
      </c>
      <c r="E203" s="61">
        <v>62.094989769219794</v>
      </c>
      <c r="F203" s="61">
        <v>4.9050102307802064</v>
      </c>
    </row>
    <row r="204" spans="4:6" x14ac:dyDescent="0.25">
      <c r="D204" s="61">
        <v>52</v>
      </c>
      <c r="E204" s="61">
        <v>60.60299502203717</v>
      </c>
      <c r="F204" s="61">
        <v>-8.6029950220371703</v>
      </c>
    </row>
    <row r="205" spans="4:6" x14ac:dyDescent="0.25">
      <c r="D205" s="61">
        <v>53</v>
      </c>
      <c r="E205" s="61">
        <v>60.483097064412803</v>
      </c>
      <c r="F205" s="61">
        <v>14.516902935587197</v>
      </c>
    </row>
    <row r="206" spans="4:6" x14ac:dyDescent="0.25">
      <c r="D206" s="61">
        <v>54</v>
      </c>
      <c r="E206" s="61">
        <v>58.991102317230194</v>
      </c>
      <c r="F206" s="61">
        <v>5.0088976827698062</v>
      </c>
    </row>
    <row r="207" spans="4:6" x14ac:dyDescent="0.25">
      <c r="D207" s="61">
        <v>55</v>
      </c>
      <c r="E207" s="61">
        <v>50.571944920322089</v>
      </c>
      <c r="F207" s="61">
        <v>-0.57194492032208899</v>
      </c>
    </row>
    <row r="208" spans="4:6" x14ac:dyDescent="0.25">
      <c r="D208" s="61">
        <v>56</v>
      </c>
      <c r="E208" s="61">
        <v>61.426253095772111</v>
      </c>
      <c r="F208" s="61">
        <v>-11.426253095772111</v>
      </c>
    </row>
    <row r="209" spans="4:6" x14ac:dyDescent="0.25">
      <c r="D209" s="61">
        <v>57</v>
      </c>
      <c r="E209" s="61">
        <v>53.126993656488409</v>
      </c>
      <c r="F209" s="61">
        <v>-7.1269936564884091</v>
      </c>
    </row>
    <row r="210" spans="4:6" x14ac:dyDescent="0.25">
      <c r="D210" s="61">
        <v>58</v>
      </c>
      <c r="E210" s="61">
        <v>52.852574298576755</v>
      </c>
      <c r="F210" s="61">
        <v>6.147425701423245</v>
      </c>
    </row>
    <row r="211" spans="4:6" x14ac:dyDescent="0.25">
      <c r="D211" s="61">
        <v>59</v>
      </c>
      <c r="E211" s="61">
        <v>54.584364961008127</v>
      </c>
      <c r="F211" s="61">
        <v>-13.584364961008127</v>
      </c>
    </row>
    <row r="212" spans="4:6" x14ac:dyDescent="0.25">
      <c r="D212" s="61">
        <v>60</v>
      </c>
      <c r="E212" s="61">
        <v>61.151833737860471</v>
      </c>
      <c r="F212" s="61">
        <v>-3.1518337378604713</v>
      </c>
    </row>
    <row r="213" spans="4:6" x14ac:dyDescent="0.25">
      <c r="D213" s="61">
        <v>61</v>
      </c>
      <c r="E213" s="61">
        <v>51.789520309593058</v>
      </c>
      <c r="F213" s="61">
        <v>3.2104796904069417</v>
      </c>
    </row>
    <row r="214" spans="4:6" x14ac:dyDescent="0.25">
      <c r="D214" s="61">
        <v>62</v>
      </c>
      <c r="E214" s="61">
        <v>72.520357186470903</v>
      </c>
      <c r="F214" s="61">
        <v>25.479642813529097</v>
      </c>
    </row>
    <row r="215" spans="4:6" x14ac:dyDescent="0.25">
      <c r="D215" s="61">
        <v>63</v>
      </c>
      <c r="E215" s="61">
        <v>70.634045123752259</v>
      </c>
      <c r="F215" s="61">
        <v>2.3659548762477414</v>
      </c>
    </row>
    <row r="216" spans="4:6" x14ac:dyDescent="0.25">
      <c r="D216" s="61">
        <v>64</v>
      </c>
      <c r="E216" s="61">
        <v>48.171417584443049</v>
      </c>
      <c r="F216" s="61">
        <v>-1.1714175844430486</v>
      </c>
    </row>
    <row r="217" spans="4:6" x14ac:dyDescent="0.25">
      <c r="D217" s="61">
        <v>65</v>
      </c>
      <c r="E217" s="61">
        <v>51.12078363614539</v>
      </c>
      <c r="F217" s="61">
        <v>-2.12078363614539</v>
      </c>
    </row>
    <row r="218" spans="4:6" x14ac:dyDescent="0.25">
      <c r="D218" s="61">
        <v>66</v>
      </c>
      <c r="E218" s="61">
        <v>59.145623717517452</v>
      </c>
      <c r="F218" s="61">
        <v>10.854376282482548</v>
      </c>
    </row>
    <row r="219" spans="4:6" x14ac:dyDescent="0.25">
      <c r="D219" s="61">
        <v>67</v>
      </c>
      <c r="E219" s="61">
        <v>53.401413014400049</v>
      </c>
      <c r="F219" s="61">
        <v>-10.401413014400049</v>
      </c>
    </row>
    <row r="220" spans="4:6" x14ac:dyDescent="0.25">
      <c r="D220" s="61">
        <v>68</v>
      </c>
      <c r="E220" s="61">
        <v>60.60299502203717</v>
      </c>
      <c r="F220" s="61">
        <v>-4.6029950220371703</v>
      </c>
    </row>
    <row r="221" spans="4:6" x14ac:dyDescent="0.25">
      <c r="D221" s="61">
        <v>69</v>
      </c>
      <c r="E221" s="61">
        <v>60.757516422324443</v>
      </c>
      <c r="F221" s="61">
        <v>-6.7575164223244428</v>
      </c>
    </row>
    <row r="222" spans="4:6" x14ac:dyDescent="0.25">
      <c r="D222" s="61">
        <v>70</v>
      </c>
      <c r="E222" s="61">
        <v>56.316155623439492</v>
      </c>
      <c r="F222" s="61">
        <v>-6.3161556234394922</v>
      </c>
    </row>
    <row r="223" spans="4:6" x14ac:dyDescent="0.25">
      <c r="D223" s="61">
        <v>71</v>
      </c>
      <c r="E223" s="61">
        <v>59.145623717517452</v>
      </c>
      <c r="F223" s="61">
        <v>-5.1456237175174522</v>
      </c>
    </row>
    <row r="224" spans="4:6" x14ac:dyDescent="0.25">
      <c r="D224" s="61">
        <v>72</v>
      </c>
      <c r="E224" s="61">
        <v>72.245937828559249</v>
      </c>
      <c r="F224" s="61">
        <v>-11.245937828559249</v>
      </c>
    </row>
    <row r="225" spans="4:6" x14ac:dyDescent="0.25">
      <c r="D225" s="61">
        <v>73</v>
      </c>
      <c r="E225" s="61">
        <v>58.476887044069784</v>
      </c>
      <c r="F225" s="61">
        <v>-4.4768870440697839</v>
      </c>
    </row>
    <row r="226" spans="4:6" x14ac:dyDescent="0.25">
      <c r="D226" s="61">
        <v>74</v>
      </c>
      <c r="E226" s="61">
        <v>75.195303880261591</v>
      </c>
      <c r="F226" s="61">
        <v>15.804696119738409</v>
      </c>
    </row>
    <row r="227" spans="4:6" x14ac:dyDescent="0.25">
      <c r="D227" s="61">
        <v>75</v>
      </c>
      <c r="E227" s="61">
        <v>73.463513217830211</v>
      </c>
      <c r="F227" s="61">
        <v>-1.4635132178302115</v>
      </c>
    </row>
    <row r="228" spans="4:6" x14ac:dyDescent="0.25">
      <c r="D228" s="61">
        <v>76</v>
      </c>
      <c r="E228" s="61">
        <v>53.401413014400049</v>
      </c>
      <c r="F228" s="61">
        <v>24.598586985599951</v>
      </c>
    </row>
    <row r="229" spans="4:6" x14ac:dyDescent="0.25">
      <c r="D229" s="61">
        <v>77</v>
      </c>
      <c r="E229" s="61">
        <v>66.347205725154595</v>
      </c>
      <c r="F229" s="61">
        <v>-21.347205725154595</v>
      </c>
    </row>
    <row r="230" spans="4:6" x14ac:dyDescent="0.25">
      <c r="D230" s="61">
        <v>78</v>
      </c>
      <c r="E230" s="61">
        <v>56.864994339262793</v>
      </c>
      <c r="F230" s="61">
        <v>-7.8649943392627932</v>
      </c>
    </row>
    <row r="231" spans="4:6" x14ac:dyDescent="0.25">
      <c r="D231" s="61">
        <v>79</v>
      </c>
      <c r="E231" s="61">
        <v>54.190047645472106</v>
      </c>
      <c r="F231" s="61">
        <v>-12.190047645472106</v>
      </c>
    </row>
    <row r="232" spans="4:6" x14ac:dyDescent="0.25">
      <c r="D232" s="61">
        <v>80</v>
      </c>
      <c r="E232" s="61">
        <v>65.284151736170884</v>
      </c>
      <c r="F232" s="61">
        <v>1.7158482638291161</v>
      </c>
    </row>
    <row r="233" spans="4:6" x14ac:dyDescent="0.25">
      <c r="D233" s="61">
        <v>81</v>
      </c>
      <c r="E233" s="61">
        <v>58.596785001694165</v>
      </c>
      <c r="F233" s="61">
        <v>-4.5967850016941654</v>
      </c>
    </row>
    <row r="234" spans="4:6" x14ac:dyDescent="0.25">
      <c r="D234" s="61">
        <v>82</v>
      </c>
      <c r="E234" s="61">
        <v>52.303735582753468</v>
      </c>
      <c r="F234" s="61">
        <v>-16.303735582753468</v>
      </c>
    </row>
    <row r="235" spans="4:6" x14ac:dyDescent="0.25">
      <c r="D235" s="61">
        <v>83</v>
      </c>
      <c r="E235" s="61">
        <v>67.564781114425557</v>
      </c>
      <c r="F235" s="61">
        <v>12.435218885574443</v>
      </c>
    </row>
    <row r="236" spans="4:6" x14ac:dyDescent="0.25">
      <c r="D236" s="61">
        <v>84</v>
      </c>
      <c r="E236" s="61">
        <v>65.952888409618566</v>
      </c>
      <c r="F236" s="61">
        <v>4.0471115903814336</v>
      </c>
    </row>
    <row r="237" spans="4:6" x14ac:dyDescent="0.25">
      <c r="D237" s="61">
        <v>85</v>
      </c>
      <c r="E237" s="61">
        <v>55.527520992367442</v>
      </c>
      <c r="F237" s="61">
        <v>-15.527520992367442</v>
      </c>
    </row>
    <row r="238" spans="4:6" x14ac:dyDescent="0.25">
      <c r="D238" s="61">
        <v>86</v>
      </c>
      <c r="E238" s="61">
        <v>54.738886361295386</v>
      </c>
      <c r="F238" s="61">
        <v>3.2611136387046145</v>
      </c>
    </row>
    <row r="239" spans="4:6" x14ac:dyDescent="0.25">
      <c r="D239" s="61">
        <v>87</v>
      </c>
      <c r="E239" s="61">
        <v>42.701626239237285</v>
      </c>
      <c r="F239" s="61">
        <v>25.298373760762715</v>
      </c>
    </row>
    <row r="240" spans="4:6" x14ac:dyDescent="0.25">
      <c r="D240" s="61">
        <v>88</v>
      </c>
      <c r="E240" s="61">
        <v>57.413833055086087</v>
      </c>
      <c r="F240" s="61">
        <v>-10.413833055086087</v>
      </c>
    </row>
    <row r="241" spans="4:6" x14ac:dyDescent="0.25">
      <c r="D241" s="61">
        <v>89</v>
      </c>
      <c r="E241" s="61">
        <v>58.991102317230194</v>
      </c>
      <c r="F241" s="61">
        <v>-8.9911023172301938</v>
      </c>
    </row>
    <row r="242" spans="4:6" x14ac:dyDescent="0.25">
      <c r="D242" s="61">
        <v>90</v>
      </c>
      <c r="E242" s="61">
        <v>60.208677706501149</v>
      </c>
      <c r="F242" s="61">
        <v>18.791322293498851</v>
      </c>
    </row>
    <row r="243" spans="4:6" x14ac:dyDescent="0.25">
      <c r="D243" s="61">
        <v>91</v>
      </c>
      <c r="E243" s="61">
        <v>65.284151736170884</v>
      </c>
      <c r="F243" s="61">
        <v>-5.2841517361708839</v>
      </c>
    </row>
    <row r="244" spans="4:6" x14ac:dyDescent="0.25">
      <c r="D244" s="61">
        <v>92</v>
      </c>
      <c r="E244" s="61">
        <v>68.507937145784865</v>
      </c>
      <c r="F244" s="61">
        <v>8.4920628542151348</v>
      </c>
    </row>
    <row r="245" spans="4:6" x14ac:dyDescent="0.25">
      <c r="D245" s="61">
        <v>93</v>
      </c>
      <c r="E245" s="61">
        <v>57.413833055086087</v>
      </c>
      <c r="F245" s="61">
        <v>-12.413833055086087</v>
      </c>
    </row>
    <row r="246" spans="4:6" x14ac:dyDescent="0.25">
      <c r="D246" s="61">
        <v>94</v>
      </c>
      <c r="E246" s="61">
        <v>54.584364961008127</v>
      </c>
      <c r="F246" s="61">
        <v>-1.5843649610081272</v>
      </c>
    </row>
    <row r="247" spans="4:6" x14ac:dyDescent="0.25">
      <c r="D247" s="61">
        <v>95</v>
      </c>
      <c r="E247" s="61">
        <v>54.584364961008127</v>
      </c>
      <c r="F247" s="61">
        <v>-1.5843649610081272</v>
      </c>
    </row>
    <row r="248" spans="4:6" x14ac:dyDescent="0.25">
      <c r="D248" s="61">
        <v>96</v>
      </c>
      <c r="E248" s="61">
        <v>54.584364961008127</v>
      </c>
      <c r="F248" s="61">
        <v>25.415635038991873</v>
      </c>
    </row>
    <row r="249" spans="4:6" x14ac:dyDescent="0.25">
      <c r="D249" s="61">
        <v>97</v>
      </c>
      <c r="E249" s="61">
        <v>55.133203676831414</v>
      </c>
      <c r="F249" s="61">
        <v>-5.133203676831414</v>
      </c>
    </row>
    <row r="250" spans="4:6" x14ac:dyDescent="0.25">
      <c r="D250" s="61">
        <v>98</v>
      </c>
      <c r="E250" s="61">
        <v>52.458256983040727</v>
      </c>
      <c r="F250" s="61">
        <v>-12.458256983040727</v>
      </c>
    </row>
    <row r="251" spans="4:6" x14ac:dyDescent="0.25">
      <c r="D251" s="61">
        <v>99</v>
      </c>
      <c r="E251" s="61">
        <v>53.915628287560459</v>
      </c>
      <c r="F251" s="61">
        <v>-8.9156282875604589</v>
      </c>
    </row>
    <row r="252" spans="4:6" x14ac:dyDescent="0.25">
      <c r="D252" s="61">
        <v>100</v>
      </c>
      <c r="E252" s="61">
        <v>54.858784318919774</v>
      </c>
      <c r="F252" s="61">
        <v>1.1412156810802259</v>
      </c>
    </row>
    <row r="253" spans="4:6" x14ac:dyDescent="0.25">
      <c r="D253" s="61">
        <v>101</v>
      </c>
      <c r="E253" s="61">
        <v>58.476887044069784</v>
      </c>
      <c r="F253" s="61">
        <v>21.523112955930216</v>
      </c>
    </row>
    <row r="254" spans="4:6" x14ac:dyDescent="0.25">
      <c r="D254" s="61">
        <v>102</v>
      </c>
      <c r="E254" s="61">
        <v>52.852574298576755</v>
      </c>
      <c r="F254" s="61">
        <v>0.14742570142324496</v>
      </c>
    </row>
    <row r="255" spans="4:6" x14ac:dyDescent="0.25">
      <c r="D255" s="61">
        <v>103</v>
      </c>
      <c r="E255" s="61">
        <v>52.458256983040727</v>
      </c>
      <c r="F255" s="61">
        <v>2.5417430169592734</v>
      </c>
    </row>
    <row r="256" spans="4:6" x14ac:dyDescent="0.25">
      <c r="D256" s="61">
        <v>104</v>
      </c>
      <c r="E256" s="61">
        <v>67.839200472337197</v>
      </c>
      <c r="F256" s="61">
        <v>-22.839200472337197</v>
      </c>
    </row>
    <row r="257" spans="4:6" x14ac:dyDescent="0.25">
      <c r="D257" s="61">
        <v>105</v>
      </c>
      <c r="E257" s="61">
        <v>55.133203676831414</v>
      </c>
      <c r="F257" s="61">
        <v>-6.133203676831414</v>
      </c>
    </row>
    <row r="258" spans="4:6" x14ac:dyDescent="0.25">
      <c r="D258" s="61">
        <v>106</v>
      </c>
      <c r="E258" s="61">
        <v>59.539941033053481</v>
      </c>
      <c r="F258" s="61">
        <v>-11.539941033053481</v>
      </c>
    </row>
    <row r="259" spans="4:6" x14ac:dyDescent="0.25">
      <c r="D259" s="61">
        <v>107</v>
      </c>
      <c r="E259" s="61">
        <v>54.309945603096487</v>
      </c>
      <c r="F259" s="61">
        <v>-8.3099456030964873</v>
      </c>
    </row>
    <row r="260" spans="4:6" x14ac:dyDescent="0.25">
      <c r="D260" s="61">
        <v>108</v>
      </c>
      <c r="E260" s="61">
        <v>56.864994339262793</v>
      </c>
      <c r="F260" s="61">
        <v>-16.864994339262793</v>
      </c>
    </row>
    <row r="261" spans="4:6" x14ac:dyDescent="0.25">
      <c r="D261" s="61">
        <v>109</v>
      </c>
      <c r="E261" s="61">
        <v>55.253101634455795</v>
      </c>
      <c r="F261" s="61">
        <v>-9.2531016344557955</v>
      </c>
    </row>
    <row r="262" spans="4:6" x14ac:dyDescent="0.25">
      <c r="D262" s="61">
        <v>110</v>
      </c>
      <c r="E262" s="61">
        <v>58.476887044069784</v>
      </c>
      <c r="F262" s="61">
        <v>16.523112955930216</v>
      </c>
    </row>
    <row r="263" spans="4:6" x14ac:dyDescent="0.25">
      <c r="D263" s="61">
        <v>111</v>
      </c>
      <c r="E263" s="61">
        <v>65.558571094082538</v>
      </c>
      <c r="F263" s="61">
        <v>9.4414289059174621</v>
      </c>
    </row>
    <row r="264" spans="4:6" x14ac:dyDescent="0.25">
      <c r="D264" s="61">
        <v>112</v>
      </c>
      <c r="E264" s="61">
        <v>62.763726442667462</v>
      </c>
      <c r="F264" s="61">
        <v>12.236273557332538</v>
      </c>
    </row>
    <row r="265" spans="4:6" x14ac:dyDescent="0.25">
      <c r="D265" s="61">
        <v>113</v>
      </c>
      <c r="E265" s="61">
        <v>55.921838307903464</v>
      </c>
      <c r="F265" s="61">
        <v>-10.921838307903464</v>
      </c>
    </row>
    <row r="266" spans="4:6" x14ac:dyDescent="0.25">
      <c r="D266" s="61">
        <v>114</v>
      </c>
      <c r="E266" s="61">
        <v>56.196257665815125</v>
      </c>
      <c r="F266" s="61">
        <v>8.8037423341848751</v>
      </c>
    </row>
    <row r="267" spans="4:6" ht="15.75" thickBot="1" x14ac:dyDescent="0.3">
      <c r="D267" s="62">
        <v>115</v>
      </c>
      <c r="E267" s="62">
        <v>64.375619147474453</v>
      </c>
      <c r="F267" s="62">
        <v>8.6243808525255474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a-1</vt:lpstr>
      <vt:lpstr>a-2</vt:lpstr>
      <vt:lpstr>a-3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parmar</dc:creator>
  <cp:lastModifiedBy>pateldaksh3120@gmail.com</cp:lastModifiedBy>
  <dcterms:created xsi:type="dcterms:W3CDTF">2021-08-28T08:07:10Z</dcterms:created>
  <dcterms:modified xsi:type="dcterms:W3CDTF">2021-08-29T05:17:00Z</dcterms:modified>
</cp:coreProperties>
</file>