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patel\Desktop\"/>
    </mc:Choice>
  </mc:AlternateContent>
  <xr:revisionPtr revIDLastSave="0" documentId="13_ncr:1_{498131F2-2E37-4865-8D51-2486D37FA7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Q-1" sheetId="1" r:id="rId1"/>
    <sheet name="Q-3" sheetId="3" r:id="rId2"/>
    <sheet name="Q-6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5" i="3" l="1"/>
  <c r="C41" i="3"/>
  <c r="C34" i="1" l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H41" i="1" s="1"/>
  <c r="G31" i="1"/>
  <c r="F31" i="1"/>
  <c r="E31" i="1"/>
  <c r="D31" i="1"/>
  <c r="C31" i="1"/>
  <c r="C41" i="1" s="1"/>
  <c r="D41" i="1" l="1"/>
  <c r="G41" i="1"/>
  <c r="H80" i="1" s="1"/>
  <c r="E41" i="1"/>
  <c r="H77" i="1" s="1"/>
  <c r="F41" i="1"/>
  <c r="H67" i="1" l="1"/>
  <c r="H57" i="1" s="1"/>
  <c r="J51" i="1" s="1"/>
  <c r="H72" i="1"/>
  <c r="H62" i="1" s="1"/>
</calcChain>
</file>

<file path=xl/sharedStrings.xml><?xml version="1.0" encoding="utf-8"?>
<sst xmlns="http://schemas.openxmlformats.org/spreadsheetml/2006/main" count="156" uniqueCount="139">
  <si>
    <t>PARTS</t>
  </si>
  <si>
    <t>OPERATOR 1</t>
  </si>
  <si>
    <t>OPERATOR 2</t>
  </si>
  <si>
    <t>OPERATOR 3</t>
  </si>
  <si>
    <t>MEASUREMENTS</t>
  </si>
  <si>
    <t>(a)</t>
  </si>
  <si>
    <t xml:space="preserve"> Construct a repeatability range chart for the data. Are there any out of control points indicating operator difficulty? </t>
  </si>
  <si>
    <t>A-1</t>
  </si>
  <si>
    <t>A-2</t>
  </si>
  <si>
    <t>B-1</t>
  </si>
  <si>
    <t>B-2</t>
  </si>
  <si>
    <t>C-1</t>
  </si>
  <si>
    <t>C-2</t>
  </si>
  <si>
    <t>(b)</t>
  </si>
  <si>
    <t>Estimate gage repeatability and reproducibility.</t>
  </si>
  <si>
    <t>(c )</t>
  </si>
  <si>
    <t xml:space="preserve">Obtain and estimate for gage percent repeatability and reproducibility. What is assessmentof the measurement  </t>
  </si>
  <si>
    <t>system?</t>
  </si>
  <si>
    <t>Solution</t>
  </si>
  <si>
    <t>xbar(A)</t>
  </si>
  <si>
    <t>Rbar(A)</t>
  </si>
  <si>
    <t>xbar(B)</t>
  </si>
  <si>
    <t>Rbar(B)</t>
  </si>
  <si>
    <t>xbar(C)</t>
  </si>
  <si>
    <t>Rbar(C)</t>
  </si>
  <si>
    <t xml:space="preserve">Total GAGE Variation : </t>
  </si>
  <si>
    <t>Constants:</t>
  </si>
  <si>
    <t xml:space="preserve">K = </t>
  </si>
  <si>
    <t>According to control chart table , For Size 3</t>
  </si>
  <si>
    <r>
      <t>d</t>
    </r>
    <r>
      <rPr>
        <b/>
        <vertAlign val="subscript"/>
        <sz val="14"/>
        <color theme="1"/>
        <rFont val="Bahnschrift Light Condensed"/>
        <family val="2"/>
      </rPr>
      <t>2</t>
    </r>
    <r>
      <rPr>
        <b/>
        <sz val="14"/>
        <color theme="1"/>
        <rFont val="Bahnschrift Light Condensed"/>
        <family val="2"/>
      </rPr>
      <t xml:space="preserve"> = </t>
    </r>
  </si>
  <si>
    <t>Hypothesis :</t>
  </si>
  <si>
    <t>H0: A measurements are not significant</t>
  </si>
  <si>
    <t>H1: A measurements are  significant</t>
  </si>
  <si>
    <t>Conclusion:</t>
  </si>
  <si>
    <t xml:space="preserve">From the GAGE R&amp;R output we can say that the total gage variation 6.39% which is much less than the part-to-part variation 93.61%. </t>
  </si>
  <si>
    <t>Hence it is concluded that much of the variation due to parts. Since the total variance is less than 10% So the system is Excellent and Acceptable</t>
  </si>
  <si>
    <t>M.Sc. SEMESTER-VI (PRACTICAL EXAMINATION)</t>
  </si>
  <si>
    <t>SIX SIGMA FOR QUALITY IMPROVEMENT</t>
  </si>
  <si>
    <t>vishva patel</t>
  </si>
  <si>
    <t>Q - 1</t>
  </si>
  <si>
    <t xml:space="preserve">Consider an experiment in which three operators were asked to make two measurements on each of 10 different parts. The results are shown below: </t>
  </si>
  <si>
    <r>
      <t>From the GAGE R&amp;R (ANOVA) it is inferred that the</t>
    </r>
    <r>
      <rPr>
        <sz val="14"/>
        <color rgb="FFFF0000"/>
        <rFont val="Century"/>
        <family val="1"/>
      </rPr>
      <t xml:space="preserve"> </t>
    </r>
    <r>
      <rPr>
        <b/>
        <sz val="14"/>
        <color theme="1"/>
        <rFont val="Century"/>
        <family val="1"/>
      </rPr>
      <t>parts and operators</t>
    </r>
    <r>
      <rPr>
        <sz val="14"/>
        <color theme="1"/>
        <rFont val="Century"/>
        <family val="1"/>
      </rPr>
      <t xml:space="preserve"> are highly significant whereas</t>
    </r>
    <r>
      <rPr>
        <sz val="14"/>
        <color rgb="FFFF0000"/>
        <rFont val="Century"/>
        <family val="1"/>
      </rPr>
      <t xml:space="preserve"> </t>
    </r>
    <r>
      <rPr>
        <b/>
        <sz val="14"/>
        <color theme="1"/>
        <rFont val="Century"/>
        <family val="1"/>
      </rPr>
      <t>interaction</t>
    </r>
    <r>
      <rPr>
        <sz val="14"/>
        <color theme="1"/>
        <rFont val="Century"/>
        <family val="1"/>
      </rPr>
      <t xml:space="preserve"> is not significant.</t>
    </r>
  </si>
  <si>
    <t>MINITAB OUTPUT: (in word file )</t>
  </si>
  <si>
    <t>Following table gives the height (inches) and weight (pounds) of a random sample of 12 college freshmen (male). Also find spearmans rank correlation.</t>
  </si>
  <si>
    <t>HEIGHT</t>
  </si>
  <si>
    <t>WEIGHT</t>
  </si>
  <si>
    <t xml:space="preserve"> </t>
  </si>
  <si>
    <t>Test the hypothesis that correlation coefficient between Height and weight is 0.5 AT 5% LEVEL. Obtain 95% confidence interval for S.</t>
  </si>
  <si>
    <t>MINITAB OUTPUT</t>
  </si>
  <si>
    <t>Correlation: Height, Weight</t>
  </si>
  <si>
    <t>Method</t>
  </si>
  <si>
    <t>Correlation type</t>
  </si>
  <si>
    <t>Spearman</t>
  </si>
  <si>
    <t>Number of rows used</t>
  </si>
  <si>
    <t>ρ: pairwise Spearman correlation</t>
  </si>
  <si>
    <t>Correlations</t>
  </si>
  <si>
    <t>Height</t>
  </si>
  <si>
    <t>Weight</t>
  </si>
  <si>
    <t>Pairwise Spearman Correlations</t>
  </si>
  <si>
    <t>Sample 1</t>
  </si>
  <si>
    <t>Sample 2</t>
  </si>
  <si>
    <t>N</t>
  </si>
  <si>
    <t>Correlation</t>
  </si>
  <si>
    <t>95% CI for ρ</t>
  </si>
  <si>
    <t>P-Value</t>
  </si>
  <si>
    <t>(0.885, 0.995)</t>
  </si>
  <si>
    <r>
      <t>v</t>
    </r>
    <r>
      <rPr>
        <sz val="7"/>
        <color rgb="FF000000"/>
        <rFont val="Times New Roman"/>
        <family val="1"/>
      </rPr>
      <t xml:space="preserve"> </t>
    </r>
    <r>
      <rPr>
        <sz val="13.5"/>
        <color rgb="FF000000"/>
        <rFont val="Times New Roman"/>
        <family val="1"/>
      </rPr>
      <t>95% Confidence Interval is: (0.885, 0.995).</t>
    </r>
  </si>
  <si>
    <t>Hypothesis:</t>
  </si>
  <si>
    <r>
      <t>H0: ƍ = 0.5</t>
    </r>
    <r>
      <rPr>
        <sz val="13"/>
        <color rgb="FF000000"/>
        <rFont val="Calibri"/>
        <family val="2"/>
        <scheme val="minor"/>
      </rPr>
      <t xml:space="preserve"> vs H1: ƍ </t>
    </r>
    <r>
      <rPr>
        <sz val="13"/>
        <color rgb="FF000000"/>
        <rFont val="Century"/>
        <family val="1"/>
      </rPr>
      <t>≠</t>
    </r>
    <r>
      <rPr>
        <sz val="13"/>
        <color rgb="FF000000"/>
        <rFont val="Calibri"/>
        <family val="2"/>
        <scheme val="minor"/>
      </rPr>
      <t xml:space="preserve"> 0.5</t>
    </r>
  </si>
  <si>
    <t>Alpha = 0.05</t>
  </si>
  <si>
    <t>Test statistics</t>
  </si>
  <si>
    <r>
      <t xml:space="preserve">t-tab = t </t>
    </r>
    <r>
      <rPr>
        <vertAlign val="subscript"/>
        <sz val="16"/>
        <color theme="1"/>
        <rFont val="Century"/>
        <family val="1"/>
      </rPr>
      <t>(α/2,n-2)</t>
    </r>
    <r>
      <rPr>
        <sz val="16"/>
        <color theme="1"/>
        <rFont val="Century"/>
        <family val="1"/>
      </rPr>
      <t xml:space="preserve"> =</t>
    </r>
  </si>
  <si>
    <t>Here, t-cal &gt; t-tab.So we reject the null hypothesis and conclude that correlation coefficient between Height and weight is not 1/2.</t>
  </si>
  <si>
    <t>Q-3</t>
  </si>
  <si>
    <t>Q6:</t>
  </si>
  <si>
    <t xml:space="preserve"> The following example in which 1995 food consumption expenditure (x1) per week of a sample Of 25 households in Canada was related to the numbers of persons (x2) in the household.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</si>
  <si>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sz val="11"/>
        <color theme="1"/>
        <rFont val="Calibri"/>
        <family val="2"/>
        <scheme val="minor"/>
      </rPr>
      <t>Plot scatter diagram of response variable against explanatory variable. What does your scatter diagram reveal about the food consumption of the household? Are there any outliers? Identify your points.</t>
    </r>
  </si>
  <si>
    <t>SOL:</t>
  </si>
  <si>
    <t>Scatterplot of Food Consuption vs no of persons in house hold</t>
  </si>
  <si>
    <t>Outlier Test: Food Consuption, no of persons in house hold</t>
  </si>
  <si>
    <t>Null hypothesis</t>
  </si>
  <si>
    <t>All data values come from the same normal population</t>
  </si>
  <si>
    <t>Alternative hypothesis</t>
  </si>
  <si>
    <t>Smallest or largest data value is an outlier</t>
  </si>
  <si>
    <t>Significance level</t>
  </si>
  <si>
    <t>α = 0.05</t>
  </si>
  <si>
    <t>Grubbs' Test</t>
  </si>
  <si>
    <t>Variable</t>
  </si>
  <si>
    <t>Mean</t>
  </si>
  <si>
    <t>StDev</t>
  </si>
  <si>
    <t>Min</t>
  </si>
  <si>
    <t>Max</t>
  </si>
  <si>
    <t>G</t>
  </si>
  <si>
    <t>P</t>
  </si>
  <si>
    <t>Food Consuption</t>
  </si>
  <si>
    <t>no of persons in house hold</t>
  </si>
  <si>
    <t>* NOTE * No outlier at the 5% level of significance</t>
  </si>
  <si>
    <t>Carry  out  the  regression  analysis  to  the  given  data.  Draw  the  fitted  regression  line  on  the scatter diagram.</t>
  </si>
  <si>
    <r>
      <rPr>
        <sz val="11"/>
        <color theme="1"/>
        <rFont val="Calibri"/>
        <family val="2"/>
        <scheme val="minor"/>
      </rPr>
      <t xml:space="preserve"> </t>
    </r>
    <r>
      <rPr>
        <sz val="16"/>
        <color rgb="FF000000"/>
        <rFont val="Times New Roman"/>
        <family val="1"/>
      </rPr>
      <t>Compute  the  residuals  for  all  the  given  observations  and  plot  the  residuals  against  the household.</t>
    </r>
  </si>
  <si>
    <t>Regression Analysis: Food Consuption versus no of persons in house hold</t>
  </si>
  <si>
    <t>Regression Equation</t>
  </si>
  <si>
    <t>=</t>
  </si>
  <si>
    <t>1.878 + 0.3294 no of persons in house hold</t>
  </si>
  <si>
    <t>Coefficients</t>
  </si>
  <si>
    <t>Term</t>
  </si>
  <si>
    <t>Coef</t>
  </si>
  <si>
    <t>SE Coef</t>
  </si>
  <si>
    <t>T-Value</t>
  </si>
  <si>
    <t>VIF</t>
  </si>
  <si>
    <t>Constant</t>
  </si>
  <si>
    <t>Model Summary</t>
  </si>
  <si>
    <t>S</t>
  </si>
  <si>
    <t>R-sq</t>
  </si>
  <si>
    <t>R-sq(adj)</t>
  </si>
  <si>
    <t>R-sq(pred)</t>
  </si>
  <si>
    <t>Analysis of Variance</t>
  </si>
  <si>
    <t>Source</t>
  </si>
  <si>
    <t>DF</t>
  </si>
  <si>
    <t>Adj SS</t>
  </si>
  <si>
    <t>Adj MS</t>
  </si>
  <si>
    <t>F-Value</t>
  </si>
  <si>
    <t>Regression</t>
  </si>
  <si>
    <t>  no of persons in house hold</t>
  </si>
  <si>
    <t>Error</t>
  </si>
  <si>
    <t>  Lack-of-Fit</t>
  </si>
  <si>
    <t>  Pure Error</t>
  </si>
  <si>
    <t>Total</t>
  </si>
  <si>
    <t>Fits and Diagnostics for Unusual Observations</t>
  </si>
  <si>
    <t>Obs</t>
  </si>
  <si>
    <t>Food</t>
  </si>
  <si>
    <t>Fit</t>
  </si>
  <si>
    <t>Resid</t>
  </si>
  <si>
    <t>Std Resid</t>
  </si>
  <si>
    <t>Consuption</t>
  </si>
  <si>
    <t>R</t>
  </si>
  <si>
    <t>X</t>
  </si>
  <si>
    <t>R  Large residual</t>
  </si>
  <si>
    <t>X  Unusual X</t>
  </si>
  <si>
    <t>As we do not have any outliers in our data we don’t have to solve further.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</si>
</sst>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rgb="FFFF0000"/>
      <name val="Century"/>
      <family val="1"/>
    </font>
    <font>
      <sz val="12"/>
      <color indexed="8"/>
      <name val="Century"/>
      <family val="1"/>
    </font>
    <font>
      <sz val="11"/>
      <color indexed="8"/>
      <name val="Century"/>
      <family val="1"/>
    </font>
    <font>
      <sz val="11"/>
      <color theme="1"/>
      <name val="Century"/>
      <family val="1"/>
    </font>
    <font>
      <b/>
      <sz val="11"/>
      <color indexed="8"/>
      <name val="Century"/>
      <family val="1"/>
    </font>
    <font>
      <b/>
      <sz val="11"/>
      <color theme="1"/>
      <name val="Century"/>
      <family val="1"/>
    </font>
    <font>
      <b/>
      <u/>
      <sz val="14"/>
      <color theme="1"/>
      <name val="Century"/>
      <family val="1"/>
    </font>
    <font>
      <sz val="14"/>
      <color theme="1"/>
      <name val="Century"/>
      <family val="1"/>
    </font>
    <font>
      <b/>
      <sz val="14"/>
      <color theme="1"/>
      <name val="Bahnschrift Light Condensed"/>
      <family val="2"/>
    </font>
    <font>
      <sz val="11"/>
      <color theme="1"/>
      <name val="Times New Roman"/>
      <family val="1"/>
    </font>
    <font>
      <b/>
      <vertAlign val="subscript"/>
      <sz val="14"/>
      <color theme="1"/>
      <name val="Bahnschrift Light Condensed"/>
      <family val="2"/>
    </font>
    <font>
      <b/>
      <sz val="12"/>
      <color theme="1"/>
      <name val="Century"/>
      <family val="1"/>
    </font>
    <font>
      <b/>
      <sz val="14"/>
      <color theme="1"/>
      <name val="Century"/>
      <family val="1"/>
    </font>
    <font>
      <b/>
      <u/>
      <sz val="14"/>
      <color rgb="FFFF0000"/>
      <name val="Calibri"/>
      <family val="2"/>
      <scheme val="minor"/>
    </font>
    <font>
      <sz val="14"/>
      <color rgb="FF000000"/>
      <name val="Times New Roman"/>
      <family val="1"/>
    </font>
    <font>
      <b/>
      <u/>
      <sz val="16"/>
      <color theme="1"/>
      <name val="Century"/>
      <family val="1"/>
    </font>
    <font>
      <sz val="14"/>
      <color rgb="FFFF0000"/>
      <name val="Century"/>
      <family val="1"/>
    </font>
    <font>
      <b/>
      <sz val="18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8"/>
      <color theme="1"/>
      <name val="Calibri"/>
      <family val="2"/>
      <scheme val="minor"/>
    </font>
    <font>
      <sz val="16"/>
      <color rgb="FF4472C4"/>
      <name val="Times New Roman"/>
      <family val="1"/>
    </font>
    <font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sz val="9.5"/>
      <color rgb="FF000000"/>
      <name val="Times New Roman"/>
      <family val="1"/>
    </font>
    <font>
      <sz val="9.5"/>
      <color rgb="FF056EB2"/>
      <name val="Segoe UI"/>
      <family val="2"/>
    </font>
    <font>
      <b/>
      <sz val="9.5"/>
      <color rgb="FF056EB2"/>
      <name val="Segoe UI"/>
      <family val="2"/>
    </font>
    <font>
      <b/>
      <sz val="16"/>
      <color rgb="FF056EB2"/>
      <name val="Century"/>
      <family val="1"/>
    </font>
    <font>
      <sz val="13"/>
      <color rgb="FF000000"/>
      <name val="Century"/>
      <family val="1"/>
    </font>
    <font>
      <i/>
      <sz val="13"/>
      <color rgb="FF000000"/>
      <name val="Century"/>
      <family val="1"/>
    </font>
    <font>
      <b/>
      <sz val="13"/>
      <color rgb="FF056EB2"/>
      <name val="Century"/>
      <family val="1"/>
    </font>
    <font>
      <b/>
      <sz val="13"/>
      <color rgb="FF000000"/>
      <name val="Century"/>
      <family val="1"/>
    </font>
    <font>
      <b/>
      <u/>
      <sz val="18"/>
      <color rgb="FF385623"/>
      <name val="Times New Roman"/>
      <family val="1"/>
    </font>
    <font>
      <sz val="13.5"/>
      <color rgb="FF000000"/>
      <name val="Wingdings"/>
      <charset val="2"/>
    </font>
    <font>
      <sz val="7"/>
      <color rgb="FF000000"/>
      <name val="Times New Roman"/>
      <family val="1"/>
    </font>
    <font>
      <sz val="13.5"/>
      <color rgb="FF000000"/>
      <name val="Times New Roman"/>
      <family val="1"/>
    </font>
    <font>
      <sz val="18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Calibri"/>
      <family val="2"/>
      <scheme val="minor"/>
    </font>
    <font>
      <sz val="13"/>
      <color rgb="FF000000"/>
      <name val="Wingdings"/>
      <charset val="2"/>
    </font>
    <font>
      <sz val="13.5"/>
      <color rgb="FF000000"/>
      <name val="Calibri"/>
      <family val="2"/>
      <scheme val="minor"/>
    </font>
    <font>
      <sz val="16"/>
      <color theme="1"/>
      <name val="Century"/>
      <family val="1"/>
    </font>
    <font>
      <vertAlign val="subscript"/>
      <sz val="16"/>
      <color theme="1"/>
      <name val="Century"/>
      <family val="1"/>
    </font>
    <font>
      <b/>
      <u/>
      <sz val="16.5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sz val="7"/>
      <color theme="1"/>
      <name val="Times New Roman"/>
      <family val="1"/>
    </font>
    <font>
      <b/>
      <sz val="9.5"/>
      <color rgb="FF000000"/>
      <name val="Segoe UI"/>
      <family val="2"/>
    </font>
    <font>
      <b/>
      <sz val="8"/>
      <color rgb="FF056EB2"/>
      <name val="Segoe UI"/>
      <family val="2"/>
    </font>
    <font>
      <sz val="10"/>
      <color rgb="FF000000"/>
      <name val="Times New Roman"/>
      <family val="1"/>
    </font>
    <font>
      <b/>
      <sz val="12"/>
      <color rgb="FF056EB2"/>
      <name val="Segoe UI"/>
      <family val="2"/>
    </font>
    <font>
      <b/>
      <sz val="12"/>
      <color rgb="FF000000"/>
      <name val="Segoe UI"/>
      <family val="2"/>
    </font>
    <font>
      <sz val="12"/>
      <color rgb="FF000000"/>
      <name val="Segoe UI"/>
      <family val="2"/>
    </font>
    <font>
      <sz val="16"/>
      <color theme="1"/>
      <name val="Calibri"/>
      <family val="2"/>
      <scheme val="minor"/>
    </font>
    <font>
      <sz val="16"/>
      <color rgb="FF000000"/>
      <name val="Times New Roman"/>
      <family val="1"/>
    </font>
    <font>
      <sz val="16"/>
      <color rgb="FF000000"/>
      <name val="Times New Roman"/>
      <family val="2"/>
    </font>
    <font>
      <i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383838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4" fillId="0" borderId="0" xfId="0" applyFont="1" applyAlignment="1">
      <alignment vertical="center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9" fillId="0" borderId="10" xfId="0" applyFont="1" applyBorder="1" applyAlignment="1">
      <alignment horizontal="center" vertical="center"/>
    </xf>
    <xf numFmtId="0" fontId="12" fillId="0" borderId="0" xfId="0" applyFont="1"/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0" borderId="0" xfId="0" applyFont="1"/>
    <xf numFmtId="0" fontId="18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20" fillId="0" borderId="0" xfId="0" applyFont="1"/>
    <xf numFmtId="0" fontId="19" fillId="0" borderId="0" xfId="0" applyFont="1"/>
    <xf numFmtId="0" fontId="2" fillId="0" borderId="0" xfId="0" applyFont="1"/>
    <xf numFmtId="0" fontId="5" fillId="0" borderId="0" xfId="0" applyFont="1" applyBorder="1"/>
    <xf numFmtId="0" fontId="0" fillId="0" borderId="0" xfId="0" applyBorder="1"/>
    <xf numFmtId="0" fontId="26" fillId="0" borderId="0" xfId="0" applyFont="1"/>
    <xf numFmtId="0" fontId="14" fillId="0" borderId="0" xfId="0" applyFont="1"/>
    <xf numFmtId="0" fontId="22" fillId="2" borderId="13" xfId="0" applyFont="1" applyFill="1" applyBorder="1" applyAlignment="1">
      <alignment vertical="center"/>
    </xf>
    <xf numFmtId="0" fontId="0" fillId="2" borderId="7" xfId="0" applyFill="1" applyBorder="1"/>
    <xf numFmtId="0" fontId="0" fillId="2" borderId="12" xfId="0" applyFill="1" applyBorder="1"/>
    <xf numFmtId="0" fontId="0" fillId="2" borderId="14" xfId="0" applyFill="1" applyBorder="1"/>
    <xf numFmtId="0" fontId="0" fillId="2" borderId="0" xfId="0" applyFill="1"/>
    <xf numFmtId="0" fontId="0" fillId="2" borderId="11" xfId="0" applyFill="1" applyBorder="1"/>
    <xf numFmtId="0" fontId="14" fillId="2" borderId="14" xfId="0" applyFont="1" applyFill="1" applyBorder="1"/>
    <xf numFmtId="0" fontId="2" fillId="2" borderId="0" xfId="0" applyFont="1" applyFill="1"/>
    <xf numFmtId="0" fontId="2" fillId="2" borderId="14" xfId="0" applyFont="1" applyFill="1" applyBorder="1"/>
    <xf numFmtId="0" fontId="2" fillId="2" borderId="3" xfId="0" applyFont="1" applyFill="1" applyBorder="1"/>
    <xf numFmtId="0" fontId="2" fillId="2" borderId="15" xfId="0" applyFont="1" applyFill="1" applyBorder="1"/>
    <xf numFmtId="0" fontId="0" fillId="2" borderId="15" xfId="0" applyFill="1" applyBorder="1"/>
    <xf numFmtId="0" fontId="0" fillId="2" borderId="4" xfId="0" applyFill="1" applyBorder="1"/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5" fillId="0" borderId="0" xfId="0" applyFont="1"/>
    <xf numFmtId="0" fontId="28" fillId="0" borderId="10" xfId="0" applyFont="1" applyBorder="1" applyAlignment="1">
      <alignment vertical="center" wrapText="1"/>
    </xf>
    <xf numFmtId="0" fontId="28" fillId="0" borderId="2" xfId="0" applyFont="1" applyBorder="1" applyAlignment="1">
      <alignment vertical="center" wrapText="1"/>
    </xf>
    <xf numFmtId="0" fontId="28" fillId="0" borderId="9" xfId="0" applyFont="1" applyBorder="1" applyAlignment="1">
      <alignment vertical="center" wrapText="1"/>
    </xf>
    <xf numFmtId="0" fontId="28" fillId="0" borderId="4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7" fillId="0" borderId="16" xfId="0" applyFont="1" applyBorder="1" applyAlignment="1">
      <alignment vertical="center" wrapText="1"/>
    </xf>
    <xf numFmtId="0" fontId="37" fillId="0" borderId="16" xfId="0" applyFont="1" applyBorder="1" applyAlignment="1">
      <alignment horizontal="right" vertical="center" wrapText="1"/>
    </xf>
    <xf numFmtId="0" fontId="34" fillId="0" borderId="16" xfId="0" applyFont="1" applyBorder="1" applyAlignment="1">
      <alignment vertical="center" wrapText="1"/>
    </xf>
    <xf numFmtId="0" fontId="34" fillId="0" borderId="16" xfId="0" applyFont="1" applyBorder="1" applyAlignment="1">
      <alignment horizontal="right" vertical="center" wrapText="1"/>
    </xf>
    <xf numFmtId="0" fontId="37" fillId="0" borderId="16" xfId="0" applyFont="1" applyBorder="1" applyAlignment="1">
      <alignment horizontal="center" vertical="center" wrapText="1"/>
    </xf>
    <xf numFmtId="0" fontId="34" fillId="0" borderId="16" xfId="0" applyFont="1" applyBorder="1" applyAlignment="1">
      <alignment horizontal="center" vertical="center" wrapText="1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left" vertical="center" indent="2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0" fontId="45" fillId="0" borderId="0" xfId="0" applyFont="1" applyAlignment="1">
      <alignment horizontal="left" vertical="center" indent="5"/>
    </xf>
    <xf numFmtId="0" fontId="46" fillId="0" borderId="0" xfId="0" applyFont="1" applyAlignment="1">
      <alignment vertical="center"/>
    </xf>
    <xf numFmtId="0" fontId="47" fillId="0" borderId="0" xfId="0" applyFont="1"/>
    <xf numFmtId="0" fontId="4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0" fontId="51" fillId="0" borderId="0" xfId="0" applyFont="1"/>
    <xf numFmtId="0" fontId="52" fillId="0" borderId="0" xfId="0" applyFont="1" applyAlignment="1">
      <alignment vertical="center"/>
    </xf>
    <xf numFmtId="0" fontId="3" fillId="0" borderId="0" xfId="0" applyFont="1"/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center" indent="5"/>
    </xf>
    <xf numFmtId="0" fontId="54" fillId="0" borderId="0" xfId="0" applyFont="1" applyAlignment="1">
      <alignment vertical="center"/>
    </xf>
    <xf numFmtId="0" fontId="55" fillId="0" borderId="0" xfId="0" applyFont="1" applyAlignment="1">
      <alignment vertical="center"/>
    </xf>
    <xf numFmtId="0" fontId="56" fillId="0" borderId="0" xfId="0" applyFont="1" applyAlignment="1">
      <alignment vertical="center" wrapText="1"/>
    </xf>
    <xf numFmtId="0" fontId="57" fillId="0" borderId="0" xfId="0" applyFont="1" applyAlignment="1">
      <alignment vertical="center"/>
    </xf>
    <xf numFmtId="0" fontId="58" fillId="0" borderId="25" xfId="0" applyFont="1" applyBorder="1" applyAlignment="1">
      <alignment vertical="center" wrapText="1"/>
    </xf>
    <xf numFmtId="0" fontId="58" fillId="0" borderId="25" xfId="0" applyFont="1" applyBorder="1" applyAlignment="1">
      <alignment horizontal="right" vertical="center" wrapText="1"/>
    </xf>
    <xf numFmtId="0" fontId="28" fillId="0" borderId="0" xfId="0" applyFont="1" applyAlignment="1">
      <alignment vertical="center" wrapText="1"/>
    </xf>
    <xf numFmtId="0" fontId="28" fillId="0" borderId="0" xfId="0" applyFont="1" applyAlignment="1">
      <alignment horizontal="right" vertical="center" wrapText="1"/>
    </xf>
    <xf numFmtId="0" fontId="59" fillId="0" borderId="0" xfId="0" applyFont="1" applyAlignment="1">
      <alignment horizontal="left" vertical="center" indent="1"/>
    </xf>
    <xf numFmtId="0" fontId="60" fillId="0" borderId="0" xfId="0" applyFont="1"/>
    <xf numFmtId="0" fontId="61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10" fontId="28" fillId="0" borderId="0" xfId="0" applyNumberFormat="1" applyFont="1" applyAlignment="1">
      <alignment horizontal="right"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horizontal="right" vertical="center" wrapText="1"/>
    </xf>
    <xf numFmtId="0" fontId="58" fillId="0" borderId="0" xfId="0" applyFont="1" applyAlignment="1">
      <alignment vertical="center" wrapText="1"/>
    </xf>
    <xf numFmtId="0" fontId="58" fillId="0" borderId="25" xfId="0" applyFont="1" applyBorder="1" applyAlignment="1">
      <alignment horizontal="right" vertical="center" wrapText="1"/>
    </xf>
    <xf numFmtId="0" fontId="58" fillId="0" borderId="25" xfId="0" applyFont="1" applyBorder="1" applyAlignment="1">
      <alignment vertical="center" wrapText="1"/>
    </xf>
    <xf numFmtId="0" fontId="63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19050</xdr:colOff>
      <xdr:row>49</xdr:row>
      <xdr:rowOff>165735</xdr:rowOff>
    </xdr:from>
    <xdr:ext cx="4684167" cy="5372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443584-384D-4B04-A731-63E948D02A73}"/>
                </a:ext>
              </a:extLst>
            </xdr:cNvPr>
            <xdr:cNvSpPr txBox="1"/>
          </xdr:nvSpPr>
          <xdr:spPr>
            <a:xfrm>
              <a:off x="3305175" y="1008126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IN" sz="20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IN" sz="200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IN" sz="200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𝑔𝑎𝑔𝑒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+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B443584-384D-4B04-A731-63E948D02A73}"/>
                </a:ext>
              </a:extLst>
            </xdr:cNvPr>
            <xdr:cNvSpPr txBox="1"/>
          </xdr:nvSpPr>
          <xdr:spPr>
            <a:xfrm>
              <a:off x="3305175" y="10081260"/>
              <a:ext cx="4684167" cy="53721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IN" sz="2000" i="0">
                  <a:latin typeface="Cambria Math" panose="02040503050406030204" pitchFamily="18" charset="0"/>
                </a:rPr>
                <a:t>〖</a:t>
              </a:r>
              <a:r>
                <a:rPr lang="en-IN" sz="20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^</a:t>
              </a:r>
              <a:r>
                <a:rPr lang="en-US" sz="2000" b="0" i="0">
                  <a:latin typeface="Cambria Math" panose="02040503050406030204" pitchFamily="18" charset="0"/>
                </a:rPr>
                <a:t>2</a:t>
              </a:r>
              <a:r>
                <a:rPr lang="en-IN" sz="2000" b="0" i="0">
                  <a:latin typeface="Cambria Math" panose="02040503050406030204" pitchFamily="18" charset="0"/>
                </a:rPr>
                <a:t>〗_</a:t>
              </a:r>
              <a:r>
                <a:rPr lang="en-US" sz="2000" b="0" i="0">
                  <a:latin typeface="Cambria Math" panose="02040503050406030204" pitchFamily="18" charset="0"/>
                </a:rPr>
                <a:t>𝑔𝑎𝑔𝑒=〖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)+ 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5716</xdr:colOff>
      <xdr:row>54</xdr:row>
      <xdr:rowOff>169545</xdr:rowOff>
    </xdr:from>
    <xdr:ext cx="2705100" cy="76200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4F4D36-3313-4FF2-A7D1-63400DE832A8}"/>
                </a:ext>
              </a:extLst>
            </xdr:cNvPr>
            <xdr:cNvSpPr txBox="1"/>
          </xdr:nvSpPr>
          <xdr:spPr>
            <a:xfrm>
              <a:off x="3291841" y="11104245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sSup>
                          <m:sSup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pPr>
                          <m:e>
                            <m:acc>
                              <m:accPr>
                                <m:chr m:val="̂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  <a:ea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</m:acc>
                          </m:e>
                          <m:sup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p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𝑟𝑒𝑝𝑒𝑎𝑡𝑎𝑏𝑖𝑙𝑖𝑡𝑦</m:t>
                        </m:r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 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</m:acc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𝐾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74F4D36-3313-4FF2-A7D1-63400DE832A8}"/>
                </a:ext>
              </a:extLst>
            </xdr:cNvPr>
            <xdr:cNvSpPr txBox="1"/>
          </xdr:nvSpPr>
          <xdr:spPr>
            <a:xfrm>
              <a:off x="3291841" y="11104245"/>
              <a:ext cx="2705100" cy="76200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〖</a:t>
              </a:r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̂^</a:t>
              </a:r>
              <a:r>
                <a:rPr lang="en-US" sz="2000" b="0" i="0">
                  <a:latin typeface="Cambria Math" panose="02040503050406030204" pitchFamily="18" charset="0"/>
                </a:rPr>
                <a:t>2〗_(𝑟𝑒𝑝𝑒𝑎𝑡𝑎𝑏𝑖𝑙𝑖𝑡𝑦 )=𝑅 ̅  ̅/𝐾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1</xdr:colOff>
      <xdr:row>61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75C064F-C3A3-4ECC-9D14-79AC0F114E1C}"/>
                </a:ext>
              </a:extLst>
            </xdr:cNvPr>
            <xdr:cNvSpPr txBox="1"/>
          </xdr:nvSpPr>
          <xdr:spPr>
            <a:xfrm>
              <a:off x="3048001" y="1299210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̂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𝜎</m:t>
                            </m:r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𝑟𝑒𝑝𝑟𝑜𝑑𝑢𝑐𝑖𝑏𝑖𝑙𝑖𝑡𝑦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75C064F-C3A3-4ECC-9D14-79AC0F114E1C}"/>
                </a:ext>
              </a:extLst>
            </xdr:cNvPr>
            <xdr:cNvSpPr txBox="1"/>
          </xdr:nvSpPr>
          <xdr:spPr>
            <a:xfrm>
              <a:off x="3048001" y="12992100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 ̂_</a:t>
              </a:r>
              <a:r>
                <a:rPr lang="en-US" sz="2000" b="0" i="0">
                  <a:latin typeface="Cambria Math" panose="02040503050406030204" pitchFamily="18" charset="0"/>
                </a:rPr>
                <a:t>𝑟𝑒𝑝𝑟𝑜𝑑𝑢𝑐𝑖𝑏𝑖𝑙𝑖𝑡𝑦=  𝑅_𝑥 ̅ /𝑑_2 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66</xdr:row>
      <xdr:rowOff>0</xdr:rowOff>
    </xdr:from>
    <xdr:ext cx="2705100" cy="6629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90E5952-8F96-4375-BA91-9EC2FCDF97C6}"/>
                </a:ext>
              </a:extLst>
            </xdr:cNvPr>
            <xdr:cNvSpPr txBox="1"/>
          </xdr:nvSpPr>
          <xdr:spPr>
            <a:xfrm>
              <a:off x="3048000" y="13973175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𝐴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𝐵</m:t>
                            </m:r>
                          </m:sub>
                        </m:s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+</m:t>
                        </m:r>
                        <m:sSub>
                          <m:sSubPr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𝑅</m:t>
                                </m:r>
                              </m:e>
                            </m:acc>
                          </m:e>
                          <m:sub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sub>
                        </m:sSub>
                      </m:num>
                      <m:den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3</m:t>
                        </m:r>
                      </m:den>
                    </m:f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690E5952-8F96-4375-BA91-9EC2FCDF97C6}"/>
                </a:ext>
              </a:extLst>
            </xdr:cNvPr>
            <xdr:cNvSpPr txBox="1"/>
          </xdr:nvSpPr>
          <xdr:spPr>
            <a:xfrm>
              <a:off x="3048000" y="13973175"/>
              <a:ext cx="2705100" cy="66294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 ̅  ̅=(𝑅 ̅_𝐴+𝑅 ̅_𝐵+𝑅 ̅_𝐶)/3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70</xdr:row>
      <xdr:rowOff>161925</xdr:rowOff>
    </xdr:from>
    <xdr:ext cx="2705100" cy="4648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D452B93-1CD8-48F9-8A08-B45B5DD1B728}"/>
                </a:ext>
              </a:extLst>
            </xdr:cNvPr>
            <xdr:cNvSpPr txBox="1"/>
          </xdr:nvSpPr>
          <xdr:spPr>
            <a:xfrm>
              <a:off x="3324225" y="1428750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b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𝑚𝑎𝑥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−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𝑚𝑖𝑛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5D452B93-1CD8-48F9-8A08-B45B5DD1B728}"/>
                </a:ext>
              </a:extLst>
            </xdr:cNvPr>
            <xdr:cNvSpPr txBox="1"/>
          </xdr:nvSpPr>
          <xdr:spPr>
            <a:xfrm>
              <a:off x="3324225" y="14287500"/>
              <a:ext cx="2705100" cy="4648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𝑅_𝑥 ̅ =𝑥 ̅  ̅_𝑚𝑎𝑥−𝑥 ̅  ̅_𝑚𝑖𝑛=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2</xdr:col>
      <xdr:colOff>1057275</xdr:colOff>
      <xdr:row>75</xdr:row>
      <xdr:rowOff>142875</xdr:rowOff>
    </xdr:from>
    <xdr:ext cx="270510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A5681AA-4865-4055-996C-5B39F1822320}"/>
                </a:ext>
              </a:extLst>
            </xdr:cNvPr>
            <xdr:cNvSpPr txBox="1"/>
          </xdr:nvSpPr>
          <xdr:spPr>
            <a:xfrm>
              <a:off x="3257550" y="15249525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𝑚𝑎𝑥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6A5681AA-4865-4055-996C-5B39F1822320}"/>
                </a:ext>
              </a:extLst>
            </xdr:cNvPr>
            <xdr:cNvSpPr txBox="1"/>
          </xdr:nvSpPr>
          <xdr:spPr>
            <a:xfrm>
              <a:off x="3257550" y="15249525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̅𝑚𝑎𝑥=max⁡(𝑥 ̅  ̅_𝐴,𝑥 ̅  ̅_𝐵,𝑥 ̅  ̅_𝐶)</a:t>
              </a:r>
              <a:endParaRPr lang="en-IN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79</xdr:row>
      <xdr:rowOff>0</xdr:rowOff>
    </xdr:from>
    <xdr:ext cx="2705100" cy="3886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3A23AF8-3646-410D-8C22-6DD389010A57}"/>
                </a:ext>
              </a:extLst>
            </xdr:cNvPr>
            <xdr:cNvSpPr txBox="1"/>
          </xdr:nvSpPr>
          <xdr:spPr>
            <a:xfrm>
              <a:off x="3048000" y="16563975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20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̅"/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r>
                              <a:rPr lang="en-US" sz="2000" b="0" i="1">
                                <a:latin typeface="Cambria Math" panose="02040503050406030204" pitchFamily="18" charset="0"/>
                              </a:rPr>
                              <m:t>𝑥</m:t>
                            </m:r>
                          </m:e>
                        </m:acc>
                      </m:e>
                    </m:acc>
                    <m:r>
                      <a:rPr lang="en-US" sz="2000" b="0" i="1">
                        <a:latin typeface="Cambria Math" panose="02040503050406030204" pitchFamily="18" charset="0"/>
                      </a:rPr>
                      <m:t>𝑚𝑖𝑛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sz="2000" b="0" i="0">
                        <a:latin typeface="Cambria Math" panose="02040503050406030204" pitchFamily="18" charset="0"/>
                      </a:rPr>
                      <m:t>max</m:t>
                    </m:r>
                    <m:r>
                      <a:rPr lang="en-US" sz="2000" b="0" i="1">
                        <a:latin typeface="Cambria Math" panose="02040503050406030204" pitchFamily="18" charset="0"/>
                      </a:rPr>
                      <m:t>⁡(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𝐴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𝐵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,</m:t>
                    </m:r>
                    <m:sSub>
                      <m:sSubPr>
                        <m:ctrlPr>
                          <a:rPr lang="en-US" sz="20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acc>
                          <m:accPr>
                            <m:chr m:val="̅"/>
                            <m:ctrlPr>
                              <a:rPr lang="en-US" sz="20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acc>
                              <m:accPr>
                                <m:chr m:val="̅"/>
                                <m:ctrlP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</m:ctrlPr>
                              </m:accPr>
                              <m:e>
                                <m:r>
                                  <a:rPr lang="en-US" sz="20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</m:acc>
                          </m:e>
                        </m:acc>
                      </m:e>
                      <m:sub>
                        <m:r>
                          <a:rPr lang="en-US" sz="2000" b="0" i="1">
                            <a:latin typeface="Cambria Math" panose="02040503050406030204" pitchFamily="18" charset="0"/>
                          </a:rPr>
                          <m:t>𝐶</m:t>
                        </m:r>
                      </m:sub>
                    </m:sSub>
                    <m:r>
                      <a:rPr lang="en-US" sz="20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83A23AF8-3646-410D-8C22-6DD389010A57}"/>
                </a:ext>
              </a:extLst>
            </xdr:cNvPr>
            <xdr:cNvSpPr txBox="1"/>
          </xdr:nvSpPr>
          <xdr:spPr>
            <a:xfrm>
              <a:off x="3048000" y="16563975"/>
              <a:ext cx="2705100" cy="388620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sz="2000" b="0" i="0">
                  <a:latin typeface="Cambria Math" panose="02040503050406030204" pitchFamily="18" charset="0"/>
                </a:rPr>
                <a:t> 𝑥 ̅  ̅𝑚𝑖𝑛=max⁡(𝑥 ̅  ̅_𝐴,𝑥 ̅  ̅_𝐵,𝑥 ̅  ̅_𝐶)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10</xdr:row>
      <xdr:rowOff>175260</xdr:rowOff>
    </xdr:from>
    <xdr:to>
      <xdr:col>10</xdr:col>
      <xdr:colOff>419100</xdr:colOff>
      <xdr:row>25</xdr:row>
      <xdr:rowOff>144780</xdr:rowOff>
    </xdr:to>
    <xdr:pic>
      <xdr:nvPicPr>
        <xdr:cNvPr id="2" name="Picture 2" descr="Matrix Plot of Height, Weight">
          <a:extLst>
            <a:ext uri="{FF2B5EF4-FFF2-40B4-BE49-F238E27FC236}">
              <a16:creationId xmlns:a16="http://schemas.microsoft.com/office/drawing/2014/main" id="{94308266-A16F-4374-8E8C-30241EF99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9650" y="2699385"/>
          <a:ext cx="4733925" cy="3093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38100</xdr:colOff>
      <xdr:row>39</xdr:row>
      <xdr:rowOff>121920</xdr:rowOff>
    </xdr:from>
    <xdr:ext cx="2232660" cy="4677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AACA2-3AA2-41B9-AD42-CF03E4D0D404}"/>
                </a:ext>
              </a:extLst>
            </xdr:cNvPr>
            <xdr:cNvSpPr txBox="1"/>
          </xdr:nvSpPr>
          <xdr:spPr>
            <a:xfrm>
              <a:off x="647700" y="9113520"/>
              <a:ext cx="2232660" cy="46775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IN" sz="16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n-IN" sz="16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𝑟</m:t>
                        </m:r>
                      </m:num>
                      <m:den>
                        <m:rad>
                          <m:radPr>
                            <m:degHide m:val="on"/>
                            <m:ctrlPr>
                              <a:rPr lang="en-IN" sz="16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n-IN" sz="1600" b="0" i="1">
                                <a:latin typeface="Cambria Math" panose="02040503050406030204" pitchFamily="18" charset="0"/>
                              </a:rPr>
                              <m:t>1− </m:t>
                            </m:r>
                            <m:sSup>
                              <m:sSupPr>
                                <m:ctrlP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𝑟</m:t>
                                </m:r>
                              </m:e>
                              <m:sup>
                                <m:r>
                                  <a:rPr lang="en-IN" sz="16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  <m:r>
                      <a:rPr lang="en-IN" sz="1600" b="0" i="1">
                        <a:latin typeface="Cambria Math" panose="02040503050406030204" pitchFamily="18" charset="0"/>
                      </a:rPr>
                      <m:t>∗</m:t>
                    </m:r>
                    <m:rad>
                      <m:radPr>
                        <m:degHide m:val="on"/>
                        <m:ctrlPr>
                          <a:rPr lang="en-IN" sz="16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𝑛</m:t>
                        </m:r>
                        <m:r>
                          <a:rPr lang="en-IN" sz="1600" b="0" i="1">
                            <a:latin typeface="Cambria Math" panose="02040503050406030204" pitchFamily="18" charset="0"/>
                          </a:rPr>
                          <m:t>−2</m:t>
                        </m:r>
                      </m:e>
                    </m:rad>
                  </m:oMath>
                </m:oMathPara>
              </a14:m>
              <a:endParaRPr lang="en-IN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895AACA2-3AA2-41B9-AD42-CF03E4D0D404}"/>
                </a:ext>
              </a:extLst>
            </xdr:cNvPr>
            <xdr:cNvSpPr txBox="1"/>
          </xdr:nvSpPr>
          <xdr:spPr>
            <a:xfrm>
              <a:off x="647700" y="9113520"/>
              <a:ext cx="2232660" cy="467757"/>
            </a:xfrm>
            <a:prstGeom prst="rect">
              <a:avLst/>
            </a:prstGeom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IN" sz="1600" b="0" i="0">
                  <a:latin typeface="Cambria Math" panose="02040503050406030204" pitchFamily="18" charset="0"/>
                </a:rPr>
                <a:t>𝑡=  𝑟/√(1− 𝑟^2 )∗√(𝑛−2)</a:t>
              </a:r>
              <a:endParaRPr lang="en-IN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356235</xdr:colOff>
      <xdr:row>24</xdr:row>
      <xdr:rowOff>154305</xdr:rowOff>
    </xdr:to>
    <xdr:pic>
      <xdr:nvPicPr>
        <xdr:cNvPr id="2" name="Picture 1" descr="Scatterplot of Food Consuption vs no of persons in house hold">
          <a:extLst>
            <a:ext uri="{FF2B5EF4-FFF2-40B4-BE49-F238E27FC236}">
              <a16:creationId xmlns:a16="http://schemas.microsoft.com/office/drawing/2014/main" id="{310A061C-65DF-4BA4-A9CE-7253C7444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4013835" cy="2630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39</xdr:row>
      <xdr:rowOff>28639</xdr:rowOff>
    </xdr:from>
    <xdr:to>
      <xdr:col>8</xdr:col>
      <xdr:colOff>280035</xdr:colOff>
      <xdr:row>53</xdr:row>
      <xdr:rowOff>30480</xdr:rowOff>
    </xdr:to>
    <xdr:pic>
      <xdr:nvPicPr>
        <xdr:cNvPr id="3" name="Picture 2" descr="Outlier Plot of Food Consuption">
          <a:extLst>
            <a:ext uri="{FF2B5EF4-FFF2-40B4-BE49-F238E27FC236}">
              <a16:creationId xmlns:a16="http://schemas.microsoft.com/office/drawing/2014/main" id="{6DBEF218-C1EF-4411-BAF4-3AC2C0FD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487089"/>
          <a:ext cx="4547235" cy="266884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54</xdr:row>
      <xdr:rowOff>108412</xdr:rowOff>
    </xdr:from>
    <xdr:to>
      <xdr:col>8</xdr:col>
      <xdr:colOff>156210</xdr:colOff>
      <xdr:row>69</xdr:row>
      <xdr:rowOff>154306</xdr:rowOff>
    </xdr:to>
    <xdr:pic>
      <xdr:nvPicPr>
        <xdr:cNvPr id="4" name="Picture 3" descr="Outlier Plot of no of persons in house hold">
          <a:extLst>
            <a:ext uri="{FF2B5EF4-FFF2-40B4-BE49-F238E27FC236}">
              <a16:creationId xmlns:a16="http://schemas.microsoft.com/office/drawing/2014/main" id="{DCF2797D-D869-432C-890A-AEF9C8807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424362"/>
          <a:ext cx="4423410" cy="290339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7</xdr:col>
      <xdr:colOff>356235</xdr:colOff>
      <xdr:row>117</xdr:row>
      <xdr:rowOff>154305</xdr:rowOff>
    </xdr:to>
    <xdr:pic>
      <xdr:nvPicPr>
        <xdr:cNvPr id="5" name="Picture 4" descr="Normplot of Residuals for Food Consuption">
          <a:extLst>
            <a:ext uri="{FF2B5EF4-FFF2-40B4-BE49-F238E27FC236}">
              <a16:creationId xmlns:a16="http://schemas.microsoft.com/office/drawing/2014/main" id="{53589BFB-8CAD-4861-AD7D-DB6C94FCB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36750"/>
          <a:ext cx="4013835" cy="2630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7</xdr:col>
      <xdr:colOff>356235</xdr:colOff>
      <xdr:row>133</xdr:row>
      <xdr:rowOff>154305</xdr:rowOff>
    </xdr:to>
    <xdr:pic>
      <xdr:nvPicPr>
        <xdr:cNvPr id="6" name="Picture 5" descr="Residuals vs Fits for Food Consuption">
          <a:extLst>
            <a:ext uri="{FF2B5EF4-FFF2-40B4-BE49-F238E27FC236}">
              <a16:creationId xmlns:a16="http://schemas.microsoft.com/office/drawing/2014/main" id="{65F407BF-41DA-40AA-A6DC-23E7216B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384750"/>
          <a:ext cx="4013835" cy="2630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8</xdr:col>
      <xdr:colOff>331470</xdr:colOff>
      <xdr:row>149</xdr:row>
      <xdr:rowOff>154305</xdr:rowOff>
    </xdr:to>
    <xdr:pic>
      <xdr:nvPicPr>
        <xdr:cNvPr id="7" name="Picture 6" descr="Residual Histogram for Food Consuption">
          <a:extLst>
            <a:ext uri="{FF2B5EF4-FFF2-40B4-BE49-F238E27FC236}">
              <a16:creationId xmlns:a16="http://schemas.microsoft.com/office/drawing/2014/main" id="{07FE13D2-0A1F-48BB-97EE-D0EFE267E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432750"/>
          <a:ext cx="3989070" cy="263080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8</xdr:col>
      <xdr:colOff>331470</xdr:colOff>
      <xdr:row>164</xdr:row>
      <xdr:rowOff>154305</xdr:rowOff>
    </xdr:to>
    <xdr:pic>
      <xdr:nvPicPr>
        <xdr:cNvPr id="8" name="Picture 7" descr="Residuals vs Order for Food Consuption">
          <a:extLst>
            <a:ext uri="{FF2B5EF4-FFF2-40B4-BE49-F238E27FC236}">
              <a16:creationId xmlns:a16="http://schemas.microsoft.com/office/drawing/2014/main" id="{6F858366-6066-47EF-8FC3-97494255F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290250"/>
          <a:ext cx="3989070" cy="26308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"/>
  <sheetViews>
    <sheetView tabSelected="1" workbookViewId="0">
      <selection activeCell="B84" sqref="B84"/>
    </sheetView>
  </sheetViews>
  <sheetFormatPr defaultColWidth="9" defaultRowHeight="15" x14ac:dyDescent="0.25"/>
  <cols>
    <col min="2" max="2" width="24" customWidth="1"/>
    <col min="3" max="3" width="16.28515625" customWidth="1"/>
    <col min="4" max="4" width="13.5703125" customWidth="1"/>
    <col min="5" max="5" width="10" customWidth="1"/>
    <col min="6" max="6" width="13.28515625" customWidth="1"/>
    <col min="7" max="7" width="24.7109375" customWidth="1"/>
    <col min="8" max="8" width="12.28515625" customWidth="1"/>
  </cols>
  <sheetData>
    <row r="1" spans="1:21" ht="27" customHeight="1" x14ac:dyDescent="0.25">
      <c r="C1" s="85" t="s">
        <v>36</v>
      </c>
      <c r="D1" s="86"/>
      <c r="E1" s="86"/>
      <c r="F1" s="86"/>
      <c r="G1" s="86"/>
      <c r="H1" s="86"/>
      <c r="I1" s="86"/>
      <c r="J1" s="86"/>
      <c r="K1" s="87"/>
      <c r="L1" s="1"/>
      <c r="M1" s="1" t="s">
        <v>38</v>
      </c>
      <c r="N1" s="1"/>
    </row>
    <row r="2" spans="1:21" ht="15" customHeight="1" x14ac:dyDescent="0.25">
      <c r="C2" s="88"/>
      <c r="D2" s="89"/>
      <c r="E2" s="89"/>
      <c r="F2" s="89"/>
      <c r="G2" s="89"/>
      <c r="H2" s="89"/>
      <c r="I2" s="89"/>
      <c r="J2" s="89"/>
      <c r="K2" s="90"/>
      <c r="L2" s="1"/>
      <c r="M2" s="1"/>
      <c r="N2" s="1"/>
    </row>
    <row r="3" spans="1:21" ht="15.75" x14ac:dyDescent="0.25">
      <c r="A3" s="33"/>
      <c r="B3" s="33"/>
      <c r="C3" s="2"/>
      <c r="E3" s="91" t="s">
        <v>37</v>
      </c>
      <c r="F3" s="92"/>
      <c r="G3" s="92"/>
      <c r="H3" s="93"/>
      <c r="I3" s="34"/>
    </row>
    <row r="5" spans="1:21" ht="18" x14ac:dyDescent="0.25">
      <c r="A5" s="97" t="s">
        <v>39</v>
      </c>
      <c r="B5" s="97"/>
    </row>
    <row r="7" spans="1:21" ht="15.75" x14ac:dyDescent="0.25">
      <c r="B7" s="3" t="s">
        <v>40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5"/>
    </row>
    <row r="8" spans="1:21" ht="15.75" thickBot="1" x14ac:dyDescent="0.3"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15.75" thickBot="1" x14ac:dyDescent="0.3">
      <c r="B9" s="98" t="s">
        <v>0</v>
      </c>
      <c r="C9" s="101" t="s">
        <v>1</v>
      </c>
      <c r="D9" s="101"/>
      <c r="E9" s="95" t="s">
        <v>2</v>
      </c>
      <c r="F9" s="96"/>
      <c r="G9" s="95" t="s">
        <v>3</v>
      </c>
      <c r="H9" s="96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15.75" thickBot="1" x14ac:dyDescent="0.3">
      <c r="B10" s="99"/>
      <c r="C10" s="95" t="s">
        <v>4</v>
      </c>
      <c r="D10" s="96"/>
      <c r="E10" s="95" t="s">
        <v>4</v>
      </c>
      <c r="F10" s="96"/>
      <c r="G10" s="95" t="s">
        <v>4</v>
      </c>
      <c r="H10" s="96"/>
      <c r="I10" s="5"/>
      <c r="J10" s="6" t="s">
        <v>5</v>
      </c>
      <c r="K10" s="4" t="s">
        <v>6</v>
      </c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15.75" thickBot="1" x14ac:dyDescent="0.3">
      <c r="B11" s="100"/>
      <c r="C11" s="7" t="s">
        <v>7</v>
      </c>
      <c r="D11" s="7" t="s">
        <v>8</v>
      </c>
      <c r="E11" s="7" t="s">
        <v>9</v>
      </c>
      <c r="F11" s="7" t="s">
        <v>10</v>
      </c>
      <c r="G11" s="7" t="s">
        <v>11</v>
      </c>
      <c r="H11" s="7" t="s">
        <v>12</v>
      </c>
      <c r="I11" s="5"/>
      <c r="J11" s="8" t="s">
        <v>13</v>
      </c>
      <c r="K11" s="5" t="s">
        <v>14</v>
      </c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x14ac:dyDescent="0.25">
      <c r="B12" s="9">
        <v>1</v>
      </c>
      <c r="C12" s="10">
        <v>31.83</v>
      </c>
      <c r="D12" s="10">
        <v>31.67</v>
      </c>
      <c r="E12" s="10">
        <v>32.549999999999997</v>
      </c>
      <c r="F12" s="10">
        <v>32.07</v>
      </c>
      <c r="G12" s="10">
        <v>31.99</v>
      </c>
      <c r="H12" s="11">
        <v>32.229999999999997</v>
      </c>
      <c r="I12" s="5"/>
      <c r="J12" s="8" t="s">
        <v>15</v>
      </c>
      <c r="K12" s="5" t="s">
        <v>16</v>
      </c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x14ac:dyDescent="0.25">
      <c r="B13" s="9">
        <v>2</v>
      </c>
      <c r="C13" s="9">
        <v>30.31</v>
      </c>
      <c r="D13" s="9">
        <v>30.47</v>
      </c>
      <c r="E13" s="9">
        <v>30.63</v>
      </c>
      <c r="F13" s="9">
        <v>30.39</v>
      </c>
      <c r="G13" s="9">
        <v>30.15</v>
      </c>
      <c r="H13" s="11">
        <v>30.15</v>
      </c>
      <c r="I13" s="5"/>
      <c r="J13" s="5"/>
      <c r="K13" s="5" t="s">
        <v>17</v>
      </c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x14ac:dyDescent="0.25">
      <c r="B14" s="9">
        <v>3</v>
      </c>
      <c r="C14" s="9">
        <v>29.51</v>
      </c>
      <c r="D14" s="9">
        <v>29.83</v>
      </c>
      <c r="E14" s="9">
        <v>29.83</v>
      </c>
      <c r="F14" s="9">
        <v>29.67</v>
      </c>
      <c r="G14" s="9">
        <v>29.51</v>
      </c>
      <c r="H14" s="11">
        <v>29.83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x14ac:dyDescent="0.25">
      <c r="B15" s="9">
        <v>4</v>
      </c>
      <c r="C15" s="9">
        <v>29.4</v>
      </c>
      <c r="D15" s="9">
        <v>29.27</v>
      </c>
      <c r="E15" s="9">
        <v>29.83</v>
      </c>
      <c r="F15" s="9">
        <v>29.35</v>
      </c>
      <c r="G15" s="9">
        <v>29.27</v>
      </c>
      <c r="H15" s="11">
        <v>29.51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x14ac:dyDescent="0.25">
      <c r="B16" s="9">
        <v>5</v>
      </c>
      <c r="C16" s="9">
        <v>29.91</v>
      </c>
      <c r="D16" s="9">
        <v>30.23</v>
      </c>
      <c r="E16" s="9">
        <v>30.07</v>
      </c>
      <c r="F16" s="9">
        <v>29.67</v>
      </c>
      <c r="G16" s="9">
        <v>29.83</v>
      </c>
      <c r="H16" s="11">
        <v>29.27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x14ac:dyDescent="0.25">
      <c r="B17" s="9">
        <v>6</v>
      </c>
      <c r="C17" s="9">
        <v>30.47</v>
      </c>
      <c r="D17" s="9">
        <v>30.31</v>
      </c>
      <c r="E17" s="9">
        <v>30.87</v>
      </c>
      <c r="F17" s="9">
        <v>30.87</v>
      </c>
      <c r="G17" s="9">
        <v>30.31</v>
      </c>
      <c r="H17" s="11">
        <v>30.31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x14ac:dyDescent="0.25">
      <c r="B18" s="9">
        <v>7</v>
      </c>
      <c r="C18" s="9">
        <v>28.79</v>
      </c>
      <c r="D18" s="9">
        <v>28.79</v>
      </c>
      <c r="E18" s="9">
        <v>29.03</v>
      </c>
      <c r="F18" s="9">
        <v>28.71</v>
      </c>
      <c r="G18" s="9">
        <v>28.23</v>
      </c>
      <c r="H18" s="11">
        <v>28.47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x14ac:dyDescent="0.25">
      <c r="B19" s="9">
        <v>8</v>
      </c>
      <c r="C19" s="9">
        <v>29.99</v>
      </c>
      <c r="D19" s="9">
        <v>29.67</v>
      </c>
      <c r="E19" s="9">
        <v>30.07</v>
      </c>
      <c r="F19" s="9">
        <v>29.91</v>
      </c>
      <c r="G19" s="9">
        <v>29.67</v>
      </c>
      <c r="H19" s="11">
        <v>29.83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x14ac:dyDescent="0.25">
      <c r="B20" s="9">
        <v>9</v>
      </c>
      <c r="C20" s="9">
        <v>28.55</v>
      </c>
      <c r="D20" s="9">
        <v>28.63</v>
      </c>
      <c r="E20" s="9">
        <v>28.95</v>
      </c>
      <c r="F20" s="9">
        <v>28.79</v>
      </c>
      <c r="G20" s="9">
        <v>28.55</v>
      </c>
      <c r="H20" s="11">
        <v>28.23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15.75" thickBot="1" x14ac:dyDescent="0.3">
      <c r="B21" s="12">
        <v>10</v>
      </c>
      <c r="C21" s="12">
        <v>29.35</v>
      </c>
      <c r="D21" s="12">
        <v>29.11</v>
      </c>
      <c r="E21" s="12">
        <v>29.83</v>
      </c>
      <c r="F21" s="12">
        <v>29.59</v>
      </c>
      <c r="G21" s="12">
        <v>29.59</v>
      </c>
      <c r="H21" s="13">
        <v>29.51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4" spans="1:21" ht="18" x14ac:dyDescent="0.25">
      <c r="A24" s="94" t="s">
        <v>18</v>
      </c>
      <c r="B24" s="94"/>
    </row>
    <row r="27" spans="1:21" ht="15.75" thickBot="1" x14ac:dyDescent="0.3"/>
    <row r="28" spans="1:21" ht="15.75" thickBot="1" x14ac:dyDescent="0.3">
      <c r="C28" s="95" t="s">
        <v>1</v>
      </c>
      <c r="D28" s="96"/>
      <c r="E28" s="95" t="s">
        <v>2</v>
      </c>
      <c r="F28" s="96"/>
      <c r="G28" s="95" t="s">
        <v>3</v>
      </c>
      <c r="H28" s="96"/>
    </row>
    <row r="29" spans="1:21" ht="15.75" thickBot="1" x14ac:dyDescent="0.3">
      <c r="C29" s="95" t="s">
        <v>4</v>
      </c>
      <c r="D29" s="96"/>
      <c r="E29" s="95" t="s">
        <v>4</v>
      </c>
      <c r="F29" s="96"/>
      <c r="G29" s="95" t="s">
        <v>4</v>
      </c>
      <c r="H29" s="96"/>
    </row>
    <row r="30" spans="1:21" ht="15.75" thickBot="1" x14ac:dyDescent="0.3">
      <c r="C30" s="14" t="s">
        <v>19</v>
      </c>
      <c r="D30" s="15" t="s">
        <v>20</v>
      </c>
      <c r="E30" s="14" t="s">
        <v>21</v>
      </c>
      <c r="F30" s="15" t="s">
        <v>22</v>
      </c>
      <c r="G30" s="14" t="s">
        <v>23</v>
      </c>
      <c r="H30" s="15" t="s">
        <v>24</v>
      </c>
    </row>
    <row r="31" spans="1:21" x14ac:dyDescent="0.25">
      <c r="C31" s="16">
        <f t="shared" ref="C31:C40" si="0">(C12+D12)/2</f>
        <v>31.75</v>
      </c>
      <c r="D31" s="17">
        <f t="shared" ref="D31:D40" si="1">ABS(C12-D12)</f>
        <v>0.15999999999999659</v>
      </c>
      <c r="E31" s="16">
        <f>(E12+F12)/2</f>
        <v>32.31</v>
      </c>
      <c r="F31" s="17">
        <f>ABS(E12-F12)</f>
        <v>0.47999999999999687</v>
      </c>
      <c r="G31" s="16">
        <f>(G12+H12)/2</f>
        <v>32.11</v>
      </c>
      <c r="H31" s="17">
        <f>ABS(G12-H12)</f>
        <v>0.23999999999999844</v>
      </c>
    </row>
    <row r="32" spans="1:21" x14ac:dyDescent="0.25">
      <c r="C32" s="16">
        <f t="shared" si="0"/>
        <v>30.39</v>
      </c>
      <c r="D32" s="17">
        <f t="shared" si="1"/>
        <v>0.16000000000000014</v>
      </c>
      <c r="E32" s="16">
        <f t="shared" ref="E32:E39" si="2">(E13+F13)/2</f>
        <v>30.509999999999998</v>
      </c>
      <c r="F32" s="17">
        <f t="shared" ref="F32:F39" si="3">ABS(E13-F13)</f>
        <v>0.23999999999999844</v>
      </c>
      <c r="G32" s="16">
        <f t="shared" ref="G32:G40" si="4">(G13+H13)/2</f>
        <v>30.15</v>
      </c>
      <c r="H32" s="17">
        <f t="shared" ref="H32:H40" si="5">ABS(G13-H13)</f>
        <v>0</v>
      </c>
    </row>
    <row r="33" spans="2:8" x14ac:dyDescent="0.25">
      <c r="C33" s="16">
        <f t="shared" si="0"/>
        <v>29.67</v>
      </c>
      <c r="D33" s="17">
        <f t="shared" si="1"/>
        <v>0.31999999999999673</v>
      </c>
      <c r="E33" s="16">
        <f t="shared" si="2"/>
        <v>29.75</v>
      </c>
      <c r="F33" s="17">
        <f t="shared" si="3"/>
        <v>0.15999999999999659</v>
      </c>
      <c r="G33" s="16">
        <f t="shared" si="4"/>
        <v>29.67</v>
      </c>
      <c r="H33" s="17">
        <f t="shared" si="5"/>
        <v>0.31999999999999673</v>
      </c>
    </row>
    <row r="34" spans="2:8" x14ac:dyDescent="0.25">
      <c r="C34" s="16">
        <f>(C15+D15)/2</f>
        <v>29.335000000000001</v>
      </c>
      <c r="D34" s="17">
        <f t="shared" si="1"/>
        <v>0.12999999999999901</v>
      </c>
      <c r="E34" s="16">
        <f t="shared" si="2"/>
        <v>29.59</v>
      </c>
      <c r="F34" s="17">
        <f t="shared" si="3"/>
        <v>0.47999999999999687</v>
      </c>
      <c r="G34" s="16">
        <f t="shared" si="4"/>
        <v>29.39</v>
      </c>
      <c r="H34" s="17">
        <f t="shared" si="5"/>
        <v>0.24000000000000199</v>
      </c>
    </row>
    <row r="35" spans="2:8" x14ac:dyDescent="0.25">
      <c r="C35" s="16">
        <f t="shared" si="0"/>
        <v>30.07</v>
      </c>
      <c r="D35" s="17">
        <f t="shared" si="1"/>
        <v>0.32000000000000028</v>
      </c>
      <c r="E35" s="16">
        <f t="shared" si="2"/>
        <v>29.87</v>
      </c>
      <c r="F35" s="17">
        <f t="shared" si="3"/>
        <v>0.39999999999999858</v>
      </c>
      <c r="G35" s="16">
        <f t="shared" si="4"/>
        <v>29.549999999999997</v>
      </c>
      <c r="H35" s="17">
        <f t="shared" si="5"/>
        <v>0.55999999999999872</v>
      </c>
    </row>
    <row r="36" spans="2:8" x14ac:dyDescent="0.25">
      <c r="C36" s="16">
        <f t="shared" si="0"/>
        <v>30.39</v>
      </c>
      <c r="D36" s="17">
        <f t="shared" si="1"/>
        <v>0.16000000000000014</v>
      </c>
      <c r="E36" s="16">
        <f t="shared" si="2"/>
        <v>30.87</v>
      </c>
      <c r="F36" s="17">
        <f t="shared" si="3"/>
        <v>0</v>
      </c>
      <c r="G36" s="16">
        <f t="shared" si="4"/>
        <v>30.31</v>
      </c>
      <c r="H36" s="17">
        <f t="shared" si="5"/>
        <v>0</v>
      </c>
    </row>
    <row r="37" spans="2:8" x14ac:dyDescent="0.25">
      <c r="C37" s="16">
        <f t="shared" si="0"/>
        <v>28.79</v>
      </c>
      <c r="D37" s="17">
        <f t="shared" si="1"/>
        <v>0</v>
      </c>
      <c r="E37" s="16">
        <f t="shared" si="2"/>
        <v>28.87</v>
      </c>
      <c r="F37" s="17">
        <f t="shared" si="3"/>
        <v>0.32000000000000028</v>
      </c>
      <c r="G37" s="16">
        <f t="shared" si="4"/>
        <v>28.35</v>
      </c>
      <c r="H37" s="17">
        <f t="shared" si="5"/>
        <v>0.23999999999999844</v>
      </c>
    </row>
    <row r="38" spans="2:8" x14ac:dyDescent="0.25">
      <c r="C38" s="16">
        <f t="shared" si="0"/>
        <v>29.83</v>
      </c>
      <c r="D38" s="17">
        <f t="shared" si="1"/>
        <v>0.31999999999999673</v>
      </c>
      <c r="E38" s="16">
        <f>(E19+F19)/2</f>
        <v>29.990000000000002</v>
      </c>
      <c r="F38" s="17">
        <f t="shared" si="3"/>
        <v>0.16000000000000014</v>
      </c>
      <c r="G38" s="16">
        <f t="shared" si="4"/>
        <v>29.75</v>
      </c>
      <c r="H38" s="17">
        <f t="shared" si="5"/>
        <v>0.15999999999999659</v>
      </c>
    </row>
    <row r="39" spans="2:8" x14ac:dyDescent="0.25">
      <c r="C39" s="16">
        <f t="shared" si="0"/>
        <v>28.59</v>
      </c>
      <c r="D39" s="17">
        <f t="shared" si="1"/>
        <v>7.9999999999998295E-2</v>
      </c>
      <c r="E39" s="16">
        <f t="shared" si="2"/>
        <v>28.869999999999997</v>
      </c>
      <c r="F39" s="17">
        <f t="shared" si="3"/>
        <v>0.16000000000000014</v>
      </c>
      <c r="G39" s="16">
        <f t="shared" si="4"/>
        <v>28.39</v>
      </c>
      <c r="H39" s="17">
        <f t="shared" si="5"/>
        <v>0.32000000000000028</v>
      </c>
    </row>
    <row r="40" spans="2:8" ht="15.75" thickBot="1" x14ac:dyDescent="0.3">
      <c r="C40" s="18">
        <f t="shared" si="0"/>
        <v>29.23</v>
      </c>
      <c r="D40" s="19">
        <f t="shared" si="1"/>
        <v>0.24000000000000199</v>
      </c>
      <c r="E40" s="18">
        <f>(E21+F21)/2</f>
        <v>29.71</v>
      </c>
      <c r="F40" s="19">
        <f>ABS(E21-F21)</f>
        <v>0.23999999999999844</v>
      </c>
      <c r="G40" s="18">
        <f t="shared" si="4"/>
        <v>29.55</v>
      </c>
      <c r="H40" s="19">
        <f t="shared" si="5"/>
        <v>7.9999999999998295E-2</v>
      </c>
    </row>
    <row r="41" spans="2:8" ht="15.75" thickBot="1" x14ac:dyDescent="0.3">
      <c r="C41" s="14">
        <f t="shared" ref="C41:H41" si="6">AVERAGE(C31:C40)</f>
        <v>29.804500000000001</v>
      </c>
      <c r="D41" s="15">
        <f t="shared" si="6"/>
        <v>0.188999999999999</v>
      </c>
      <c r="E41" s="14">
        <f t="shared" si="6"/>
        <v>30.033999999999999</v>
      </c>
      <c r="F41" s="15">
        <f t="shared" si="6"/>
        <v>0.26399999999999862</v>
      </c>
      <c r="G41" s="14">
        <f t="shared" si="6"/>
        <v>29.722000000000001</v>
      </c>
      <c r="H41" s="15">
        <f t="shared" si="6"/>
        <v>0.21599999999999894</v>
      </c>
    </row>
    <row r="45" spans="2:8" ht="18" x14ac:dyDescent="0.25">
      <c r="B45" s="20" t="s">
        <v>25</v>
      </c>
    </row>
    <row r="46" spans="2:8" ht="18" x14ac:dyDescent="0.25">
      <c r="B46" s="20"/>
    </row>
    <row r="47" spans="2:8" ht="18" x14ac:dyDescent="0.25">
      <c r="B47" s="20"/>
      <c r="D47" s="21" t="s">
        <v>26</v>
      </c>
    </row>
    <row r="48" spans="2:8" ht="18" x14ac:dyDescent="0.25">
      <c r="B48" s="20"/>
      <c r="D48" s="22" t="s">
        <v>27</v>
      </c>
      <c r="E48" s="22">
        <v>1.1279999999999999</v>
      </c>
    </row>
    <row r="49" spans="2:12" ht="21" x14ac:dyDescent="0.35">
      <c r="B49" s="23" t="s">
        <v>28</v>
      </c>
      <c r="D49" s="22" t="s">
        <v>29</v>
      </c>
      <c r="E49" s="22">
        <v>1.6930000000000001</v>
      </c>
    </row>
    <row r="50" spans="2:12" ht="15.75" thickBot="1" x14ac:dyDescent="0.3"/>
    <row r="51" spans="2:12" ht="19.5" thickBot="1" x14ac:dyDescent="0.35">
      <c r="J51" s="24">
        <f>(H57)^2 + (H62)^2</f>
        <v>7.3045484555615312E-2</v>
      </c>
      <c r="K51" s="25"/>
      <c r="L51" s="2"/>
    </row>
    <row r="56" spans="2:12" ht="15.75" thickBot="1" x14ac:dyDescent="0.3"/>
    <row r="57" spans="2:12" ht="18.75" thickBot="1" x14ac:dyDescent="0.3">
      <c r="H57" s="26">
        <f>H67/E48</f>
        <v>0.19769503546099193</v>
      </c>
    </row>
    <row r="61" spans="2:12" ht="15.75" thickBot="1" x14ac:dyDescent="0.3"/>
    <row r="62" spans="2:12" ht="16.5" thickBot="1" x14ac:dyDescent="0.3">
      <c r="H62" s="27">
        <f>H72/E49</f>
        <v>0.18428824571765953</v>
      </c>
    </row>
    <row r="66" spans="7:8" ht="15.75" thickBot="1" x14ac:dyDescent="0.3"/>
    <row r="67" spans="7:8" ht="18.75" thickBot="1" x14ac:dyDescent="0.3">
      <c r="H67" s="28">
        <f>(D41+F41+H41)/3</f>
        <v>0.22299999999999887</v>
      </c>
    </row>
    <row r="68" spans="7:8" x14ac:dyDescent="0.25">
      <c r="G68" s="5"/>
    </row>
    <row r="69" spans="7:8" x14ac:dyDescent="0.25">
      <c r="G69" s="5"/>
    </row>
    <row r="70" spans="7:8" x14ac:dyDescent="0.25">
      <c r="G70" s="5"/>
    </row>
    <row r="71" spans="7:8" ht="15.75" thickBot="1" x14ac:dyDescent="0.3">
      <c r="G71" s="5"/>
    </row>
    <row r="72" spans="7:8" ht="16.5" thickBot="1" x14ac:dyDescent="0.3">
      <c r="G72" s="5"/>
      <c r="H72" s="29">
        <f>H77-H80</f>
        <v>0.31199999999999761</v>
      </c>
    </row>
    <row r="74" spans="7:8" x14ac:dyDescent="0.25">
      <c r="G74" s="5"/>
    </row>
    <row r="75" spans="7:8" x14ac:dyDescent="0.25">
      <c r="G75" s="5"/>
    </row>
    <row r="76" spans="7:8" ht="15.75" thickBot="1" x14ac:dyDescent="0.3">
      <c r="G76" s="5"/>
    </row>
    <row r="77" spans="7:8" ht="16.5" thickBot="1" x14ac:dyDescent="0.3">
      <c r="H77" s="29">
        <f>E41</f>
        <v>30.033999999999999</v>
      </c>
    </row>
    <row r="78" spans="7:8" x14ac:dyDescent="0.25">
      <c r="G78" s="5"/>
    </row>
    <row r="79" spans="7:8" ht="15.75" thickBot="1" x14ac:dyDescent="0.3">
      <c r="G79" s="5"/>
    </row>
    <row r="80" spans="7:8" ht="16.5" thickBot="1" x14ac:dyDescent="0.3">
      <c r="H80" s="29">
        <f>G41</f>
        <v>29.722000000000001</v>
      </c>
    </row>
    <row r="83" spans="2:16" ht="23.25" x14ac:dyDescent="0.35">
      <c r="B83" s="35" t="s">
        <v>42</v>
      </c>
    </row>
    <row r="84" spans="2:16" ht="18.75" x14ac:dyDescent="0.3">
      <c r="B84" s="30"/>
    </row>
    <row r="85" spans="2:16" ht="18" x14ac:dyDescent="0.25">
      <c r="B85" s="20" t="s">
        <v>30</v>
      </c>
      <c r="C85" s="31"/>
      <c r="D85" s="31"/>
      <c r="E85" s="5"/>
    </row>
    <row r="86" spans="2:16" ht="18" x14ac:dyDescent="0.25">
      <c r="B86" s="36" t="s">
        <v>31</v>
      </c>
      <c r="C86" s="36"/>
      <c r="D86" s="36"/>
      <c r="E86" s="5"/>
    </row>
    <row r="87" spans="2:16" ht="18" x14ac:dyDescent="0.25">
      <c r="B87" s="36" t="s">
        <v>32</v>
      </c>
      <c r="C87" s="36"/>
      <c r="D87" s="36"/>
      <c r="E87" s="5"/>
    </row>
    <row r="89" spans="2:16" ht="15.75" thickBot="1" x14ac:dyDescent="0.3"/>
    <row r="90" spans="2:16" ht="20.25" x14ac:dyDescent="0.25">
      <c r="B90" s="37" t="s">
        <v>33</v>
      </c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9"/>
    </row>
    <row r="91" spans="2:16" x14ac:dyDescent="0.25">
      <c r="B91" s="40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2"/>
    </row>
    <row r="92" spans="2:16" ht="18.75" x14ac:dyDescent="0.3">
      <c r="B92" s="43" t="s">
        <v>41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1"/>
      <c r="N92" s="41"/>
      <c r="O92" s="41"/>
      <c r="P92" s="42"/>
    </row>
    <row r="93" spans="2:16" ht="18.75" x14ac:dyDescent="0.3">
      <c r="B93" s="45" t="s">
        <v>34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1"/>
      <c r="N93" s="41"/>
      <c r="O93" s="41"/>
      <c r="P93" s="42"/>
    </row>
    <row r="94" spans="2:16" ht="19.5" thickBot="1" x14ac:dyDescent="0.35">
      <c r="B94" s="46" t="s">
        <v>35</v>
      </c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8"/>
      <c r="N94" s="48"/>
      <c r="O94" s="48"/>
      <c r="P94" s="49"/>
    </row>
  </sheetData>
  <mergeCells count="17">
    <mergeCell ref="C29:D29"/>
    <mergeCell ref="E29:F29"/>
    <mergeCell ref="G29:H29"/>
    <mergeCell ref="A5:B5"/>
    <mergeCell ref="B9:B11"/>
    <mergeCell ref="C9:D9"/>
    <mergeCell ref="E9:F9"/>
    <mergeCell ref="G9:H9"/>
    <mergeCell ref="C10:D10"/>
    <mergeCell ref="E10:F10"/>
    <mergeCell ref="G10:H10"/>
    <mergeCell ref="C1:K2"/>
    <mergeCell ref="E3:H3"/>
    <mergeCell ref="A24:B24"/>
    <mergeCell ref="C28:D28"/>
    <mergeCell ref="E28:F28"/>
    <mergeCell ref="G28:H2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A019-B414-41D0-B4B2-AF73DA981AAB}">
  <dimension ref="B1:N49"/>
  <sheetViews>
    <sheetView topLeftCell="A16" workbookViewId="0">
      <selection activeCell="G46" sqref="G46"/>
    </sheetView>
  </sheetViews>
  <sheetFormatPr defaultRowHeight="15" x14ac:dyDescent="0.25"/>
  <cols>
    <col min="2" max="2" width="41.42578125" customWidth="1"/>
    <col min="3" max="3" width="12.85546875" customWidth="1"/>
    <col min="4" max="4" width="8.85546875" customWidth="1"/>
    <col min="6" max="6" width="19" customWidth="1"/>
  </cols>
  <sheetData>
    <row r="1" spans="2:14" ht="21" x14ac:dyDescent="0.25">
      <c r="B1" s="79" t="s">
        <v>73</v>
      </c>
    </row>
    <row r="3" spans="2:14" ht="20.25" x14ac:dyDescent="0.25">
      <c r="B3" s="50"/>
    </row>
    <row r="4" spans="2:14" s="32" customFormat="1" ht="18.75" x14ac:dyDescent="0.3">
      <c r="B4" s="80" t="s">
        <v>43</v>
      </c>
    </row>
    <row r="5" spans="2:14" ht="16.5" thickBot="1" x14ac:dyDescent="0.3"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2:14" ht="16.5" thickBot="1" x14ac:dyDescent="0.3">
      <c r="B6" s="53" t="s">
        <v>44</v>
      </c>
      <c r="C6" s="54">
        <v>73</v>
      </c>
      <c r="D6" s="54">
        <v>71</v>
      </c>
      <c r="E6" s="54">
        <v>66</v>
      </c>
      <c r="F6" s="54">
        <v>67</v>
      </c>
      <c r="G6" s="54">
        <v>66</v>
      </c>
      <c r="H6" s="54">
        <v>70</v>
      </c>
      <c r="I6" s="54">
        <v>72</v>
      </c>
      <c r="J6" s="54">
        <v>74</v>
      </c>
      <c r="K6" s="54">
        <v>69</v>
      </c>
      <c r="L6" s="54">
        <v>67</v>
      </c>
      <c r="M6" s="54">
        <v>71</v>
      </c>
      <c r="N6" s="54">
        <v>71</v>
      </c>
    </row>
    <row r="7" spans="2:14" ht="16.5" thickBot="1" x14ac:dyDescent="0.3">
      <c r="B7" s="55" t="s">
        <v>45</v>
      </c>
      <c r="C7" s="56">
        <v>190</v>
      </c>
      <c r="D7" s="56">
        <v>179</v>
      </c>
      <c r="E7" s="56">
        <v>46</v>
      </c>
      <c r="F7" s="56">
        <v>145</v>
      </c>
      <c r="G7" s="56">
        <v>144</v>
      </c>
      <c r="H7" s="56">
        <v>164</v>
      </c>
      <c r="I7" s="56">
        <v>183</v>
      </c>
      <c r="J7" s="56">
        <v>200</v>
      </c>
      <c r="K7" s="56">
        <v>157</v>
      </c>
      <c r="L7" s="56">
        <v>150</v>
      </c>
      <c r="M7" s="56">
        <v>170</v>
      </c>
      <c r="N7" s="56">
        <v>172</v>
      </c>
    </row>
    <row r="8" spans="2:14" ht="15.75" x14ac:dyDescent="0.25">
      <c r="B8" s="51" t="s">
        <v>46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2:14" s="32" customFormat="1" ht="18.75" x14ac:dyDescent="0.3">
      <c r="B9" s="80" t="s">
        <v>47</v>
      </c>
    </row>
    <row r="10" spans="2:14" ht="15.75" x14ac:dyDescent="0.25">
      <c r="B10" s="51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</row>
    <row r="11" spans="2:14" ht="23.25" x14ac:dyDescent="0.25">
      <c r="B11" s="81" t="s">
        <v>48</v>
      </c>
    </row>
    <row r="12" spans="2:14" ht="23.25" x14ac:dyDescent="0.35">
      <c r="B12" s="82"/>
    </row>
    <row r="13" spans="2:14" ht="16.5" x14ac:dyDescent="0.25">
      <c r="B13" s="57" t="s">
        <v>49</v>
      </c>
    </row>
    <row r="14" spans="2:14" x14ac:dyDescent="0.25">
      <c r="B14" s="58"/>
    </row>
    <row r="15" spans="2:14" x14ac:dyDescent="0.25">
      <c r="B15" s="59"/>
    </row>
    <row r="16" spans="2:14" x14ac:dyDescent="0.25">
      <c r="B16" s="60"/>
    </row>
    <row r="17" spans="2:7" x14ac:dyDescent="0.25">
      <c r="B17" s="60"/>
    </row>
    <row r="19" spans="2:7" ht="20.25" x14ac:dyDescent="0.25">
      <c r="B19" s="61" t="s">
        <v>50</v>
      </c>
    </row>
    <row r="20" spans="2:7" ht="16.5" x14ac:dyDescent="0.25">
      <c r="B20" s="62" t="s">
        <v>51</v>
      </c>
      <c r="C20" s="62" t="s">
        <v>52</v>
      </c>
    </row>
    <row r="21" spans="2:7" ht="16.5" x14ac:dyDescent="0.25">
      <c r="B21" s="62" t="s">
        <v>53</v>
      </c>
      <c r="C21" s="63">
        <v>12</v>
      </c>
    </row>
    <row r="22" spans="2:7" ht="16.5" x14ac:dyDescent="0.25">
      <c r="B22" s="64" t="s">
        <v>54</v>
      </c>
    </row>
    <row r="23" spans="2:7" ht="16.5" x14ac:dyDescent="0.25">
      <c r="B23" s="65"/>
    </row>
    <row r="24" spans="2:7" ht="16.5" x14ac:dyDescent="0.25">
      <c r="B24" s="65" t="s">
        <v>55</v>
      </c>
    </row>
    <row r="25" spans="2:7" ht="16.5" x14ac:dyDescent="0.25">
      <c r="B25" s="66"/>
      <c r="C25" s="67" t="s">
        <v>56</v>
      </c>
    </row>
    <row r="26" spans="2:7" ht="16.5" x14ac:dyDescent="0.25">
      <c r="B26" s="68" t="s">
        <v>57</v>
      </c>
      <c r="C26" s="69">
        <v>0.97499999999999998</v>
      </c>
    </row>
    <row r="27" spans="2:7" x14ac:dyDescent="0.25">
      <c r="B27" s="60"/>
    </row>
    <row r="28" spans="2:7" ht="16.5" x14ac:dyDescent="0.25">
      <c r="B28" s="65" t="s">
        <v>58</v>
      </c>
    </row>
    <row r="29" spans="2:7" ht="33" x14ac:dyDescent="0.25">
      <c r="B29" s="70" t="s">
        <v>59</v>
      </c>
      <c r="C29" s="70" t="s">
        <v>60</v>
      </c>
      <c r="D29" s="70" t="s">
        <v>61</v>
      </c>
      <c r="E29" s="70" t="s">
        <v>62</v>
      </c>
      <c r="F29" s="70" t="s">
        <v>63</v>
      </c>
      <c r="G29" s="70" t="s">
        <v>64</v>
      </c>
    </row>
    <row r="30" spans="2:7" ht="16.5" x14ac:dyDescent="0.25">
      <c r="B30" s="71" t="s">
        <v>57</v>
      </c>
      <c r="C30" s="71" t="s">
        <v>56</v>
      </c>
      <c r="D30" s="71">
        <v>12</v>
      </c>
      <c r="E30" s="71">
        <v>0.97499999999999998</v>
      </c>
      <c r="F30" s="71" t="s">
        <v>65</v>
      </c>
      <c r="G30" s="71">
        <v>0</v>
      </c>
    </row>
    <row r="31" spans="2:7" x14ac:dyDescent="0.25">
      <c r="B31" s="58"/>
    </row>
    <row r="32" spans="2:7" ht="22.5" x14ac:dyDescent="0.25">
      <c r="B32" s="72"/>
      <c r="D32" s="73" t="s">
        <v>66</v>
      </c>
    </row>
    <row r="33" spans="2:3" ht="23.25" x14ac:dyDescent="0.25">
      <c r="B33" s="74"/>
    </row>
    <row r="34" spans="2:3" ht="22.5" x14ac:dyDescent="0.25">
      <c r="B34" s="83" t="s">
        <v>67</v>
      </c>
    </row>
    <row r="35" spans="2:3" ht="17.25" x14ac:dyDescent="0.25">
      <c r="B35" s="75" t="s">
        <v>68</v>
      </c>
    </row>
    <row r="36" spans="2:3" ht="16.5" x14ac:dyDescent="0.25">
      <c r="B36" s="76"/>
    </row>
    <row r="37" spans="2:3" ht="18" x14ac:dyDescent="0.25">
      <c r="B37" s="77" t="s">
        <v>69</v>
      </c>
    </row>
    <row r="39" spans="2:3" x14ac:dyDescent="0.25">
      <c r="B39" t="s">
        <v>70</v>
      </c>
    </row>
    <row r="41" spans="2:3" x14ac:dyDescent="0.25">
      <c r="C41">
        <f>(E30/(SQRT(1-E30^2)))*(SQRT(D30-2))</f>
        <v>13.875577305813986</v>
      </c>
    </row>
    <row r="45" spans="2:3" ht="23.25" x14ac:dyDescent="0.4">
      <c r="B45" s="78" t="s">
        <v>71</v>
      </c>
      <c r="C45">
        <f>_xlfn.T.INV.2T(0.05/2, D30-2)</f>
        <v>2.6337669157115977</v>
      </c>
    </row>
    <row r="48" spans="2:3" ht="18.75" x14ac:dyDescent="0.3">
      <c r="B48" s="84" t="s">
        <v>33</v>
      </c>
    </row>
    <row r="49" spans="2:2" ht="18.75" x14ac:dyDescent="0.3">
      <c r="B49" s="32" t="s">
        <v>72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509F-3DBF-45C1-8148-22A17BF65274}">
  <dimension ref="A2:I168"/>
  <sheetViews>
    <sheetView workbookViewId="0">
      <selection activeCell="G198" sqref="G198"/>
    </sheetView>
  </sheetViews>
  <sheetFormatPr defaultRowHeight="15" x14ac:dyDescent="0.25"/>
  <sheetData>
    <row r="2" spans="1:2" x14ac:dyDescent="0.25">
      <c r="A2" t="s">
        <v>74</v>
      </c>
    </row>
    <row r="3" spans="1:2" x14ac:dyDescent="0.25">
      <c r="B3" t="s">
        <v>75</v>
      </c>
    </row>
    <row r="5" spans="1:2" x14ac:dyDescent="0.25">
      <c r="B5" s="102" t="s">
        <v>76</v>
      </c>
    </row>
    <row r="7" spans="1:2" x14ac:dyDescent="0.25">
      <c r="A7" t="s">
        <v>77</v>
      </c>
    </row>
    <row r="9" spans="1:2" x14ac:dyDescent="0.25">
      <c r="B9" s="103" t="s">
        <v>78</v>
      </c>
    </row>
    <row r="27" spans="2:3" x14ac:dyDescent="0.25">
      <c r="B27" s="103" t="s">
        <v>79</v>
      </c>
    </row>
    <row r="29" spans="2:3" x14ac:dyDescent="0.25">
      <c r="B29" s="104" t="s">
        <v>50</v>
      </c>
    </row>
    <row r="30" spans="2:3" ht="89.25" x14ac:dyDescent="0.25">
      <c r="B30" s="105" t="s">
        <v>80</v>
      </c>
      <c r="C30" s="105" t="s">
        <v>81</v>
      </c>
    </row>
    <row r="31" spans="2:3" ht="63.75" x14ac:dyDescent="0.25">
      <c r="B31" s="105" t="s">
        <v>82</v>
      </c>
      <c r="C31" s="105" t="s">
        <v>83</v>
      </c>
    </row>
    <row r="32" spans="2:3" ht="25.5" x14ac:dyDescent="0.25">
      <c r="B32" s="105" t="s">
        <v>84</v>
      </c>
      <c r="C32" s="105" t="s">
        <v>85</v>
      </c>
    </row>
    <row r="33" spans="2:9" ht="17.25" x14ac:dyDescent="0.25">
      <c r="B33" s="106" t="s">
        <v>86</v>
      </c>
      <c r="C33" s="52"/>
      <c r="D33" s="52"/>
      <c r="E33" s="52"/>
      <c r="F33" s="52"/>
      <c r="G33" s="52"/>
      <c r="H33" s="52"/>
      <c r="I33" s="52"/>
    </row>
    <row r="34" spans="2:9" ht="35.25" thickBot="1" x14ac:dyDescent="0.3">
      <c r="B34" s="107" t="s">
        <v>87</v>
      </c>
      <c r="C34" s="108" t="s">
        <v>61</v>
      </c>
      <c r="D34" s="108" t="s">
        <v>88</v>
      </c>
      <c r="E34" s="108" t="s">
        <v>89</v>
      </c>
      <c r="F34" s="108" t="s">
        <v>90</v>
      </c>
      <c r="G34" s="108" t="s">
        <v>91</v>
      </c>
      <c r="H34" s="108" t="s">
        <v>92</v>
      </c>
      <c r="I34" s="108" t="s">
        <v>93</v>
      </c>
    </row>
    <row r="35" spans="2:9" ht="47.25" x14ac:dyDescent="0.25">
      <c r="B35" s="109" t="s">
        <v>94</v>
      </c>
      <c r="C35" s="110">
        <v>25</v>
      </c>
      <c r="D35" s="110">
        <v>3.0640000000000001</v>
      </c>
      <c r="E35" s="110">
        <v>0.79900000000000004</v>
      </c>
      <c r="F35" s="110">
        <v>1.7</v>
      </c>
      <c r="G35" s="110">
        <v>4.5</v>
      </c>
      <c r="H35" s="110">
        <v>1.8</v>
      </c>
      <c r="I35" s="110">
        <v>1</v>
      </c>
    </row>
    <row r="36" spans="2:9" ht="63" x14ac:dyDescent="0.25">
      <c r="B36" s="109" t="s">
        <v>95</v>
      </c>
      <c r="C36" s="110">
        <v>25</v>
      </c>
      <c r="D36" s="110">
        <v>3.6</v>
      </c>
      <c r="E36" s="110">
        <v>2.0409999999999999</v>
      </c>
      <c r="F36" s="110">
        <v>1</v>
      </c>
      <c r="G36" s="110">
        <v>9</v>
      </c>
      <c r="H36" s="110">
        <v>2.65</v>
      </c>
      <c r="I36" s="110">
        <v>0.107</v>
      </c>
    </row>
    <row r="37" spans="2:9" ht="17.25" x14ac:dyDescent="0.25">
      <c r="B37" s="111" t="s">
        <v>96</v>
      </c>
      <c r="C37" s="52"/>
      <c r="D37" s="52"/>
      <c r="E37" s="52"/>
      <c r="F37" s="52"/>
      <c r="G37" s="52"/>
      <c r="H37" s="52"/>
      <c r="I37" s="52"/>
    </row>
    <row r="72" spans="1:8" ht="21" x14ac:dyDescent="0.35">
      <c r="A72" s="112">
        <v>2</v>
      </c>
      <c r="B72" s="113" t="s">
        <v>97</v>
      </c>
    </row>
    <row r="73" spans="1:8" ht="21" x14ac:dyDescent="0.35">
      <c r="A73" s="112">
        <v>3</v>
      </c>
      <c r="B73" s="114" t="s">
        <v>98</v>
      </c>
    </row>
    <row r="76" spans="1:8" x14ac:dyDescent="0.25">
      <c r="B76" s="103" t="s">
        <v>99</v>
      </c>
    </row>
    <row r="79" spans="1:8" ht="17.25" x14ac:dyDescent="0.25">
      <c r="B79" s="106" t="s">
        <v>100</v>
      </c>
      <c r="C79" s="52"/>
      <c r="D79" s="52"/>
      <c r="E79" s="52"/>
      <c r="F79" s="52"/>
      <c r="G79" s="52"/>
      <c r="H79" s="52"/>
    </row>
    <row r="80" spans="1:8" ht="94.5" x14ac:dyDescent="0.25">
      <c r="B80" s="109" t="s">
        <v>94</v>
      </c>
      <c r="C80" s="109" t="s">
        <v>101</v>
      </c>
      <c r="D80" s="109" t="s">
        <v>102</v>
      </c>
      <c r="E80" s="52"/>
      <c r="F80" s="52"/>
      <c r="G80" s="52"/>
      <c r="H80" s="52"/>
    </row>
    <row r="81" spans="2:8" ht="17.25" x14ac:dyDescent="0.25">
      <c r="B81" s="106" t="s">
        <v>103</v>
      </c>
      <c r="C81" s="52"/>
      <c r="D81" s="52"/>
      <c r="E81" s="52"/>
      <c r="F81" s="52"/>
      <c r="G81" s="52"/>
      <c r="H81" s="52"/>
    </row>
    <row r="82" spans="2:8" ht="35.25" thickBot="1" x14ac:dyDescent="0.3">
      <c r="B82" s="107" t="s">
        <v>104</v>
      </c>
      <c r="C82" s="108" t="s">
        <v>105</v>
      </c>
      <c r="D82" s="108" t="s">
        <v>106</v>
      </c>
      <c r="E82" s="108" t="s">
        <v>107</v>
      </c>
      <c r="F82" s="108" t="s">
        <v>64</v>
      </c>
      <c r="G82" s="108" t="s">
        <v>108</v>
      </c>
      <c r="H82" s="52"/>
    </row>
    <row r="83" spans="2:8" ht="15.75" x14ac:dyDescent="0.25">
      <c r="B83" s="109" t="s">
        <v>109</v>
      </c>
      <c r="C83" s="110">
        <v>1.8779999999999999</v>
      </c>
      <c r="D83" s="110">
        <v>0.18099999999999999</v>
      </c>
      <c r="E83" s="110">
        <v>10.35</v>
      </c>
      <c r="F83" s="110">
        <v>0</v>
      </c>
      <c r="G83" s="109"/>
      <c r="H83" s="52"/>
    </row>
    <row r="84" spans="2:8" ht="63" x14ac:dyDescent="0.25">
      <c r="B84" s="109" t="s">
        <v>95</v>
      </c>
      <c r="C84" s="110">
        <v>0.32940000000000003</v>
      </c>
      <c r="D84" s="110">
        <v>4.41E-2</v>
      </c>
      <c r="E84" s="110">
        <v>7.47</v>
      </c>
      <c r="F84" s="110">
        <v>0</v>
      </c>
      <c r="G84" s="110">
        <v>1</v>
      </c>
      <c r="H84" s="52"/>
    </row>
    <row r="85" spans="2:8" ht="17.25" x14ac:dyDescent="0.25">
      <c r="B85" s="106" t="s">
        <v>110</v>
      </c>
      <c r="C85" s="52"/>
      <c r="D85" s="52"/>
      <c r="E85" s="52"/>
      <c r="F85" s="52"/>
      <c r="G85" s="52"/>
      <c r="H85" s="52"/>
    </row>
    <row r="86" spans="2:8" ht="52.5" thickBot="1" x14ac:dyDescent="0.3">
      <c r="B86" s="108" t="s">
        <v>111</v>
      </c>
      <c r="C86" s="108" t="s">
        <v>112</v>
      </c>
      <c r="D86" s="108" t="s">
        <v>113</v>
      </c>
      <c r="E86" s="108" t="s">
        <v>114</v>
      </c>
      <c r="F86" s="52"/>
      <c r="G86" s="52"/>
      <c r="H86" s="52"/>
    </row>
    <row r="87" spans="2:8" ht="15.75" x14ac:dyDescent="0.25">
      <c r="B87" s="110">
        <v>0.44070900000000002</v>
      </c>
      <c r="C87" s="115">
        <v>0.70840000000000003</v>
      </c>
      <c r="D87" s="115">
        <v>0.69569999999999999</v>
      </c>
      <c r="E87" s="115">
        <v>0.53220000000000001</v>
      </c>
      <c r="F87" s="52"/>
      <c r="G87" s="52"/>
      <c r="H87" s="52"/>
    </row>
    <row r="88" spans="2:8" ht="17.25" x14ac:dyDescent="0.25">
      <c r="B88" s="106" t="s">
        <v>115</v>
      </c>
      <c r="C88" s="52"/>
      <c r="D88" s="52"/>
      <c r="E88" s="52"/>
      <c r="F88" s="52"/>
      <c r="G88" s="52"/>
      <c r="H88" s="52"/>
    </row>
    <row r="89" spans="2:8" ht="35.25" thickBot="1" x14ac:dyDescent="0.3">
      <c r="B89" s="107" t="s">
        <v>116</v>
      </c>
      <c r="C89" s="108" t="s">
        <v>117</v>
      </c>
      <c r="D89" s="108" t="s">
        <v>118</v>
      </c>
      <c r="E89" s="108" t="s">
        <v>119</v>
      </c>
      <c r="F89" s="108" t="s">
        <v>120</v>
      </c>
      <c r="G89" s="108" t="s">
        <v>64</v>
      </c>
      <c r="H89" s="52"/>
    </row>
    <row r="90" spans="2:8" ht="31.5" x14ac:dyDescent="0.25">
      <c r="B90" s="109" t="s">
        <v>121</v>
      </c>
      <c r="C90" s="110">
        <v>1</v>
      </c>
      <c r="D90" s="110">
        <v>10.85</v>
      </c>
      <c r="E90" s="110">
        <v>10.8504</v>
      </c>
      <c r="F90" s="110">
        <v>55.87</v>
      </c>
      <c r="G90" s="110">
        <v>0</v>
      </c>
      <c r="H90" s="52"/>
    </row>
    <row r="91" spans="2:8" ht="63" x14ac:dyDescent="0.25">
      <c r="B91" s="109" t="s">
        <v>122</v>
      </c>
      <c r="C91" s="110">
        <v>1</v>
      </c>
      <c r="D91" s="110">
        <v>10.85</v>
      </c>
      <c r="E91" s="110">
        <v>10.8504</v>
      </c>
      <c r="F91" s="110">
        <v>55.87</v>
      </c>
      <c r="G91" s="110">
        <v>0</v>
      </c>
      <c r="H91" s="52"/>
    </row>
    <row r="92" spans="2:8" ht="15.75" x14ac:dyDescent="0.25">
      <c r="B92" s="109" t="s">
        <v>123</v>
      </c>
      <c r="C92" s="110">
        <v>23</v>
      </c>
      <c r="D92" s="110">
        <v>4.4669999999999996</v>
      </c>
      <c r="E92" s="110">
        <v>0.19420000000000001</v>
      </c>
      <c r="F92" s="109"/>
      <c r="G92" s="109"/>
      <c r="H92" s="52"/>
    </row>
    <row r="93" spans="2:8" ht="31.5" x14ac:dyDescent="0.25">
      <c r="B93" s="109" t="s">
        <v>124</v>
      </c>
      <c r="C93" s="110">
        <v>5</v>
      </c>
      <c r="D93" s="110">
        <v>3.1360000000000001</v>
      </c>
      <c r="E93" s="110">
        <v>0.62709999999999999</v>
      </c>
      <c r="F93" s="110">
        <v>8.48</v>
      </c>
      <c r="G93" s="110">
        <v>0</v>
      </c>
      <c r="H93" s="52"/>
    </row>
    <row r="94" spans="2:8" ht="31.5" x14ac:dyDescent="0.25">
      <c r="B94" s="109" t="s">
        <v>125</v>
      </c>
      <c r="C94" s="110">
        <v>18</v>
      </c>
      <c r="D94" s="110">
        <v>1.331</v>
      </c>
      <c r="E94" s="110">
        <v>7.3999999999999996E-2</v>
      </c>
      <c r="F94" s="109"/>
      <c r="G94" s="109"/>
      <c r="H94" s="52"/>
    </row>
    <row r="95" spans="2:8" ht="15.75" x14ac:dyDescent="0.25">
      <c r="B95" s="109" t="s">
        <v>126</v>
      </c>
      <c r="C95" s="110">
        <v>24</v>
      </c>
      <c r="D95" s="110">
        <v>15.318</v>
      </c>
      <c r="E95" s="109"/>
      <c r="F95" s="109"/>
      <c r="G95" s="109"/>
      <c r="H95" s="52"/>
    </row>
    <row r="96" spans="2:8" ht="17.25" x14ac:dyDescent="0.25">
      <c r="B96" s="106" t="s">
        <v>127</v>
      </c>
      <c r="C96" s="52"/>
      <c r="D96" s="52"/>
      <c r="E96" s="52"/>
      <c r="F96" s="52"/>
      <c r="G96" s="52"/>
      <c r="H96" s="52"/>
    </row>
    <row r="97" spans="2:8" ht="17.25" x14ac:dyDescent="0.25">
      <c r="B97" s="116" t="s">
        <v>128</v>
      </c>
      <c r="C97" s="117" t="s">
        <v>129</v>
      </c>
      <c r="D97" s="116" t="s">
        <v>130</v>
      </c>
      <c r="E97" s="116" t="s">
        <v>131</v>
      </c>
      <c r="F97" s="116" t="s">
        <v>132</v>
      </c>
      <c r="G97" s="118"/>
      <c r="H97" s="118"/>
    </row>
    <row r="98" spans="2:8" ht="35.25" thickBot="1" x14ac:dyDescent="0.3">
      <c r="B98" s="119"/>
      <c r="C98" s="108" t="s">
        <v>133</v>
      </c>
      <c r="D98" s="119"/>
      <c r="E98" s="119"/>
      <c r="F98" s="119"/>
      <c r="G98" s="120"/>
      <c r="H98" s="120"/>
    </row>
    <row r="99" spans="2:8" ht="15.75" x14ac:dyDescent="0.25">
      <c r="B99" s="110">
        <v>15</v>
      </c>
      <c r="C99" s="110">
        <v>3.5</v>
      </c>
      <c r="D99" s="110">
        <v>4.843</v>
      </c>
      <c r="E99" s="110">
        <v>-1.343</v>
      </c>
      <c r="F99" s="110">
        <v>-3.73</v>
      </c>
      <c r="G99" s="109" t="s">
        <v>134</v>
      </c>
      <c r="H99" s="109" t="s">
        <v>135</v>
      </c>
    </row>
    <row r="100" spans="2:8" ht="15.75" x14ac:dyDescent="0.25">
      <c r="B100" s="121" t="s">
        <v>136</v>
      </c>
      <c r="C100" s="52"/>
      <c r="D100" s="52"/>
      <c r="E100" s="52"/>
      <c r="F100" s="52"/>
      <c r="G100" s="52"/>
      <c r="H100" s="52"/>
    </row>
    <row r="101" spans="2:8" ht="15.75" x14ac:dyDescent="0.25">
      <c r="B101" s="121" t="s">
        <v>137</v>
      </c>
      <c r="C101" s="52"/>
      <c r="D101" s="52"/>
      <c r="E101" s="52"/>
      <c r="F101" s="52"/>
      <c r="G101" s="52"/>
      <c r="H101" s="52"/>
    </row>
    <row r="168" spans="2:2" ht="18.75" x14ac:dyDescent="0.25">
      <c r="B168" s="122" t="s">
        <v>138</v>
      </c>
    </row>
  </sheetData>
  <mergeCells count="6">
    <mergeCell ref="B97:B98"/>
    <mergeCell ref="D97:D98"/>
    <mergeCell ref="E97:E98"/>
    <mergeCell ref="F97:F98"/>
    <mergeCell ref="G97:G98"/>
    <mergeCell ref="H97:H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Q-1</vt:lpstr>
      <vt:lpstr>Q-3</vt:lpstr>
      <vt:lpstr>Q-6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patel</dc:creator>
  <cp:lastModifiedBy>pateldaksh3120@gmail.com</cp:lastModifiedBy>
  <dcterms:created xsi:type="dcterms:W3CDTF">2015-06-05T18:17:20Z</dcterms:created>
  <dcterms:modified xsi:type="dcterms:W3CDTF">2021-12-15T07:59:12Z</dcterms:modified>
</cp:coreProperties>
</file>