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VI\Downloads\"/>
    </mc:Choice>
  </mc:AlternateContent>
  <bookViews>
    <workbookView xWindow="0" yWindow="0" windowWidth="20490" windowHeight="6825"/>
  </bookViews>
  <sheets>
    <sheet name="Q1" sheetId="1" r:id="rId1"/>
    <sheet name="Q2" sheetId="2" r:id="rId2"/>
    <sheet name="Q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2" l="1"/>
  <c r="O47" i="1"/>
  <c r="I43" i="1"/>
  <c r="O49" i="3" l="1"/>
  <c r="O47" i="3"/>
  <c r="O44" i="3"/>
  <c r="I43" i="3" s="1"/>
  <c r="G30" i="3"/>
  <c r="G29" i="3"/>
  <c r="G28" i="3"/>
  <c r="G27" i="3"/>
  <c r="G25" i="3"/>
  <c r="E33" i="3"/>
  <c r="E34" i="3" s="1"/>
  <c r="E31" i="3"/>
  <c r="E28" i="3"/>
  <c r="E26" i="3"/>
  <c r="E25" i="3"/>
  <c r="D25" i="3"/>
  <c r="F25" i="3"/>
  <c r="D26" i="3"/>
  <c r="F26" i="3"/>
  <c r="G26" i="3"/>
  <c r="D27" i="3"/>
  <c r="E27" i="3"/>
  <c r="F27" i="3"/>
  <c r="D28" i="3"/>
  <c r="F28" i="3"/>
  <c r="D29" i="3"/>
  <c r="E29" i="3"/>
  <c r="F29" i="3"/>
  <c r="D30" i="3"/>
  <c r="E30" i="3"/>
  <c r="F30" i="3"/>
  <c r="D31" i="3"/>
  <c r="F31" i="3"/>
  <c r="G31" i="3"/>
  <c r="D32" i="3"/>
  <c r="E32" i="3"/>
  <c r="F32" i="3"/>
  <c r="G32" i="3"/>
  <c r="D33" i="3"/>
  <c r="F33" i="3"/>
  <c r="G33" i="3"/>
  <c r="G24" i="3"/>
  <c r="F24" i="3"/>
  <c r="F34" i="3" s="1"/>
  <c r="E24" i="3"/>
  <c r="D24" i="3"/>
  <c r="D34" i="3" s="1"/>
  <c r="E29" i="2"/>
  <c r="E25" i="2"/>
  <c r="G25" i="2"/>
  <c r="G22" i="2"/>
  <c r="G32" i="2" s="1"/>
  <c r="K30" i="2"/>
  <c r="K23" i="2"/>
  <c r="K24" i="2"/>
  <c r="K32" i="2" s="1"/>
  <c r="K25" i="2"/>
  <c r="K26" i="2"/>
  <c r="K27" i="2"/>
  <c r="K28" i="2"/>
  <c r="K29" i="2"/>
  <c r="K31" i="2"/>
  <c r="K22" i="2"/>
  <c r="I23" i="2"/>
  <c r="I24" i="2"/>
  <c r="I25" i="2"/>
  <c r="I26" i="2"/>
  <c r="I27" i="2"/>
  <c r="I28" i="2"/>
  <c r="I29" i="2"/>
  <c r="I30" i="2"/>
  <c r="I31" i="2"/>
  <c r="I22" i="2"/>
  <c r="I32" i="2" s="1"/>
  <c r="G23" i="2"/>
  <c r="G24" i="2"/>
  <c r="G27" i="2"/>
  <c r="G28" i="2"/>
  <c r="G29" i="2"/>
  <c r="G30" i="2"/>
  <c r="G31" i="2"/>
  <c r="E23" i="2"/>
  <c r="E32" i="2" s="1"/>
  <c r="E24" i="2"/>
  <c r="E26" i="2"/>
  <c r="E27" i="2"/>
  <c r="E28" i="2"/>
  <c r="E30" i="2"/>
  <c r="E31" i="2"/>
  <c r="E22" i="2"/>
  <c r="J23" i="2"/>
  <c r="J24" i="2"/>
  <c r="J25" i="2"/>
  <c r="J26" i="2"/>
  <c r="J27" i="2"/>
  <c r="J28" i="2"/>
  <c r="J29" i="2"/>
  <c r="J30" i="2"/>
  <c r="J31" i="2"/>
  <c r="J22" i="2"/>
  <c r="J32" i="2" s="1"/>
  <c r="H23" i="2"/>
  <c r="H24" i="2"/>
  <c r="H25" i="2"/>
  <c r="H26" i="2"/>
  <c r="H27" i="2"/>
  <c r="H28" i="2"/>
  <c r="H29" i="2"/>
  <c r="H30" i="2"/>
  <c r="H31" i="2"/>
  <c r="H22" i="2"/>
  <c r="H32" i="2" s="1"/>
  <c r="F23" i="2"/>
  <c r="F24" i="2"/>
  <c r="F25" i="2"/>
  <c r="F26" i="2"/>
  <c r="F27" i="2"/>
  <c r="F28" i="2"/>
  <c r="F32" i="2" s="1"/>
  <c r="F29" i="2"/>
  <c r="F30" i="2"/>
  <c r="F31" i="2"/>
  <c r="F22" i="2"/>
  <c r="D23" i="2"/>
  <c r="D24" i="2"/>
  <c r="D25" i="2"/>
  <c r="D26" i="2"/>
  <c r="D27" i="2"/>
  <c r="D28" i="2"/>
  <c r="D29" i="2"/>
  <c r="D30" i="2"/>
  <c r="D31" i="2"/>
  <c r="D22" i="2"/>
  <c r="D32" i="2" s="1"/>
  <c r="O48" i="2" s="1"/>
  <c r="G34" i="3" l="1"/>
  <c r="O41" i="3" s="1"/>
  <c r="I40" i="3" s="1"/>
  <c r="L37" i="3" s="1"/>
  <c r="O46" i="2"/>
  <c r="O43" i="2"/>
  <c r="I42" i="2" s="1"/>
  <c r="O40" i="2"/>
  <c r="I39" i="2" s="1"/>
  <c r="L36" i="2" s="1"/>
  <c r="J34" i="1"/>
  <c r="J33" i="1"/>
  <c r="J29" i="1"/>
  <c r="J26" i="1"/>
  <c r="J27" i="1"/>
  <c r="J28" i="1"/>
  <c r="J30" i="1"/>
  <c r="J31" i="1"/>
  <c r="J32" i="1"/>
  <c r="J25" i="1"/>
  <c r="I26" i="1"/>
  <c r="I27" i="1"/>
  <c r="I28" i="1"/>
  <c r="I29" i="1"/>
  <c r="I30" i="1"/>
  <c r="I31" i="1"/>
  <c r="I32" i="1"/>
  <c r="I33" i="1"/>
  <c r="I34" i="1"/>
  <c r="I25" i="1"/>
  <c r="H26" i="1"/>
  <c r="H27" i="1"/>
  <c r="H28" i="1"/>
  <c r="H29" i="1"/>
  <c r="H30" i="1"/>
  <c r="H31" i="1"/>
  <c r="H32" i="1"/>
  <c r="H33" i="1"/>
  <c r="H34" i="1"/>
  <c r="H25" i="1"/>
  <c r="G25" i="1"/>
  <c r="G26" i="1"/>
  <c r="G27" i="1"/>
  <c r="G28" i="1"/>
  <c r="G29" i="1"/>
  <c r="G30" i="1"/>
  <c r="G31" i="1"/>
  <c r="G32" i="1"/>
  <c r="G33" i="1"/>
  <c r="G34" i="1"/>
  <c r="F33" i="1"/>
  <c r="F29" i="1"/>
  <c r="F27" i="1"/>
  <c r="F26" i="1"/>
  <c r="F28" i="1"/>
  <c r="F30" i="1"/>
  <c r="F31" i="1"/>
  <c r="F32" i="1"/>
  <c r="F34" i="1"/>
  <c r="F25" i="1"/>
  <c r="E26" i="1"/>
  <c r="E27" i="1"/>
  <c r="E28" i="1"/>
  <c r="E29" i="1"/>
  <c r="E30" i="1"/>
  <c r="E31" i="1"/>
  <c r="E32" i="1"/>
  <c r="E33" i="1"/>
  <c r="E34" i="1"/>
  <c r="E25" i="1"/>
  <c r="G35" i="1" l="1"/>
  <c r="I53" i="1" s="1"/>
  <c r="H35" i="1"/>
  <c r="I35" i="1"/>
  <c r="I55" i="1" s="1"/>
  <c r="F35" i="1"/>
  <c r="J35" i="1"/>
  <c r="E35" i="1"/>
  <c r="I51" i="1" l="1"/>
  <c r="I47" i="1" s="1"/>
  <c r="K39" i="1" l="1"/>
</calcChain>
</file>

<file path=xl/sharedStrings.xml><?xml version="1.0" encoding="utf-8"?>
<sst xmlns="http://schemas.openxmlformats.org/spreadsheetml/2006/main" count="185" uniqueCount="72">
  <si>
    <t xml:space="preserve">Consider an experiment in which three operators were asked to make two measurements on each of 10 different parts. The results are shown below:  Find Total GAGE Variation. </t>
  </si>
  <si>
    <t>PARTS</t>
  </si>
  <si>
    <t>(a)</t>
  </si>
  <si>
    <t>A-1</t>
  </si>
  <si>
    <t>A-2</t>
  </si>
  <si>
    <t>B-1</t>
  </si>
  <si>
    <t>B-2</t>
  </si>
  <si>
    <t>C-1</t>
  </si>
  <si>
    <t>C-2</t>
  </si>
  <si>
    <t>(b)</t>
  </si>
  <si>
    <t>Estimate gage repeatability and reproducibility.</t>
  </si>
  <si>
    <t>OPERATOR 1 MEASUREMENTS</t>
  </si>
  <si>
    <t>OPERATOR 2 MEASUREMENTS</t>
  </si>
  <si>
    <t>OPERATOR 3 MEASUREMENTS</t>
  </si>
  <si>
    <t xml:space="preserve">Construct a repeatability range chart for the data. Are there any out of control points indicating operator difficulty? </t>
  </si>
  <si>
    <t>Obtain and estimate for gage percent repeatability and reproducibility. What is assessmentof the measurement system?</t>
  </si>
  <si>
    <t>(c)</t>
  </si>
  <si>
    <t>PRACTICAL 1</t>
  </si>
  <si>
    <t>A</t>
  </si>
  <si>
    <t>B</t>
  </si>
  <si>
    <t>C</t>
  </si>
  <si>
    <t>where as interaction is not significant.</t>
  </si>
  <si>
    <t>which is much ess than the part to part variation which is 93.61%</t>
  </si>
  <si>
    <t>RaterA</t>
  </si>
  <si>
    <t>RaterB</t>
  </si>
  <si>
    <t>RaterC</t>
  </si>
  <si>
    <t>RaterD</t>
  </si>
  <si>
    <t>Parts</t>
  </si>
  <si>
    <t>M-1</t>
  </si>
  <si>
    <t>M-2</t>
  </si>
  <si>
    <t>(c )</t>
  </si>
  <si>
    <t>TOTAL GAGE VARIATION :</t>
  </si>
  <si>
    <t>OPERATOR 1</t>
  </si>
  <si>
    <t>OPERATOR 2</t>
  </si>
  <si>
    <t>PART</t>
  </si>
  <si>
    <t>TEST 1</t>
  </si>
  <si>
    <t>TEST 2</t>
  </si>
  <si>
    <t>K=</t>
  </si>
  <si>
    <t>d2=</t>
  </si>
  <si>
    <t>AVERAGE =</t>
  </si>
  <si>
    <t>x bar (A)</t>
  </si>
  <si>
    <t>R bar (A)</t>
  </si>
  <si>
    <t>x bar (B)</t>
  </si>
  <si>
    <t>R bar (B)</t>
  </si>
  <si>
    <t>x bar (C)</t>
  </si>
  <si>
    <t>R bar (C)</t>
  </si>
  <si>
    <t>From the gage R&amp;R output, we can see that the total variation explained is 6.56%</t>
  </si>
  <si>
    <t xml:space="preserve">Hence it is concluded that much of the variation is due to parts to parts. </t>
  </si>
  <si>
    <t>Since the total variation is less than 10%, the measurement system is acceptable and excellent.</t>
  </si>
  <si>
    <t>CONCLUSION :</t>
  </si>
  <si>
    <t>Question 1 :</t>
  </si>
  <si>
    <t>Solution :</t>
  </si>
  <si>
    <t>Here, k and d2 are table values.</t>
  </si>
  <si>
    <t>Question 2 :</t>
  </si>
  <si>
    <t>X bar (A)</t>
  </si>
  <si>
    <t>X bar (B)</t>
  </si>
  <si>
    <t>X bar (C)</t>
  </si>
  <si>
    <t>X bar (D)</t>
  </si>
  <si>
    <t>R bar (D)</t>
  </si>
  <si>
    <t>Average =</t>
  </si>
  <si>
    <t>From the gage R&amp;R (Anova), It is inferred that the parts and operators are highly significant.</t>
  </si>
  <si>
    <t>which is much ess than the part to part variation which is 97.96%</t>
  </si>
  <si>
    <t>From the gage R&amp;R output, we can see that the total variation explained is 2.04%</t>
  </si>
  <si>
    <t>From the gage R&amp;R (Anova), It is inferred that the parts and raters are highly significant.</t>
  </si>
  <si>
    <t xml:space="preserve">An article in Quality Engineering 1997, presents data for gage capability studies based on a measuring device known as an optical comparator, teo operators took two measurements (in mm) of a particular dimension on 10 gear parts. </t>
  </si>
  <si>
    <t>The results are shown below:</t>
  </si>
  <si>
    <t>Question 3 :</t>
  </si>
  <si>
    <t>From the gage R&amp;R output, we can see that the total variation explained is 9.97%</t>
  </si>
  <si>
    <t>which is much less than the part to part variation which is 90.03%</t>
  </si>
  <si>
    <t>From the gage R&amp;R (Anova), It is inferred that the parts are significant and parts*tests are highly significant.</t>
  </si>
  <si>
    <t>VISHVA PATEL</t>
  </si>
  <si>
    <t>PRN:2017033800132746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</si>
</sst>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1"/>
      <name val="Rockwell"/>
      <family val="1"/>
    </font>
    <font>
      <b/>
      <sz val="14"/>
      <color theme="1"/>
      <name val="Calibri"/>
      <family val="2"/>
      <scheme val="minor"/>
    </font>
    <font>
      <b/>
      <u/>
      <sz val="14"/>
      <color rgb="FF002060"/>
      <name val="Calibri"/>
      <family val="2"/>
      <scheme val="minor"/>
    </font>
    <font>
      <b/>
      <sz val="14"/>
      <color indexed="8"/>
      <name val="Calibri"/>
      <family val="2"/>
    </font>
    <font>
      <u val="double"/>
      <sz val="2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1" fillId="0" borderId="0" xfId="1"/>
    <xf numFmtId="0" fontId="2" fillId="0" borderId="0" xfId="1" applyNumberFormat="1" applyFont="1" applyFill="1" applyBorder="1" applyAlignment="1" applyProtection="1"/>
    <xf numFmtId="0" fontId="1" fillId="0" borderId="0" xfId="1" applyFont="1"/>
    <xf numFmtId="0" fontId="2" fillId="0" borderId="5" xfId="1" applyNumberFormat="1" applyFont="1" applyFill="1" applyBorder="1" applyAlignment="1" applyProtection="1"/>
    <xf numFmtId="0" fontId="2" fillId="0" borderId="6" xfId="1" applyNumberFormat="1" applyFont="1" applyFill="1" applyBorder="1" applyAlignment="1" applyProtection="1"/>
    <xf numFmtId="0" fontId="2" fillId="0" borderId="7" xfId="1" applyNumberFormat="1" applyFont="1" applyFill="1" applyBorder="1" applyAlignment="1" applyProtection="1"/>
    <xf numFmtId="0" fontId="2" fillId="0" borderId="1" xfId="1" applyNumberFormat="1" applyFont="1" applyFill="1" applyBorder="1" applyAlignment="1" applyProtection="1">
      <alignment horizontal="center"/>
    </xf>
    <xf numFmtId="0" fontId="2" fillId="0" borderId="9" xfId="1" applyNumberFormat="1" applyFont="1" applyFill="1" applyBorder="1" applyAlignment="1" applyProtection="1">
      <alignment horizontal="center"/>
    </xf>
    <xf numFmtId="0" fontId="2" fillId="0" borderId="6" xfId="1" applyNumberFormat="1" applyFont="1" applyFill="1" applyBorder="1" applyAlignment="1" applyProtection="1">
      <alignment horizontal="center"/>
    </xf>
    <xf numFmtId="0" fontId="2" fillId="0" borderId="7" xfId="1" applyNumberFormat="1" applyFont="1" applyFill="1" applyBorder="1" applyAlignment="1" applyProtection="1">
      <alignment horizontal="center"/>
    </xf>
    <xf numFmtId="0" fontId="2" fillId="0" borderId="10" xfId="1" applyNumberFormat="1" applyFont="1" applyFill="1" applyBorder="1" applyAlignment="1" applyProtection="1">
      <alignment horizontal="center"/>
    </xf>
    <xf numFmtId="0" fontId="2" fillId="0" borderId="11" xfId="1" applyNumberFormat="1" applyFont="1" applyFill="1" applyBorder="1" applyAlignment="1" applyProtection="1">
      <alignment horizontal="center"/>
    </xf>
    <xf numFmtId="0" fontId="2" fillId="0" borderId="12" xfId="1" applyNumberFormat="1" applyFont="1" applyFill="1" applyBorder="1" applyAlignment="1" applyProtection="1">
      <alignment horizontal="center"/>
    </xf>
    <xf numFmtId="0" fontId="2" fillId="0" borderId="13" xfId="1" applyNumberFormat="1" applyFont="1" applyFill="1" applyBorder="1" applyAlignment="1" applyProtection="1">
      <alignment horizontal="center"/>
    </xf>
    <xf numFmtId="0" fontId="3" fillId="0" borderId="0" xfId="1" applyNumberFormat="1" applyFont="1" applyFill="1" applyBorder="1" applyAlignment="1" applyProtection="1">
      <alignment horizontal="right"/>
    </xf>
    <xf numFmtId="0" fontId="4" fillId="0" borderId="0" xfId="1" applyFont="1" applyAlignment="1">
      <alignment horizontal="right"/>
    </xf>
    <xf numFmtId="0" fontId="5" fillId="0" borderId="0" xfId="1" applyNumberFormat="1" applyFont="1" applyFill="1" applyBorder="1" applyAlignment="1" applyProtection="1"/>
    <xf numFmtId="0" fontId="1" fillId="0" borderId="0" xfId="1" applyFill="1"/>
    <xf numFmtId="0" fontId="0" fillId="0" borderId="0" xfId="1" applyFont="1"/>
    <xf numFmtId="0" fontId="0" fillId="0" borderId="0" xfId="1" applyFont="1" applyFill="1"/>
    <xf numFmtId="0" fontId="1" fillId="0" borderId="0" xfId="1"/>
    <xf numFmtId="0" fontId="2" fillId="0" borderId="0" xfId="1" applyNumberFormat="1" applyFont="1" applyFill="1" applyBorder="1" applyAlignment="1" applyProtection="1"/>
    <xf numFmtId="0" fontId="3" fillId="0" borderId="17" xfId="1" applyNumberFormat="1" applyFont="1" applyFill="1" applyBorder="1" applyAlignment="1" applyProtection="1"/>
    <xf numFmtId="0" fontId="1" fillId="0" borderId="0" xfId="1" applyFont="1"/>
    <xf numFmtId="0" fontId="3" fillId="0" borderId="19" xfId="1" applyNumberFormat="1" applyFont="1" applyFill="1" applyBorder="1" applyAlignment="1" applyProtection="1"/>
    <xf numFmtId="0" fontId="2" fillId="0" borderId="20" xfId="1" applyNumberFormat="1" applyFont="1" applyFill="1" applyBorder="1" applyAlignment="1" applyProtection="1"/>
    <xf numFmtId="0" fontId="2" fillId="0" borderId="21" xfId="1" applyNumberFormat="1" applyFont="1" applyFill="1" applyBorder="1" applyAlignment="1" applyProtection="1"/>
    <xf numFmtId="0" fontId="2" fillId="0" borderId="22" xfId="1" applyNumberFormat="1" applyFont="1" applyFill="1" applyBorder="1" applyAlignment="1" applyProtection="1"/>
    <xf numFmtId="0" fontId="2" fillId="0" borderId="23" xfId="1" applyNumberFormat="1" applyFont="1" applyFill="1" applyBorder="1" applyAlignment="1" applyProtection="1"/>
    <xf numFmtId="0" fontId="2" fillId="0" borderId="17" xfId="1" applyNumberFormat="1" applyFont="1" applyFill="1" applyBorder="1" applyAlignment="1" applyProtection="1"/>
    <xf numFmtId="0" fontId="2" fillId="0" borderId="19" xfId="1" applyNumberFormat="1" applyFont="1" applyFill="1" applyBorder="1" applyAlignment="1" applyProtection="1"/>
    <xf numFmtId="0" fontId="3" fillId="0" borderId="5" xfId="1" applyNumberFormat="1" applyFont="1" applyFill="1" applyBorder="1" applyAlignment="1" applyProtection="1"/>
    <xf numFmtId="0" fontId="3" fillId="0" borderId="7" xfId="1" applyNumberFormat="1" applyFont="1" applyFill="1" applyBorder="1" applyAlignment="1" applyProtection="1"/>
    <xf numFmtId="0" fontId="2" fillId="0" borderId="9" xfId="1" applyNumberFormat="1" applyFont="1" applyFill="1" applyBorder="1" applyAlignment="1" applyProtection="1"/>
    <xf numFmtId="0" fontId="0" fillId="0" borderId="0" xfId="0" applyAlignment="1">
      <alignment horizontal="right"/>
    </xf>
    <xf numFmtId="0" fontId="0" fillId="0" borderId="0" xfId="0"/>
    <xf numFmtId="0" fontId="5" fillId="0" borderId="0" xfId="0" applyNumberFormat="1" applyFont="1" applyFill="1" applyBorder="1" applyAlignment="1" applyProtection="1"/>
    <xf numFmtId="0" fontId="0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  <xf numFmtId="0" fontId="0" fillId="0" borderId="35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12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left"/>
    </xf>
    <xf numFmtId="0" fontId="3" fillId="0" borderId="5" xfId="1" applyNumberFormat="1" applyFont="1" applyFill="1" applyBorder="1" applyAlignment="1" applyProtection="1">
      <alignment horizontal="center"/>
    </xf>
    <xf numFmtId="0" fontId="3" fillId="0" borderId="50" xfId="1" applyNumberFormat="1" applyFont="1" applyFill="1" applyBorder="1" applyAlignment="1" applyProtection="1">
      <alignment horizontal="center"/>
    </xf>
    <xf numFmtId="0" fontId="7" fillId="0" borderId="38" xfId="1" applyNumberFormat="1" applyFont="1" applyFill="1" applyBorder="1" applyAlignment="1" applyProtection="1">
      <alignment horizontal="center"/>
    </xf>
    <xf numFmtId="0" fontId="7" fillId="0" borderId="39" xfId="1" applyNumberFormat="1" applyFont="1" applyFill="1" applyBorder="1" applyAlignment="1" applyProtection="1">
      <alignment horizontal="center"/>
    </xf>
    <xf numFmtId="0" fontId="7" fillId="0" borderId="48" xfId="1" applyNumberFormat="1" applyFont="1" applyFill="1" applyBorder="1" applyAlignment="1" applyProtection="1">
      <alignment horizontal="center"/>
    </xf>
    <xf numFmtId="0" fontId="7" fillId="0" borderId="52" xfId="1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14" fillId="0" borderId="0" xfId="0" applyNumberFormat="1" applyFont="1" applyFill="1" applyBorder="1" applyAlignment="1" applyProtection="1">
      <alignment horizontal="right"/>
    </xf>
    <xf numFmtId="0" fontId="5" fillId="0" borderId="25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26" xfId="0" applyNumberFormat="1" applyFont="1" applyFill="1" applyBorder="1" applyAlignment="1" applyProtection="1">
      <alignment horizontal="center"/>
    </xf>
    <xf numFmtId="0" fontId="5" fillId="0" borderId="16" xfId="0" applyNumberFormat="1" applyFont="1" applyFill="1" applyBorder="1" applyAlignment="1" applyProtection="1">
      <alignment horizontal="center"/>
    </xf>
    <xf numFmtId="0" fontId="5" fillId="0" borderId="27" xfId="0" applyNumberFormat="1" applyFont="1" applyFill="1" applyBorder="1" applyAlignment="1" applyProtection="1">
      <alignment horizontal="center"/>
    </xf>
    <xf numFmtId="0" fontId="5" fillId="0" borderId="10" xfId="0" applyNumberFormat="1" applyFont="1" applyFill="1" applyBorder="1" applyAlignment="1" applyProtection="1">
      <alignment horizontal="center"/>
    </xf>
    <xf numFmtId="0" fontId="7" fillId="0" borderId="32" xfId="0" applyNumberFormat="1" applyFont="1" applyFill="1" applyBorder="1" applyAlignment="1" applyProtection="1">
      <alignment horizontal="center"/>
    </xf>
    <xf numFmtId="0" fontId="7" fillId="0" borderId="34" xfId="0" applyNumberFormat="1" applyFont="1" applyFill="1" applyBorder="1" applyAlignment="1" applyProtection="1">
      <alignment horizontal="center"/>
    </xf>
    <xf numFmtId="0" fontId="5" fillId="0" borderId="33" xfId="0" applyNumberFormat="1" applyFont="1" applyFill="1" applyBorder="1" applyAlignment="1" applyProtection="1">
      <alignment horizontal="center"/>
    </xf>
    <xf numFmtId="0" fontId="5" fillId="0" borderId="34" xfId="0" applyNumberFormat="1" applyFont="1" applyFill="1" applyBorder="1" applyAlignment="1" applyProtection="1">
      <alignment horizontal="center"/>
    </xf>
    <xf numFmtId="0" fontId="7" fillId="0" borderId="29" xfId="0" applyNumberFormat="1" applyFont="1" applyFill="1" applyBorder="1" applyAlignment="1" applyProtection="1">
      <alignment horizontal="center"/>
    </xf>
    <xf numFmtId="0" fontId="7" fillId="0" borderId="30" xfId="0" applyNumberFormat="1" applyFont="1" applyFill="1" applyBorder="1" applyAlignment="1" applyProtection="1">
      <alignment horizontal="center"/>
    </xf>
    <xf numFmtId="0" fontId="7" fillId="0" borderId="31" xfId="0" applyNumberFormat="1" applyFont="1" applyFill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7" fillId="0" borderId="0" xfId="0" applyNumberFormat="1" applyFont="1" applyFill="1" applyBorder="1" applyAlignment="1" applyProtection="1">
      <alignment horizontal="right"/>
    </xf>
    <xf numFmtId="0" fontId="11" fillId="0" borderId="0" xfId="0" applyFont="1" applyAlignment="1"/>
    <xf numFmtId="14" fontId="11" fillId="0" borderId="0" xfId="0" applyNumberFormat="1" applyFont="1" applyAlignment="1"/>
    <xf numFmtId="0" fontId="2" fillId="0" borderId="14" xfId="1" applyNumberFormat="1" applyFont="1" applyFill="1" applyBorder="1" applyAlignment="1" applyProtection="1">
      <alignment horizontal="center" wrapText="1"/>
    </xf>
    <xf numFmtId="0" fontId="2" fillId="0" borderId="24" xfId="1" applyNumberFormat="1" applyFont="1" applyFill="1" applyBorder="1" applyAlignment="1" applyProtection="1">
      <alignment horizontal="center" wrapText="1"/>
    </xf>
    <xf numFmtId="0" fontId="2" fillId="0" borderId="16" xfId="1" applyNumberFormat="1" applyFont="1" applyFill="1" applyBorder="1" applyAlignment="1" applyProtection="1">
      <alignment horizontal="center" wrapText="1"/>
    </xf>
    <xf numFmtId="0" fontId="2" fillId="0" borderId="10" xfId="1" applyNumberFormat="1" applyFont="1" applyFill="1" applyBorder="1" applyAlignment="1" applyProtection="1">
      <alignment horizontal="center" wrapText="1"/>
    </xf>
    <xf numFmtId="0" fontId="2" fillId="0" borderId="2" xfId="1" applyNumberFormat="1" applyFont="1" applyFill="1" applyBorder="1" applyAlignment="1" applyProtection="1">
      <alignment horizontal="center"/>
    </xf>
    <xf numFmtId="0" fontId="2" fillId="0" borderId="3" xfId="1" applyNumberFormat="1" applyFont="1" applyFill="1" applyBorder="1" applyAlignment="1" applyProtection="1">
      <alignment horizontal="center"/>
    </xf>
    <xf numFmtId="0" fontId="2" fillId="0" borderId="4" xfId="1" applyNumberFormat="1" applyFont="1" applyFill="1" applyBorder="1" applyAlignment="1" applyProtection="1">
      <alignment horizontal="center"/>
    </xf>
    <xf numFmtId="0" fontId="2" fillId="0" borderId="15" xfId="1" applyNumberFormat="1" applyFont="1" applyFill="1" applyBorder="1" applyAlignment="1" applyProtection="1">
      <alignment horizontal="center" wrapText="1"/>
    </xf>
    <xf numFmtId="0" fontId="2" fillId="0" borderId="8" xfId="1" applyNumberFormat="1" applyFont="1" applyFill="1" applyBorder="1" applyAlignment="1" applyProtection="1">
      <alignment horizontal="center" wrapText="1"/>
    </xf>
    <xf numFmtId="0" fontId="3" fillId="0" borderId="2" xfId="1" applyNumberFormat="1" applyFont="1" applyFill="1" applyBorder="1" applyAlignment="1" applyProtection="1">
      <alignment horizontal="center"/>
    </xf>
    <xf numFmtId="0" fontId="3" fillId="0" borderId="18" xfId="1" applyNumberFormat="1" applyFont="1" applyFill="1" applyBorder="1" applyAlignment="1" applyProtection="1">
      <alignment horizontal="center"/>
    </xf>
    <xf numFmtId="0" fontId="3" fillId="0" borderId="51" xfId="1" applyNumberFormat="1" applyFont="1" applyFill="1" applyBorder="1" applyAlignment="1" applyProtection="1">
      <alignment horizontal="center"/>
    </xf>
    <xf numFmtId="0" fontId="7" fillId="0" borderId="14" xfId="0" applyNumberFormat="1" applyFont="1" applyFill="1" applyBorder="1" applyAlignment="1" applyProtection="1">
      <alignment horizontal="center"/>
    </xf>
    <xf numFmtId="0" fontId="7" fillId="0" borderId="24" xfId="0" applyNumberFormat="1" applyFont="1" applyFill="1" applyBorder="1" applyAlignment="1" applyProtection="1">
      <alignment horizontal="center"/>
    </xf>
    <xf numFmtId="0" fontId="7" fillId="0" borderId="28" xfId="0" applyNumberFormat="1" applyFont="1" applyFill="1" applyBorder="1" applyAlignment="1" applyProtection="1">
      <alignment horizontal="center"/>
    </xf>
    <xf numFmtId="0" fontId="7" fillId="0" borderId="36" xfId="0" applyNumberFormat="1" applyFont="1" applyFill="1" applyBorder="1" applyAlignment="1" applyProtection="1">
      <alignment horizontal="center"/>
    </xf>
    <xf numFmtId="0" fontId="7" fillId="0" borderId="57" xfId="0" applyNumberFormat="1" applyFont="1" applyFill="1" applyBorder="1" applyAlignment="1" applyProtection="1">
      <alignment horizontal="center"/>
    </xf>
    <xf numFmtId="0" fontId="7" fillId="0" borderId="15" xfId="0" applyNumberFormat="1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0" fillId="0" borderId="58" xfId="0" applyBorder="1" applyAlignment="1">
      <alignment horizontal="center"/>
    </xf>
    <xf numFmtId="0" fontId="8" fillId="0" borderId="0" xfId="0" applyFont="1" applyAlignment="1"/>
    <xf numFmtId="0" fontId="0" fillId="0" borderId="0" xfId="0" applyFont="1" applyAlignment="1"/>
    <xf numFmtId="0" fontId="0" fillId="0" borderId="58" xfId="0" applyFont="1" applyBorder="1" applyAlignment="1">
      <alignment horizontal="center"/>
    </xf>
    <xf numFmtId="0" fontId="0" fillId="0" borderId="58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87630</xdr:colOff>
      <xdr:row>37</xdr:row>
      <xdr:rowOff>108585</xdr:rowOff>
    </xdr:from>
    <xdr:ext cx="4442460" cy="3905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63CC80B-4FA9-45AC-A430-EBF963A3DAD9}"/>
                </a:ext>
              </a:extLst>
            </xdr:cNvPr>
            <xdr:cNvSpPr txBox="1"/>
          </xdr:nvSpPr>
          <xdr:spPr>
            <a:xfrm>
              <a:off x="2059305" y="731901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𝒈𝒂𝒈𝒆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=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𝒓𝒆𝒑𝒆𝒂𝒕𝒂𝒃𝒊𝒍𝒊𝒕𝒚</m:t>
                      </m:r>
                    </m:sub>
                  </m:sSub>
                  <m:r>
                    <a:rPr lang="en-US" sz="1800" b="1" i="1">
                      <a:latin typeface="Cambria Math" panose="02040503050406030204" pitchFamily="18" charset="0"/>
                    </a:rPr>
                    <m:t>+ </m:t>
                  </m:r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𝒓𝒆𝒑𝒓𝒐𝒅𝒖𝒄𝒊𝒃𝒊𝒍𝒊𝒕𝒚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 = </a:t>
              </a: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63CC80B-4FA9-45AC-A430-EBF963A3DAD9}"/>
                </a:ext>
              </a:extLst>
            </xdr:cNvPr>
            <xdr:cNvSpPr txBox="1"/>
          </xdr:nvSpPr>
          <xdr:spPr>
            <a:xfrm>
              <a:off x="2059305" y="731901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800" b="1" i="0">
                  <a:latin typeface="Cambria Math" panose="02040503050406030204" pitchFamily="18" charset="0"/>
                </a:rPr>
                <a:t>〖</a:t>
              </a:r>
              <a:r>
                <a:rPr lang="el-GR" sz="1800" b="1" i="0">
                  <a:latin typeface="Cambria Math" panose="02040503050406030204" pitchFamily="18" charset="0"/>
                </a:rPr>
                <a:t>𝝈</a:t>
              </a:r>
              <a:r>
                <a:rPr lang="en-US" sz="1800" b="1" i="0">
                  <a:latin typeface="Cambria Math" panose="02040503050406030204" pitchFamily="18" charset="0"/>
                </a:rPr>
                <a:t> ̂^𝟐〗_𝒈𝒂𝒈𝒆</a:t>
              </a:r>
              <a:r>
                <a:rPr lang="en-US" sz="1800" b="1">
                  <a:latin typeface="+mn-lt"/>
                </a:rPr>
                <a:t> = </a:t>
              </a:r>
              <a:r>
                <a:rPr lang="en-US" sz="1800" b="1" i="0">
                  <a:latin typeface="Cambria Math" panose="02040503050406030204" pitchFamily="18" charset="0"/>
                </a:rPr>
                <a:t>〖</a:t>
              </a:r>
              <a:r>
                <a:rPr lang="el-GR" sz="1800" b="1" i="0">
                  <a:latin typeface="Cambria Math" panose="02040503050406030204" pitchFamily="18" charset="0"/>
                </a:rPr>
                <a:t>𝝈</a:t>
              </a:r>
              <a:r>
                <a:rPr lang="en-US" sz="1800" b="1" i="0">
                  <a:latin typeface="Cambria Math" panose="02040503050406030204" pitchFamily="18" charset="0"/>
                </a:rPr>
                <a:t> ̂^𝟐〗_𝒓𝒆𝒑𝒆𝒂𝒕𝒂𝒃𝒊𝒍𝒊𝒕𝒚+ 〖</a:t>
              </a:r>
              <a:r>
                <a:rPr lang="el-GR" sz="1800" b="1" i="0">
                  <a:latin typeface="Cambria Math" panose="02040503050406030204" pitchFamily="18" charset="0"/>
                </a:rPr>
                <a:t>𝝈</a:t>
              </a:r>
              <a:r>
                <a:rPr lang="en-US" sz="1800" b="1" i="0">
                  <a:latin typeface="Cambria Math" panose="02040503050406030204" pitchFamily="18" charset="0"/>
                </a:rPr>
                <a:t> ̂^𝟐〗_𝒓𝒆𝒑𝒓𝒐𝒅𝒖𝒄𝒊𝒃𝒊𝒍𝒊𝒕𝒚</a:t>
              </a:r>
              <a:r>
                <a:rPr lang="en-US" sz="1800" b="1">
                  <a:latin typeface="+mn-lt"/>
                </a:rPr>
                <a:t>  = </a:t>
              </a:r>
            </a:p>
          </xdr:txBody>
        </xdr:sp>
      </mc:Fallback>
    </mc:AlternateContent>
    <xdr:clientData/>
  </xdr:oneCellAnchor>
  <xdr:oneCellAnchor>
    <xdr:from>
      <xdr:col>4</xdr:col>
      <xdr:colOff>502920</xdr:colOff>
      <xdr:row>41</xdr:row>
      <xdr:rowOff>26670</xdr:rowOff>
    </xdr:from>
    <xdr:ext cx="1714500" cy="3440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D475544-9D69-4C3A-AD6C-17C52D0E07DC}"/>
                </a:ext>
              </a:extLst>
            </xdr:cNvPr>
            <xdr:cNvSpPr txBox="1"/>
          </xdr:nvSpPr>
          <xdr:spPr>
            <a:xfrm>
              <a:off x="3227070" y="800862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l-GR" sz="1400" b="0" i="1">
                              <a:latin typeface="Cambria Math" panose="02040503050406030204" pitchFamily="18" charset="0"/>
                            </a:rPr>
                            <m:t>𝜎</m:t>
                          </m:r>
                        </m:e>
                      </m:acc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𝑟𝑒𝑝𝑒𝑎𝑡𝑎𝑏𝑖𝑙𝑖𝑡𝑦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acc>
                        <m:accPr>
                          <m:chr m:val="̿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</m:acc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D475544-9D69-4C3A-AD6C-17C52D0E07DC}"/>
                </a:ext>
              </a:extLst>
            </xdr:cNvPr>
            <xdr:cNvSpPr txBox="1"/>
          </xdr:nvSpPr>
          <xdr:spPr>
            <a:xfrm>
              <a:off x="3227070" y="800862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400" b="0" i="0">
                  <a:latin typeface="Cambria Math" panose="02040503050406030204" pitchFamily="18" charset="0"/>
                </a:rPr>
                <a:t>𝜎</a:t>
              </a:r>
              <a:r>
                <a:rPr lang="en-US" sz="1400" b="0" i="0">
                  <a:latin typeface="Cambria Math" panose="02040503050406030204" pitchFamily="18" charset="0"/>
                </a:rPr>
                <a:t> ̂_𝑟𝑒𝑝𝑒𝑎𝑡𝑎𝑏𝑖𝑙𝑖𝑡𝑦=  𝑅 ̿/𝐾</a:t>
              </a:r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4</xdr:col>
      <xdr:colOff>459105</xdr:colOff>
      <xdr:row>45</xdr:row>
      <xdr:rowOff>66675</xdr:rowOff>
    </xdr:from>
    <xdr:ext cx="1600246" cy="4216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5AC9986-796F-439D-8B15-7A5EC9901368}"/>
                </a:ext>
              </a:extLst>
            </xdr:cNvPr>
            <xdr:cNvSpPr txBox="1"/>
          </xdr:nvSpPr>
          <xdr:spPr>
            <a:xfrm>
              <a:off x="3183255" y="8839200"/>
              <a:ext cx="1600246" cy="421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l-GR" sz="12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  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5AC9986-796F-439D-8B15-7A5EC9901368}"/>
                </a:ext>
              </a:extLst>
            </xdr:cNvPr>
            <xdr:cNvSpPr txBox="1"/>
          </xdr:nvSpPr>
          <xdr:spPr>
            <a:xfrm>
              <a:off x="3183255" y="8839200"/>
              <a:ext cx="1600246" cy="4216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l-GR" sz="1200" b="0" i="0">
                  <a:latin typeface="Cambria Math" panose="02040503050406030204" pitchFamily="18" charset="0"/>
                </a:rPr>
                <a:t>𝜎</a:t>
              </a:r>
              <a:r>
                <a:rPr lang="en-US" sz="1200" b="0" i="0">
                  <a:latin typeface="Cambria Math" panose="02040503050406030204" pitchFamily="18" charset="0"/>
                </a:rPr>
                <a:t> ̂_𝑟𝑒𝑝𝑟𝑜𝑑𝑢𝑐𝑖𝑏𝑖𝑙𝑖𝑡𝑦=  𝑅_(𝑥  ) ̅ /𝑑_2 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10</xdr:col>
      <xdr:colOff>310515</xdr:colOff>
      <xdr:row>45</xdr:row>
      <xdr:rowOff>108585</xdr:rowOff>
    </xdr:from>
    <xdr:ext cx="1866900" cy="37029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9909B94-8E46-4610-8169-4DD4CADE8898}"/>
                </a:ext>
              </a:extLst>
            </xdr:cNvPr>
            <xdr:cNvSpPr txBox="1"/>
          </xdr:nvSpPr>
          <xdr:spPr>
            <a:xfrm>
              <a:off x="6892290" y="8881110"/>
              <a:ext cx="1866900" cy="370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̿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</m:acc>
                    <m:r>
                      <a:rPr lang="en-US" sz="12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200" b="0" i="0">
                        <a:latin typeface="Cambria Math" panose="02040503050406030204" pitchFamily="18" charset="0"/>
                      </a:rPr>
                      <m:t> =</m:t>
                    </m:r>
                  </m:oMath>
                </m:oMathPara>
              </a14:m>
              <a:endParaRPr lang="en-US" sz="1200" b="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9909B94-8E46-4610-8169-4DD4CADE8898}"/>
                </a:ext>
              </a:extLst>
            </xdr:cNvPr>
            <xdr:cNvSpPr txBox="1"/>
          </xdr:nvSpPr>
          <xdr:spPr>
            <a:xfrm>
              <a:off x="6892290" y="8881110"/>
              <a:ext cx="1866900" cy="370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 ̿=  ((𝑅 ̅_𝐴+𝑅 ̅_𝐵+𝑅 ̅_𝐶 ))/3  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4</xdr:col>
      <xdr:colOff>453391</xdr:colOff>
      <xdr:row>49</xdr:row>
      <xdr:rowOff>118110</xdr:rowOff>
    </xdr:from>
    <xdr:ext cx="1844040" cy="12420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31A0237-9D61-43A1-81D4-2E726277C234}"/>
                </a:ext>
              </a:extLst>
            </xdr:cNvPr>
            <xdr:cNvSpPr txBox="1"/>
          </xdr:nvSpPr>
          <xdr:spPr>
            <a:xfrm>
              <a:off x="3177541" y="9652635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=</m:t>
                    </m:r>
                  </m:oMath>
                </m:oMathPara>
              </a14:m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𝑚𝑎𝑥</m:t>
                  </m:r>
                  <m:d>
                    <m:d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 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</m:acc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𝑚𝑖𝑛</m:t>
                  </m:r>
                  <m:d>
                    <m:d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 =</a:t>
              </a: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31A0237-9D61-43A1-81D4-2E726277C234}"/>
                </a:ext>
              </a:extLst>
            </xdr:cNvPr>
            <xdr:cNvSpPr txBox="1"/>
          </xdr:nvSpPr>
          <xdr:spPr>
            <a:xfrm>
              <a:off x="3177541" y="9652635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en-US" sz="1400" b="0" i="0">
                  <a:latin typeface="Cambria Math" panose="02040503050406030204" pitchFamily="18" charset="0"/>
                </a:rPr>
                <a:t>𝑅_𝑥 ̅ = 𝑥 ̿_𝑚𝑎𝑥 〖−𝑥 ̿〗_𝑚𝑖𝑛  =</a:t>
              </a:r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latin typeface="Cambria Math" panose="02040503050406030204" pitchFamily="18" charset="0"/>
                </a:rPr>
                <a:t>𝑥 ̿=𝑚𝑎𝑥(𝑥 ̿_𝐴,𝑥 ̿_𝐵,𝑥 ̿_𝐶 )</a:t>
              </a:r>
              <a:r>
                <a:rPr lang="en-US" sz="1400" b="0">
                  <a:latin typeface="+mn-lt"/>
                </a:rPr>
                <a:t> 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̿=𝑚𝑖𝑛(𝑥 ̿_𝐴,𝑥 ̿_𝐵,𝑥 ̿_𝐶 )</a:t>
              </a:r>
              <a:r>
                <a:rPr lang="en-US" sz="1400" b="0">
                  <a:latin typeface="+mn-lt"/>
                </a:rPr>
                <a:t> =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434340</xdr:colOff>
      <xdr:row>34</xdr:row>
      <xdr:rowOff>137160</xdr:rowOff>
    </xdr:from>
    <xdr:ext cx="4442460" cy="390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E7913A-C71A-475F-8C73-CAA228B9B95B}"/>
                </a:ext>
              </a:extLst>
            </xdr:cNvPr>
            <xdr:cNvSpPr txBox="1"/>
          </xdr:nvSpPr>
          <xdr:spPr>
            <a:xfrm>
              <a:off x="2263140" y="709422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𝒈𝒂𝒈𝒆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=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𝒓𝒆𝒑𝒆𝒂𝒕𝒂𝒃𝒊𝒍𝒊𝒕𝒚</m:t>
                      </m:r>
                    </m:sub>
                  </m:sSub>
                  <m:r>
                    <a:rPr lang="en-US" sz="1800" b="1" i="1">
                      <a:latin typeface="Cambria Math" panose="02040503050406030204" pitchFamily="18" charset="0"/>
                    </a:rPr>
                    <m:t>+ </m:t>
                  </m:r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𝒓𝒆𝒑𝒓𝒐𝒅𝒖𝒄𝒊𝒃𝒊𝒍𝒊𝒕𝒚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 =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E7913A-C71A-475F-8C73-CAA228B9B95B}"/>
                </a:ext>
              </a:extLst>
            </xdr:cNvPr>
            <xdr:cNvSpPr txBox="1"/>
          </xdr:nvSpPr>
          <xdr:spPr>
            <a:xfrm>
              <a:off x="2263140" y="709422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800" b="1" i="0">
                  <a:latin typeface="+mn-lt"/>
                </a:rPr>
                <a:t>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̂^𝟐〗_𝒈𝒂𝒈𝒆</a:t>
              </a:r>
              <a:r>
                <a:rPr lang="en-US" sz="1800" b="1">
                  <a:latin typeface="+mn-lt"/>
                </a:rPr>
                <a:t> = </a:t>
              </a:r>
              <a:r>
                <a:rPr lang="en-US" sz="1800" b="1" i="0">
                  <a:latin typeface="+mn-lt"/>
                </a:rPr>
                <a:t>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̂^𝟐〗_𝒓𝒆𝒑𝒆𝒂𝒕𝒂𝒃𝒊𝒍𝒊𝒕𝒚+ 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̂^𝟐〗_𝒓𝒆𝒑𝒓𝒐𝒅𝒖𝒄𝒊𝒃𝒊𝒍𝒊𝒕𝒚</a:t>
              </a:r>
              <a:r>
                <a:rPr lang="en-US" sz="1800" b="1">
                  <a:latin typeface="+mn-lt"/>
                </a:rPr>
                <a:t>  = </a:t>
              </a:r>
            </a:p>
          </xdr:txBody>
        </xdr:sp>
      </mc:Fallback>
    </mc:AlternateContent>
    <xdr:clientData/>
  </xdr:oneCellAnchor>
  <xdr:oneCellAnchor>
    <xdr:from>
      <xdr:col>5</xdr:col>
      <xdr:colOff>198120</xdr:colOff>
      <xdr:row>37</xdr:row>
      <xdr:rowOff>45720</xdr:rowOff>
    </xdr:from>
    <xdr:ext cx="1714500" cy="3440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899167-A2C4-4CA7-880E-26FC8FF086AC}"/>
                </a:ext>
              </a:extLst>
            </xdr:cNvPr>
            <xdr:cNvSpPr txBox="1"/>
          </xdr:nvSpPr>
          <xdr:spPr>
            <a:xfrm>
              <a:off x="2903220" y="910590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l-GR" sz="1400" b="0" i="1">
                              <a:latin typeface="Cambria Math" panose="02040503050406030204" pitchFamily="18" charset="0"/>
                            </a:rPr>
                            <m:t>𝜎</m:t>
                          </m:r>
                        </m:e>
                      </m:acc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𝑟𝑒𝑝𝑒𝑎𝑡𝑎𝑏𝑖𝑙𝑖𝑡𝑦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acc>
                        <m:accPr>
                          <m:chr m:val="̿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</m:acc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899167-A2C4-4CA7-880E-26FC8FF086AC}"/>
                </a:ext>
              </a:extLst>
            </xdr:cNvPr>
            <xdr:cNvSpPr txBox="1"/>
          </xdr:nvSpPr>
          <xdr:spPr>
            <a:xfrm>
              <a:off x="2903220" y="910590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400" b="0" i="0">
                  <a:latin typeface="Cambria Math" panose="02040503050406030204" pitchFamily="18" charset="0"/>
                </a:rPr>
                <a:t>𝜎</a:t>
              </a:r>
              <a:r>
                <a:rPr lang="en-US" sz="1400" b="0" i="0">
                  <a:latin typeface="Cambria Math" panose="02040503050406030204" pitchFamily="18" charset="0"/>
                </a:rPr>
                <a:t> ̂_𝑟𝑒𝑝𝑒𝑎𝑡𝑎𝑏𝑖𝑙𝑖𝑡𝑦=  𝑅 ̿/𝐾</a:t>
              </a:r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4</xdr:col>
      <xdr:colOff>525780</xdr:colOff>
      <xdr:row>40</xdr:row>
      <xdr:rowOff>45720</xdr:rowOff>
    </xdr:from>
    <xdr:ext cx="1896673" cy="438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5FACB21-0DFA-46A4-A781-8BB2FAF6C95C}"/>
                </a:ext>
              </a:extLst>
            </xdr:cNvPr>
            <xdr:cNvSpPr txBox="1"/>
          </xdr:nvSpPr>
          <xdr:spPr>
            <a:xfrm>
              <a:off x="2453640" y="9685020"/>
              <a:ext cx="1896673" cy="438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l-GR" sz="14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14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  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5FACB21-0DFA-46A4-A781-8BB2FAF6C95C}"/>
                </a:ext>
              </a:extLst>
            </xdr:cNvPr>
            <xdr:cNvSpPr txBox="1"/>
          </xdr:nvSpPr>
          <xdr:spPr>
            <a:xfrm>
              <a:off x="2453640" y="9685020"/>
              <a:ext cx="1896673" cy="438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0" i="0">
                  <a:latin typeface="Cambria Math" panose="02040503050406030204" pitchFamily="18" charset="0"/>
                </a:rPr>
                <a:t>𝜎</a:t>
              </a:r>
              <a:r>
                <a:rPr lang="en-US" sz="1400" b="0" i="0">
                  <a:latin typeface="Cambria Math" panose="02040503050406030204" pitchFamily="18" charset="0"/>
                </a:rPr>
                <a:t> ̂_𝑟𝑒𝑝𝑟𝑜𝑑𝑢𝑐𝑖𝑏𝑖𝑙𝑖𝑡𝑦=  𝑅_(𝑥  ) ̅ /𝑑_2 =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10</xdr:col>
      <xdr:colOff>403860</xdr:colOff>
      <xdr:row>38</xdr:row>
      <xdr:rowOff>76200</xdr:rowOff>
    </xdr:from>
    <xdr:ext cx="2110740" cy="36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ED52F5-5EF9-480B-8B7C-C2E4C04BF592}"/>
                </a:ext>
              </a:extLst>
            </xdr:cNvPr>
            <xdr:cNvSpPr txBox="1"/>
          </xdr:nvSpPr>
          <xdr:spPr>
            <a:xfrm>
              <a:off x="6499860" y="7780020"/>
              <a:ext cx="2110740" cy="36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̿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</m:acc>
                    <m:r>
                      <a:rPr lang="en-US" sz="12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 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4ED52F5-5EF9-480B-8B7C-C2E4C04BF592}"/>
                </a:ext>
              </a:extLst>
            </xdr:cNvPr>
            <xdr:cNvSpPr txBox="1"/>
          </xdr:nvSpPr>
          <xdr:spPr>
            <a:xfrm>
              <a:off x="6499860" y="7780020"/>
              <a:ext cx="2110740" cy="36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 ̿=  ((𝑅 ̅_𝐴+𝑅 ̅_𝐵+𝑅 ̅_𝐶+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 ̅_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))/</a:t>
              </a:r>
              <a:r>
                <a:rPr lang="en-US" sz="1200" b="0" i="0">
                  <a:latin typeface="Cambria Math" panose="02040503050406030204" pitchFamily="18" charset="0"/>
                </a:rPr>
                <a:t>4=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10</xdr:col>
      <xdr:colOff>586741</xdr:colOff>
      <xdr:row>42</xdr:row>
      <xdr:rowOff>22860</xdr:rowOff>
    </xdr:from>
    <xdr:ext cx="1844040" cy="12420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0C43D9-4EDF-4882-9BD5-8E197F12A076}"/>
                </a:ext>
              </a:extLst>
            </xdr:cNvPr>
            <xdr:cNvSpPr txBox="1"/>
          </xdr:nvSpPr>
          <xdr:spPr>
            <a:xfrm>
              <a:off x="6339841" y="10058400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=</m:t>
                    </m:r>
                  </m:oMath>
                </m:oMathPara>
              </a14:m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𝑚𝑎𝑥</m:t>
                  </m:r>
                  <m:d>
                    <m:d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𝐷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</m:acc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𝑚𝑖𝑛</m:t>
                  </m:r>
                  <m:d>
                    <m:d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𝐷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=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0C43D9-4EDF-4882-9BD5-8E197F12A076}"/>
                </a:ext>
              </a:extLst>
            </xdr:cNvPr>
            <xdr:cNvSpPr txBox="1"/>
          </xdr:nvSpPr>
          <xdr:spPr>
            <a:xfrm>
              <a:off x="6339841" y="10058400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en-US" sz="1400" b="0" i="0">
                  <a:latin typeface="+mn-lt"/>
                </a:rPr>
                <a:t>𝑅_𝑥 ̅ = 𝑥 ̿_𝑚𝑎𝑥 〖−𝑥 ̿〗_𝑚𝑖𝑛  =</a:t>
              </a:r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latin typeface="+mn-lt"/>
                </a:rPr>
                <a:t>𝑥 ̿=𝑚𝑎𝑥(𝑥 ̿_𝐴,𝑥 ̿_𝐵,𝑥 ̿_𝐶</a:t>
              </a:r>
              <a:r>
                <a:rPr lang="en-US" sz="1400" b="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400" b="0">
                  <a:latin typeface="+mn-lt"/>
                </a:rPr>
                <a:t>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̿=𝑚𝑖𝑛(𝑥 ̿_𝐴,𝑥 ̿_𝐵,𝑥 ̿_𝐶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400" b="0">
                  <a:latin typeface="+mn-lt"/>
                </a:rPr>
                <a:t>=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434340</xdr:colOff>
      <xdr:row>35</xdr:row>
      <xdr:rowOff>137160</xdr:rowOff>
    </xdr:from>
    <xdr:ext cx="4442460" cy="390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B380C5-1961-46DF-80DC-45EA6825B1F9}"/>
                </a:ext>
              </a:extLst>
            </xdr:cNvPr>
            <xdr:cNvSpPr txBox="1"/>
          </xdr:nvSpPr>
          <xdr:spPr>
            <a:xfrm>
              <a:off x="2263140" y="649986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𝒈𝒂𝒈𝒆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=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𝒓𝒆𝒑𝒆𝒂𝒕𝒂𝒃𝒊𝒍𝒊𝒕𝒚</m:t>
                      </m:r>
                    </m:sub>
                  </m:sSub>
                  <m:r>
                    <a:rPr lang="en-US" sz="1800" b="1" i="1">
                      <a:latin typeface="Cambria Math" panose="02040503050406030204" pitchFamily="18" charset="0"/>
                    </a:rPr>
                    <m:t>+ </m:t>
                  </m:r>
                  <m:sSub>
                    <m:sSubPr>
                      <m:ctrlPr>
                        <a:rPr lang="en-US" sz="18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8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acc>
                            <m:accPr>
                              <m:chr m:val="̂"/>
                              <m:ctrlPr>
                                <a:rPr lang="en-US" sz="18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l-GR" sz="1800" b="1" i="1">
                                  <a:latin typeface="Cambria Math" panose="02040503050406030204" pitchFamily="18" charset="0"/>
                                </a:rPr>
                                <m:t>𝝈</m:t>
                              </m:r>
                            </m:e>
                          </m:acc>
                        </m:e>
                        <m:sup>
                          <m:r>
                            <a:rPr lang="en-US" sz="18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e>
                    <m:sub>
                      <m:r>
                        <a:rPr lang="en-US" sz="1800" b="1" i="1">
                          <a:latin typeface="Cambria Math" panose="02040503050406030204" pitchFamily="18" charset="0"/>
                        </a:rPr>
                        <m:t>𝒓𝒆𝒑𝒓𝒐𝒅𝒖𝒄𝒊𝒃𝒊𝒍𝒊𝒕𝒚</m:t>
                      </m:r>
                    </m:sub>
                  </m:sSub>
                </m:oMath>
              </a14:m>
              <a:r>
                <a:rPr lang="en-US" sz="1800" b="1">
                  <a:latin typeface="+mn-lt"/>
                </a:rPr>
                <a:t>  =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B380C5-1961-46DF-80DC-45EA6825B1F9}"/>
                </a:ext>
              </a:extLst>
            </xdr:cNvPr>
            <xdr:cNvSpPr txBox="1"/>
          </xdr:nvSpPr>
          <xdr:spPr>
            <a:xfrm>
              <a:off x="2263140" y="6499860"/>
              <a:ext cx="4442460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800" b="1" i="0">
                  <a:latin typeface="+mn-lt"/>
                </a:rPr>
                <a:t>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̂^𝟐〗_𝒈𝒂𝒈𝒆</a:t>
              </a:r>
              <a:r>
                <a:rPr lang="en-US" sz="1800" b="1">
                  <a:latin typeface="+mn-lt"/>
                </a:rPr>
                <a:t> = </a:t>
              </a:r>
              <a:r>
                <a:rPr lang="en-US" sz="1800" b="1" i="0">
                  <a:latin typeface="+mn-lt"/>
                </a:rPr>
                <a:t>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̂^𝟐〗_𝒓𝒆𝒑𝒆𝒂𝒕𝒂𝒃𝒊𝒍𝒊𝒕𝒚+ 〖</a:t>
              </a:r>
              <a:r>
                <a:rPr lang="el-GR" sz="1800" b="1" i="0">
                  <a:latin typeface="+mn-lt"/>
                </a:rPr>
                <a:t>𝝈</a:t>
              </a:r>
              <a:r>
                <a:rPr lang="en-US" sz="1800" b="1" i="0">
                  <a:latin typeface="+mn-lt"/>
                </a:rPr>
                <a:t> ̂^𝟐〗_𝒓𝒆𝒑𝒓𝒐𝒅𝒖𝒄𝒊𝒃𝒊𝒍𝒊𝒕𝒚</a:t>
              </a:r>
              <a:r>
                <a:rPr lang="en-US" sz="1800" b="1">
                  <a:latin typeface="+mn-lt"/>
                </a:rPr>
                <a:t>  = </a:t>
              </a:r>
            </a:p>
          </xdr:txBody>
        </xdr:sp>
      </mc:Fallback>
    </mc:AlternateContent>
    <xdr:clientData/>
  </xdr:oneCellAnchor>
  <xdr:oneCellAnchor>
    <xdr:from>
      <xdr:col>5</xdr:col>
      <xdr:colOff>198120</xdr:colOff>
      <xdr:row>38</xdr:row>
      <xdr:rowOff>45720</xdr:rowOff>
    </xdr:from>
    <xdr:ext cx="1714500" cy="3440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E13998-0D0A-465C-8AD2-82083C8DFB2A}"/>
                </a:ext>
              </a:extLst>
            </xdr:cNvPr>
            <xdr:cNvSpPr txBox="1"/>
          </xdr:nvSpPr>
          <xdr:spPr>
            <a:xfrm>
              <a:off x="3246120" y="697230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l-GR" sz="1400" b="0" i="1">
                              <a:latin typeface="Cambria Math" panose="02040503050406030204" pitchFamily="18" charset="0"/>
                            </a:rPr>
                            <m:t>𝜎</m:t>
                          </m:r>
                        </m:e>
                      </m:acc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𝑟𝑒𝑝𝑒𝑎𝑡𝑎𝑏𝑖𝑙𝑖𝑡𝑦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acc>
                        <m:accPr>
                          <m:chr m:val="̿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</m:acc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E13998-0D0A-465C-8AD2-82083C8DFB2A}"/>
                </a:ext>
              </a:extLst>
            </xdr:cNvPr>
            <xdr:cNvSpPr txBox="1"/>
          </xdr:nvSpPr>
          <xdr:spPr>
            <a:xfrm>
              <a:off x="3246120" y="6972300"/>
              <a:ext cx="1714500" cy="344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400" b="0" i="0">
                  <a:latin typeface="Cambria Math" panose="02040503050406030204" pitchFamily="18" charset="0"/>
                </a:rPr>
                <a:t>𝜎</a:t>
              </a:r>
              <a:r>
                <a:rPr lang="en-US" sz="1400" b="0" i="0">
                  <a:latin typeface="Cambria Math" panose="02040503050406030204" pitchFamily="18" charset="0"/>
                </a:rPr>
                <a:t> ̂_𝑟𝑒𝑝𝑒𝑎𝑡𝑎𝑏𝑖𝑙𝑖𝑡𝑦=  𝑅 ̿/𝐾</a:t>
              </a:r>
              <a:r>
                <a:rPr lang="en-US" sz="1400" b="0"/>
                <a:t> </a:t>
              </a:r>
              <a:r>
                <a:rPr lang="en-US" sz="1400" b="0" baseline="0"/>
                <a:t>  = 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4</xdr:col>
      <xdr:colOff>525780</xdr:colOff>
      <xdr:row>41</xdr:row>
      <xdr:rowOff>45720</xdr:rowOff>
    </xdr:from>
    <xdr:ext cx="1896673" cy="438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67FF65-DDCC-44BB-AEEB-C77F5C4E939D}"/>
                </a:ext>
              </a:extLst>
            </xdr:cNvPr>
            <xdr:cNvSpPr txBox="1"/>
          </xdr:nvSpPr>
          <xdr:spPr>
            <a:xfrm>
              <a:off x="2964180" y="7551420"/>
              <a:ext cx="1896673" cy="438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l-GR" sz="14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14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  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67FF65-DDCC-44BB-AEEB-C77F5C4E939D}"/>
                </a:ext>
              </a:extLst>
            </xdr:cNvPr>
            <xdr:cNvSpPr txBox="1"/>
          </xdr:nvSpPr>
          <xdr:spPr>
            <a:xfrm>
              <a:off x="2964180" y="7551420"/>
              <a:ext cx="1896673" cy="438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0" i="0">
                  <a:latin typeface="Cambria Math" panose="02040503050406030204" pitchFamily="18" charset="0"/>
                </a:rPr>
                <a:t>𝜎</a:t>
              </a:r>
              <a:r>
                <a:rPr lang="en-US" sz="1400" b="0" i="0">
                  <a:latin typeface="Cambria Math" panose="02040503050406030204" pitchFamily="18" charset="0"/>
                </a:rPr>
                <a:t> ̂_𝑟𝑒𝑝𝑟𝑜𝑑𝑢𝑐𝑖𝑏𝑖𝑙𝑖𝑡𝑦=  𝑅_(𝑥  ) ̅ /𝑑_2 =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10</xdr:col>
      <xdr:colOff>403860</xdr:colOff>
      <xdr:row>39</xdr:row>
      <xdr:rowOff>76200</xdr:rowOff>
    </xdr:from>
    <xdr:ext cx="2110740" cy="369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DDFB12-9892-403F-A1FC-BD4040021C7F}"/>
                </a:ext>
              </a:extLst>
            </xdr:cNvPr>
            <xdr:cNvSpPr txBox="1"/>
          </xdr:nvSpPr>
          <xdr:spPr>
            <a:xfrm>
              <a:off x="6499860" y="7185660"/>
              <a:ext cx="2110740" cy="36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̿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</m:acc>
                    <m:r>
                      <a:rPr lang="en-US" sz="12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sub>
                            </m:s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 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DDFB12-9892-403F-A1FC-BD4040021C7F}"/>
                </a:ext>
              </a:extLst>
            </xdr:cNvPr>
            <xdr:cNvSpPr txBox="1"/>
          </xdr:nvSpPr>
          <xdr:spPr>
            <a:xfrm>
              <a:off x="6499860" y="7185660"/>
              <a:ext cx="2110740" cy="369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 ̿=  ((𝑅 ̅_𝐴+𝑅 ̅_𝐵+𝑅 ̅_𝐶+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 ̅_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))/</a:t>
              </a:r>
              <a:r>
                <a:rPr lang="en-US" sz="1200" b="0" i="0">
                  <a:latin typeface="Cambria Math" panose="02040503050406030204" pitchFamily="18" charset="0"/>
                </a:rPr>
                <a:t>4=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10</xdr:col>
      <xdr:colOff>586741</xdr:colOff>
      <xdr:row>43</xdr:row>
      <xdr:rowOff>22860</xdr:rowOff>
    </xdr:from>
    <xdr:ext cx="1844040" cy="12420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37D6F7-79CA-471B-84C5-492B491D0038}"/>
                </a:ext>
              </a:extLst>
            </xdr:cNvPr>
            <xdr:cNvSpPr txBox="1"/>
          </xdr:nvSpPr>
          <xdr:spPr>
            <a:xfrm>
              <a:off x="6682741" y="7924800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̿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=</m:t>
                    </m:r>
                  </m:oMath>
                </m:oMathPara>
              </a14:m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𝑚𝑎𝑥</m:t>
                  </m:r>
                  <m:d>
                    <m:d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sub>
                      </m:s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𝐷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</m:acc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𝑚𝑖𝑛</m:t>
                  </m:r>
                  <m:d>
                    <m:d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𝐴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𝐵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sub>
                      </m:sSub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acc>
                            <m:accPr>
                              <m:chr m:val="̿"/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𝐷</m:t>
                          </m:r>
                        </m:sub>
                      </m:sSub>
                    </m:e>
                  </m:d>
                </m:oMath>
              </a14:m>
              <a:r>
                <a:rPr lang="en-US" sz="1400" b="0">
                  <a:latin typeface="+mn-lt"/>
                </a:rPr>
                <a:t>=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37D6F7-79CA-471B-84C5-492B491D0038}"/>
                </a:ext>
              </a:extLst>
            </xdr:cNvPr>
            <xdr:cNvSpPr txBox="1"/>
          </xdr:nvSpPr>
          <xdr:spPr>
            <a:xfrm>
              <a:off x="6682741" y="7924800"/>
              <a:ext cx="1844040" cy="1242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en-US" sz="1400" b="0" i="0">
                  <a:latin typeface="+mn-lt"/>
                </a:rPr>
                <a:t>𝑅_𝑥 ̅ = 𝑥 ̿_𝑚𝑎𝑥 〖−𝑥 ̿〗_𝑚𝑖𝑛  =</a:t>
              </a:r>
              <a:endParaRPr lang="en-US" sz="1400" b="0">
                <a:latin typeface="+mn-lt"/>
              </a:endParaRP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latin typeface="+mn-lt"/>
                </a:rPr>
                <a:t>𝑥 ̿=𝑚𝑎𝑥(𝑥 ̿_𝐴,𝑥 ̿_𝐵,𝑥 ̿_𝐶</a:t>
              </a:r>
              <a:r>
                <a:rPr lang="en-US" sz="1400" b="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400" b="0">
                  <a:latin typeface="+mn-lt"/>
                </a:rPr>
                <a:t>=</a:t>
              </a:r>
            </a:p>
            <a:p>
              <a:pPr algn="r"/>
              <a:endParaRPr lang="en-US" sz="1400" b="0">
                <a:latin typeface="+mn-lt"/>
              </a:endParaRPr>
            </a:p>
            <a:p>
              <a:pPr algn="r"/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̿=𝑚𝑖𝑛(𝑥 ̿_𝐴,𝑥 ̿_𝐵,𝑥 ̿_𝐶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̿_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400" b="0">
                  <a:latin typeface="+mn-lt"/>
                </a:rPr>
                <a:t>=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workbookViewId="0">
      <selection activeCell="O6" sqref="O6"/>
    </sheetView>
  </sheetViews>
  <sheetFormatPr defaultRowHeight="15"/>
  <cols>
    <col min="1" max="1" width="11.28515625" bestFit="1" customWidth="1"/>
    <col min="4" max="4" width="11.28515625" customWidth="1"/>
    <col min="5" max="5" width="12.140625" customWidth="1"/>
  </cols>
  <sheetData>
    <row r="1" spans="1:23" ht="14.25" customHeight="1">
      <c r="A1" s="108">
        <v>44462</v>
      </c>
      <c r="I1" s="127" t="s">
        <v>17</v>
      </c>
      <c r="J1" s="127"/>
      <c r="K1" s="127"/>
      <c r="L1" s="127"/>
      <c r="M1" s="127"/>
      <c r="R1" s="107" t="s">
        <v>70</v>
      </c>
      <c r="S1" s="107"/>
    </row>
    <row r="2" spans="1:23">
      <c r="I2" s="127"/>
      <c r="J2" s="127"/>
      <c r="K2" s="127"/>
      <c r="L2" s="127"/>
      <c r="M2" s="127"/>
      <c r="R2" s="107" t="s">
        <v>71</v>
      </c>
    </row>
    <row r="4" spans="1:23" ht="18.75">
      <c r="C4" s="47" t="s">
        <v>50</v>
      </c>
      <c r="D4" s="17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"/>
      <c r="W4" s="1"/>
    </row>
    <row r="5" spans="1:23" ht="15.75" thickBot="1"/>
    <row r="6" spans="1:23">
      <c r="C6" s="1"/>
      <c r="D6" s="113" t="s">
        <v>1</v>
      </c>
      <c r="E6" s="109" t="s">
        <v>11</v>
      </c>
      <c r="F6" s="116"/>
      <c r="G6" s="109" t="s">
        <v>12</v>
      </c>
      <c r="H6" s="116"/>
      <c r="I6" s="109" t="s">
        <v>13</v>
      </c>
      <c r="J6" s="1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thickBot="1">
      <c r="C7" s="1"/>
      <c r="D7" s="114"/>
      <c r="E7" s="111"/>
      <c r="F7" s="117"/>
      <c r="G7" s="111"/>
      <c r="H7" s="117"/>
      <c r="I7" s="111"/>
      <c r="J7" s="112"/>
      <c r="K7" s="15" t="s">
        <v>2</v>
      </c>
      <c r="L7" s="2" t="s">
        <v>14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thickBot="1">
      <c r="C8" s="1"/>
      <c r="D8" s="115"/>
      <c r="E8" s="7" t="s">
        <v>3</v>
      </c>
      <c r="F8" s="7" t="s">
        <v>4</v>
      </c>
      <c r="G8" s="7" t="s">
        <v>5</v>
      </c>
      <c r="H8" s="7" t="s">
        <v>6</v>
      </c>
      <c r="I8" s="7" t="s">
        <v>7</v>
      </c>
      <c r="J8" s="11" t="s">
        <v>8</v>
      </c>
      <c r="K8" s="16" t="s">
        <v>9</v>
      </c>
      <c r="L8" s="1" t="s">
        <v>10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C9" s="1"/>
      <c r="D9" s="4">
        <v>1</v>
      </c>
      <c r="E9" s="8">
        <v>31.83</v>
      </c>
      <c r="F9" s="8">
        <v>31.67</v>
      </c>
      <c r="G9" s="8">
        <v>32.549999999999997</v>
      </c>
      <c r="H9" s="8">
        <v>32.07</v>
      </c>
      <c r="I9" s="8">
        <v>31.99</v>
      </c>
      <c r="J9" s="12">
        <v>32.229999999999997</v>
      </c>
      <c r="K9" s="16" t="s">
        <v>16</v>
      </c>
      <c r="L9" s="1" t="s">
        <v>15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C10" s="1"/>
      <c r="D10" s="5">
        <v>2</v>
      </c>
      <c r="E10" s="9">
        <v>30.31</v>
      </c>
      <c r="F10" s="9">
        <v>30.47</v>
      </c>
      <c r="G10" s="9">
        <v>30.63</v>
      </c>
      <c r="H10" s="9">
        <v>30.39</v>
      </c>
      <c r="I10" s="9">
        <v>30.15</v>
      </c>
      <c r="J10" s="13">
        <v>30.15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C11" s="1"/>
      <c r="D11" s="5">
        <v>3</v>
      </c>
      <c r="E11" s="9">
        <v>29.51</v>
      </c>
      <c r="F11" s="9">
        <v>29.83</v>
      </c>
      <c r="G11" s="9">
        <v>29.83</v>
      </c>
      <c r="H11" s="9">
        <v>29.67</v>
      </c>
      <c r="I11" s="9">
        <v>29.51</v>
      </c>
      <c r="J11" s="13">
        <v>29.83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C12" s="1"/>
      <c r="D12" s="5">
        <v>4</v>
      </c>
      <c r="E12" s="9">
        <v>29.43</v>
      </c>
      <c r="F12" s="9">
        <v>29.27</v>
      </c>
      <c r="G12" s="9">
        <v>29.83</v>
      </c>
      <c r="H12" s="9">
        <v>29.35</v>
      </c>
      <c r="I12" s="9">
        <v>29.27</v>
      </c>
      <c r="J12" s="13">
        <v>29.51</v>
      </c>
      <c r="K12" s="1"/>
      <c r="M12" s="1">
        <v>1</v>
      </c>
      <c r="N12" s="19" t="s">
        <v>18</v>
      </c>
      <c r="O12" s="1">
        <v>31.83</v>
      </c>
      <c r="P12" s="1">
        <v>1</v>
      </c>
      <c r="Q12" s="19" t="s">
        <v>18</v>
      </c>
      <c r="R12" s="1">
        <v>31.67</v>
      </c>
      <c r="S12" s="1"/>
      <c r="T12" s="1"/>
      <c r="U12" s="1"/>
      <c r="V12" s="1"/>
      <c r="W12" s="1"/>
    </row>
    <row r="13" spans="1:23">
      <c r="C13" s="1"/>
      <c r="D13" s="5">
        <v>5</v>
      </c>
      <c r="E13" s="9">
        <v>29.91</v>
      </c>
      <c r="F13" s="9">
        <v>30.23</v>
      </c>
      <c r="G13" s="9">
        <v>30.07</v>
      </c>
      <c r="H13" s="9">
        <v>29.67</v>
      </c>
      <c r="I13" s="9">
        <v>29.83</v>
      </c>
      <c r="J13" s="13">
        <v>29.27</v>
      </c>
      <c r="K13" s="1"/>
      <c r="M13" s="1">
        <v>1</v>
      </c>
      <c r="N13" s="19" t="s">
        <v>19</v>
      </c>
      <c r="O13" s="1">
        <v>32.549999999999997</v>
      </c>
      <c r="P13" s="1">
        <v>1</v>
      </c>
      <c r="Q13" s="19" t="s">
        <v>19</v>
      </c>
      <c r="R13" s="1">
        <v>32.07</v>
      </c>
      <c r="S13" s="1"/>
      <c r="T13" s="1"/>
      <c r="U13" s="1"/>
      <c r="V13" s="1"/>
      <c r="W13" s="1"/>
    </row>
    <row r="14" spans="1:23">
      <c r="C14" s="1"/>
      <c r="D14" s="5">
        <v>6</v>
      </c>
      <c r="E14" s="9">
        <v>30.47</v>
      </c>
      <c r="F14" s="9">
        <v>30.31</v>
      </c>
      <c r="G14" s="9">
        <v>30.87</v>
      </c>
      <c r="H14" s="9">
        <v>30.87</v>
      </c>
      <c r="I14" s="9">
        <v>30.31</v>
      </c>
      <c r="J14" s="13">
        <v>30.31</v>
      </c>
      <c r="K14" s="1"/>
      <c r="M14" s="1">
        <v>1</v>
      </c>
      <c r="N14" s="19" t="s">
        <v>20</v>
      </c>
      <c r="O14" s="1">
        <v>31.99</v>
      </c>
      <c r="P14" s="1">
        <v>1</v>
      </c>
      <c r="Q14" s="19" t="s">
        <v>20</v>
      </c>
      <c r="R14" s="1">
        <v>32.229999999999997</v>
      </c>
      <c r="S14" s="1"/>
      <c r="T14" s="1"/>
      <c r="U14" s="1"/>
      <c r="V14" s="1"/>
      <c r="W14" s="1"/>
    </row>
    <row r="15" spans="1:23">
      <c r="C15" s="1"/>
      <c r="D15" s="5">
        <v>7</v>
      </c>
      <c r="E15" s="9">
        <v>28.79</v>
      </c>
      <c r="F15" s="9">
        <v>28.79</v>
      </c>
      <c r="G15" s="9">
        <v>29.03</v>
      </c>
      <c r="H15" s="9">
        <v>28.71</v>
      </c>
      <c r="I15" s="9">
        <v>28.23</v>
      </c>
      <c r="J15" s="13">
        <v>28.47</v>
      </c>
      <c r="K15" s="1"/>
      <c r="M15" s="1">
        <v>2</v>
      </c>
      <c r="N15" s="19" t="s">
        <v>18</v>
      </c>
      <c r="O15" s="1">
        <v>30.31</v>
      </c>
      <c r="P15" s="1">
        <v>2</v>
      </c>
      <c r="Q15" s="19" t="s">
        <v>18</v>
      </c>
      <c r="R15" s="1">
        <v>30.47</v>
      </c>
      <c r="S15" s="1"/>
      <c r="T15" s="1"/>
      <c r="U15" s="1"/>
      <c r="V15" s="1"/>
      <c r="W15" s="1"/>
    </row>
    <row r="16" spans="1:23">
      <c r="C16" s="1"/>
      <c r="D16" s="5">
        <v>8</v>
      </c>
      <c r="E16" s="9">
        <v>29.99</v>
      </c>
      <c r="F16" s="9">
        <v>29.67</v>
      </c>
      <c r="G16" s="9">
        <v>30.07</v>
      </c>
      <c r="H16" s="9">
        <v>29.91</v>
      </c>
      <c r="I16" s="9">
        <v>29.67</v>
      </c>
      <c r="J16" s="13">
        <v>29.83</v>
      </c>
      <c r="K16" s="1"/>
      <c r="M16" s="1">
        <v>2</v>
      </c>
      <c r="N16" s="19" t="s">
        <v>19</v>
      </c>
      <c r="O16" s="1">
        <v>30.63</v>
      </c>
      <c r="P16" s="1">
        <v>2</v>
      </c>
      <c r="Q16" s="19" t="s">
        <v>19</v>
      </c>
      <c r="R16" s="1">
        <v>30.39</v>
      </c>
      <c r="S16" s="1"/>
      <c r="T16" s="1"/>
      <c r="U16" s="1"/>
      <c r="V16" s="1"/>
      <c r="W16" s="1"/>
    </row>
    <row r="17" spans="2:23">
      <c r="C17" s="1"/>
      <c r="D17" s="5">
        <v>9</v>
      </c>
      <c r="E17" s="9">
        <v>28.55</v>
      </c>
      <c r="F17" s="9">
        <v>28.63</v>
      </c>
      <c r="G17" s="9">
        <v>28.95</v>
      </c>
      <c r="H17" s="9">
        <v>28.79</v>
      </c>
      <c r="I17" s="9">
        <v>28.55</v>
      </c>
      <c r="J17" s="13">
        <v>28.23</v>
      </c>
      <c r="K17" s="1"/>
      <c r="M17" s="1">
        <v>2</v>
      </c>
      <c r="N17" s="19" t="s">
        <v>20</v>
      </c>
      <c r="O17" s="1">
        <v>30.15</v>
      </c>
      <c r="P17" s="1">
        <v>2</v>
      </c>
      <c r="Q17" s="19" t="s">
        <v>20</v>
      </c>
      <c r="R17" s="1">
        <v>30.15</v>
      </c>
      <c r="S17" s="1"/>
      <c r="T17" s="1"/>
      <c r="U17" s="1"/>
      <c r="V17" s="1"/>
      <c r="W17" s="1"/>
    </row>
    <row r="18" spans="2:23" ht="15.75" thickBot="1">
      <c r="C18" s="1"/>
      <c r="D18" s="6">
        <v>10</v>
      </c>
      <c r="E18" s="10">
        <v>29.35</v>
      </c>
      <c r="F18" s="10">
        <v>29.11</v>
      </c>
      <c r="G18" s="10">
        <v>29.83</v>
      </c>
      <c r="H18" s="10">
        <v>29.59</v>
      </c>
      <c r="I18" s="10">
        <v>29.59</v>
      </c>
      <c r="J18" s="14">
        <v>29.51</v>
      </c>
      <c r="K18" s="1"/>
      <c r="M18" s="1">
        <v>3</v>
      </c>
      <c r="N18" s="19" t="s">
        <v>18</v>
      </c>
      <c r="O18" s="1">
        <v>29.51</v>
      </c>
      <c r="P18" s="1">
        <v>3</v>
      </c>
      <c r="Q18" s="19" t="s">
        <v>18</v>
      </c>
      <c r="R18" s="1">
        <v>29.83</v>
      </c>
      <c r="S18" s="1"/>
      <c r="T18" s="1"/>
      <c r="U18" s="1"/>
      <c r="V18" s="1"/>
      <c r="W18" s="1"/>
    </row>
    <row r="19" spans="2:23">
      <c r="M19" s="18">
        <v>3</v>
      </c>
      <c r="N19" s="20" t="s">
        <v>19</v>
      </c>
      <c r="O19" s="18">
        <v>29.83</v>
      </c>
      <c r="P19" s="18">
        <v>3</v>
      </c>
      <c r="Q19" s="20" t="s">
        <v>19</v>
      </c>
      <c r="R19" s="18">
        <v>29.67</v>
      </c>
    </row>
    <row r="20" spans="2:23">
      <c r="B20" s="39"/>
      <c r="C20" s="39"/>
      <c r="D20" s="39"/>
      <c r="E20" s="39"/>
      <c r="F20" s="39"/>
      <c r="G20" s="39"/>
      <c r="H20" s="39"/>
      <c r="I20" s="39"/>
      <c r="J20" s="39"/>
      <c r="K20" s="39"/>
      <c r="M20" s="18">
        <v>3</v>
      </c>
      <c r="N20" s="20" t="s">
        <v>20</v>
      </c>
      <c r="O20" s="18">
        <v>29.51</v>
      </c>
      <c r="P20" s="18">
        <v>3</v>
      </c>
      <c r="Q20" s="20" t="s">
        <v>20</v>
      </c>
      <c r="R20" s="18">
        <v>29.83</v>
      </c>
    </row>
    <row r="21" spans="2:23" ht="19.5" thickBot="1">
      <c r="B21" s="39"/>
      <c r="C21" s="48" t="s">
        <v>51</v>
      </c>
      <c r="D21" s="39"/>
      <c r="E21" s="39"/>
      <c r="F21" s="39"/>
      <c r="G21" s="39"/>
      <c r="H21" s="39"/>
      <c r="I21" s="39"/>
      <c r="J21" s="39"/>
      <c r="K21" s="39"/>
      <c r="M21" s="18">
        <v>4</v>
      </c>
      <c r="N21" s="20" t="s">
        <v>18</v>
      </c>
      <c r="O21" s="18">
        <v>29.43</v>
      </c>
      <c r="P21" s="18">
        <v>4</v>
      </c>
      <c r="Q21" s="20" t="s">
        <v>18</v>
      </c>
      <c r="R21" s="18">
        <v>29.27</v>
      </c>
    </row>
    <row r="22" spans="2:23">
      <c r="B22" s="39"/>
      <c r="C22" s="39"/>
      <c r="D22" s="86"/>
      <c r="E22" s="109" t="s">
        <v>11</v>
      </c>
      <c r="F22" s="110"/>
      <c r="G22" s="109" t="s">
        <v>12</v>
      </c>
      <c r="H22" s="110"/>
      <c r="I22" s="109" t="s">
        <v>13</v>
      </c>
      <c r="J22" s="110"/>
      <c r="K22" s="39"/>
      <c r="M22" s="18">
        <v>4</v>
      </c>
      <c r="N22" s="20" t="s">
        <v>19</v>
      </c>
      <c r="O22" s="18">
        <v>29.83</v>
      </c>
      <c r="P22" s="18">
        <v>4</v>
      </c>
      <c r="Q22" s="20" t="s">
        <v>19</v>
      </c>
      <c r="R22" s="18">
        <v>29.35</v>
      </c>
    </row>
    <row r="23" spans="2:23" ht="15.75" thickBot="1">
      <c r="B23" s="39"/>
      <c r="C23" s="39"/>
      <c r="D23" s="87"/>
      <c r="E23" s="111"/>
      <c r="F23" s="112"/>
      <c r="G23" s="111"/>
      <c r="H23" s="112"/>
      <c r="I23" s="111"/>
      <c r="J23" s="112"/>
      <c r="K23" s="39"/>
      <c r="M23" s="18">
        <v>4</v>
      </c>
      <c r="N23" s="20" t="s">
        <v>20</v>
      </c>
      <c r="O23" s="18">
        <v>29.27</v>
      </c>
      <c r="P23" s="18">
        <v>4</v>
      </c>
      <c r="Q23" s="20" t="s">
        <v>20</v>
      </c>
      <c r="R23" s="18">
        <v>29.51</v>
      </c>
    </row>
    <row r="24" spans="2:23" ht="15.75" thickBot="1">
      <c r="B24" s="39"/>
      <c r="C24" s="39"/>
      <c r="D24" s="76"/>
      <c r="E24" s="42" t="s">
        <v>40</v>
      </c>
      <c r="F24" s="43" t="s">
        <v>41</v>
      </c>
      <c r="G24" s="42" t="s">
        <v>42</v>
      </c>
      <c r="H24" s="43" t="s">
        <v>43</v>
      </c>
      <c r="I24" s="44" t="s">
        <v>44</v>
      </c>
      <c r="J24" s="43" t="s">
        <v>45</v>
      </c>
      <c r="K24" s="39"/>
      <c r="M24" s="18">
        <v>5</v>
      </c>
      <c r="N24" s="20" t="s">
        <v>18</v>
      </c>
      <c r="O24" s="18">
        <v>29.91</v>
      </c>
      <c r="P24" s="18">
        <v>5</v>
      </c>
      <c r="Q24" s="20" t="s">
        <v>18</v>
      </c>
      <c r="R24" s="18">
        <v>30.23</v>
      </c>
    </row>
    <row r="25" spans="2:23">
      <c r="B25" s="39"/>
      <c r="C25" s="39"/>
      <c r="D25" s="81">
        <v>1</v>
      </c>
      <c r="E25" s="82">
        <f t="shared" ref="E25:E34" si="0">AVERAGE(E9:F9)</f>
        <v>31.75</v>
      </c>
      <c r="F25" s="83">
        <f>E9-F9</f>
        <v>0.15999999999999659</v>
      </c>
      <c r="G25" s="82">
        <f t="shared" ref="G25:G34" si="1">AVERAGE(G9:H9)</f>
        <v>32.31</v>
      </c>
      <c r="H25" s="83">
        <f t="shared" ref="H25:H34" si="2">G9-H9</f>
        <v>0.47999999999999687</v>
      </c>
      <c r="I25" s="84">
        <f t="shared" ref="I25:I34" si="3">AVERAGE(I9:J9)</f>
        <v>32.11</v>
      </c>
      <c r="J25" s="83">
        <f>J9-I9</f>
        <v>0.23999999999999844</v>
      </c>
      <c r="K25" s="39"/>
      <c r="M25" s="18">
        <v>5</v>
      </c>
      <c r="N25" s="20" t="s">
        <v>19</v>
      </c>
      <c r="O25" s="18">
        <v>30.07</v>
      </c>
      <c r="P25" s="18">
        <v>5</v>
      </c>
      <c r="Q25" s="20" t="s">
        <v>19</v>
      </c>
      <c r="R25" s="18">
        <v>29.67</v>
      </c>
    </row>
    <row r="26" spans="2:23">
      <c r="B26" s="39"/>
      <c r="C26" s="39"/>
      <c r="D26" s="63">
        <v>2</v>
      </c>
      <c r="E26" s="64">
        <f t="shared" si="0"/>
        <v>30.39</v>
      </c>
      <c r="F26" s="65">
        <f>F10-E10</f>
        <v>0.16000000000000014</v>
      </c>
      <c r="G26" s="64">
        <f t="shared" si="1"/>
        <v>30.509999999999998</v>
      </c>
      <c r="H26" s="65">
        <f t="shared" si="2"/>
        <v>0.23999999999999844</v>
      </c>
      <c r="I26" s="66">
        <f t="shared" si="3"/>
        <v>30.15</v>
      </c>
      <c r="J26" s="65">
        <f>J10-I10</f>
        <v>0</v>
      </c>
      <c r="K26" s="39"/>
      <c r="M26" s="18">
        <v>5</v>
      </c>
      <c r="N26" s="20" t="s">
        <v>20</v>
      </c>
      <c r="O26" s="18">
        <v>29.83</v>
      </c>
      <c r="P26" s="18">
        <v>5</v>
      </c>
      <c r="Q26" s="20" t="s">
        <v>20</v>
      </c>
      <c r="R26" s="18">
        <v>29.27</v>
      </c>
    </row>
    <row r="27" spans="2:23">
      <c r="B27" s="39"/>
      <c r="C27" s="39"/>
      <c r="D27" s="63">
        <v>3</v>
      </c>
      <c r="E27" s="64">
        <f t="shared" si="0"/>
        <v>29.67</v>
      </c>
      <c r="F27" s="65">
        <f>F11-E11</f>
        <v>0.31999999999999673</v>
      </c>
      <c r="G27" s="64">
        <f t="shared" si="1"/>
        <v>29.75</v>
      </c>
      <c r="H27" s="65">
        <f t="shared" si="2"/>
        <v>0.15999999999999659</v>
      </c>
      <c r="I27" s="66">
        <f t="shared" si="3"/>
        <v>29.67</v>
      </c>
      <c r="J27" s="65">
        <f>J11-I11</f>
        <v>0.31999999999999673</v>
      </c>
      <c r="K27" s="39"/>
      <c r="M27" s="18">
        <v>6</v>
      </c>
      <c r="N27" s="20" t="s">
        <v>18</v>
      </c>
      <c r="O27" s="18">
        <v>30.47</v>
      </c>
      <c r="P27" s="18">
        <v>6</v>
      </c>
      <c r="Q27" s="20" t="s">
        <v>18</v>
      </c>
      <c r="R27" s="18">
        <v>30.31</v>
      </c>
    </row>
    <row r="28" spans="2:23">
      <c r="B28" s="39"/>
      <c r="C28" s="39"/>
      <c r="D28" s="63">
        <v>4</v>
      </c>
      <c r="E28" s="64">
        <f t="shared" si="0"/>
        <v>29.35</v>
      </c>
      <c r="F28" s="65">
        <f>E12-F12</f>
        <v>0.16000000000000014</v>
      </c>
      <c r="G28" s="64">
        <f t="shared" si="1"/>
        <v>29.59</v>
      </c>
      <c r="H28" s="65">
        <f t="shared" si="2"/>
        <v>0.47999999999999687</v>
      </c>
      <c r="I28" s="66">
        <f t="shared" si="3"/>
        <v>29.39</v>
      </c>
      <c r="J28" s="65">
        <f>J12-I12</f>
        <v>0.24000000000000199</v>
      </c>
      <c r="K28" s="39"/>
      <c r="M28" s="18">
        <v>6</v>
      </c>
      <c r="N28" s="20" t="s">
        <v>19</v>
      </c>
      <c r="O28" s="18">
        <v>30.87</v>
      </c>
      <c r="P28" s="18">
        <v>6</v>
      </c>
      <c r="Q28" s="20" t="s">
        <v>19</v>
      </c>
      <c r="R28" s="18">
        <v>30.87</v>
      </c>
    </row>
    <row r="29" spans="2:23">
      <c r="C29" s="39"/>
      <c r="D29" s="63">
        <v>5</v>
      </c>
      <c r="E29" s="64">
        <f t="shared" si="0"/>
        <v>30.07</v>
      </c>
      <c r="F29" s="65">
        <f>F13-E13</f>
        <v>0.32000000000000028</v>
      </c>
      <c r="G29" s="64">
        <f t="shared" si="1"/>
        <v>29.87</v>
      </c>
      <c r="H29" s="65">
        <f t="shared" si="2"/>
        <v>0.39999999999999858</v>
      </c>
      <c r="I29" s="66">
        <f t="shared" si="3"/>
        <v>29.549999999999997</v>
      </c>
      <c r="J29" s="65">
        <f>I13-J13</f>
        <v>0.55999999999999872</v>
      </c>
      <c r="K29" s="39"/>
      <c r="M29" s="18">
        <v>6</v>
      </c>
      <c r="N29" s="20" t="s">
        <v>20</v>
      </c>
      <c r="O29" s="18">
        <v>30.31</v>
      </c>
      <c r="P29" s="18">
        <v>6</v>
      </c>
      <c r="Q29" s="20" t="s">
        <v>20</v>
      </c>
      <c r="R29" s="18">
        <v>30.31</v>
      </c>
    </row>
    <row r="30" spans="2:23" ht="14.45" customHeight="1">
      <c r="C30" s="39"/>
      <c r="D30" s="63">
        <v>6</v>
      </c>
      <c r="E30" s="64">
        <f t="shared" si="0"/>
        <v>30.39</v>
      </c>
      <c r="F30" s="65">
        <f>E14-F14</f>
        <v>0.16000000000000014</v>
      </c>
      <c r="G30" s="64">
        <f t="shared" si="1"/>
        <v>30.87</v>
      </c>
      <c r="H30" s="65">
        <f t="shared" si="2"/>
        <v>0</v>
      </c>
      <c r="I30" s="66">
        <f t="shared" si="3"/>
        <v>30.31</v>
      </c>
      <c r="J30" s="65">
        <f>J14-I14</f>
        <v>0</v>
      </c>
      <c r="K30" s="39"/>
      <c r="M30" s="18">
        <v>7</v>
      </c>
      <c r="N30" s="20" t="s">
        <v>18</v>
      </c>
      <c r="O30" s="18">
        <v>28.79</v>
      </c>
      <c r="P30" s="18">
        <v>7</v>
      </c>
      <c r="Q30" s="20" t="s">
        <v>18</v>
      </c>
      <c r="R30" s="18">
        <v>28.79</v>
      </c>
    </row>
    <row r="31" spans="2:23">
      <c r="C31" s="39"/>
      <c r="D31" s="63">
        <v>7</v>
      </c>
      <c r="E31" s="64">
        <f t="shared" si="0"/>
        <v>28.79</v>
      </c>
      <c r="F31" s="65">
        <f>E15-F15</f>
        <v>0</v>
      </c>
      <c r="G31" s="64">
        <f t="shared" si="1"/>
        <v>28.87</v>
      </c>
      <c r="H31" s="65">
        <f t="shared" si="2"/>
        <v>0.32000000000000028</v>
      </c>
      <c r="I31" s="66">
        <f t="shared" si="3"/>
        <v>28.35</v>
      </c>
      <c r="J31" s="65">
        <f>J15-I15</f>
        <v>0.23999999999999844</v>
      </c>
      <c r="K31" s="39"/>
      <c r="M31" s="18">
        <v>7</v>
      </c>
      <c r="N31" s="20" t="s">
        <v>19</v>
      </c>
      <c r="O31" s="18">
        <v>29.03</v>
      </c>
      <c r="P31" s="18">
        <v>7</v>
      </c>
      <c r="Q31" s="20" t="s">
        <v>19</v>
      </c>
      <c r="R31" s="18">
        <v>28.71</v>
      </c>
    </row>
    <row r="32" spans="2:23">
      <c r="C32" s="39"/>
      <c r="D32" s="63">
        <v>8</v>
      </c>
      <c r="E32" s="64">
        <f t="shared" si="0"/>
        <v>29.83</v>
      </c>
      <c r="F32" s="65">
        <f>E16-F16</f>
        <v>0.31999999999999673</v>
      </c>
      <c r="G32" s="64">
        <f t="shared" si="1"/>
        <v>29.990000000000002</v>
      </c>
      <c r="H32" s="65">
        <f t="shared" si="2"/>
        <v>0.16000000000000014</v>
      </c>
      <c r="I32" s="66">
        <f t="shared" si="3"/>
        <v>29.75</v>
      </c>
      <c r="J32" s="65">
        <f>J16-I16</f>
        <v>0.15999999999999659</v>
      </c>
      <c r="K32" s="39"/>
      <c r="M32" s="18">
        <v>7</v>
      </c>
      <c r="N32" s="20" t="s">
        <v>20</v>
      </c>
      <c r="O32" s="18">
        <v>28.23</v>
      </c>
      <c r="P32" s="18">
        <v>7</v>
      </c>
      <c r="Q32" s="20" t="s">
        <v>20</v>
      </c>
      <c r="R32" s="18">
        <v>28.47</v>
      </c>
    </row>
    <row r="33" spans="3:18">
      <c r="C33" s="39"/>
      <c r="D33" s="63">
        <v>9</v>
      </c>
      <c r="E33" s="64">
        <f t="shared" si="0"/>
        <v>28.59</v>
      </c>
      <c r="F33" s="65">
        <f>F17-E17</f>
        <v>7.9999999999998295E-2</v>
      </c>
      <c r="G33" s="64">
        <f t="shared" si="1"/>
        <v>28.869999999999997</v>
      </c>
      <c r="H33" s="65">
        <f t="shared" si="2"/>
        <v>0.16000000000000014</v>
      </c>
      <c r="I33" s="66">
        <f t="shared" si="3"/>
        <v>28.39</v>
      </c>
      <c r="J33" s="65">
        <f>I17-J17</f>
        <v>0.32000000000000028</v>
      </c>
      <c r="K33" s="39"/>
      <c r="M33" s="18">
        <v>8</v>
      </c>
      <c r="N33" s="20" t="s">
        <v>18</v>
      </c>
      <c r="O33" s="18">
        <v>29.99</v>
      </c>
      <c r="P33" s="18">
        <v>8</v>
      </c>
      <c r="Q33" s="20" t="s">
        <v>18</v>
      </c>
      <c r="R33" s="18">
        <v>29.67</v>
      </c>
    </row>
    <row r="34" spans="3:18" ht="15.75" thickBot="1">
      <c r="D34" s="68">
        <v>10</v>
      </c>
      <c r="E34" s="73">
        <f t="shared" si="0"/>
        <v>29.23</v>
      </c>
      <c r="F34" s="74">
        <f>E18-F18</f>
        <v>0.24000000000000199</v>
      </c>
      <c r="G34" s="73">
        <f t="shared" si="1"/>
        <v>29.71</v>
      </c>
      <c r="H34" s="74">
        <f t="shared" si="2"/>
        <v>0.23999999999999844</v>
      </c>
      <c r="I34" s="75">
        <f t="shared" si="3"/>
        <v>29.55</v>
      </c>
      <c r="J34" s="74">
        <f>I18-J18</f>
        <v>7.9999999999998295E-2</v>
      </c>
      <c r="M34" s="18">
        <v>8</v>
      </c>
      <c r="N34" s="20" t="s">
        <v>19</v>
      </c>
      <c r="O34" s="18">
        <v>30.07</v>
      </c>
      <c r="P34" s="18">
        <v>8</v>
      </c>
      <c r="Q34" s="20" t="s">
        <v>19</v>
      </c>
      <c r="R34" s="18">
        <v>29.91</v>
      </c>
    </row>
    <row r="35" spans="3:18" ht="15.75" thickBot="1">
      <c r="D35" s="85" t="s">
        <v>39</v>
      </c>
      <c r="E35" s="77">
        <f t="shared" ref="E35:J35" si="4">AVERAGE(E25:E34)</f>
        <v>29.806000000000001</v>
      </c>
      <c r="F35" s="78">
        <f t="shared" si="4"/>
        <v>0.19199999999999912</v>
      </c>
      <c r="G35" s="77">
        <f t="shared" si="4"/>
        <v>30.033999999999999</v>
      </c>
      <c r="H35" s="78">
        <f t="shared" si="4"/>
        <v>0.26399999999999862</v>
      </c>
      <c r="I35" s="79">
        <f t="shared" si="4"/>
        <v>29.722000000000001</v>
      </c>
      <c r="J35" s="78">
        <f t="shared" si="4"/>
        <v>0.21599999999999894</v>
      </c>
      <c r="M35" s="18">
        <v>8</v>
      </c>
      <c r="N35" s="20" t="s">
        <v>20</v>
      </c>
      <c r="O35" s="18">
        <v>29.67</v>
      </c>
      <c r="P35" s="18">
        <v>8</v>
      </c>
      <c r="Q35" s="20" t="s">
        <v>20</v>
      </c>
      <c r="R35" s="18">
        <v>29.83</v>
      </c>
    </row>
    <row r="36" spans="3:18">
      <c r="M36" s="18">
        <v>9</v>
      </c>
      <c r="N36" s="20" t="s">
        <v>18</v>
      </c>
      <c r="O36" s="18">
        <v>28.55</v>
      </c>
      <c r="P36" s="18">
        <v>9</v>
      </c>
      <c r="Q36" s="20" t="s">
        <v>18</v>
      </c>
      <c r="R36" s="18">
        <v>28.63</v>
      </c>
    </row>
    <row r="37" spans="3:18">
      <c r="M37" s="18">
        <v>9</v>
      </c>
      <c r="N37" s="20" t="s">
        <v>19</v>
      </c>
      <c r="O37" s="18">
        <v>28.95</v>
      </c>
      <c r="P37" s="18">
        <v>9</v>
      </c>
      <c r="Q37" s="20" t="s">
        <v>19</v>
      </c>
      <c r="R37" s="18">
        <v>28.79</v>
      </c>
    </row>
    <row r="38" spans="3:18">
      <c r="D38" s="128"/>
      <c r="E38" s="128"/>
      <c r="F38" s="128"/>
      <c r="G38" s="128"/>
      <c r="H38" s="128"/>
      <c r="I38" s="128"/>
      <c r="J38" s="128"/>
      <c r="M38" s="18">
        <v>9</v>
      </c>
      <c r="N38" s="20" t="s">
        <v>20</v>
      </c>
      <c r="O38" s="18">
        <v>28.55</v>
      </c>
      <c r="P38" s="18">
        <v>9</v>
      </c>
      <c r="Q38" s="20" t="s">
        <v>20</v>
      </c>
      <c r="R38" s="18">
        <v>28.23</v>
      </c>
    </row>
    <row r="39" spans="3:18" ht="15.75">
      <c r="C39" s="49" t="s">
        <v>31</v>
      </c>
      <c r="D39" s="128"/>
      <c r="E39" s="128"/>
      <c r="F39" s="128"/>
      <c r="G39" s="128"/>
      <c r="H39" s="128"/>
      <c r="I39" s="128"/>
      <c r="J39" s="128"/>
      <c r="K39" s="41">
        <f>I43+I47</f>
        <v>0.38286980600134651</v>
      </c>
      <c r="M39" s="18">
        <v>10</v>
      </c>
      <c r="N39" s="20" t="s">
        <v>18</v>
      </c>
      <c r="O39" s="18">
        <v>29.35</v>
      </c>
      <c r="P39" s="18">
        <v>10</v>
      </c>
      <c r="Q39" s="20" t="s">
        <v>18</v>
      </c>
      <c r="R39" s="18">
        <v>29.11</v>
      </c>
    </row>
    <row r="40" spans="3:18">
      <c r="D40" s="128"/>
      <c r="E40" s="128"/>
      <c r="F40" s="128"/>
      <c r="G40" s="128"/>
      <c r="H40" s="128"/>
      <c r="I40" s="128"/>
      <c r="J40" s="128"/>
      <c r="M40" s="18">
        <v>10</v>
      </c>
      <c r="N40" s="20" t="s">
        <v>19</v>
      </c>
      <c r="O40" s="18">
        <v>29.83</v>
      </c>
      <c r="P40" s="18">
        <v>10</v>
      </c>
      <c r="Q40" s="20" t="s">
        <v>19</v>
      </c>
      <c r="R40" s="18">
        <v>29.59</v>
      </c>
    </row>
    <row r="41" spans="3:18">
      <c r="E41" s="38"/>
      <c r="F41" s="38"/>
      <c r="G41" s="38"/>
      <c r="H41" s="38"/>
      <c r="I41" s="38"/>
      <c r="J41" s="38"/>
      <c r="M41" s="18">
        <v>10</v>
      </c>
      <c r="N41" s="20" t="s">
        <v>20</v>
      </c>
      <c r="O41" s="18">
        <v>29.59</v>
      </c>
      <c r="P41" s="18">
        <v>10</v>
      </c>
      <c r="Q41" s="20" t="s">
        <v>20</v>
      </c>
      <c r="R41" s="18">
        <v>29.51</v>
      </c>
    </row>
    <row r="42" spans="3:18" ht="15" customHeight="1">
      <c r="E42" s="128"/>
      <c r="F42" s="128"/>
      <c r="G42" s="128"/>
      <c r="H42" s="128"/>
      <c r="I42" s="38"/>
      <c r="O42" s="18"/>
    </row>
    <row r="43" spans="3:18" ht="15.75" customHeight="1">
      <c r="E43" s="128"/>
      <c r="F43" s="128"/>
      <c r="G43" s="128"/>
      <c r="H43" s="128"/>
      <c r="I43" s="129">
        <f>O47/L43</f>
        <v>0.19858156028368698</v>
      </c>
      <c r="K43" s="132" t="s">
        <v>37</v>
      </c>
      <c r="L43" s="132">
        <v>1.1279999999999999</v>
      </c>
      <c r="M43" t="s">
        <v>52</v>
      </c>
      <c r="O43" s="18"/>
    </row>
    <row r="44" spans="3:18" ht="15.75">
      <c r="E44" s="38"/>
      <c r="F44" s="38"/>
      <c r="G44" s="38"/>
      <c r="H44" s="40"/>
      <c r="I44" s="38"/>
      <c r="K44" s="132" t="s">
        <v>38</v>
      </c>
      <c r="L44" s="132">
        <v>1.6930000000000001</v>
      </c>
      <c r="O44" s="18"/>
    </row>
    <row r="45" spans="3:18">
      <c r="E45" s="38"/>
      <c r="F45" s="38"/>
      <c r="G45" s="38"/>
      <c r="I45" s="38"/>
      <c r="J45" s="38"/>
      <c r="K45" s="38"/>
      <c r="L45" s="38"/>
    </row>
    <row r="46" spans="3:18">
      <c r="E46" s="131"/>
      <c r="F46" s="131"/>
      <c r="G46" s="131"/>
      <c r="H46" s="131"/>
      <c r="K46" s="128"/>
      <c r="L46" s="128"/>
      <c r="M46" s="128"/>
      <c r="N46" s="128"/>
    </row>
    <row r="47" spans="3:18" ht="15.75">
      <c r="E47" s="131"/>
      <c r="F47" s="131"/>
      <c r="G47" s="131"/>
      <c r="H47" s="131"/>
      <c r="I47" s="40">
        <f>I51/L44</f>
        <v>0.18428824571765953</v>
      </c>
      <c r="J47" s="38"/>
      <c r="K47" s="128"/>
      <c r="L47" s="128"/>
      <c r="M47" s="128"/>
      <c r="N47" s="128"/>
      <c r="O47" s="130">
        <f>(F35+H35+J35)/3</f>
        <v>0.22399999999999889</v>
      </c>
    </row>
    <row r="48" spans="3:18">
      <c r="E48" s="131"/>
      <c r="F48" s="131"/>
      <c r="G48" s="131"/>
      <c r="H48" s="131"/>
      <c r="I48" s="38"/>
      <c r="J48" s="38"/>
      <c r="K48" s="128"/>
      <c r="L48" s="128"/>
      <c r="M48" s="128"/>
      <c r="N48" s="128"/>
      <c r="Q48" s="38"/>
    </row>
    <row r="49" spans="3:17">
      <c r="I49" s="38"/>
      <c r="J49" s="38"/>
      <c r="K49" s="38"/>
      <c r="L49" s="38"/>
      <c r="Q49" s="38"/>
    </row>
    <row r="50" spans="3:17">
      <c r="E50" s="128"/>
      <c r="F50" s="128"/>
      <c r="G50" s="128"/>
      <c r="H50" s="128"/>
      <c r="I50" s="38"/>
      <c r="J50" s="38"/>
      <c r="K50" s="38"/>
      <c r="L50" s="38"/>
      <c r="Q50" s="38"/>
    </row>
    <row r="51" spans="3:17">
      <c r="E51" s="128"/>
      <c r="F51" s="128"/>
      <c r="G51" s="128"/>
      <c r="H51" s="128"/>
      <c r="I51" s="38">
        <f>G35-I35</f>
        <v>0.31199999999999761</v>
      </c>
      <c r="J51" s="38"/>
      <c r="K51" s="38"/>
      <c r="Q51" s="38"/>
    </row>
    <row r="52" spans="3:17">
      <c r="E52" s="128"/>
      <c r="F52" s="128"/>
      <c r="G52" s="128"/>
      <c r="H52" s="128"/>
      <c r="I52" s="38"/>
      <c r="J52" s="38"/>
      <c r="K52" s="38"/>
      <c r="L52" s="38"/>
      <c r="Q52" s="38"/>
    </row>
    <row r="53" spans="3:17">
      <c r="E53" s="128"/>
      <c r="F53" s="128"/>
      <c r="G53" s="128"/>
      <c r="H53" s="128"/>
      <c r="I53" s="38">
        <f>G35</f>
        <v>30.033999999999999</v>
      </c>
      <c r="J53" s="38"/>
      <c r="K53" s="38"/>
      <c r="L53" s="38"/>
      <c r="Q53" s="38"/>
    </row>
    <row r="54" spans="3:17">
      <c r="E54" s="128"/>
      <c r="F54" s="128"/>
      <c r="G54" s="128"/>
      <c r="H54" s="128"/>
      <c r="I54" s="38"/>
      <c r="J54" s="38"/>
      <c r="K54" s="38"/>
      <c r="Q54" s="38"/>
    </row>
    <row r="55" spans="3:17">
      <c r="E55" s="128"/>
      <c r="F55" s="128"/>
      <c r="G55" s="128"/>
      <c r="H55" s="128"/>
      <c r="I55" s="38">
        <f>I35</f>
        <v>29.722000000000001</v>
      </c>
      <c r="J55" s="38"/>
      <c r="K55" s="38"/>
      <c r="L55" s="38"/>
      <c r="Q55" s="38"/>
    </row>
    <row r="56" spans="3:17">
      <c r="E56" s="128"/>
      <c r="F56" s="128"/>
      <c r="G56" s="128"/>
      <c r="H56" s="128"/>
      <c r="I56" s="38"/>
      <c r="J56" s="38"/>
      <c r="K56" s="38"/>
      <c r="Q56" s="38"/>
    </row>
    <row r="57" spans="3:17">
      <c r="E57" s="38"/>
      <c r="F57" s="38"/>
      <c r="G57" s="38"/>
      <c r="H57" s="38"/>
      <c r="I57" s="38"/>
      <c r="J57" s="38"/>
      <c r="K57" s="38"/>
      <c r="Q57" s="38"/>
    </row>
    <row r="58" spans="3:17" ht="18.75">
      <c r="D58" s="51" t="s">
        <v>49</v>
      </c>
      <c r="E58" s="38"/>
      <c r="F58" s="38"/>
      <c r="G58" s="38"/>
      <c r="H58" s="38"/>
      <c r="I58" s="38"/>
      <c r="J58" s="38"/>
      <c r="Q58" s="38"/>
    </row>
    <row r="59" spans="3:17">
      <c r="E59" s="38"/>
      <c r="F59" s="38"/>
      <c r="G59" s="38"/>
      <c r="H59" s="38"/>
      <c r="I59" s="38"/>
      <c r="J59" s="38"/>
      <c r="K59" s="38"/>
      <c r="L59" s="38"/>
    </row>
    <row r="60" spans="3:17" ht="15.75">
      <c r="D60" s="41" t="s">
        <v>60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 spans="3:17" ht="15.75">
      <c r="C61" s="50"/>
      <c r="D61" s="41" t="s">
        <v>21</v>
      </c>
      <c r="E61" s="38"/>
      <c r="F61" s="38"/>
      <c r="G61" s="38"/>
      <c r="H61" s="38"/>
      <c r="I61" s="38"/>
      <c r="J61" s="38"/>
      <c r="K61" s="38"/>
      <c r="L61" s="38"/>
      <c r="M61" s="38"/>
    </row>
    <row r="62" spans="3:17" ht="15.75">
      <c r="C62" s="50"/>
      <c r="D62" s="41"/>
      <c r="E62" s="38"/>
      <c r="F62" s="38"/>
      <c r="G62" s="38"/>
      <c r="H62" s="38"/>
      <c r="I62" s="38"/>
      <c r="J62" s="38"/>
      <c r="K62" s="38"/>
      <c r="L62" s="38"/>
      <c r="M62" s="38"/>
    </row>
    <row r="63" spans="3:17" ht="15.75">
      <c r="C63" s="50"/>
      <c r="D63" s="41" t="s">
        <v>46</v>
      </c>
      <c r="E63" s="38"/>
      <c r="F63" s="38"/>
      <c r="G63" s="38"/>
      <c r="H63" s="38"/>
      <c r="I63" s="38"/>
      <c r="J63" s="38"/>
      <c r="K63" s="38"/>
      <c r="L63" s="38"/>
      <c r="M63" s="38"/>
    </row>
    <row r="64" spans="3:17" ht="15.75">
      <c r="C64" s="50"/>
      <c r="D64" s="41" t="s">
        <v>22</v>
      </c>
      <c r="E64" s="38"/>
      <c r="F64" s="38"/>
      <c r="G64" s="38"/>
      <c r="H64" s="38"/>
      <c r="I64" s="38"/>
      <c r="J64" s="38"/>
      <c r="K64" s="38"/>
      <c r="L64" s="38"/>
      <c r="M64" s="38"/>
    </row>
    <row r="65" spans="3:13" ht="15.75">
      <c r="C65" s="50"/>
      <c r="D65" s="41" t="s">
        <v>47</v>
      </c>
      <c r="E65" s="38"/>
      <c r="F65" s="38"/>
      <c r="G65" s="38"/>
      <c r="H65" s="38"/>
      <c r="I65" s="38"/>
      <c r="J65" s="38"/>
      <c r="K65" s="38"/>
      <c r="L65" s="38"/>
      <c r="M65" s="38"/>
    </row>
    <row r="66" spans="3:13" ht="15.75">
      <c r="C66" s="50"/>
      <c r="D66" s="41" t="s">
        <v>48</v>
      </c>
      <c r="E66" s="38"/>
      <c r="F66" s="38"/>
      <c r="G66" s="38"/>
      <c r="H66" s="38"/>
      <c r="I66" s="38"/>
      <c r="J66" s="38"/>
      <c r="K66" s="38"/>
      <c r="L66" s="38"/>
      <c r="M66" s="38"/>
    </row>
  </sheetData>
  <mergeCells count="13">
    <mergeCell ref="E50:H56"/>
    <mergeCell ref="I1:M2"/>
    <mergeCell ref="D38:J40"/>
    <mergeCell ref="E42:H43"/>
    <mergeCell ref="E46:H48"/>
    <mergeCell ref="K46:N48"/>
    <mergeCell ref="E22:F23"/>
    <mergeCell ref="G22:H23"/>
    <mergeCell ref="I22:J23"/>
    <mergeCell ref="D6:D8"/>
    <mergeCell ref="E6:F7"/>
    <mergeCell ref="G6:H7"/>
    <mergeCell ref="I6:J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58"/>
  <sheetViews>
    <sheetView topLeftCell="A32" workbookViewId="0">
      <selection activeCell="G27" sqref="G27"/>
    </sheetView>
  </sheetViews>
  <sheetFormatPr defaultRowHeight="15"/>
  <sheetData>
    <row r="3" spans="2:24" ht="18.75">
      <c r="B3" s="47" t="s">
        <v>53</v>
      </c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1"/>
      <c r="U3" s="21"/>
      <c r="V3" s="21"/>
      <c r="W3" s="21"/>
      <c r="X3" s="21"/>
    </row>
    <row r="4" spans="2:24" ht="15.75" thickBot="1"/>
    <row r="5" spans="2:24">
      <c r="B5" s="21"/>
      <c r="C5" s="32"/>
      <c r="D5" s="118" t="s">
        <v>23</v>
      </c>
      <c r="E5" s="119"/>
      <c r="F5" s="118" t="s">
        <v>24</v>
      </c>
      <c r="G5" s="119"/>
      <c r="H5" s="118" t="s">
        <v>25</v>
      </c>
      <c r="I5" s="119"/>
      <c r="J5" s="118" t="s">
        <v>26</v>
      </c>
      <c r="K5" s="119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2:24" ht="15.75" thickBot="1">
      <c r="B6" s="21"/>
      <c r="C6" s="33" t="s">
        <v>27</v>
      </c>
      <c r="D6" s="23" t="s">
        <v>28</v>
      </c>
      <c r="E6" s="25" t="s">
        <v>29</v>
      </c>
      <c r="F6" s="23" t="s">
        <v>28</v>
      </c>
      <c r="G6" s="25" t="s">
        <v>29</v>
      </c>
      <c r="H6" s="23" t="s">
        <v>28</v>
      </c>
      <c r="I6" s="25" t="s">
        <v>29</v>
      </c>
      <c r="J6" s="23" t="s">
        <v>28</v>
      </c>
      <c r="K6" s="25" t="s">
        <v>29</v>
      </c>
      <c r="L6" s="15" t="s">
        <v>2</v>
      </c>
      <c r="M6" s="22" t="s">
        <v>14</v>
      </c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2:24">
      <c r="B7" s="21"/>
      <c r="C7" s="34">
        <v>1</v>
      </c>
      <c r="D7" s="26">
        <v>26</v>
      </c>
      <c r="E7" s="27">
        <v>26</v>
      </c>
      <c r="F7" s="26">
        <v>26</v>
      </c>
      <c r="G7" s="27">
        <v>28</v>
      </c>
      <c r="H7" s="26">
        <v>24</v>
      </c>
      <c r="I7" s="27">
        <v>27</v>
      </c>
      <c r="J7" s="26">
        <v>26</v>
      </c>
      <c r="K7" s="27">
        <v>26</v>
      </c>
      <c r="L7" s="16" t="s">
        <v>9</v>
      </c>
      <c r="M7" s="21" t="s">
        <v>10</v>
      </c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2:24">
      <c r="B8" s="21"/>
      <c r="C8" s="5">
        <v>2</v>
      </c>
      <c r="D8" s="28">
        <v>18</v>
      </c>
      <c r="E8" s="29">
        <v>17</v>
      </c>
      <c r="F8" s="28">
        <v>19</v>
      </c>
      <c r="G8" s="29">
        <v>19</v>
      </c>
      <c r="H8" s="28">
        <v>18</v>
      </c>
      <c r="I8" s="29">
        <v>19</v>
      </c>
      <c r="J8" s="28">
        <v>18</v>
      </c>
      <c r="K8" s="29">
        <v>19</v>
      </c>
      <c r="L8" s="16" t="s">
        <v>30</v>
      </c>
      <c r="M8" s="21" t="s">
        <v>15</v>
      </c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2:24">
      <c r="B9" s="21"/>
      <c r="C9" s="5">
        <v>3</v>
      </c>
      <c r="D9" s="28">
        <v>38</v>
      </c>
      <c r="E9" s="29">
        <v>37</v>
      </c>
      <c r="F9" s="28">
        <v>38</v>
      </c>
      <c r="G9" s="29">
        <v>36</v>
      </c>
      <c r="H9" s="28">
        <v>35</v>
      </c>
      <c r="I9" s="29">
        <v>38</v>
      </c>
      <c r="J9" s="28">
        <v>37</v>
      </c>
      <c r="K9" s="29">
        <v>38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2:24">
      <c r="B10" s="21"/>
      <c r="C10" s="5">
        <v>4</v>
      </c>
      <c r="D10" s="28">
        <v>22</v>
      </c>
      <c r="E10" s="29">
        <v>23</v>
      </c>
      <c r="F10" s="28">
        <v>25</v>
      </c>
      <c r="G10" s="29">
        <v>26</v>
      </c>
      <c r="H10" s="28">
        <v>24</v>
      </c>
      <c r="I10" s="29">
        <v>26</v>
      </c>
      <c r="J10" s="28">
        <v>23</v>
      </c>
      <c r="K10" s="29">
        <v>26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2:24">
      <c r="B11" s="21"/>
      <c r="C11" s="5">
        <v>5</v>
      </c>
      <c r="D11" s="28">
        <v>22</v>
      </c>
      <c r="E11" s="29">
        <v>22</v>
      </c>
      <c r="F11" s="28">
        <v>22</v>
      </c>
      <c r="G11" s="29">
        <v>22</v>
      </c>
      <c r="H11" s="28">
        <v>22</v>
      </c>
      <c r="I11" s="29">
        <v>22</v>
      </c>
      <c r="J11" s="28">
        <v>21</v>
      </c>
      <c r="K11" s="29">
        <v>21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2:24">
      <c r="B12" s="21"/>
      <c r="C12" s="5">
        <v>6</v>
      </c>
      <c r="D12" s="28">
        <v>9</v>
      </c>
      <c r="E12" s="29">
        <v>9</v>
      </c>
      <c r="F12" s="28">
        <v>9</v>
      </c>
      <c r="G12" s="29">
        <v>9</v>
      </c>
      <c r="H12" s="28">
        <v>9</v>
      </c>
      <c r="I12" s="29">
        <v>9</v>
      </c>
      <c r="J12" s="28">
        <v>9</v>
      </c>
      <c r="K12" s="29">
        <v>9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2:24">
      <c r="B13" s="21"/>
      <c r="C13" s="5">
        <v>7</v>
      </c>
      <c r="D13" s="28">
        <v>21</v>
      </c>
      <c r="E13" s="29">
        <v>19</v>
      </c>
      <c r="F13" s="28">
        <v>24</v>
      </c>
      <c r="G13" s="29">
        <v>24</v>
      </c>
      <c r="H13" s="28">
        <v>22</v>
      </c>
      <c r="I13" s="29">
        <v>23</v>
      </c>
      <c r="J13" s="28">
        <v>22</v>
      </c>
      <c r="K13" s="29">
        <v>23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2:24">
      <c r="B14" s="21"/>
      <c r="C14" s="5">
        <v>8</v>
      </c>
      <c r="D14" s="28">
        <v>17</v>
      </c>
      <c r="E14" s="29">
        <v>19</v>
      </c>
      <c r="F14" s="28">
        <v>20</v>
      </c>
      <c r="G14" s="29">
        <v>20</v>
      </c>
      <c r="H14" s="28">
        <v>19</v>
      </c>
      <c r="I14" s="29">
        <v>20</v>
      </c>
      <c r="J14" s="28">
        <v>19</v>
      </c>
      <c r="K14" s="29">
        <v>19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2:24">
      <c r="B15" s="21"/>
      <c r="C15" s="5">
        <v>9</v>
      </c>
      <c r="D15" s="28">
        <v>19</v>
      </c>
      <c r="E15" s="29">
        <v>15</v>
      </c>
      <c r="F15" s="28">
        <v>20</v>
      </c>
      <c r="G15" s="29">
        <v>20</v>
      </c>
      <c r="H15" s="28">
        <v>18</v>
      </c>
      <c r="I15" s="29">
        <v>20</v>
      </c>
      <c r="J15" s="28">
        <v>19</v>
      </c>
      <c r="K15" s="29">
        <v>18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2:24" ht="15.75" thickBot="1">
      <c r="B16" s="21"/>
      <c r="C16" s="6">
        <v>10</v>
      </c>
      <c r="D16" s="30">
        <v>11</v>
      </c>
      <c r="E16" s="31">
        <v>11</v>
      </c>
      <c r="F16" s="30">
        <v>11</v>
      </c>
      <c r="G16" s="31">
        <v>11</v>
      </c>
      <c r="H16" s="30">
        <v>10</v>
      </c>
      <c r="I16" s="31">
        <v>11</v>
      </c>
      <c r="J16" s="30">
        <v>11</v>
      </c>
      <c r="K16" s="31">
        <v>11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9" spans="2:11" ht="19.5" thickBot="1">
      <c r="B19" s="48" t="s">
        <v>51</v>
      </c>
    </row>
    <row r="20" spans="2:11">
      <c r="C20" s="52"/>
      <c r="D20" s="118" t="s">
        <v>23</v>
      </c>
      <c r="E20" s="119"/>
      <c r="F20" s="120" t="s">
        <v>24</v>
      </c>
      <c r="G20" s="120"/>
      <c r="H20" s="118" t="s">
        <v>25</v>
      </c>
      <c r="I20" s="119"/>
      <c r="J20" s="120" t="s">
        <v>26</v>
      </c>
      <c r="K20" s="119"/>
    </row>
    <row r="21" spans="2:11" ht="15.75" thickBot="1">
      <c r="C21" s="53" t="s">
        <v>27</v>
      </c>
      <c r="D21" s="54" t="s">
        <v>54</v>
      </c>
      <c r="E21" s="55" t="s">
        <v>41</v>
      </c>
      <c r="F21" s="56" t="s">
        <v>55</v>
      </c>
      <c r="G21" s="57" t="s">
        <v>43</v>
      </c>
      <c r="H21" s="54" t="s">
        <v>56</v>
      </c>
      <c r="I21" s="55" t="s">
        <v>45</v>
      </c>
      <c r="J21" s="56" t="s">
        <v>57</v>
      </c>
      <c r="K21" s="55" t="s">
        <v>58</v>
      </c>
    </row>
    <row r="22" spans="2:11">
      <c r="C22" s="58">
        <v>1</v>
      </c>
      <c r="D22" s="59">
        <f>AVERAGE(D7:E7)</f>
        <v>26</v>
      </c>
      <c r="E22" s="60">
        <f>D7-E7</f>
        <v>0</v>
      </c>
      <c r="F22" s="61">
        <f>AVERAGE(F7:G7)</f>
        <v>27</v>
      </c>
      <c r="G22" s="62">
        <f>G7-F7</f>
        <v>2</v>
      </c>
      <c r="H22" s="59">
        <f>AVERAGE(H7:I7)</f>
        <v>25.5</v>
      </c>
      <c r="I22" s="60">
        <f>I7-H7</f>
        <v>3</v>
      </c>
      <c r="J22" s="61">
        <f>AVERAGE(J7:K7)</f>
        <v>26</v>
      </c>
      <c r="K22" s="60">
        <f>K7-J7</f>
        <v>0</v>
      </c>
    </row>
    <row r="23" spans="2:11">
      <c r="C23" s="63">
        <v>2</v>
      </c>
      <c r="D23" s="64">
        <f t="shared" ref="D23:D31" si="0">AVERAGE(D8:E8)</f>
        <v>17.5</v>
      </c>
      <c r="E23" s="65">
        <f t="shared" ref="E23:E31" si="1">D8-E8</f>
        <v>1</v>
      </c>
      <c r="F23" s="66">
        <f t="shared" ref="F23:F31" si="2">AVERAGE(F8:G8)</f>
        <v>19</v>
      </c>
      <c r="G23" s="67">
        <f t="shared" ref="G23:G31" si="3">F8-G8</f>
        <v>0</v>
      </c>
      <c r="H23" s="64">
        <f t="shared" ref="H23:H31" si="4">AVERAGE(H8:I8)</f>
        <v>18.5</v>
      </c>
      <c r="I23" s="65">
        <f t="shared" ref="I23:I31" si="5">I8-H8</f>
        <v>1</v>
      </c>
      <c r="J23" s="66">
        <f t="shared" ref="J23:J31" si="6">AVERAGE(J8:K8)</f>
        <v>18.5</v>
      </c>
      <c r="K23" s="65">
        <f t="shared" ref="K23:K31" si="7">K8-J8</f>
        <v>1</v>
      </c>
    </row>
    <row r="24" spans="2:11">
      <c r="C24" s="63">
        <v>3</v>
      </c>
      <c r="D24" s="64">
        <f t="shared" si="0"/>
        <v>37.5</v>
      </c>
      <c r="E24" s="65">
        <f t="shared" si="1"/>
        <v>1</v>
      </c>
      <c r="F24" s="66">
        <f t="shared" si="2"/>
        <v>37</v>
      </c>
      <c r="G24" s="67">
        <f t="shared" si="3"/>
        <v>2</v>
      </c>
      <c r="H24" s="64">
        <f t="shared" si="4"/>
        <v>36.5</v>
      </c>
      <c r="I24" s="65">
        <f t="shared" si="5"/>
        <v>3</v>
      </c>
      <c r="J24" s="66">
        <f t="shared" si="6"/>
        <v>37.5</v>
      </c>
      <c r="K24" s="65">
        <f t="shared" si="7"/>
        <v>1</v>
      </c>
    </row>
    <row r="25" spans="2:11">
      <c r="C25" s="63">
        <v>4</v>
      </c>
      <c r="D25" s="64">
        <f t="shared" si="0"/>
        <v>22.5</v>
      </c>
      <c r="E25" s="65">
        <f>E10-D10</f>
        <v>1</v>
      </c>
      <c r="F25" s="66">
        <f t="shared" si="2"/>
        <v>25.5</v>
      </c>
      <c r="G25" s="67">
        <f>G10-F10</f>
        <v>1</v>
      </c>
      <c r="H25" s="64">
        <f t="shared" si="4"/>
        <v>25</v>
      </c>
      <c r="I25" s="65">
        <f t="shared" si="5"/>
        <v>2</v>
      </c>
      <c r="J25" s="66">
        <f t="shared" si="6"/>
        <v>24.5</v>
      </c>
      <c r="K25" s="65">
        <f t="shared" si="7"/>
        <v>3</v>
      </c>
    </row>
    <row r="26" spans="2:11">
      <c r="C26" s="63">
        <v>5</v>
      </c>
      <c r="D26" s="64">
        <f t="shared" si="0"/>
        <v>22</v>
      </c>
      <c r="E26" s="65">
        <f t="shared" si="1"/>
        <v>0</v>
      </c>
      <c r="F26" s="66">
        <f t="shared" si="2"/>
        <v>22</v>
      </c>
      <c r="G26" s="67">
        <f>F11-G11</f>
        <v>0</v>
      </c>
      <c r="H26" s="64">
        <f t="shared" si="4"/>
        <v>22</v>
      </c>
      <c r="I26" s="65">
        <f t="shared" si="5"/>
        <v>0</v>
      </c>
      <c r="J26" s="66">
        <f t="shared" si="6"/>
        <v>21</v>
      </c>
      <c r="K26" s="65">
        <f t="shared" si="7"/>
        <v>0</v>
      </c>
    </row>
    <row r="27" spans="2:11">
      <c r="C27" s="63">
        <v>6</v>
      </c>
      <c r="D27" s="64">
        <f t="shared" si="0"/>
        <v>9</v>
      </c>
      <c r="E27" s="65">
        <f t="shared" si="1"/>
        <v>0</v>
      </c>
      <c r="F27" s="66">
        <f t="shared" si="2"/>
        <v>9</v>
      </c>
      <c r="G27" s="67">
        <f t="shared" si="3"/>
        <v>0</v>
      </c>
      <c r="H27" s="64">
        <f t="shared" si="4"/>
        <v>9</v>
      </c>
      <c r="I27" s="65">
        <f t="shared" si="5"/>
        <v>0</v>
      </c>
      <c r="J27" s="66">
        <f t="shared" si="6"/>
        <v>9</v>
      </c>
      <c r="K27" s="65">
        <f t="shared" si="7"/>
        <v>0</v>
      </c>
    </row>
    <row r="28" spans="2:11">
      <c r="C28" s="63">
        <v>7</v>
      </c>
      <c r="D28" s="64">
        <f t="shared" si="0"/>
        <v>20</v>
      </c>
      <c r="E28" s="65">
        <f t="shared" si="1"/>
        <v>2</v>
      </c>
      <c r="F28" s="66">
        <f t="shared" si="2"/>
        <v>24</v>
      </c>
      <c r="G28" s="67">
        <f t="shared" si="3"/>
        <v>0</v>
      </c>
      <c r="H28" s="64">
        <f t="shared" si="4"/>
        <v>22.5</v>
      </c>
      <c r="I28" s="65">
        <f t="shared" si="5"/>
        <v>1</v>
      </c>
      <c r="J28" s="66">
        <f t="shared" si="6"/>
        <v>22.5</v>
      </c>
      <c r="K28" s="65">
        <f t="shared" si="7"/>
        <v>1</v>
      </c>
    </row>
    <row r="29" spans="2:11">
      <c r="C29" s="63">
        <v>8</v>
      </c>
      <c r="D29" s="64">
        <f t="shared" si="0"/>
        <v>18</v>
      </c>
      <c r="E29" s="65">
        <f>E14-D14</f>
        <v>2</v>
      </c>
      <c r="F29" s="66">
        <f t="shared" si="2"/>
        <v>20</v>
      </c>
      <c r="G29" s="67">
        <f t="shared" si="3"/>
        <v>0</v>
      </c>
      <c r="H29" s="64">
        <f t="shared" si="4"/>
        <v>19.5</v>
      </c>
      <c r="I29" s="65">
        <f t="shared" si="5"/>
        <v>1</v>
      </c>
      <c r="J29" s="66">
        <f t="shared" si="6"/>
        <v>19</v>
      </c>
      <c r="K29" s="65">
        <f t="shared" si="7"/>
        <v>0</v>
      </c>
    </row>
    <row r="30" spans="2:11">
      <c r="C30" s="63">
        <v>9</v>
      </c>
      <c r="D30" s="64">
        <f t="shared" si="0"/>
        <v>17</v>
      </c>
      <c r="E30" s="65">
        <f t="shared" si="1"/>
        <v>4</v>
      </c>
      <c r="F30" s="66">
        <f t="shared" si="2"/>
        <v>20</v>
      </c>
      <c r="G30" s="67">
        <f t="shared" si="3"/>
        <v>0</v>
      </c>
      <c r="H30" s="64">
        <f t="shared" si="4"/>
        <v>19</v>
      </c>
      <c r="I30" s="65">
        <f t="shared" si="5"/>
        <v>2</v>
      </c>
      <c r="J30" s="66">
        <f t="shared" si="6"/>
        <v>18.5</v>
      </c>
      <c r="K30" s="65">
        <f>J15-K15</f>
        <v>1</v>
      </c>
    </row>
    <row r="31" spans="2:11" ht="15.75" thickBot="1">
      <c r="C31" s="68">
        <v>10</v>
      </c>
      <c r="D31" s="69">
        <f t="shared" si="0"/>
        <v>11</v>
      </c>
      <c r="E31" s="70">
        <f t="shared" si="1"/>
        <v>0</v>
      </c>
      <c r="F31" s="71">
        <f t="shared" si="2"/>
        <v>11</v>
      </c>
      <c r="G31" s="72">
        <f t="shared" si="3"/>
        <v>0</v>
      </c>
      <c r="H31" s="73">
        <f t="shared" si="4"/>
        <v>10.5</v>
      </c>
      <c r="I31" s="74">
        <f t="shared" si="5"/>
        <v>1</v>
      </c>
      <c r="J31" s="75">
        <f t="shared" si="6"/>
        <v>11</v>
      </c>
      <c r="K31" s="74">
        <f t="shared" si="7"/>
        <v>0</v>
      </c>
    </row>
    <row r="32" spans="2:11" ht="15.75" thickBot="1">
      <c r="C32" s="76" t="s">
        <v>59</v>
      </c>
      <c r="D32" s="77">
        <f>AVERAGE(D22:D31)</f>
        <v>20.05</v>
      </c>
      <c r="E32" s="78">
        <f t="shared" ref="E32:K32" si="8">AVERAGE(E22:E31)</f>
        <v>1.1000000000000001</v>
      </c>
      <c r="F32" s="79">
        <f t="shared" si="8"/>
        <v>21.45</v>
      </c>
      <c r="G32" s="80">
        <f t="shared" si="8"/>
        <v>0.5</v>
      </c>
      <c r="H32" s="77">
        <f t="shared" si="8"/>
        <v>20.8</v>
      </c>
      <c r="I32" s="78">
        <f t="shared" si="8"/>
        <v>1.4</v>
      </c>
      <c r="J32" s="79">
        <f t="shared" si="8"/>
        <v>20.75</v>
      </c>
      <c r="K32" s="78">
        <f t="shared" si="8"/>
        <v>0.7</v>
      </c>
    </row>
    <row r="35" spans="3:17"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3:17" ht="15.75">
      <c r="C36" s="49" t="s">
        <v>31</v>
      </c>
      <c r="E36" s="39"/>
      <c r="F36" s="39"/>
      <c r="G36" s="39"/>
      <c r="H36" s="39"/>
      <c r="I36" s="39"/>
      <c r="J36" s="39"/>
      <c r="K36" s="39"/>
      <c r="L36" s="41">
        <f>I39+I42</f>
        <v>1.6469698969054882</v>
      </c>
      <c r="M36" s="39"/>
      <c r="N36" s="35" t="s">
        <v>37</v>
      </c>
      <c r="O36" s="46">
        <v>1.1279999999999999</v>
      </c>
      <c r="P36" s="39" t="s">
        <v>52</v>
      </c>
      <c r="Q36" s="39"/>
    </row>
    <row r="37" spans="3:17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5" t="s">
        <v>38</v>
      </c>
      <c r="O37" s="46">
        <v>1.6930000000000001</v>
      </c>
      <c r="P37" s="39"/>
      <c r="Q37" s="39"/>
    </row>
    <row r="38" spans="3:17">
      <c r="C38" s="39"/>
      <c r="D38" s="39"/>
      <c r="E38" s="39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9"/>
    </row>
    <row r="39" spans="3:17" ht="15.75">
      <c r="C39" s="39"/>
      <c r="D39" s="39"/>
      <c r="E39" s="39"/>
      <c r="F39" s="38"/>
      <c r="G39" s="38"/>
      <c r="H39" s="38"/>
      <c r="I39" s="40">
        <f>O40/O36</f>
        <v>0.82003546099290792</v>
      </c>
      <c r="J39" s="38"/>
      <c r="K39" s="38"/>
      <c r="L39" s="38"/>
      <c r="M39" s="38"/>
      <c r="N39" s="38"/>
      <c r="O39" s="38"/>
      <c r="P39" s="38"/>
      <c r="Q39" s="39"/>
    </row>
    <row r="40" spans="3:17" ht="15.75">
      <c r="C40" s="39"/>
      <c r="D40" s="39"/>
      <c r="E40" s="39"/>
      <c r="F40" s="38"/>
      <c r="G40" s="38"/>
      <c r="H40" s="38"/>
      <c r="I40" s="40"/>
      <c r="J40" s="38"/>
      <c r="K40" s="38"/>
      <c r="L40" s="38"/>
      <c r="M40" s="38"/>
      <c r="N40" s="38"/>
      <c r="O40" s="38">
        <f>(E32+G32+I32+K32)/4</f>
        <v>0.92500000000000004</v>
      </c>
      <c r="P40" s="38"/>
      <c r="Q40" s="39"/>
    </row>
    <row r="41" spans="3:17" ht="15.75">
      <c r="C41" s="39"/>
      <c r="D41" s="39"/>
      <c r="E41" s="39"/>
      <c r="F41" s="38"/>
      <c r="G41" s="38"/>
      <c r="H41" s="38"/>
      <c r="I41" s="40"/>
      <c r="J41" s="38"/>
      <c r="K41" s="38"/>
      <c r="L41" s="38"/>
      <c r="M41" s="38"/>
      <c r="N41" s="38"/>
      <c r="O41" s="38"/>
      <c r="P41" s="38"/>
      <c r="Q41" s="39"/>
    </row>
    <row r="42" spans="3:17" ht="15.75">
      <c r="C42" s="39"/>
      <c r="D42" s="39"/>
      <c r="E42" s="39"/>
      <c r="F42" s="38"/>
      <c r="G42" s="38"/>
      <c r="H42" s="38"/>
      <c r="I42" s="40">
        <f>O43/O37</f>
        <v>0.82693443591258031</v>
      </c>
      <c r="J42" s="38"/>
      <c r="K42" s="38"/>
      <c r="L42" s="38"/>
      <c r="M42" s="38"/>
      <c r="N42" s="38"/>
      <c r="O42" s="38"/>
      <c r="P42" s="38"/>
      <c r="Q42" s="39"/>
    </row>
    <row r="43" spans="3:17">
      <c r="C43" s="39"/>
      <c r="D43" s="39"/>
      <c r="E43" s="39"/>
      <c r="F43" s="38"/>
      <c r="G43" s="38"/>
      <c r="H43" s="38"/>
      <c r="I43" s="38"/>
      <c r="J43" s="38"/>
      <c r="K43" s="38"/>
      <c r="L43" s="38"/>
      <c r="M43" s="38"/>
      <c r="N43" s="38"/>
      <c r="O43" s="38">
        <f>F32-D32</f>
        <v>1.3999999999999986</v>
      </c>
      <c r="P43" s="38"/>
      <c r="Q43" s="39"/>
    </row>
    <row r="44" spans="3:17">
      <c r="C44" s="39"/>
      <c r="D44" s="39"/>
      <c r="E44" s="39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9"/>
    </row>
    <row r="45" spans="3:17">
      <c r="C45" s="39"/>
      <c r="D45" s="39"/>
      <c r="E45" s="39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9"/>
    </row>
    <row r="46" spans="3:17">
      <c r="C46" s="39"/>
      <c r="D46" s="39"/>
      <c r="E46" s="39"/>
      <c r="F46" s="38"/>
      <c r="G46" s="38"/>
      <c r="H46" s="38"/>
      <c r="I46" s="38"/>
      <c r="J46" s="38"/>
      <c r="K46" s="38"/>
      <c r="L46" s="38"/>
      <c r="M46" s="38"/>
      <c r="N46" s="38"/>
      <c r="O46" s="38">
        <f>F32</f>
        <v>21.45</v>
      </c>
      <c r="P46" s="38"/>
      <c r="Q46" s="39"/>
    </row>
    <row r="47" spans="3:17">
      <c r="C47" s="39"/>
      <c r="D47" s="39"/>
      <c r="E47" s="39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9"/>
    </row>
    <row r="48" spans="3:17" ht="18.75">
      <c r="C48" s="39"/>
      <c r="D48" s="39"/>
      <c r="E48" s="51" t="s">
        <v>49</v>
      </c>
      <c r="F48" s="38"/>
      <c r="G48" s="38"/>
      <c r="H48" s="38"/>
      <c r="I48" s="38"/>
      <c r="J48" s="38"/>
      <c r="K48" s="38"/>
      <c r="L48" s="38"/>
      <c r="M48" s="38"/>
      <c r="N48" s="38"/>
      <c r="O48" s="38">
        <f>D32</f>
        <v>20.05</v>
      </c>
      <c r="P48" s="38"/>
      <c r="Q48" s="39"/>
    </row>
    <row r="49" spans="3:17">
      <c r="C49" s="39"/>
      <c r="D49" s="39"/>
      <c r="E49" s="39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9"/>
    </row>
    <row r="50" spans="3:17" ht="15.75">
      <c r="C50" s="39"/>
      <c r="D50" s="39"/>
      <c r="E50" s="50" t="s">
        <v>63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9"/>
    </row>
    <row r="51" spans="3:17" ht="15.75">
      <c r="C51" s="39"/>
      <c r="D51" s="50"/>
      <c r="E51" s="50" t="s">
        <v>21</v>
      </c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3:17" ht="15.75">
      <c r="C52" s="39"/>
      <c r="D52" s="50"/>
      <c r="E52" s="50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 spans="3:17" ht="15.75">
      <c r="C53" s="39"/>
      <c r="D53" s="50"/>
      <c r="E53" s="50" t="s">
        <v>62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3:17" ht="15.75">
      <c r="C54" s="39"/>
      <c r="D54" s="50"/>
      <c r="E54" s="50" t="s">
        <v>61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3:17" ht="15.75">
      <c r="C55" s="39"/>
      <c r="D55" s="50"/>
      <c r="E55" s="50" t="s">
        <v>47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3:17" ht="15.75">
      <c r="C56" s="39"/>
      <c r="D56" s="50"/>
      <c r="E56" s="50" t="s">
        <v>48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3:17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3:17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</row>
  </sheetData>
  <mergeCells count="8">
    <mergeCell ref="D20:E20"/>
    <mergeCell ref="F20:G20"/>
    <mergeCell ref="H20:I20"/>
    <mergeCell ref="J20:K20"/>
    <mergeCell ref="J5:K5"/>
    <mergeCell ref="D5:E5"/>
    <mergeCell ref="F5:G5"/>
    <mergeCell ref="H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58"/>
  <sheetViews>
    <sheetView topLeftCell="A39" workbookViewId="0"/>
  </sheetViews>
  <sheetFormatPr defaultRowHeight="15"/>
  <sheetData>
    <row r="3" spans="2:11" ht="18.75">
      <c r="B3" s="88" t="s">
        <v>66</v>
      </c>
      <c r="C3" s="37" t="s">
        <v>64</v>
      </c>
      <c r="D3" s="37"/>
      <c r="E3" s="37"/>
      <c r="F3" s="37"/>
      <c r="G3" s="37"/>
      <c r="H3" s="37"/>
      <c r="I3" s="37"/>
      <c r="J3" s="37"/>
      <c r="K3" s="37"/>
    </row>
    <row r="4" spans="2:11">
      <c r="B4" s="36"/>
      <c r="C4" s="39" t="s">
        <v>65</v>
      </c>
      <c r="D4" s="36"/>
      <c r="E4" s="36"/>
      <c r="F4" s="36"/>
      <c r="G4" s="36"/>
      <c r="H4" s="36"/>
      <c r="I4" s="36"/>
      <c r="J4" s="36"/>
      <c r="K4" s="36"/>
    </row>
    <row r="5" spans="2:11" ht="15.75" thickBot="1"/>
    <row r="6" spans="2:11" ht="15.75" thickBot="1">
      <c r="B6" s="36"/>
      <c r="C6" s="95"/>
      <c r="D6" s="121" t="s">
        <v>32</v>
      </c>
      <c r="E6" s="122"/>
      <c r="F6" s="123" t="s">
        <v>33</v>
      </c>
      <c r="G6" s="122"/>
      <c r="H6" s="36"/>
      <c r="I6" s="36"/>
      <c r="J6" s="36"/>
      <c r="K6" s="36"/>
    </row>
    <row r="7" spans="2:11" ht="15.75" thickBot="1">
      <c r="B7" s="36"/>
      <c r="C7" s="96" t="s">
        <v>34</v>
      </c>
      <c r="D7" s="99" t="s">
        <v>35</v>
      </c>
      <c r="E7" s="100" t="s">
        <v>36</v>
      </c>
      <c r="F7" s="101" t="s">
        <v>35</v>
      </c>
      <c r="G7" s="100" t="s">
        <v>36</v>
      </c>
      <c r="H7" s="36"/>
      <c r="I7" s="106" t="s">
        <v>2</v>
      </c>
      <c r="J7" s="37" t="s">
        <v>14</v>
      </c>
      <c r="K7" s="38"/>
    </row>
    <row r="8" spans="2:11">
      <c r="B8" s="36"/>
      <c r="C8" s="97">
        <v>1</v>
      </c>
      <c r="D8" s="89">
        <v>3.0449999999999999</v>
      </c>
      <c r="E8" s="91">
        <v>3.0409999999999999</v>
      </c>
      <c r="F8" s="90">
        <v>3.048</v>
      </c>
      <c r="G8" s="91">
        <v>3.0459999999999998</v>
      </c>
      <c r="H8" s="36"/>
      <c r="I8" s="45" t="s">
        <v>9</v>
      </c>
      <c r="J8" s="36" t="s">
        <v>10</v>
      </c>
      <c r="K8" s="36"/>
    </row>
    <row r="9" spans="2:11">
      <c r="B9" s="36"/>
      <c r="C9" s="97">
        <v>2</v>
      </c>
      <c r="D9" s="89">
        <v>3.0369999999999999</v>
      </c>
      <c r="E9" s="91">
        <v>3.0379999999999998</v>
      </c>
      <c r="F9" s="90">
        <v>3.0310000000000001</v>
      </c>
      <c r="G9" s="91">
        <v>3.0379999999999998</v>
      </c>
      <c r="H9" s="36"/>
      <c r="I9" s="45" t="s">
        <v>30</v>
      </c>
      <c r="J9" s="36" t="s">
        <v>15</v>
      </c>
      <c r="K9" s="36"/>
    </row>
    <row r="10" spans="2:11">
      <c r="B10" s="36"/>
      <c r="C10" s="97">
        <v>3</v>
      </c>
      <c r="D10" s="89">
        <v>3.0209999999999999</v>
      </c>
      <c r="E10" s="91">
        <v>3.024</v>
      </c>
      <c r="F10" s="90">
        <v>3.0230000000000001</v>
      </c>
      <c r="G10" s="91">
        <v>3.0219999999999998</v>
      </c>
      <c r="H10" s="36"/>
      <c r="I10" s="36"/>
      <c r="J10" s="36"/>
      <c r="K10" s="36"/>
    </row>
    <row r="11" spans="2:11">
      <c r="B11" s="36"/>
      <c r="C11" s="97">
        <v>4</v>
      </c>
      <c r="D11" s="89">
        <v>3.0169999999999999</v>
      </c>
      <c r="E11" s="91">
        <v>3.012</v>
      </c>
      <c r="F11" s="90">
        <v>3.0110000000000001</v>
      </c>
      <c r="G11" s="91">
        <v>3.016</v>
      </c>
      <c r="H11" s="36"/>
      <c r="I11" s="36"/>
      <c r="J11" s="36"/>
      <c r="K11" s="36"/>
    </row>
    <row r="12" spans="2:11">
      <c r="C12" s="97">
        <v>5</v>
      </c>
      <c r="D12" s="89">
        <v>3.048</v>
      </c>
      <c r="E12" s="91">
        <v>3.0489999999999999</v>
      </c>
      <c r="F12" s="90">
        <v>3.0419999999999998</v>
      </c>
      <c r="G12" s="91">
        <v>3.048</v>
      </c>
    </row>
    <row r="13" spans="2:11">
      <c r="C13" s="97">
        <v>6</v>
      </c>
      <c r="D13" s="89">
        <v>3.0459999999999998</v>
      </c>
      <c r="E13" s="91">
        <v>3.0449999999999999</v>
      </c>
      <c r="F13" s="90">
        <v>3.0419999999999998</v>
      </c>
      <c r="G13" s="91">
        <v>3.0430000000000001</v>
      </c>
    </row>
    <row r="14" spans="2:11">
      <c r="C14" s="97">
        <v>7</v>
      </c>
      <c r="D14" s="89">
        <v>3.0390000000000001</v>
      </c>
      <c r="E14" s="91">
        <v>3.0339999999999998</v>
      </c>
      <c r="F14" s="90">
        <v>3.0329999999999999</v>
      </c>
      <c r="G14" s="91">
        <v>3.0350000000000001</v>
      </c>
    </row>
    <row r="15" spans="2:11">
      <c r="C15" s="97">
        <v>8</v>
      </c>
      <c r="D15" s="89">
        <v>3.0329999999999999</v>
      </c>
      <c r="E15" s="91">
        <v>3.0350000000000001</v>
      </c>
      <c r="F15" s="90">
        <v>3.0379999999999998</v>
      </c>
      <c r="G15" s="91">
        <v>3.0369999999999999</v>
      </c>
    </row>
    <row r="16" spans="2:11">
      <c r="C16" s="97">
        <v>9</v>
      </c>
      <c r="D16" s="89">
        <v>3.048</v>
      </c>
      <c r="E16" s="91">
        <v>3.0409999999999999</v>
      </c>
      <c r="F16" s="90">
        <v>3.0339999999999998</v>
      </c>
      <c r="G16" s="91">
        <v>3.032</v>
      </c>
    </row>
    <row r="17" spans="2:7" ht="15.75" thickBot="1">
      <c r="C17" s="98">
        <v>10</v>
      </c>
      <c r="D17" s="92">
        <v>3.0409999999999999</v>
      </c>
      <c r="E17" s="94">
        <v>3.0489999999999999</v>
      </c>
      <c r="F17" s="93">
        <v>3.0459999999999998</v>
      </c>
      <c r="G17" s="94">
        <v>3.0449999999999999</v>
      </c>
    </row>
    <row r="21" spans="2:7" ht="19.5" thickBot="1">
      <c r="B21" s="48" t="s">
        <v>51</v>
      </c>
    </row>
    <row r="22" spans="2:7" ht="15.75" thickBot="1">
      <c r="C22" s="58"/>
      <c r="D22" s="124" t="s">
        <v>32</v>
      </c>
      <c r="E22" s="125"/>
      <c r="F22" s="126" t="s">
        <v>33</v>
      </c>
      <c r="G22" s="125"/>
    </row>
    <row r="23" spans="2:7" ht="15.75" thickBot="1">
      <c r="C23" s="102"/>
      <c r="D23" s="103" t="s">
        <v>54</v>
      </c>
      <c r="E23" s="104" t="s">
        <v>41</v>
      </c>
      <c r="F23" s="105" t="s">
        <v>55</v>
      </c>
      <c r="G23" s="104" t="s">
        <v>43</v>
      </c>
    </row>
    <row r="24" spans="2:7">
      <c r="C24" s="81">
        <v>1</v>
      </c>
      <c r="D24" s="82">
        <f>AVERAGE(D8:E8)</f>
        <v>3.0430000000000001</v>
      </c>
      <c r="E24" s="83">
        <f>D8-E8</f>
        <v>4.0000000000000036E-3</v>
      </c>
      <c r="F24" s="84">
        <f>AVERAGE(F8:G8)</f>
        <v>3.0469999999999997</v>
      </c>
      <c r="G24" s="83">
        <f>F8-G8</f>
        <v>2.0000000000002238E-3</v>
      </c>
    </row>
    <row r="25" spans="2:7">
      <c r="C25" s="63">
        <v>2</v>
      </c>
      <c r="D25" s="64">
        <f t="shared" ref="D25:D33" si="0">AVERAGE(D9:E9)</f>
        <v>3.0374999999999996</v>
      </c>
      <c r="E25" s="65">
        <f>E9-D9</f>
        <v>9.9999999999988987E-4</v>
      </c>
      <c r="F25" s="66">
        <f t="shared" ref="F25:F33" si="1">AVERAGE(F9:G9)</f>
        <v>3.0345</v>
      </c>
      <c r="G25" s="65">
        <f>G9-F9</f>
        <v>6.9999999999996732E-3</v>
      </c>
    </row>
    <row r="26" spans="2:7">
      <c r="C26" s="63">
        <v>3</v>
      </c>
      <c r="D26" s="64">
        <f t="shared" si="0"/>
        <v>3.0225</v>
      </c>
      <c r="E26" s="65">
        <f>E10-D10</f>
        <v>3.0000000000001137E-3</v>
      </c>
      <c r="F26" s="66">
        <f t="shared" si="1"/>
        <v>3.0225</v>
      </c>
      <c r="G26" s="65">
        <f t="shared" ref="G26:G33" si="2">F10-G10</f>
        <v>1.000000000000334E-3</v>
      </c>
    </row>
    <row r="27" spans="2:7">
      <c r="C27" s="63">
        <v>4</v>
      </c>
      <c r="D27" s="64">
        <f t="shared" si="0"/>
        <v>3.0145</v>
      </c>
      <c r="E27" s="65">
        <f t="shared" ref="E27:E32" si="3">D11-E11</f>
        <v>4.9999999999998934E-3</v>
      </c>
      <c r="F27" s="66">
        <f t="shared" si="1"/>
        <v>3.0135000000000001</v>
      </c>
      <c r="G27" s="65">
        <f>G11-F11</f>
        <v>4.9999999999998934E-3</v>
      </c>
    </row>
    <row r="28" spans="2:7">
      <c r="C28" s="63">
        <v>5</v>
      </c>
      <c r="D28" s="64">
        <f t="shared" si="0"/>
        <v>3.0484999999999998</v>
      </c>
      <c r="E28" s="65">
        <f>E12-D12</f>
        <v>9.9999999999988987E-4</v>
      </c>
      <c r="F28" s="66">
        <f t="shared" si="1"/>
        <v>3.0449999999999999</v>
      </c>
      <c r="G28" s="65">
        <f>G12-F12</f>
        <v>6.0000000000002274E-3</v>
      </c>
    </row>
    <row r="29" spans="2:7">
      <c r="C29" s="63">
        <v>6</v>
      </c>
      <c r="D29" s="64">
        <f t="shared" si="0"/>
        <v>3.0454999999999997</v>
      </c>
      <c r="E29" s="65">
        <f t="shared" si="3"/>
        <v>9.9999999999988987E-4</v>
      </c>
      <c r="F29" s="66">
        <f t="shared" si="1"/>
        <v>3.0425</v>
      </c>
      <c r="G29" s="65">
        <f>G13-F13</f>
        <v>1.000000000000334E-3</v>
      </c>
    </row>
    <row r="30" spans="2:7">
      <c r="C30" s="63">
        <v>7</v>
      </c>
      <c r="D30" s="64">
        <f t="shared" si="0"/>
        <v>3.0365000000000002</v>
      </c>
      <c r="E30" s="65">
        <f t="shared" si="3"/>
        <v>5.0000000000003375E-3</v>
      </c>
      <c r="F30" s="66">
        <f t="shared" si="1"/>
        <v>3.0339999999999998</v>
      </c>
      <c r="G30" s="65">
        <f>G14-F14</f>
        <v>2.0000000000002238E-3</v>
      </c>
    </row>
    <row r="31" spans="2:7">
      <c r="C31" s="63">
        <v>8</v>
      </c>
      <c r="D31" s="64">
        <f t="shared" si="0"/>
        <v>3.0339999999999998</v>
      </c>
      <c r="E31" s="65">
        <f>E15-D15</f>
        <v>2.0000000000002238E-3</v>
      </c>
      <c r="F31" s="66">
        <f t="shared" si="1"/>
        <v>3.0374999999999996</v>
      </c>
      <c r="G31" s="65">
        <f t="shared" si="2"/>
        <v>9.9999999999988987E-4</v>
      </c>
    </row>
    <row r="32" spans="2:7">
      <c r="C32" s="63">
        <v>9</v>
      </c>
      <c r="D32" s="64">
        <f t="shared" si="0"/>
        <v>3.0445000000000002</v>
      </c>
      <c r="E32" s="65">
        <f t="shared" si="3"/>
        <v>7.0000000000001172E-3</v>
      </c>
      <c r="F32" s="66">
        <f t="shared" si="1"/>
        <v>3.0329999999999999</v>
      </c>
      <c r="G32" s="65">
        <f t="shared" si="2"/>
        <v>1.9999999999997797E-3</v>
      </c>
    </row>
    <row r="33" spans="3:16" ht="15.75" thickBot="1">
      <c r="C33" s="68">
        <v>10</v>
      </c>
      <c r="D33" s="73">
        <f t="shared" si="0"/>
        <v>3.0449999999999999</v>
      </c>
      <c r="E33" s="74">
        <f>E17-D17</f>
        <v>8.0000000000000071E-3</v>
      </c>
      <c r="F33" s="75">
        <f t="shared" si="1"/>
        <v>3.0454999999999997</v>
      </c>
      <c r="G33" s="74">
        <f t="shared" si="2"/>
        <v>9.9999999999988987E-4</v>
      </c>
    </row>
    <row r="34" spans="3:16" ht="15.75" thickBot="1">
      <c r="C34" s="76" t="s">
        <v>59</v>
      </c>
      <c r="D34" s="77">
        <f>AVERAGE(D24:D33)</f>
        <v>3.0371499999999996</v>
      </c>
      <c r="E34" s="77">
        <f>AVERAGE(E24:E33)</f>
        <v>3.7000000000000366E-3</v>
      </c>
      <c r="F34" s="79">
        <f t="shared" ref="F34:G34" si="4">AVERAGE(F24:F33)</f>
        <v>3.0354999999999999</v>
      </c>
      <c r="G34" s="78">
        <f t="shared" si="4"/>
        <v>2.8000000000000468E-3</v>
      </c>
    </row>
    <row r="36" spans="3:16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3:16" ht="15.75">
      <c r="C37" s="49" t="s">
        <v>31</v>
      </c>
      <c r="D37" s="39"/>
      <c r="E37" s="39"/>
      <c r="F37" s="39"/>
      <c r="G37" s="39"/>
      <c r="H37" s="39"/>
      <c r="I37" s="39"/>
      <c r="J37" s="39"/>
      <c r="K37" s="39"/>
      <c r="L37" s="41">
        <f>I40+I43</f>
        <v>3.8558069732271289E-3</v>
      </c>
      <c r="M37" s="39"/>
      <c r="N37" s="35" t="s">
        <v>37</v>
      </c>
      <c r="O37" s="46">
        <v>1.1279999999999999</v>
      </c>
      <c r="P37" s="39" t="s">
        <v>52</v>
      </c>
    </row>
    <row r="38" spans="3:16"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5" t="s">
        <v>38</v>
      </c>
      <c r="O38" s="46">
        <v>1.6930000000000001</v>
      </c>
      <c r="P38" s="39"/>
    </row>
    <row r="39" spans="3:16">
      <c r="C39" s="39"/>
      <c r="D39" s="39"/>
      <c r="E39" s="39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3:16" ht="15.75">
      <c r="C40" s="39"/>
      <c r="D40" s="39"/>
      <c r="E40" s="39"/>
      <c r="F40" s="38"/>
      <c r="G40" s="38"/>
      <c r="H40" s="38"/>
      <c r="I40" s="40">
        <f>O41/O37</f>
        <v>2.8812056737589028E-3</v>
      </c>
      <c r="J40" s="38"/>
      <c r="K40" s="38"/>
      <c r="L40" s="38"/>
      <c r="M40" s="38"/>
      <c r="N40" s="38"/>
      <c r="O40" s="38"/>
      <c r="P40" s="38"/>
    </row>
    <row r="41" spans="3:16" ht="15.75">
      <c r="C41" s="39"/>
      <c r="D41" s="39"/>
      <c r="E41" s="39"/>
      <c r="F41" s="38"/>
      <c r="G41" s="38"/>
      <c r="H41" s="38"/>
      <c r="I41" s="40"/>
      <c r="J41" s="38"/>
      <c r="K41" s="38"/>
      <c r="L41" s="38"/>
      <c r="M41" s="38"/>
      <c r="N41" s="38"/>
      <c r="O41" s="38">
        <f>(E34+G34)/2</f>
        <v>3.2500000000000419E-3</v>
      </c>
      <c r="P41" s="38"/>
    </row>
    <row r="42" spans="3:16" ht="15.75">
      <c r="C42" s="39"/>
      <c r="D42" s="39"/>
      <c r="E42" s="39"/>
      <c r="F42" s="38"/>
      <c r="G42" s="38"/>
      <c r="H42" s="38"/>
      <c r="I42" s="40"/>
      <c r="J42" s="38"/>
      <c r="K42" s="38"/>
      <c r="L42" s="38"/>
      <c r="M42" s="38"/>
      <c r="N42" s="38"/>
      <c r="O42" s="38"/>
      <c r="P42" s="38"/>
    </row>
    <row r="43" spans="3:16" ht="15.75">
      <c r="C43" s="39"/>
      <c r="D43" s="39"/>
      <c r="E43" s="39"/>
      <c r="F43" s="38"/>
      <c r="G43" s="38"/>
      <c r="H43" s="38"/>
      <c r="I43" s="40">
        <f>O44/O38</f>
        <v>9.7460129946822633E-4</v>
      </c>
      <c r="J43" s="38"/>
      <c r="K43" s="38"/>
      <c r="L43" s="38"/>
      <c r="M43" s="38"/>
      <c r="N43" s="38"/>
      <c r="O43" s="38"/>
      <c r="P43" s="38"/>
    </row>
    <row r="44" spans="3:16">
      <c r="C44" s="39"/>
      <c r="D44" s="39"/>
      <c r="E44" s="39"/>
      <c r="F44" s="38"/>
      <c r="G44" s="38"/>
      <c r="H44" s="38"/>
      <c r="I44" s="38"/>
      <c r="J44" s="38"/>
      <c r="K44" s="38"/>
      <c r="L44" s="38"/>
      <c r="M44" s="38"/>
      <c r="N44" s="38"/>
      <c r="O44" s="38">
        <f>D34-F34</f>
        <v>1.6499999999997073E-3</v>
      </c>
      <c r="P44" s="38"/>
    </row>
    <row r="45" spans="3:16">
      <c r="C45" s="39"/>
      <c r="D45" s="39"/>
      <c r="E45" s="39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3:16">
      <c r="C46" s="39"/>
      <c r="D46" s="39"/>
      <c r="E46" s="39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3:16">
      <c r="C47" s="39"/>
      <c r="D47" s="39"/>
      <c r="E47" s="39"/>
      <c r="F47" s="38"/>
      <c r="G47" s="38"/>
      <c r="H47" s="38"/>
      <c r="I47" s="38"/>
      <c r="J47" s="38"/>
      <c r="K47" s="38"/>
      <c r="L47" s="38"/>
      <c r="M47" s="38"/>
      <c r="N47" s="38"/>
      <c r="O47" s="38">
        <f>D34</f>
        <v>3.0371499999999996</v>
      </c>
      <c r="P47" s="38"/>
    </row>
    <row r="48" spans="3:16">
      <c r="C48" s="39"/>
      <c r="D48" s="39"/>
      <c r="E48" s="39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3:16" ht="18.75">
      <c r="C49" s="39"/>
      <c r="D49" s="39"/>
      <c r="E49" s="51" t="s">
        <v>49</v>
      </c>
      <c r="F49" s="38"/>
      <c r="G49" s="38"/>
      <c r="H49" s="38"/>
      <c r="I49" s="38"/>
      <c r="J49" s="38"/>
      <c r="K49" s="38"/>
      <c r="L49" s="38"/>
      <c r="M49" s="38"/>
      <c r="N49" s="38"/>
      <c r="O49" s="38">
        <f>F34</f>
        <v>3.0354999999999999</v>
      </c>
      <c r="P49" s="38"/>
    </row>
    <row r="50" spans="3:16">
      <c r="C50" s="39"/>
      <c r="D50" s="39"/>
      <c r="E50" s="39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3:16" ht="15.75">
      <c r="C51" s="39"/>
      <c r="D51" s="39"/>
      <c r="E51" s="50" t="s">
        <v>69</v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3:16" ht="15.75">
      <c r="C52" s="39"/>
      <c r="D52" s="50"/>
      <c r="E52" s="50" t="s">
        <v>21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3:16" ht="15.75">
      <c r="C53" s="39"/>
      <c r="D53" s="50"/>
      <c r="E53" s="50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3:16" ht="15.75">
      <c r="C54" s="39"/>
      <c r="D54" s="50"/>
      <c r="E54" s="50" t="s">
        <v>67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3:16" ht="15.75">
      <c r="C55" s="39"/>
      <c r="D55" s="50"/>
      <c r="E55" s="50" t="s">
        <v>68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3:16" ht="15.75">
      <c r="C56" s="39"/>
      <c r="D56" s="50"/>
      <c r="E56" s="50" t="s">
        <v>47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3:16" ht="15.75">
      <c r="C57" s="39"/>
      <c r="D57" s="50"/>
      <c r="E57" s="50" t="s">
        <v>48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3:16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</sheetData>
  <mergeCells count="4">
    <mergeCell ref="D6:E6"/>
    <mergeCell ref="F6:G6"/>
    <mergeCell ref="D22:E22"/>
    <mergeCell ref="F22:G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02A090B29A3F4D98CBEDF0D42C076C" ma:contentTypeVersion="3" ma:contentTypeDescription="Create a new document." ma:contentTypeScope="" ma:versionID="9b953c1d57d0991ad88253829ca9eeec">
  <xsd:schema xmlns:xsd="http://www.w3.org/2001/XMLSchema" xmlns:xs="http://www.w3.org/2001/XMLSchema" xmlns:p="http://schemas.microsoft.com/office/2006/metadata/properties" xmlns:ns2="976fc8ed-ffe9-4a2e-9974-143458468125" targetNamespace="http://schemas.microsoft.com/office/2006/metadata/properties" ma:root="true" ma:fieldsID="5b765b5ce406db7567477633a6a3fa1d" ns2:_="">
    <xsd:import namespace="976fc8ed-ffe9-4a2e-9974-1434584681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fc8ed-ffe9-4a2e-9974-14345846812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76fc8ed-ffe9-4a2e-9974-143458468125" xsi:nil="true"/>
  </documentManagement>
</p:properties>
</file>

<file path=customXml/itemProps1.xml><?xml version="1.0" encoding="utf-8"?>
<ds:datastoreItem xmlns:ds="http://schemas.openxmlformats.org/officeDocument/2006/customXml" ds:itemID="{37775633-E4DE-439A-B0DB-23FCED9A43DF}"/>
</file>

<file path=customXml/itemProps2.xml><?xml version="1.0" encoding="utf-8"?>
<ds:datastoreItem xmlns:ds="http://schemas.openxmlformats.org/officeDocument/2006/customXml" ds:itemID="{F5E00C06-027A-48C2-AACD-CEF124AD0545}"/>
</file>

<file path=customXml/itemProps3.xml><?xml version="1.0" encoding="utf-8"?>
<ds:datastoreItem xmlns:ds="http://schemas.openxmlformats.org/officeDocument/2006/customXml" ds:itemID="{C263C495-C14E-4D19-A2B8-E60AEA50A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 Bholani</dc:creator>
  <cp:lastModifiedBy>SVI</cp:lastModifiedBy>
  <dcterms:created xsi:type="dcterms:W3CDTF">2021-09-23T03:26:20Z</dcterms:created>
  <dcterms:modified xsi:type="dcterms:W3CDTF">2021-09-27T03:13:38Z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0x0101008202A090B29A3F4D98CBEDF0D42C076C</vt:lpwstr>
  </property>
</Properties>
</file>