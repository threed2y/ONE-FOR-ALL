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D:\M.Sc Semester-III\Six Sigma LAB\"/>
    </mc:Choice>
  </mc:AlternateContent>
  <xr:revisionPtr revIDLastSave="0" documentId="13_ncr:1_{1A1C05E2-E9FE-4606-91A2-FD788EF754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ample-1" sheetId="1" r:id="rId1"/>
    <sheet name="Example-2" sheetId="2" r:id="rId2"/>
    <sheet name="Example-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6" i="3" l="1"/>
  <c r="I116" i="3"/>
  <c r="G121" i="3"/>
  <c r="G127" i="3"/>
  <c r="G132" i="3"/>
  <c r="I148" i="2"/>
  <c r="G138" i="3"/>
  <c r="G145" i="3"/>
  <c r="G142" i="3"/>
  <c r="H107" i="3"/>
  <c r="H98" i="3"/>
  <c r="H99" i="3"/>
  <c r="H100" i="3"/>
  <c r="H101" i="3"/>
  <c r="H102" i="3"/>
  <c r="H103" i="3"/>
  <c r="H104" i="3"/>
  <c r="H105" i="3"/>
  <c r="H106" i="3"/>
  <c r="H97" i="3"/>
  <c r="G107" i="3"/>
  <c r="G98" i="3"/>
  <c r="G99" i="3"/>
  <c r="G100" i="3"/>
  <c r="G101" i="3"/>
  <c r="G102" i="3"/>
  <c r="G103" i="3"/>
  <c r="G104" i="3"/>
  <c r="G105" i="3"/>
  <c r="G106" i="3"/>
  <c r="G97" i="3"/>
  <c r="F107" i="3"/>
  <c r="F98" i="3"/>
  <c r="F99" i="3"/>
  <c r="F100" i="3"/>
  <c r="F101" i="3"/>
  <c r="F102" i="3"/>
  <c r="F103" i="3"/>
  <c r="F104" i="3"/>
  <c r="F105" i="3"/>
  <c r="F106" i="3"/>
  <c r="F97" i="3"/>
  <c r="E107" i="3"/>
  <c r="E98" i="3"/>
  <c r="E99" i="3"/>
  <c r="E100" i="3"/>
  <c r="E101" i="3"/>
  <c r="E102" i="3"/>
  <c r="E103" i="3"/>
  <c r="E104" i="3"/>
  <c r="E105" i="3"/>
  <c r="E106" i="3"/>
  <c r="E97" i="3"/>
  <c r="I137" i="2"/>
  <c r="I143" i="2"/>
  <c r="I154" i="2"/>
  <c r="I161" i="2"/>
  <c r="I158" i="2"/>
  <c r="H115" i="2"/>
  <c r="N123" i="2"/>
  <c r="M123" i="2"/>
  <c r="L123" i="2"/>
  <c r="K123" i="2"/>
  <c r="J123" i="2"/>
  <c r="I123" i="2"/>
  <c r="H123" i="2"/>
  <c r="G123" i="2"/>
  <c r="N114" i="2"/>
  <c r="N115" i="2"/>
  <c r="N116" i="2"/>
  <c r="N117" i="2"/>
  <c r="N118" i="2"/>
  <c r="N119" i="2"/>
  <c r="N120" i="2"/>
  <c r="N121" i="2"/>
  <c r="N122" i="2"/>
  <c r="N113" i="2"/>
  <c r="M114" i="2"/>
  <c r="M115" i="2"/>
  <c r="M116" i="2"/>
  <c r="M117" i="2"/>
  <c r="M118" i="2"/>
  <c r="M119" i="2"/>
  <c r="M120" i="2"/>
  <c r="M121" i="2"/>
  <c r="M122" i="2"/>
  <c r="M113" i="2"/>
  <c r="L114" i="2"/>
  <c r="L115" i="2"/>
  <c r="L116" i="2"/>
  <c r="L117" i="2"/>
  <c r="L118" i="2"/>
  <c r="L119" i="2"/>
  <c r="L120" i="2"/>
  <c r="L121" i="2"/>
  <c r="L122" i="2"/>
  <c r="L113" i="2"/>
  <c r="K114" i="2"/>
  <c r="K115" i="2"/>
  <c r="K116" i="2"/>
  <c r="K117" i="2"/>
  <c r="K118" i="2"/>
  <c r="K119" i="2"/>
  <c r="K120" i="2"/>
  <c r="K121" i="2"/>
  <c r="K122" i="2"/>
  <c r="K113" i="2"/>
  <c r="J122" i="2"/>
  <c r="J114" i="2"/>
  <c r="J115" i="2"/>
  <c r="J116" i="2"/>
  <c r="J117" i="2"/>
  <c r="J118" i="2"/>
  <c r="J119" i="2"/>
  <c r="J120" i="2"/>
  <c r="J121" i="2"/>
  <c r="J113" i="2"/>
  <c r="H122" i="2"/>
  <c r="I122" i="2"/>
  <c r="I114" i="2"/>
  <c r="I115" i="2"/>
  <c r="I116" i="2"/>
  <c r="I117" i="2"/>
  <c r="I118" i="2"/>
  <c r="I119" i="2"/>
  <c r="I120" i="2"/>
  <c r="I121" i="2"/>
  <c r="I113" i="2"/>
  <c r="H121" i="2"/>
  <c r="H119" i="2"/>
  <c r="H120" i="2"/>
  <c r="H117" i="2"/>
  <c r="H118" i="2"/>
  <c r="H116" i="2"/>
  <c r="H114" i="2"/>
  <c r="H113" i="2"/>
  <c r="G122" i="2"/>
  <c r="G121" i="2"/>
  <c r="G120" i="2"/>
  <c r="G119" i="2"/>
  <c r="G118" i="2"/>
  <c r="G117" i="2"/>
  <c r="G116" i="2"/>
  <c r="G115" i="2"/>
  <c r="G114" i="2"/>
  <c r="G113" i="2"/>
  <c r="L132" i="2" l="1"/>
  <c r="H36" i="1"/>
  <c r="H37" i="1"/>
  <c r="H38" i="1"/>
  <c r="H39" i="1"/>
  <c r="H40" i="1"/>
  <c r="H41" i="1"/>
  <c r="H42" i="1"/>
  <c r="H43" i="1"/>
  <c r="H44" i="1"/>
  <c r="H35" i="1"/>
  <c r="G36" i="1"/>
  <c r="G37" i="1"/>
  <c r="G38" i="1"/>
  <c r="G39" i="1"/>
  <c r="G40" i="1"/>
  <c r="G41" i="1"/>
  <c r="G42" i="1"/>
  <c r="G43" i="1"/>
  <c r="G44" i="1"/>
  <c r="G35" i="1"/>
  <c r="F44" i="1"/>
  <c r="F36" i="1"/>
  <c r="F37" i="1"/>
  <c r="F38" i="1"/>
  <c r="F39" i="1"/>
  <c r="F40" i="1"/>
  <c r="F41" i="1"/>
  <c r="F42" i="1"/>
  <c r="F43" i="1"/>
  <c r="F35" i="1"/>
  <c r="E44" i="1"/>
  <c r="E42" i="1"/>
  <c r="E36" i="1"/>
  <c r="E37" i="1"/>
  <c r="E38" i="1"/>
  <c r="E39" i="1"/>
  <c r="E40" i="1"/>
  <c r="E41" i="1"/>
  <c r="E43" i="1"/>
  <c r="E35" i="1"/>
  <c r="D44" i="1"/>
  <c r="D43" i="1"/>
  <c r="D42" i="1"/>
  <c r="D41" i="1"/>
  <c r="D40" i="1"/>
  <c r="D39" i="1"/>
  <c r="D38" i="1"/>
  <c r="D37" i="1"/>
  <c r="D36" i="1"/>
  <c r="D35" i="1"/>
  <c r="C44" i="1"/>
  <c r="C43" i="1"/>
  <c r="C42" i="1"/>
  <c r="C41" i="1"/>
  <c r="C40" i="1"/>
  <c r="C39" i="1"/>
  <c r="C38" i="1"/>
  <c r="C37" i="1"/>
  <c r="C36" i="1"/>
  <c r="C35" i="1"/>
  <c r="F45" i="1" l="1"/>
  <c r="H45" i="1"/>
  <c r="E45" i="1"/>
  <c r="G81" i="1" s="1"/>
  <c r="G45" i="1"/>
  <c r="G84" i="1" s="1"/>
  <c r="C45" i="1"/>
  <c r="D45" i="1"/>
  <c r="G77" i="1" l="1"/>
  <c r="G66" i="1" s="1"/>
  <c r="G71" i="1"/>
  <c r="G60" i="1" s="1"/>
  <c r="J55" i="1" l="1"/>
</calcChain>
</file>

<file path=xl/sharedStrings.xml><?xml version="1.0" encoding="utf-8"?>
<sst xmlns="http://schemas.openxmlformats.org/spreadsheetml/2006/main" count="444" uniqueCount="122">
  <si>
    <t xml:space="preserve">Consider an experiment in which three operators were asked to make two measurements on each of 10 different parts. The results are shown below:  Find Total GAGE Variation. </t>
  </si>
  <si>
    <t>PARTS</t>
  </si>
  <si>
    <t>OPERATOR 1</t>
  </si>
  <si>
    <t>OPERATOR 2</t>
  </si>
  <si>
    <t>OPERATOR 3</t>
  </si>
  <si>
    <t>MEASUREMENTS</t>
  </si>
  <si>
    <t>(a)</t>
  </si>
  <si>
    <t xml:space="preserve"> Construct a repeatability range chart for the data. Are there any out of control points indicating operator difficulty? </t>
  </si>
  <si>
    <t>A-1</t>
  </si>
  <si>
    <t>A-2</t>
  </si>
  <si>
    <t>B-1</t>
  </si>
  <si>
    <t>B-2</t>
  </si>
  <si>
    <t>C-1</t>
  </si>
  <si>
    <t>C-2</t>
  </si>
  <si>
    <t>(b)</t>
  </si>
  <si>
    <t>Estimate gage repeatability and reproducibility.</t>
  </si>
  <si>
    <t>(c )</t>
  </si>
  <si>
    <t xml:space="preserve">Obtain and estimate for gage percent repeatability and reproducibility. What is assessmentof the measurement  </t>
  </si>
  <si>
    <t>system?</t>
  </si>
  <si>
    <t>EXAMPLE: 2</t>
  </si>
  <si>
    <t>RaterA</t>
  </si>
  <si>
    <t>RaterB</t>
  </si>
  <si>
    <t>RaterC</t>
  </si>
  <si>
    <t>RaterD</t>
  </si>
  <si>
    <t>Parts</t>
  </si>
  <si>
    <t>M-1</t>
  </si>
  <si>
    <t>M-2</t>
  </si>
  <si>
    <t>EXAMPLE: 3</t>
  </si>
  <si>
    <t>An article in Quality Engineering 1997, presents data for gage capability studies based on a measuring device known as an optical comparator, teo operators took two measurements (in mm)</t>
  </si>
  <si>
    <t>of a particular dimension on 10 gear parts. The results are shown below:</t>
  </si>
  <si>
    <t>PART</t>
  </si>
  <si>
    <t>TEST 1</t>
  </si>
  <si>
    <t>TEST 2</t>
  </si>
  <si>
    <t>Name : Manthan Daraji</t>
  </si>
  <si>
    <t>PRN : 2020033800148223</t>
  </si>
  <si>
    <t>Example - 1</t>
  </si>
  <si>
    <t>Solution</t>
  </si>
  <si>
    <t>xbar(A)</t>
  </si>
  <si>
    <t>Rbar(A)</t>
  </si>
  <si>
    <t>xbar(B)</t>
  </si>
  <si>
    <t>Rbar(B)</t>
  </si>
  <si>
    <t>xbar(C)</t>
  </si>
  <si>
    <t>Rbar(C)</t>
  </si>
  <si>
    <t xml:space="preserve">Total GAGE Variation : </t>
  </si>
  <si>
    <t>Constants:</t>
  </si>
  <si>
    <t xml:space="preserve">K = </t>
  </si>
  <si>
    <r>
      <t>d</t>
    </r>
    <r>
      <rPr>
        <b/>
        <vertAlign val="subscript"/>
        <sz val="14"/>
        <color theme="1"/>
        <rFont val="Bahnschrift Light Condensed"/>
        <family val="2"/>
      </rPr>
      <t>2</t>
    </r>
    <r>
      <rPr>
        <b/>
        <sz val="14"/>
        <color theme="1"/>
        <rFont val="Bahnschrift Light Condensed"/>
        <family val="2"/>
      </rPr>
      <t xml:space="preserve"> = </t>
    </r>
  </si>
  <si>
    <t>OPERATORS</t>
  </si>
  <si>
    <t>A</t>
  </si>
  <si>
    <t>B</t>
  </si>
  <si>
    <t>C</t>
  </si>
  <si>
    <t>D</t>
  </si>
  <si>
    <t>MINITAB OUTPUT :</t>
  </si>
  <si>
    <t>GAGE R&amp;R STUDY</t>
  </si>
  <si>
    <t>Two-Way ANOVA Table with Interaction</t>
  </si>
  <si>
    <t>Source</t>
  </si>
  <si>
    <t>DF</t>
  </si>
  <si>
    <t>SS</t>
  </si>
  <si>
    <t>MS</t>
  </si>
  <si>
    <t>F</t>
  </si>
  <si>
    <t>P</t>
  </si>
  <si>
    <t>PARTS * OPERATORS</t>
  </si>
  <si>
    <t>Repeatability</t>
  </si>
  <si>
    <t>Total</t>
  </si>
  <si>
    <t>α to remove interaction term = 0.05</t>
  </si>
  <si>
    <t>Variance Components</t>
  </si>
  <si>
    <t>VarComp</t>
  </si>
  <si>
    <t>%Contribution</t>
  </si>
  <si>
    <t>(of VarComp)</t>
  </si>
  <si>
    <t>Total Gage R&amp;R</t>
  </si>
  <si>
    <t>  Repeatability</t>
  </si>
  <si>
    <t>  Reproducibility</t>
  </si>
  <si>
    <t>    OPERATORS</t>
  </si>
  <si>
    <t>Part-To-Part</t>
  </si>
  <si>
    <t>Total Variation</t>
  </si>
  <si>
    <t>Two-Way ANOVA Table Without Interaction</t>
  </si>
  <si>
    <t>Gage Evaluation</t>
  </si>
  <si>
    <t>StdDev (SD)</t>
  </si>
  <si>
    <t>Study Var</t>
  </si>
  <si>
    <t>(6 × SD)</t>
  </si>
  <si>
    <t>%Study Var</t>
  </si>
  <si>
    <t>(%SV)</t>
  </si>
  <si>
    <t>Joint Probability</t>
  </si>
  <si>
    <t>Description</t>
  </si>
  <si>
    <t>Probability</t>
  </si>
  <si>
    <t>A randomly selected part is bad but accepted</t>
  </si>
  <si>
    <t>A randomly selected part is good but rejected</t>
  </si>
  <si>
    <t>Conditional Probability</t>
  </si>
  <si>
    <t>A part from a group of bad products is accepted</t>
  </si>
  <si>
    <t>A part from a group of good products is rejected</t>
  </si>
  <si>
    <t>*</t>
  </si>
  <si>
    <t>Probability of part within spec limits = 2.63518E-109.</t>
  </si>
  <si>
    <t>MINITAB OUTPUT:</t>
  </si>
  <si>
    <t>H0: A measurements are not significant</t>
  </si>
  <si>
    <t>H1: A measurements are  significant</t>
  </si>
  <si>
    <t>Hypothesis :</t>
  </si>
  <si>
    <t>Conclusion:</t>
  </si>
  <si>
    <t>Hence it is concluded that much of the variation due to parts. Since the total variance is less than 10% So the system is Excellent and Acceptable</t>
  </si>
  <si>
    <t xml:space="preserve">From the GAGE R&amp;R output we can say that the total gage variation 6.39% which is much less than the part-to-part variation 93.61%. </t>
  </si>
  <si>
    <t>Two-Way ANOVA Table With Interaction</t>
  </si>
  <si>
    <t xml:space="preserve">From the GAGE R&amp;R output we can say that the total gage variation 2.04% which is much less than the part-to-part variation 98.97%. </t>
  </si>
  <si>
    <t>Hence it is concluded that much of the variation due to parts. Since the total variance is less than 10% So the system is Excellent and Acceptable.</t>
  </si>
  <si>
    <t>%Tolerance</t>
  </si>
  <si>
    <t>(SV/Toler)</t>
  </si>
  <si>
    <t>Probability of part within spec limits = 1.</t>
  </si>
  <si>
    <t xml:space="preserve">From the GAGE R&amp;R output we can say that the total gage variation 9.97% which is much less than the part-to-part variation 90.03%. </t>
  </si>
  <si>
    <r>
      <t xml:space="preserve">From the GAGE R&amp;R (ANOVA) it is inferred that the </t>
    </r>
    <r>
      <rPr>
        <sz val="14"/>
        <color rgb="FFFF0000"/>
        <rFont val="Century"/>
        <family val="1"/>
      </rPr>
      <t>parts</t>
    </r>
    <r>
      <rPr>
        <sz val="14"/>
        <color theme="1"/>
        <rFont val="Century"/>
        <family val="1"/>
      </rPr>
      <t xml:space="preserve"> are significant and  </t>
    </r>
    <r>
      <rPr>
        <sz val="14"/>
        <color rgb="FFFF0000"/>
        <rFont val="Century"/>
        <family val="1"/>
      </rPr>
      <t>parts &amp; operators</t>
    </r>
    <r>
      <rPr>
        <sz val="14"/>
        <color theme="1"/>
        <rFont val="Century"/>
        <family val="1"/>
      </rPr>
      <t xml:space="preserve"> are not significant whereas interaction is not significant.</t>
    </r>
  </si>
  <si>
    <r>
      <t>From the GAGE R&amp;R (ANOVA) it is inferred that the</t>
    </r>
    <r>
      <rPr>
        <sz val="14"/>
        <color rgb="FFFF0000"/>
        <rFont val="Century"/>
        <family val="1"/>
      </rPr>
      <t xml:space="preserve"> parts and operators</t>
    </r>
    <r>
      <rPr>
        <sz val="14"/>
        <color theme="1"/>
        <rFont val="Century"/>
        <family val="1"/>
      </rPr>
      <t xml:space="preserve"> are highly significant whereas interaction is not significant. </t>
    </r>
  </si>
  <si>
    <t>EXCEL :</t>
  </si>
  <si>
    <t>Measurements</t>
  </si>
  <si>
    <t>X-bar(A)</t>
  </si>
  <si>
    <t>R-bar(A)</t>
  </si>
  <si>
    <t>R-bar(test-2)</t>
  </si>
  <si>
    <t>X-bar(test-2)</t>
  </si>
  <si>
    <t>R-bar(test-1)</t>
  </si>
  <si>
    <t>X-bar(test-1)</t>
  </si>
  <si>
    <t>GAGE R &amp; R STUDY</t>
  </si>
  <si>
    <r>
      <t>From the GAGE R&amp;R (ANOVA) it is inferred that the</t>
    </r>
    <r>
      <rPr>
        <sz val="14"/>
        <color rgb="FFFF0000"/>
        <rFont val="Century"/>
        <family val="1"/>
      </rPr>
      <t xml:space="preserve"> parts and operators</t>
    </r>
    <r>
      <rPr>
        <sz val="14"/>
        <color theme="1"/>
        <rFont val="Century"/>
        <family val="1"/>
      </rPr>
      <t xml:space="preserve"> are highly significant whereas</t>
    </r>
    <r>
      <rPr>
        <sz val="14"/>
        <color rgb="FFFF0000"/>
        <rFont val="Century"/>
        <family val="1"/>
      </rPr>
      <t xml:space="preserve"> interaction</t>
    </r>
    <r>
      <rPr>
        <sz val="14"/>
        <color theme="1"/>
        <rFont val="Century"/>
        <family val="1"/>
      </rPr>
      <t xml:space="preserve"> is not significant.</t>
    </r>
  </si>
  <si>
    <t>Practical - 4</t>
  </si>
  <si>
    <t>According to control chart table , For Size 4</t>
  </si>
  <si>
    <t>According to control chart table , For Size 2</t>
  </si>
  <si>
    <t>According to control chart table , For Size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</si>
</sst>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Calibri"/>
      <charset val="134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1"/>
      <color theme="1"/>
      <name val="Calibri"/>
      <charset val="134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entury"/>
      <family val="1"/>
    </font>
    <font>
      <sz val="11"/>
      <color theme="1"/>
      <name val="Century"/>
      <family val="1"/>
    </font>
    <font>
      <b/>
      <sz val="11"/>
      <color indexed="8"/>
      <name val="Century"/>
      <family val="1"/>
    </font>
    <font>
      <b/>
      <sz val="11"/>
      <color theme="1"/>
      <name val="Century"/>
      <family val="1"/>
    </font>
    <font>
      <sz val="12"/>
      <color indexed="8"/>
      <name val="Century"/>
      <family val="1"/>
    </font>
    <font>
      <b/>
      <sz val="14"/>
      <color rgb="FFFF0000"/>
      <name val="Century"/>
      <family val="1"/>
    </font>
    <font>
      <sz val="14"/>
      <color theme="1"/>
      <name val="Century"/>
      <family val="1"/>
    </font>
    <font>
      <b/>
      <sz val="14"/>
      <color theme="1"/>
      <name val="Century"/>
      <family val="1"/>
    </font>
    <font>
      <b/>
      <u/>
      <sz val="14"/>
      <color theme="1"/>
      <name val="Century"/>
      <family val="1"/>
    </font>
    <font>
      <b/>
      <sz val="14"/>
      <color theme="1"/>
      <name val="Bahnschrift Light Condensed"/>
      <family val="2"/>
    </font>
    <font>
      <b/>
      <vertAlign val="subscript"/>
      <sz val="14"/>
      <color theme="1"/>
      <name val="Bahnschrift Light Condensed"/>
      <family val="2"/>
    </font>
    <font>
      <b/>
      <sz val="12"/>
      <color theme="1"/>
      <name val="Century"/>
      <family val="1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6"/>
      <color rgb="FFFF0000"/>
      <name val="Century"/>
      <family val="1"/>
    </font>
    <font>
      <sz val="12.5"/>
      <color rgb="FF000000"/>
      <name val="Times New Roman"/>
      <family val="1"/>
    </font>
    <font>
      <b/>
      <sz val="14"/>
      <color rgb="FF056EB2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Times New Roman"/>
      <family val="1"/>
    </font>
    <font>
      <b/>
      <u/>
      <sz val="14"/>
      <color rgb="FFFF0000"/>
      <name val="Calibri"/>
      <family val="2"/>
      <scheme val="minor"/>
    </font>
    <font>
      <i/>
      <sz val="12"/>
      <color rgb="FF000000"/>
      <name val="Times New Roman"/>
      <family val="1"/>
    </font>
    <font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u/>
      <sz val="16"/>
      <color rgb="FF000000"/>
      <name val="Century"/>
      <family val="1"/>
    </font>
    <font>
      <b/>
      <u/>
      <sz val="16"/>
      <color theme="1"/>
      <name val="Century"/>
      <family val="1"/>
    </font>
    <font>
      <b/>
      <sz val="9.5"/>
      <color rgb="FF056EB2"/>
      <name val="Segoe UI"/>
      <family val="2"/>
    </font>
    <font>
      <b/>
      <sz val="10"/>
      <color rgb="FF056EB2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sz val="9"/>
      <color rgb="FF000000"/>
      <name val="Segoe UI"/>
      <family val="2"/>
    </font>
    <font>
      <sz val="9"/>
      <color rgb="FF000000"/>
      <name val="Times New Roman"/>
      <family val="1"/>
    </font>
    <font>
      <b/>
      <sz val="11"/>
      <color rgb="FF056EB2"/>
      <name val="Segoe UI"/>
      <family val="2"/>
    </font>
    <font>
      <b/>
      <sz val="12"/>
      <color rgb="FF056EB2"/>
      <name val="Segoe UI"/>
      <family val="2"/>
    </font>
    <font>
      <b/>
      <sz val="20"/>
      <color rgb="FFFF0000"/>
      <name val="Calibri"/>
      <family val="2"/>
      <scheme val="minor"/>
    </font>
    <font>
      <sz val="9.5"/>
      <color rgb="FF000000"/>
      <name val="Times New Roman"/>
      <family val="1"/>
    </font>
    <font>
      <sz val="9"/>
      <color theme="1"/>
      <name val="Calibri"/>
      <family val="2"/>
      <scheme val="minor"/>
    </font>
    <font>
      <sz val="14"/>
      <color rgb="FFFF0000"/>
      <name val="Century"/>
      <family val="1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24"/>
      <color theme="1"/>
      <name val="Calibri"/>
      <family val="2"/>
      <scheme val="minor"/>
    </font>
    <font>
      <sz val="24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rgb="FF383838"/>
      </bottom>
      <diagonal/>
    </border>
    <border>
      <left/>
      <right style="medium">
        <color indexed="64"/>
      </right>
      <top style="medium">
        <color indexed="64"/>
      </top>
      <bottom style="medium">
        <color rgb="FF38383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383838"/>
      </bottom>
      <diagonal/>
    </border>
    <border>
      <left/>
      <right style="medium">
        <color indexed="64"/>
      </right>
      <top/>
      <bottom style="medium">
        <color rgb="FF383838"/>
      </bottom>
      <diagonal/>
    </border>
    <border>
      <left style="medium">
        <color indexed="64"/>
      </left>
      <right style="medium">
        <color indexed="64"/>
      </right>
      <top/>
      <bottom style="medium">
        <color rgb="FF383838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4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0" fillId="0" borderId="0" xfId="0" applyFont="1"/>
    <xf numFmtId="0" fontId="6" fillId="0" borderId="0" xfId="0" applyFont="1"/>
    <xf numFmtId="0" fontId="9" fillId="0" borderId="0" xfId="0" applyNumberFormat="1" applyFont="1" applyFill="1" applyBorder="1" applyAlignment="1" applyProtection="1"/>
    <xf numFmtId="0" fontId="10" fillId="0" borderId="0" xfId="0" applyFont="1"/>
    <xf numFmtId="0" fontId="11" fillId="0" borderId="0" xfId="0" applyNumberFormat="1" applyFont="1" applyFill="1" applyBorder="1" applyAlignment="1" applyProtection="1"/>
    <xf numFmtId="0" fontId="12" fillId="0" borderId="0" xfId="0" applyFont="1"/>
    <xf numFmtId="0" fontId="9" fillId="0" borderId="19" xfId="0" applyNumberFormat="1" applyFont="1" applyFill="1" applyBorder="1" applyAlignment="1" applyProtection="1">
      <alignment horizontal="center" vertical="center"/>
    </xf>
    <xf numFmtId="0" fontId="9" fillId="0" borderId="15" xfId="0" applyNumberFormat="1" applyFont="1" applyFill="1" applyBorder="1" applyAlignment="1" applyProtection="1">
      <alignment horizontal="center" vertical="center"/>
    </xf>
    <xf numFmtId="0" fontId="9" fillId="0" borderId="21" xfId="0" applyNumberFormat="1" applyFont="1" applyFill="1" applyBorder="1" applyAlignment="1" applyProtection="1">
      <alignment horizontal="center" vertical="center"/>
    </xf>
    <xf numFmtId="0" fontId="9" fillId="0" borderId="22" xfId="0" applyNumberFormat="1" applyFont="1" applyFill="1" applyBorder="1" applyAlignment="1" applyProtection="1">
      <alignment horizontal="center" vertical="center"/>
    </xf>
    <xf numFmtId="0" fontId="9" fillId="0" borderId="20" xfId="0" applyNumberFormat="1" applyFont="1" applyFill="1" applyBorder="1" applyAlignment="1" applyProtection="1">
      <alignment horizontal="center" vertical="center"/>
    </xf>
    <xf numFmtId="0" fontId="9" fillId="0" borderId="11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/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17" fillId="0" borderId="0" xfId="0" applyFont="1" applyBorder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6" fillId="0" borderId="11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1" xfId="0" applyFont="1" applyBorder="1"/>
    <xf numFmtId="0" fontId="16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/>
    </xf>
    <xf numFmtId="0" fontId="5" fillId="0" borderId="4" xfId="0" applyNumberFormat="1" applyFont="1" applyFill="1" applyBorder="1" applyAlignment="1" applyProtection="1">
      <alignment horizontal="center"/>
    </xf>
    <xf numFmtId="0" fontId="5" fillId="0" borderId="5" xfId="0" applyNumberFormat="1" applyFont="1" applyFill="1" applyBorder="1" applyAlignment="1" applyProtection="1">
      <alignment horizontal="center"/>
    </xf>
    <xf numFmtId="0" fontId="5" fillId="0" borderId="9" xfId="0" applyNumberFormat="1" applyFont="1" applyFill="1" applyBorder="1" applyAlignment="1" applyProtection="1">
      <alignment horizontal="center"/>
    </xf>
    <xf numFmtId="0" fontId="4" fillId="0" borderId="6" xfId="0" applyNumberFormat="1" applyFont="1" applyFill="1" applyBorder="1" applyAlignment="1" applyProtection="1">
      <alignment horizontal="center"/>
    </xf>
    <xf numFmtId="0" fontId="4" fillId="0" borderId="7" xfId="0" applyNumberFormat="1" applyFont="1" applyFill="1" applyBorder="1" applyAlignment="1" applyProtection="1">
      <alignment horizontal="center"/>
    </xf>
    <xf numFmtId="0" fontId="0" fillId="0" borderId="0" xfId="0" applyBorder="1" applyAlignment="1">
      <alignment horizontal="center" vertical="center"/>
    </xf>
    <xf numFmtId="0" fontId="4" fillId="0" borderId="25" xfId="0" applyNumberFormat="1" applyFont="1" applyFill="1" applyBorder="1" applyAlignment="1" applyProtection="1">
      <alignment horizontal="center" vertical="center"/>
    </xf>
    <xf numFmtId="0" fontId="4" fillId="0" borderId="19" xfId="0" applyNumberFormat="1" applyFont="1" applyFill="1" applyBorder="1" applyAlignment="1" applyProtection="1">
      <alignment horizontal="center" vertical="center"/>
    </xf>
    <xf numFmtId="0" fontId="4" fillId="0" borderId="13" xfId="0" applyNumberFormat="1" applyFont="1" applyFill="1" applyBorder="1" applyAlignment="1" applyProtection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5" xfId="0" applyNumberFormat="1" applyFont="1" applyFill="1" applyBorder="1" applyAlignment="1" applyProtection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8" fillId="0" borderId="0" xfId="0" applyFont="1"/>
    <xf numFmtId="0" fontId="27" fillId="0" borderId="0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17" fillId="0" borderId="0" xfId="0" applyFont="1"/>
    <xf numFmtId="0" fontId="16" fillId="0" borderId="0" xfId="0" applyFont="1"/>
    <xf numFmtId="0" fontId="27" fillId="0" borderId="21" xfId="0" applyFont="1" applyBorder="1" applyAlignment="1">
      <alignment horizontal="center" vertical="center"/>
    </xf>
    <xf numFmtId="0" fontId="26" fillId="2" borderId="28" xfId="0" applyFont="1" applyFill="1" applyBorder="1" applyAlignment="1">
      <alignment horizontal="center" vertical="center" wrapText="1"/>
    </xf>
    <xf numFmtId="0" fontId="26" fillId="2" borderId="27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 indent="1"/>
    </xf>
    <xf numFmtId="0" fontId="31" fillId="0" borderId="0" xfId="0" applyFont="1" applyAlignment="1">
      <alignment horizontal="left" vertical="center" indent="1"/>
    </xf>
    <xf numFmtId="0" fontId="26" fillId="2" borderId="28" xfId="0" applyFont="1" applyFill="1" applyBorder="1" applyAlignment="1">
      <alignment vertical="center" wrapText="1"/>
    </xf>
    <xf numFmtId="0" fontId="27" fillId="0" borderId="21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6" fillId="2" borderId="28" xfId="0" applyFont="1" applyFill="1" applyBorder="1" applyAlignment="1">
      <alignment horizontal="left" vertical="center" wrapText="1"/>
    </xf>
    <xf numFmtId="0" fontId="27" fillId="0" borderId="21" xfId="0" applyFont="1" applyBorder="1" applyAlignment="1">
      <alignment horizontal="left" vertical="center" wrapText="1"/>
    </xf>
    <xf numFmtId="0" fontId="27" fillId="0" borderId="21" xfId="0" applyFont="1" applyBorder="1" applyAlignment="1">
      <alignment horizontal="left" vertical="center"/>
    </xf>
    <xf numFmtId="0" fontId="27" fillId="0" borderId="22" xfId="0" applyFont="1" applyBorder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27" fillId="0" borderId="25" xfId="0" applyFont="1" applyBorder="1" applyAlignment="1">
      <alignment vertical="center" wrapText="1"/>
    </xf>
    <xf numFmtId="0" fontId="27" fillId="0" borderId="13" xfId="0" applyFont="1" applyBorder="1" applyAlignment="1">
      <alignment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5" fillId="0" borderId="23" xfId="0" applyFont="1" applyBorder="1" applyAlignment="1">
      <alignment vertical="center"/>
    </xf>
    <xf numFmtId="0" fontId="0" fillId="0" borderId="24" xfId="0" applyBorder="1" applyAlignment="1"/>
    <xf numFmtId="0" fontId="26" fillId="0" borderId="16" xfId="0" applyFont="1" applyBorder="1" applyAlignment="1">
      <alignment vertical="center" wrapText="1"/>
    </xf>
    <xf numFmtId="0" fontId="26" fillId="2" borderId="24" xfId="0" applyFont="1" applyFill="1" applyBorder="1" applyAlignment="1">
      <alignment horizontal="center" vertical="center" wrapText="1"/>
    </xf>
    <xf numFmtId="0" fontId="26" fillId="2" borderId="29" xfId="0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horizontal="center" vertical="center" wrapText="1"/>
    </xf>
    <xf numFmtId="0" fontId="26" fillId="2" borderId="26" xfId="0" applyFont="1" applyFill="1" applyBorder="1" applyAlignment="1">
      <alignment horizontal="center" vertical="center" wrapText="1"/>
    </xf>
    <xf numFmtId="0" fontId="26" fillId="2" borderId="16" xfId="0" applyFont="1" applyFill="1" applyBorder="1" applyAlignment="1">
      <alignment vertical="center" wrapText="1"/>
    </xf>
    <xf numFmtId="0" fontId="26" fillId="2" borderId="18" xfId="0" applyFont="1" applyFill="1" applyBorder="1" applyAlignment="1">
      <alignment vertical="center" wrapText="1"/>
    </xf>
    <xf numFmtId="0" fontId="32" fillId="0" borderId="0" xfId="0" applyFont="1" applyAlignment="1">
      <alignment horizontal="left" vertical="center" indent="1"/>
    </xf>
    <xf numFmtId="0" fontId="30" fillId="0" borderId="11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center" vertical="center" wrapText="1"/>
    </xf>
    <xf numFmtId="0" fontId="27" fillId="0" borderId="16" xfId="0" applyFont="1" applyBorder="1" applyAlignment="1">
      <alignment vertical="center" wrapText="1"/>
    </xf>
    <xf numFmtId="0" fontId="27" fillId="0" borderId="11" xfId="0" applyFont="1" applyBorder="1" applyAlignment="1">
      <alignment vertical="center" wrapText="1"/>
    </xf>
    <xf numFmtId="0" fontId="33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34" fillId="3" borderId="23" xfId="0" applyFont="1" applyFill="1" applyBorder="1" applyAlignment="1">
      <alignment vertical="center"/>
    </xf>
    <xf numFmtId="0" fontId="0" fillId="3" borderId="12" xfId="0" applyFill="1" applyBorder="1"/>
    <xf numFmtId="0" fontId="0" fillId="3" borderId="24" xfId="0" applyFill="1" applyBorder="1"/>
    <xf numFmtId="0" fontId="0" fillId="3" borderId="25" xfId="0" applyFill="1" applyBorder="1"/>
    <xf numFmtId="0" fontId="0" fillId="3" borderId="0" xfId="0" applyFill="1" applyBorder="1"/>
    <xf numFmtId="0" fontId="0" fillId="3" borderId="19" xfId="0" applyFill="1" applyBorder="1"/>
    <xf numFmtId="0" fontId="15" fillId="3" borderId="25" xfId="0" applyFont="1" applyFill="1" applyBorder="1" applyAlignment="1"/>
    <xf numFmtId="0" fontId="22" fillId="3" borderId="0" xfId="0" applyFont="1" applyFill="1" applyBorder="1" applyAlignment="1"/>
    <xf numFmtId="0" fontId="22" fillId="3" borderId="25" xfId="0" applyFont="1" applyFill="1" applyBorder="1" applyAlignment="1"/>
    <xf numFmtId="0" fontId="22" fillId="3" borderId="13" xfId="0" applyFont="1" applyFill="1" applyBorder="1" applyAlignment="1"/>
    <xf numFmtId="0" fontId="22" fillId="3" borderId="14" xfId="0" applyFont="1" applyFill="1" applyBorder="1" applyAlignment="1"/>
    <xf numFmtId="0" fontId="0" fillId="3" borderId="14" xfId="0" applyFill="1" applyBorder="1"/>
    <xf numFmtId="0" fontId="0" fillId="3" borderId="15" xfId="0" applyFill="1" applyBorder="1"/>
    <xf numFmtId="0" fontId="35" fillId="0" borderId="0" xfId="0" applyFont="1" applyAlignment="1">
      <alignment vertical="center"/>
    </xf>
    <xf numFmtId="0" fontId="37" fillId="0" borderId="0" xfId="0" applyFont="1"/>
    <xf numFmtId="0" fontId="40" fillId="0" borderId="0" xfId="0" applyFont="1" applyAlignment="1">
      <alignment horizontal="left" vertical="center" indent="1"/>
    </xf>
    <xf numFmtId="0" fontId="39" fillId="0" borderId="19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 wrapText="1"/>
    </xf>
    <xf numFmtId="0" fontId="39" fillId="0" borderId="21" xfId="0" applyFont="1" applyBorder="1" applyAlignment="1">
      <alignment horizontal="left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2" xfId="0" applyFont="1" applyBorder="1" applyAlignment="1">
      <alignment horizontal="center" vertical="center" wrapText="1"/>
    </xf>
    <xf numFmtId="0" fontId="39" fillId="0" borderId="11" xfId="0" applyFont="1" applyBorder="1" applyAlignment="1">
      <alignment horizontal="left" vertical="center" wrapText="1"/>
    </xf>
    <xf numFmtId="0" fontId="39" fillId="0" borderId="11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 wrapText="1"/>
    </xf>
    <xf numFmtId="0" fontId="38" fillId="3" borderId="28" xfId="0" applyFont="1" applyFill="1" applyBorder="1" applyAlignment="1">
      <alignment horizontal="left" vertical="center" wrapText="1"/>
    </xf>
    <xf numFmtId="0" fontId="38" fillId="3" borderId="28" xfId="0" applyFont="1" applyFill="1" applyBorder="1" applyAlignment="1">
      <alignment horizontal="center" vertical="center" wrapText="1"/>
    </xf>
    <xf numFmtId="0" fontId="38" fillId="3" borderId="27" xfId="0" applyFont="1" applyFill="1" applyBorder="1" applyAlignment="1">
      <alignment horizontal="center" vertical="center" wrapText="1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36" fillId="0" borderId="23" xfId="0" applyFont="1" applyBorder="1" applyAlignment="1">
      <alignment vertical="center"/>
    </xf>
    <xf numFmtId="0" fontId="37" fillId="0" borderId="24" xfId="0" applyFont="1" applyBorder="1"/>
    <xf numFmtId="0" fontId="39" fillId="0" borderId="25" xfId="0" applyFont="1" applyBorder="1" applyAlignment="1">
      <alignment vertical="center" wrapText="1"/>
    </xf>
    <xf numFmtId="0" fontId="39" fillId="0" borderId="13" xfId="0" applyFont="1" applyBorder="1" applyAlignment="1">
      <alignment vertical="center" wrapText="1"/>
    </xf>
    <xf numFmtId="0" fontId="38" fillId="0" borderId="16" xfId="0" applyFont="1" applyBorder="1" applyAlignment="1">
      <alignment vertical="center" wrapText="1"/>
    </xf>
    <xf numFmtId="0" fontId="38" fillId="0" borderId="11" xfId="0" applyFont="1" applyBorder="1" applyAlignment="1">
      <alignment vertical="center" wrapText="1"/>
    </xf>
    <xf numFmtId="0" fontId="39" fillId="0" borderId="21" xfId="0" applyFont="1" applyBorder="1" applyAlignment="1">
      <alignment vertical="center" wrapText="1"/>
    </xf>
    <xf numFmtId="0" fontId="39" fillId="0" borderId="22" xfId="0" applyFont="1" applyBorder="1" applyAlignment="1">
      <alignment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20" xfId="0" applyFont="1" applyBorder="1" applyAlignment="1">
      <alignment vertical="center" wrapText="1"/>
    </xf>
    <xf numFmtId="0" fontId="38" fillId="3" borderId="24" xfId="0" applyFont="1" applyFill="1" applyBorder="1" applyAlignment="1">
      <alignment horizontal="right" vertical="center" wrapText="1"/>
    </xf>
    <xf numFmtId="0" fontId="38" fillId="3" borderId="29" xfId="0" applyFont="1" applyFill="1" applyBorder="1" applyAlignment="1">
      <alignment horizontal="right" vertical="center" wrapText="1"/>
    </xf>
    <xf numFmtId="0" fontId="26" fillId="3" borderId="20" xfId="0" applyFont="1" applyFill="1" applyBorder="1" applyAlignment="1">
      <alignment horizontal="right" vertical="center" wrapText="1"/>
    </xf>
    <xf numFmtId="0" fontId="26" fillId="3" borderId="24" xfId="0" applyFont="1" applyFill="1" applyBorder="1" applyAlignment="1">
      <alignment horizontal="right" vertical="center" wrapText="1"/>
    </xf>
    <xf numFmtId="0" fontId="26" fillId="3" borderId="22" xfId="0" applyFont="1" applyFill="1" applyBorder="1" applyAlignment="1">
      <alignment horizontal="right" vertical="center" wrapText="1"/>
    </xf>
    <xf numFmtId="0" fontId="26" fillId="3" borderId="15" xfId="0" applyFont="1" applyFill="1" applyBorder="1" applyAlignment="1">
      <alignment horizontal="right" vertical="center" wrapText="1"/>
    </xf>
    <xf numFmtId="0" fontId="38" fillId="3" borderId="11" xfId="0" applyFont="1" applyFill="1" applyBorder="1" applyAlignment="1">
      <alignment vertical="center" wrapText="1"/>
    </xf>
    <xf numFmtId="0" fontId="38" fillId="3" borderId="18" xfId="0" applyFont="1" applyFill="1" applyBorder="1" applyAlignment="1">
      <alignment horizontal="right" vertical="center" wrapText="1"/>
    </xf>
    <xf numFmtId="0" fontId="43" fillId="0" borderId="23" xfId="0" applyFont="1" applyBorder="1" applyAlignment="1">
      <alignment vertical="center"/>
    </xf>
    <xf numFmtId="0" fontId="2" fillId="0" borderId="24" xfId="0" applyFont="1" applyBorder="1"/>
    <xf numFmtId="0" fontId="26" fillId="3" borderId="20" xfId="0" applyFont="1" applyFill="1" applyBorder="1" applyAlignment="1">
      <alignment vertical="center" wrapText="1"/>
    </xf>
    <xf numFmtId="0" fontId="26" fillId="3" borderId="11" xfId="0" applyFont="1" applyFill="1" applyBorder="1" applyAlignment="1">
      <alignment horizontal="right" vertical="center" wrapText="1"/>
    </xf>
    <xf numFmtId="0" fontId="22" fillId="3" borderId="0" xfId="0" applyFont="1" applyFill="1"/>
    <xf numFmtId="0" fontId="0" fillId="3" borderId="0" xfId="0" applyFill="1"/>
    <xf numFmtId="0" fontId="15" fillId="3" borderId="0" xfId="0" applyFont="1" applyFill="1"/>
    <xf numFmtId="0" fontId="10" fillId="3" borderId="0" xfId="0" applyFont="1" applyFill="1"/>
    <xf numFmtId="0" fontId="34" fillId="3" borderId="0" xfId="0" applyFont="1" applyFill="1"/>
    <xf numFmtId="0" fontId="37" fillId="0" borderId="12" xfId="0" applyFont="1" applyBorder="1"/>
    <xf numFmtId="0" fontId="37" fillId="0" borderId="14" xfId="0" applyFont="1" applyBorder="1"/>
    <xf numFmtId="0" fontId="37" fillId="0" borderId="15" xfId="0" applyFont="1" applyBorder="1"/>
    <xf numFmtId="0" fontId="38" fillId="0" borderId="29" xfId="0" applyFont="1" applyBorder="1" applyAlignment="1">
      <alignment horizontal="center" vertical="center" wrapText="1"/>
    </xf>
    <xf numFmtId="0" fontId="38" fillId="0" borderId="18" xfId="0" applyFont="1" applyBorder="1" applyAlignment="1">
      <alignment horizontal="center" vertical="center" wrapText="1"/>
    </xf>
    <xf numFmtId="0" fontId="36" fillId="0" borderId="20" xfId="0" applyFont="1" applyBorder="1" applyAlignment="1">
      <alignment vertical="center"/>
    </xf>
    <xf numFmtId="0" fontId="37" fillId="0" borderId="20" xfId="0" applyFont="1" applyBorder="1"/>
    <xf numFmtId="0" fontId="38" fillId="0" borderId="11" xfId="0" applyFont="1" applyBorder="1" applyAlignment="1">
      <alignment horizontal="center" vertical="center" wrapText="1"/>
    </xf>
    <xf numFmtId="0" fontId="39" fillId="0" borderId="11" xfId="0" applyFont="1" applyBorder="1" applyAlignment="1">
      <alignment vertical="center" wrapText="1"/>
    </xf>
    <xf numFmtId="0" fontId="46" fillId="0" borderId="0" xfId="0" applyFont="1" applyAlignment="1">
      <alignment vertical="center"/>
    </xf>
    <xf numFmtId="0" fontId="2" fillId="0" borderId="12" xfId="0" applyFont="1" applyBorder="1"/>
    <xf numFmtId="0" fontId="26" fillId="0" borderId="17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43" fillId="0" borderId="0" xfId="0" applyFont="1" applyBorder="1" applyAlignment="1">
      <alignment vertical="center"/>
    </xf>
    <xf numFmtId="0" fontId="2" fillId="0" borderId="0" xfId="0" applyFont="1" applyBorder="1"/>
    <xf numFmtId="0" fontId="27" fillId="0" borderId="0" xfId="0" applyFont="1" applyBorder="1" applyAlignment="1">
      <alignment vertical="center"/>
    </xf>
    <xf numFmtId="0" fontId="47" fillId="0" borderId="0" xfId="0" applyFont="1"/>
    <xf numFmtId="0" fontId="38" fillId="0" borderId="24" xfId="0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37" fillId="0" borderId="0" xfId="0" applyFont="1" applyBorder="1" applyAlignment="1"/>
    <xf numFmtId="0" fontId="38" fillId="0" borderId="20" xfId="0" applyFont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8" fillId="0" borderId="15" xfId="0" applyFont="1" applyBorder="1" applyAlignment="1">
      <alignment horizontal="center" vertical="center" wrapText="1"/>
    </xf>
    <xf numFmtId="0" fontId="42" fillId="0" borderId="25" xfId="0" applyFont="1" applyBorder="1" applyAlignment="1">
      <alignment vertical="center" wrapText="1"/>
    </xf>
    <xf numFmtId="0" fontId="42" fillId="0" borderId="19" xfId="0" applyFont="1" applyBorder="1" applyAlignment="1">
      <alignment horizontal="center" vertical="center" wrapText="1"/>
    </xf>
    <xf numFmtId="0" fontId="42" fillId="0" borderId="13" xfId="0" applyFont="1" applyBorder="1" applyAlignment="1">
      <alignment vertical="center" wrapText="1"/>
    </xf>
    <xf numFmtId="0" fontId="42" fillId="0" borderId="15" xfId="0" applyFont="1" applyBorder="1" applyAlignment="1">
      <alignment horizontal="center" vertical="center" wrapText="1"/>
    </xf>
    <xf numFmtId="0" fontId="41" fillId="0" borderId="16" xfId="0" applyFont="1" applyBorder="1" applyAlignment="1">
      <alignment vertical="center" wrapText="1"/>
    </xf>
    <xf numFmtId="0" fontId="41" fillId="0" borderId="18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left" vertical="center" indent="1"/>
    </xf>
    <xf numFmtId="0" fontId="49" fillId="0" borderId="0" xfId="0" applyFont="1" applyAlignment="1">
      <alignment horizontal="center"/>
    </xf>
    <xf numFmtId="0" fontId="1" fillId="0" borderId="0" xfId="0" applyFont="1"/>
    <xf numFmtId="0" fontId="8" fillId="0" borderId="0" xfId="0" applyFont="1"/>
    <xf numFmtId="0" fontId="4" fillId="0" borderId="36" xfId="0" applyNumberFormat="1" applyFont="1" applyFill="1" applyBorder="1" applyAlignment="1" applyProtection="1">
      <alignment horizontal="center"/>
    </xf>
    <xf numFmtId="0" fontId="4" fillId="0" borderId="37" xfId="0" applyNumberFormat="1" applyFont="1" applyFill="1" applyBorder="1" applyAlignment="1" applyProtection="1">
      <alignment horizontal="center"/>
    </xf>
    <xf numFmtId="0" fontId="4" fillId="0" borderId="38" xfId="0" applyNumberFormat="1" applyFont="1" applyFill="1" applyBorder="1" applyAlignment="1" applyProtection="1">
      <alignment horizontal="center"/>
    </xf>
    <xf numFmtId="0" fontId="4" fillId="0" borderId="39" xfId="0" applyNumberFormat="1" applyFont="1" applyFill="1" applyBorder="1" applyAlignment="1" applyProtection="1">
      <alignment horizontal="center"/>
    </xf>
    <xf numFmtId="0" fontId="4" fillId="0" borderId="4" xfId="0" applyNumberFormat="1" applyFont="1" applyFill="1" applyBorder="1" applyAlignment="1" applyProtection="1">
      <alignment horizontal="center"/>
    </xf>
    <xf numFmtId="0" fontId="4" fillId="0" borderId="9" xfId="0" applyNumberFormat="1" applyFont="1" applyFill="1" applyBorder="1" applyAlignment="1" applyProtection="1">
      <alignment horizontal="center"/>
    </xf>
    <xf numFmtId="0" fontId="4" fillId="0" borderId="32" xfId="0" applyNumberFormat="1" applyFont="1" applyFill="1" applyBorder="1" applyAlignment="1" applyProtection="1">
      <alignment horizontal="center"/>
    </xf>
    <xf numFmtId="0" fontId="4" fillId="0" borderId="31" xfId="0" applyNumberFormat="1" applyFont="1" applyFill="1" applyBorder="1" applyAlignment="1" applyProtection="1">
      <alignment horizontal="center"/>
    </xf>
    <xf numFmtId="0" fontId="4" fillId="0" borderId="41" xfId="0" applyNumberFormat="1" applyFont="1" applyFill="1" applyBorder="1" applyAlignment="1" applyProtection="1">
      <alignment horizontal="center"/>
    </xf>
    <xf numFmtId="0" fontId="50" fillId="0" borderId="42" xfId="0" applyNumberFormat="1" applyFont="1" applyFill="1" applyBorder="1" applyAlignment="1" applyProtection="1">
      <alignment horizontal="center"/>
    </xf>
    <xf numFmtId="0" fontId="50" fillId="0" borderId="43" xfId="0" applyNumberFormat="1" applyFont="1" applyFill="1" applyBorder="1" applyAlignment="1" applyProtection="1">
      <alignment horizontal="center"/>
    </xf>
    <xf numFmtId="0" fontId="50" fillId="0" borderId="44" xfId="0" applyNumberFormat="1" applyFont="1" applyFill="1" applyBorder="1" applyAlignment="1" applyProtection="1">
      <alignment horizontal="center"/>
    </xf>
    <xf numFmtId="0" fontId="20" fillId="0" borderId="0" xfId="0" applyFont="1" applyBorder="1" applyAlignment="1">
      <alignment horizontal="center" vertical="center"/>
    </xf>
    <xf numFmtId="0" fontId="8" fillId="0" borderId="11" xfId="0" applyNumberFormat="1" applyFont="1" applyBorder="1" applyAlignment="1">
      <alignment horizontal="center"/>
    </xf>
    <xf numFmtId="0" fontId="50" fillId="0" borderId="15" xfId="0" applyNumberFormat="1" applyFont="1" applyFill="1" applyBorder="1" applyAlignment="1" applyProtection="1">
      <alignment horizontal="center"/>
    </xf>
    <xf numFmtId="0" fontId="4" fillId="0" borderId="35" xfId="0" applyNumberFormat="1" applyFont="1" applyFill="1" applyBorder="1" applyAlignment="1" applyProtection="1">
      <alignment horizontal="center"/>
    </xf>
    <xf numFmtId="0" fontId="50" fillId="0" borderId="11" xfId="0" applyNumberFormat="1" applyFont="1" applyFill="1" applyBorder="1" applyAlignment="1" applyProtection="1">
      <alignment horizontal="center"/>
    </xf>
    <xf numFmtId="0" fontId="4" fillId="0" borderId="45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4" fillId="0" borderId="16" xfId="0" applyFont="1" applyBorder="1"/>
    <xf numFmtId="0" fontId="54" fillId="0" borderId="18" xfId="0" applyFont="1" applyBorder="1"/>
    <xf numFmtId="0" fontId="54" fillId="0" borderId="13" xfId="0" applyFont="1" applyBorder="1"/>
    <xf numFmtId="0" fontId="54" fillId="0" borderId="15" xfId="0" applyFont="1" applyBorder="1"/>
    <xf numFmtId="0" fontId="55" fillId="0" borderId="0" xfId="0" applyFont="1"/>
    <xf numFmtId="0" fontId="5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9" fillId="0" borderId="16" xfId="0" applyNumberFormat="1" applyFont="1" applyFill="1" applyBorder="1" applyAlignment="1" applyProtection="1">
      <alignment horizontal="center" vertical="center"/>
    </xf>
    <xf numFmtId="0" fontId="9" fillId="0" borderId="18" xfId="0" applyNumberFormat="1" applyFont="1" applyFill="1" applyBorder="1" applyAlignment="1" applyProtection="1">
      <alignment horizontal="center" vertical="center"/>
    </xf>
    <xf numFmtId="0" fontId="9" fillId="0" borderId="20" xfId="0" applyNumberFormat="1" applyFont="1" applyFill="1" applyBorder="1" applyAlignment="1" applyProtection="1">
      <alignment horizontal="center" vertical="center"/>
    </xf>
    <xf numFmtId="0" fontId="9" fillId="0" borderId="21" xfId="0" applyNumberFormat="1" applyFont="1" applyFill="1" applyBorder="1" applyAlignment="1" applyProtection="1">
      <alignment horizontal="center" vertical="center"/>
    </xf>
    <xf numFmtId="0" fontId="9" fillId="0" borderId="22" xfId="0" applyNumberFormat="1" applyFont="1" applyFill="1" applyBorder="1" applyAlignment="1" applyProtection="1">
      <alignment horizontal="center" vertical="center"/>
    </xf>
    <xf numFmtId="0" fontId="14" fillId="0" borderId="10" xfId="0" applyFont="1" applyBorder="1" applyAlignment="1">
      <alignment horizontal="center"/>
    </xf>
    <xf numFmtId="0" fontId="9" fillId="0" borderId="12" xfId="0" applyNumberFormat="1" applyFont="1" applyFill="1" applyBorder="1" applyAlignment="1" applyProtection="1">
      <alignment horizontal="center" vertical="center"/>
    </xf>
    <xf numFmtId="0" fontId="26" fillId="2" borderId="20" xfId="0" applyFont="1" applyFill="1" applyBorder="1" applyAlignment="1">
      <alignment horizontal="center" vertical="center"/>
    </xf>
    <xf numFmtId="0" fontId="26" fillId="2" borderId="30" xfId="0" applyFont="1" applyFill="1" applyBorder="1" applyAlignment="1">
      <alignment horizontal="center" vertical="center"/>
    </xf>
    <xf numFmtId="0" fontId="26" fillId="2" borderId="20" xfId="0" applyFont="1" applyFill="1" applyBorder="1" applyAlignment="1">
      <alignment horizontal="center" vertical="center" wrapText="1"/>
    </xf>
    <xf numFmtId="0" fontId="26" fillId="2" borderId="30" xfId="0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horizontal="center" vertical="center" wrapText="1"/>
    </xf>
    <xf numFmtId="0" fontId="26" fillId="2" borderId="26" xfId="0" applyFont="1" applyFill="1" applyBorder="1" applyAlignment="1">
      <alignment horizontal="center" vertical="center" wrapText="1"/>
    </xf>
    <xf numFmtId="0" fontId="52" fillId="0" borderId="0" xfId="0" applyFont="1" applyBorder="1" applyAlignment="1">
      <alignment horizontal="center" vertical="center"/>
    </xf>
    <xf numFmtId="0" fontId="51" fillId="0" borderId="0" xfId="0" applyFont="1" applyBorder="1" applyAlignment="1">
      <alignment horizontal="center" vertical="center"/>
    </xf>
    <xf numFmtId="0" fontId="51" fillId="0" borderId="46" xfId="0" applyFont="1" applyBorder="1" applyAlignment="1">
      <alignment horizontal="center" vertical="center"/>
    </xf>
    <xf numFmtId="0" fontId="26" fillId="3" borderId="20" xfId="0" applyFont="1" applyFill="1" applyBorder="1" applyAlignment="1">
      <alignment vertical="center" wrapText="1"/>
    </xf>
    <xf numFmtId="0" fontId="26" fillId="3" borderId="22" xfId="0" applyFont="1" applyFill="1" applyBorder="1" applyAlignment="1">
      <alignment vertical="center" wrapText="1"/>
    </xf>
    <xf numFmtId="0" fontId="26" fillId="3" borderId="20" xfId="0" applyFont="1" applyFill="1" applyBorder="1" applyAlignment="1">
      <alignment horizontal="right" vertical="center" wrapText="1"/>
    </xf>
    <xf numFmtId="0" fontId="26" fillId="3" borderId="22" xfId="0" applyFont="1" applyFill="1" applyBorder="1" applyAlignment="1">
      <alignment horizontal="right" vertical="center" wrapText="1"/>
    </xf>
    <xf numFmtId="0" fontId="45" fillId="0" borderId="0" xfId="0" applyFont="1" applyAlignment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/>
    </xf>
    <xf numFmtId="0" fontId="5" fillId="0" borderId="8" xfId="0" applyNumberFormat="1" applyFont="1" applyFill="1" applyBorder="1" applyAlignment="1" applyProtection="1">
      <alignment horizontal="center"/>
    </xf>
    <xf numFmtId="0" fontId="5" fillId="0" borderId="3" xfId="0" applyNumberFormat="1" applyFont="1" applyFill="1" applyBorder="1" applyAlignment="1" applyProtection="1">
      <alignment horizontal="center"/>
    </xf>
    <xf numFmtId="0" fontId="38" fillId="3" borderId="20" xfId="0" applyFont="1" applyFill="1" applyBorder="1" applyAlignment="1">
      <alignment vertical="center" wrapText="1"/>
    </xf>
    <xf numFmtId="0" fontId="38" fillId="3" borderId="30" xfId="0" applyFont="1" applyFill="1" applyBorder="1" applyAlignment="1">
      <alignment vertical="center" wrapText="1"/>
    </xf>
    <xf numFmtId="0" fontId="38" fillId="3" borderId="20" xfId="0" applyFont="1" applyFill="1" applyBorder="1" applyAlignment="1">
      <alignment horizontal="right" vertical="center" wrapText="1"/>
    </xf>
    <xf numFmtId="0" fontId="38" fillId="3" borderId="30" xfId="0" applyFont="1" applyFill="1" applyBorder="1" applyAlignment="1">
      <alignment horizontal="right" vertical="center" wrapText="1"/>
    </xf>
    <xf numFmtId="0" fontId="5" fillId="0" borderId="40" xfId="0" applyNumberFormat="1" applyFont="1" applyFill="1" applyBorder="1" applyAlignment="1" applyProtection="1">
      <alignment horizontal="center"/>
    </xf>
    <xf numFmtId="0" fontId="5" fillId="0" borderId="34" xfId="0" applyNumberFormat="1" applyFont="1" applyFill="1" applyBorder="1" applyAlignment="1" applyProtection="1">
      <alignment horizontal="center"/>
    </xf>
    <xf numFmtId="0" fontId="50" fillId="0" borderId="33" xfId="0" applyNumberFormat="1" applyFont="1" applyFill="1" applyBorder="1" applyAlignment="1" applyProtection="1">
      <alignment horizontal="center"/>
    </xf>
    <xf numFmtId="0" fontId="50" fillId="0" borderId="40" xfId="0" applyNumberFormat="1" applyFont="1" applyFill="1" applyBorder="1" applyAlignment="1" applyProtection="1">
      <alignment horizontal="center"/>
    </xf>
    <xf numFmtId="0" fontId="5" fillId="0" borderId="33" xfId="0" applyNumberFormat="1" applyFont="1" applyFill="1" applyBorder="1" applyAlignment="1" applyProtection="1">
      <alignment horizontal="center"/>
    </xf>
    <xf numFmtId="0" fontId="38" fillId="0" borderId="20" xfId="0" applyFont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0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0" fontId="38" fillId="0" borderId="30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54</xdr:row>
      <xdr:rowOff>3810</xdr:rowOff>
    </xdr:from>
    <xdr:ext cx="4684167" cy="5372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18212B9-FF6F-4BA9-9F5E-D2697EFBF569}"/>
                </a:ext>
              </a:extLst>
            </xdr:cNvPr>
            <xdr:cNvSpPr txBox="1"/>
          </xdr:nvSpPr>
          <xdr:spPr>
            <a:xfrm>
              <a:off x="2103120" y="9414510"/>
              <a:ext cx="4684167" cy="53721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N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en-IN" sz="20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IN" sz="20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</m:acc>
                          </m:e>
                          <m:sup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𝑔𝑎𝑔𝑒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</m:acc>
                          </m:e>
                          <m:sup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𝑟𝑒𝑝𝑒𝑎𝑡𝑎𝑏𝑖𝑙𝑖𝑡𝑦</m:t>
                        </m:r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+ 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𝑟𝑒𝑝𝑟𝑜𝑑𝑢𝑐𝑖𝑏𝑖𝑙𝑖𝑡𝑦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18212B9-FF6F-4BA9-9F5E-D2697EFBF569}"/>
                </a:ext>
              </a:extLst>
            </xdr:cNvPr>
            <xdr:cNvSpPr txBox="1"/>
          </xdr:nvSpPr>
          <xdr:spPr>
            <a:xfrm>
              <a:off x="2103120" y="9414510"/>
              <a:ext cx="4684167" cy="53721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IN" sz="2000" i="0">
                  <a:latin typeface="Cambria Math" panose="02040503050406030204" pitchFamily="18" charset="0"/>
                </a:rPr>
                <a:t>〖</a:t>
              </a:r>
              <a:r>
                <a:rPr lang="en-IN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</a:t>
              </a:r>
              <a:r>
                <a:rPr lang="en-US" sz="2000" b="0" i="0">
                  <a:latin typeface="Cambria Math" panose="02040503050406030204" pitchFamily="18" charset="0"/>
                </a:rPr>
                <a:t>2</a:t>
              </a:r>
              <a:r>
                <a:rPr lang="en-IN" sz="2000" b="0" i="0">
                  <a:latin typeface="Cambria Math" panose="02040503050406030204" pitchFamily="18" charset="0"/>
                </a:rPr>
                <a:t>〗_</a:t>
              </a:r>
              <a:r>
                <a:rPr lang="en-US" sz="2000" b="0" i="0">
                  <a:latin typeface="Cambria Math" panose="02040503050406030204" pitchFamily="18" charset="0"/>
                </a:rPr>
                <a:t>𝑔𝑎𝑔𝑒=〖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̂^</a:t>
              </a:r>
              <a:r>
                <a:rPr lang="en-US" sz="2000" b="0" i="0">
                  <a:latin typeface="Cambria Math" panose="02040503050406030204" pitchFamily="18" charset="0"/>
                </a:rPr>
                <a:t>2〗_(𝑟𝑒𝑝𝑒𝑎𝑡𝑎𝑏𝑖𝑙𝑖𝑡𝑦 )+ 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̂_</a:t>
              </a:r>
              <a:r>
                <a:rPr lang="en-US" sz="2000" b="0" i="0">
                  <a:latin typeface="Cambria Math" panose="02040503050406030204" pitchFamily="18" charset="0"/>
                </a:rPr>
                <a:t>𝑟𝑒𝑝𝑟𝑜𝑑𝑢𝑐𝑖𝑏𝑖𝑙𝑖𝑡𝑦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</xdr:col>
      <xdr:colOff>15241</xdr:colOff>
      <xdr:row>59</xdr:row>
      <xdr:rowOff>45720</xdr:rowOff>
    </xdr:from>
    <xdr:ext cx="2705100" cy="762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498C47A-A2AC-4B0E-BD30-DDA9C56F4E7E}"/>
                </a:ext>
              </a:extLst>
            </xdr:cNvPr>
            <xdr:cNvSpPr txBox="1"/>
          </xdr:nvSpPr>
          <xdr:spPr>
            <a:xfrm>
              <a:off x="2118361" y="9974580"/>
              <a:ext cx="2705100" cy="762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</m:acc>
                          </m:e>
                          <m:sup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𝑟𝑒𝑝𝑒𝑎𝑡𝑎𝑏𝑖𝑙𝑖𝑡𝑦</m:t>
                        </m:r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</m:acc>
                          </m:e>
                        </m:acc>
                      </m:num>
                      <m:den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𝐾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498C47A-A2AC-4B0E-BD30-DDA9C56F4E7E}"/>
                </a:ext>
              </a:extLst>
            </xdr:cNvPr>
            <xdr:cNvSpPr txBox="1"/>
          </xdr:nvSpPr>
          <xdr:spPr>
            <a:xfrm>
              <a:off x="2118361" y="9974580"/>
              <a:ext cx="2705100" cy="762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〖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̂^</a:t>
              </a:r>
              <a:r>
                <a:rPr lang="en-US" sz="2000" b="0" i="0">
                  <a:latin typeface="Cambria Math" panose="02040503050406030204" pitchFamily="18" charset="0"/>
                </a:rPr>
                <a:t>2〗_(𝑟𝑒𝑝𝑒𝑎𝑡𝑎𝑏𝑖𝑙𝑖𝑡𝑦 )=𝑅 ̅  ̅/𝐾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</xdr:col>
      <xdr:colOff>1</xdr:colOff>
      <xdr:row>65</xdr:row>
      <xdr:rowOff>0</xdr:rowOff>
    </xdr:from>
    <xdr:ext cx="2705100" cy="6629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0224CF4-05AA-4C32-9DC1-052B20CEA13A}"/>
                </a:ext>
              </a:extLst>
            </xdr:cNvPr>
            <xdr:cNvSpPr txBox="1"/>
          </xdr:nvSpPr>
          <xdr:spPr>
            <a:xfrm>
              <a:off x="2103121" y="11026140"/>
              <a:ext cx="2705100" cy="66294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𝑟𝑒𝑝𝑟𝑜𝑑𝑢𝑐𝑖𝑏𝑖𝑙𝑖𝑡𝑦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0224CF4-05AA-4C32-9DC1-052B20CEA13A}"/>
                </a:ext>
              </a:extLst>
            </xdr:cNvPr>
            <xdr:cNvSpPr txBox="1"/>
          </xdr:nvSpPr>
          <xdr:spPr>
            <a:xfrm>
              <a:off x="2103121" y="11026140"/>
              <a:ext cx="2705100" cy="66294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̂_</a:t>
              </a:r>
              <a:r>
                <a:rPr lang="en-US" sz="2000" b="0" i="0">
                  <a:latin typeface="Cambria Math" panose="02040503050406030204" pitchFamily="18" charset="0"/>
                </a:rPr>
                <a:t>𝑟𝑒𝑝𝑟𝑜𝑑𝑢𝑐𝑖𝑏𝑖𝑙𝑖𝑡𝑦=  𝑅_𝑥 ̅ /𝑑_2 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70</xdr:row>
      <xdr:rowOff>0</xdr:rowOff>
    </xdr:from>
    <xdr:ext cx="2705100" cy="6629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C3BEC45-13B1-4042-A498-AEAF88477DC6}"/>
                </a:ext>
              </a:extLst>
            </xdr:cNvPr>
            <xdr:cNvSpPr txBox="1"/>
          </xdr:nvSpPr>
          <xdr:spPr>
            <a:xfrm>
              <a:off x="2103120" y="11940540"/>
              <a:ext cx="2705100" cy="66294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̅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</m:acc>
                      </m:e>
                    </m:acc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</m:acc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sub>
                        </m:s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</m:acc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sub>
                        </m:s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</m:acc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sub>
                        </m:sSub>
                      </m:num>
                      <m:den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C3BEC45-13B1-4042-A498-AEAF88477DC6}"/>
                </a:ext>
              </a:extLst>
            </xdr:cNvPr>
            <xdr:cNvSpPr txBox="1"/>
          </xdr:nvSpPr>
          <xdr:spPr>
            <a:xfrm>
              <a:off x="2103120" y="11940540"/>
              <a:ext cx="2705100" cy="66294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 𝑅 ̅  ̅=(𝑅 ̅_𝐴+𝑅 ̅_𝐵+𝑅 ̅_𝐶)/3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76</xdr:row>
      <xdr:rowOff>0</xdr:rowOff>
    </xdr:from>
    <xdr:ext cx="2705100" cy="464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C4C8EA0-4C18-4E9B-A63A-108321983466}"/>
                </a:ext>
              </a:extLst>
            </xdr:cNvPr>
            <xdr:cNvSpPr txBox="1"/>
          </xdr:nvSpPr>
          <xdr:spPr>
            <a:xfrm>
              <a:off x="2103120" y="13037820"/>
              <a:ext cx="2705100" cy="4648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C4C8EA0-4C18-4E9B-A63A-108321983466}"/>
                </a:ext>
              </a:extLst>
            </xdr:cNvPr>
            <xdr:cNvSpPr txBox="1"/>
          </xdr:nvSpPr>
          <xdr:spPr>
            <a:xfrm>
              <a:off x="2103120" y="13037820"/>
              <a:ext cx="2705100" cy="4648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 𝑅_𝑥 ̅ =𝑥 ̅  ̅_𝑚𝑎𝑥−𝑥 ̅  ̅_𝑚𝑖𝑛=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80</xdr:row>
      <xdr:rowOff>0</xdr:rowOff>
    </xdr:from>
    <xdr:ext cx="2705100" cy="3886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7BD4D2C-CDA6-4B52-AEA6-ABC3E4EEE9F0}"/>
                </a:ext>
              </a:extLst>
            </xdr:cNvPr>
            <xdr:cNvSpPr txBox="1"/>
          </xdr:nvSpPr>
          <xdr:spPr>
            <a:xfrm>
              <a:off x="2103120" y="13769340"/>
              <a:ext cx="2705100" cy="3886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̅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</m:acc>
                    <m:r>
                      <a:rPr lang="en-US" sz="2000" b="0" i="1">
                        <a:latin typeface="Cambria Math" panose="02040503050406030204" pitchFamily="18" charset="0"/>
                      </a:rPr>
                      <m:t>𝑚𝑎𝑥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2000" b="0" i="0">
                        <a:latin typeface="Cambria Math" panose="02040503050406030204" pitchFamily="18" charset="0"/>
                      </a:rPr>
                      <m:t>max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7BD4D2C-CDA6-4B52-AEA6-ABC3E4EEE9F0}"/>
                </a:ext>
              </a:extLst>
            </xdr:cNvPr>
            <xdr:cNvSpPr txBox="1"/>
          </xdr:nvSpPr>
          <xdr:spPr>
            <a:xfrm>
              <a:off x="2103120" y="13769340"/>
              <a:ext cx="2705100" cy="3886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 𝑥 ̅  ̅𝑚𝑎𝑥=max⁡(𝑥 ̅  ̅_𝐴,𝑥 ̅  ̅_𝐵,𝑥 ̅  ̅_𝐶)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83</xdr:row>
      <xdr:rowOff>0</xdr:rowOff>
    </xdr:from>
    <xdr:ext cx="2705100" cy="3886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C7A6CB6-0B2E-49E3-932E-5F73215EFCBD}"/>
                </a:ext>
              </a:extLst>
            </xdr:cNvPr>
            <xdr:cNvSpPr txBox="1"/>
          </xdr:nvSpPr>
          <xdr:spPr>
            <a:xfrm>
              <a:off x="2103120" y="14317980"/>
              <a:ext cx="2705100" cy="3886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̅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</m:acc>
                    <m:r>
                      <a:rPr lang="en-US" sz="2000" b="0" i="1">
                        <a:latin typeface="Cambria Math" panose="02040503050406030204" pitchFamily="18" charset="0"/>
                      </a:rPr>
                      <m:t>𝑚𝑖𝑛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2000" b="0" i="0">
                        <a:latin typeface="Cambria Math" panose="02040503050406030204" pitchFamily="18" charset="0"/>
                      </a:rPr>
                      <m:t>max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C7A6CB6-0B2E-49E3-932E-5F73215EFCBD}"/>
                </a:ext>
              </a:extLst>
            </xdr:cNvPr>
            <xdr:cNvSpPr txBox="1"/>
          </xdr:nvSpPr>
          <xdr:spPr>
            <a:xfrm>
              <a:off x="2103120" y="14317980"/>
              <a:ext cx="2705100" cy="3886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 𝑥 ̅  ̅𝑚𝑖𝑛=max⁡(𝑥 ̅  ̅_𝐴,𝑥 ̅  ̅_𝐵,𝑥 ̅  ̅_𝐶)</a:t>
              </a:r>
              <a:endParaRPr lang="en-IN" sz="1100"/>
            </a:p>
          </xdr:txBody>
        </xdr:sp>
      </mc:Fallback>
    </mc:AlternateContent>
    <xdr:clientData/>
  </xdr:oneCellAnchor>
  <xdr:twoCellAnchor editAs="oneCell">
    <xdr:from>
      <xdr:col>0</xdr:col>
      <xdr:colOff>609600</xdr:colOff>
      <xdr:row>130</xdr:row>
      <xdr:rowOff>7620</xdr:rowOff>
    </xdr:from>
    <xdr:to>
      <xdr:col>7</xdr:col>
      <xdr:colOff>762000</xdr:colOff>
      <xdr:row>157</xdr:row>
      <xdr:rowOff>179705</xdr:rowOff>
    </xdr:to>
    <xdr:pic>
      <xdr:nvPicPr>
        <xdr:cNvPr id="10" name="Picture 9" descr="Gage R&amp;amp;R for MEASUREMENTS">
          <a:extLst>
            <a:ext uri="{FF2B5EF4-FFF2-40B4-BE49-F238E27FC236}">
              <a16:creationId xmlns:a16="http://schemas.microsoft.com/office/drawing/2014/main" id="{D6FDAC7E-9899-46EE-9249-4C115964264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500580"/>
          <a:ext cx="6949440" cy="51098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59</xdr:row>
      <xdr:rowOff>0</xdr:rowOff>
    </xdr:from>
    <xdr:to>
      <xdr:col>13</xdr:col>
      <xdr:colOff>434340</xdr:colOff>
      <xdr:row>89</xdr:row>
      <xdr:rowOff>68580</xdr:rowOff>
    </xdr:to>
    <xdr:pic>
      <xdr:nvPicPr>
        <xdr:cNvPr id="2" name="Picture 1" descr="Gage R&amp;amp;R for MEASUREMENTS">
          <a:extLst>
            <a:ext uri="{FF2B5EF4-FFF2-40B4-BE49-F238E27FC236}">
              <a16:creationId xmlns:a16="http://schemas.microsoft.com/office/drawing/2014/main" id="{28CCBF15-F72C-40E9-AEC0-F5BA3657A7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13647420"/>
          <a:ext cx="7840980" cy="555498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5</xdr:col>
      <xdr:colOff>0</xdr:colOff>
      <xdr:row>131</xdr:row>
      <xdr:rowOff>3810</xdr:rowOff>
    </xdr:from>
    <xdr:ext cx="4684167" cy="5372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16BD19-7AD2-43E3-83A3-3BD793293AC7}"/>
                </a:ext>
              </a:extLst>
            </xdr:cNvPr>
            <xdr:cNvSpPr txBox="1"/>
          </xdr:nvSpPr>
          <xdr:spPr>
            <a:xfrm>
              <a:off x="3131820" y="10336530"/>
              <a:ext cx="4684167" cy="53721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N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en-IN" sz="20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IN" sz="20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</m:acc>
                          </m:e>
                          <m:sup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𝑔𝑎𝑔𝑒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</m:acc>
                          </m:e>
                          <m:sup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𝑟𝑒𝑝𝑒𝑎𝑡𝑎𝑏𝑖𝑙𝑖𝑡𝑦</m:t>
                        </m:r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+ 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𝑟𝑒𝑝𝑟𝑜𝑑𝑢𝑐𝑖𝑏𝑖𝑙𝑖𝑡𝑦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16BD19-7AD2-43E3-83A3-3BD793293AC7}"/>
                </a:ext>
              </a:extLst>
            </xdr:cNvPr>
            <xdr:cNvSpPr txBox="1"/>
          </xdr:nvSpPr>
          <xdr:spPr>
            <a:xfrm>
              <a:off x="3131820" y="10336530"/>
              <a:ext cx="4684167" cy="53721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IN" sz="2000" i="0">
                  <a:latin typeface="Cambria Math" panose="02040503050406030204" pitchFamily="18" charset="0"/>
                </a:rPr>
                <a:t>〖</a:t>
              </a:r>
              <a:r>
                <a:rPr lang="en-IN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</a:t>
              </a:r>
              <a:r>
                <a:rPr lang="en-US" sz="2000" b="0" i="0">
                  <a:latin typeface="Cambria Math" panose="02040503050406030204" pitchFamily="18" charset="0"/>
                </a:rPr>
                <a:t>2</a:t>
              </a:r>
              <a:r>
                <a:rPr lang="en-IN" sz="2000" b="0" i="0">
                  <a:latin typeface="Cambria Math" panose="02040503050406030204" pitchFamily="18" charset="0"/>
                </a:rPr>
                <a:t>〗_</a:t>
              </a:r>
              <a:r>
                <a:rPr lang="en-US" sz="2000" b="0" i="0">
                  <a:latin typeface="Cambria Math" panose="02040503050406030204" pitchFamily="18" charset="0"/>
                </a:rPr>
                <a:t>𝑔𝑎𝑔𝑒=〖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̂^</a:t>
              </a:r>
              <a:r>
                <a:rPr lang="en-US" sz="2000" b="0" i="0">
                  <a:latin typeface="Cambria Math" panose="02040503050406030204" pitchFamily="18" charset="0"/>
                </a:rPr>
                <a:t>2〗_(𝑟𝑒𝑝𝑒𝑎𝑡𝑎𝑏𝑖𝑙𝑖𝑡𝑦 )+ 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̂_</a:t>
              </a:r>
              <a:r>
                <a:rPr lang="en-US" sz="2000" b="0" i="0">
                  <a:latin typeface="Cambria Math" panose="02040503050406030204" pitchFamily="18" charset="0"/>
                </a:rPr>
                <a:t>𝑟𝑒𝑝𝑟𝑜𝑑𝑢𝑐𝑖𝑏𝑖𝑙𝑖𝑡𝑦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5</xdr:col>
      <xdr:colOff>15241</xdr:colOff>
      <xdr:row>136</xdr:row>
      <xdr:rowOff>45720</xdr:rowOff>
    </xdr:from>
    <xdr:ext cx="2705100" cy="762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76FC80B-92B6-42E2-9029-5114FBF42597}"/>
                </a:ext>
              </a:extLst>
            </xdr:cNvPr>
            <xdr:cNvSpPr txBox="1"/>
          </xdr:nvSpPr>
          <xdr:spPr>
            <a:xfrm>
              <a:off x="3147061" y="11353800"/>
              <a:ext cx="2705100" cy="762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</m:acc>
                          </m:e>
                          <m:sup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𝑟𝑒𝑝𝑒𝑎𝑡𝑎𝑏𝑖𝑙𝑖𝑡𝑦</m:t>
                        </m:r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</m:acc>
                          </m:e>
                        </m:acc>
                      </m:num>
                      <m:den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𝐾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76FC80B-92B6-42E2-9029-5114FBF42597}"/>
                </a:ext>
              </a:extLst>
            </xdr:cNvPr>
            <xdr:cNvSpPr txBox="1"/>
          </xdr:nvSpPr>
          <xdr:spPr>
            <a:xfrm>
              <a:off x="3147061" y="11353800"/>
              <a:ext cx="2705100" cy="762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〖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̂^</a:t>
              </a:r>
              <a:r>
                <a:rPr lang="en-US" sz="2000" b="0" i="0">
                  <a:latin typeface="Cambria Math" panose="02040503050406030204" pitchFamily="18" charset="0"/>
                </a:rPr>
                <a:t>2〗_(𝑟𝑒𝑝𝑒𝑎𝑡𝑎𝑏𝑖𝑙𝑖𝑡𝑦 )=𝑅 ̅  ̅/𝐾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5</xdr:col>
      <xdr:colOff>1</xdr:colOff>
      <xdr:row>142</xdr:row>
      <xdr:rowOff>0</xdr:rowOff>
    </xdr:from>
    <xdr:ext cx="2705100" cy="6629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C721884-A391-4C19-BBEB-7C9F1BA5594B}"/>
                </a:ext>
              </a:extLst>
            </xdr:cNvPr>
            <xdr:cNvSpPr txBox="1"/>
          </xdr:nvSpPr>
          <xdr:spPr>
            <a:xfrm>
              <a:off x="3131821" y="12458700"/>
              <a:ext cx="2705100" cy="66294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𝑟𝑒𝑝𝑟𝑜𝑑𝑢𝑐𝑖𝑏𝑖𝑙𝑖𝑡𝑦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C721884-A391-4C19-BBEB-7C9F1BA5594B}"/>
                </a:ext>
              </a:extLst>
            </xdr:cNvPr>
            <xdr:cNvSpPr txBox="1"/>
          </xdr:nvSpPr>
          <xdr:spPr>
            <a:xfrm>
              <a:off x="3131821" y="12458700"/>
              <a:ext cx="2705100" cy="66294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̂_</a:t>
              </a:r>
              <a:r>
                <a:rPr lang="en-US" sz="2000" b="0" i="0">
                  <a:latin typeface="Cambria Math" panose="02040503050406030204" pitchFamily="18" charset="0"/>
                </a:rPr>
                <a:t>𝑟𝑒𝑝𝑟𝑜𝑑𝑢𝑐𝑖𝑏𝑖𝑙𝑖𝑡𝑦=  𝑅_𝑥 ̅ /𝑑_2 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5</xdr:col>
      <xdr:colOff>0</xdr:colOff>
      <xdr:row>147</xdr:row>
      <xdr:rowOff>0</xdr:rowOff>
    </xdr:from>
    <xdr:ext cx="2705100" cy="6629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4B60398-1718-4BB1-8AF0-AB977BFF1861}"/>
                </a:ext>
              </a:extLst>
            </xdr:cNvPr>
            <xdr:cNvSpPr txBox="1"/>
          </xdr:nvSpPr>
          <xdr:spPr>
            <a:xfrm>
              <a:off x="3131820" y="13403580"/>
              <a:ext cx="2705100" cy="66294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̅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</m:acc>
                      </m:e>
                    </m:acc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</m:acc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sub>
                        </m:s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</m:acc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sub>
                        </m:s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</m:acc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sub>
                        </m:s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kumimoji="0" lang="en-US" sz="20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kumimoji="0" lang="en-US" sz="20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prstClr val="black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kumimoji="0" lang="en-US" sz="20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prstClr val="black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</m:acc>
                          </m:e>
                          <m:sub>
                            <m:r>
                              <a:rPr kumimoji="0" lang="en-US" sz="20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sub>
                        </m:sSub>
                      </m:num>
                      <m:den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4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4B60398-1718-4BB1-8AF0-AB977BFF1861}"/>
                </a:ext>
              </a:extLst>
            </xdr:cNvPr>
            <xdr:cNvSpPr txBox="1"/>
          </xdr:nvSpPr>
          <xdr:spPr>
            <a:xfrm>
              <a:off x="3131820" y="13403580"/>
              <a:ext cx="2705100" cy="66294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 𝑅 ̅  ̅=(𝑅 ̅_𝐴+𝑅 ̅_𝐵+𝑅 ̅_𝐶+</a:t>
              </a:r>
              <a:r>
                <a:rPr kumimoji="0" lang="en-US" sz="20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𝑅 ̅_𝐷)/</a:t>
              </a:r>
              <a:r>
                <a:rPr lang="en-US" sz="2000" b="0" i="0">
                  <a:latin typeface="Cambria Math" panose="02040503050406030204" pitchFamily="18" charset="0"/>
                </a:rPr>
                <a:t>4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5</xdr:col>
      <xdr:colOff>0</xdr:colOff>
      <xdr:row>153</xdr:row>
      <xdr:rowOff>0</xdr:rowOff>
    </xdr:from>
    <xdr:ext cx="2705100" cy="464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9DDB212-3270-4579-852E-156A661F2E4C}"/>
                </a:ext>
              </a:extLst>
            </xdr:cNvPr>
            <xdr:cNvSpPr txBox="1"/>
          </xdr:nvSpPr>
          <xdr:spPr>
            <a:xfrm>
              <a:off x="3131820" y="14554200"/>
              <a:ext cx="2705100" cy="4648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9DDB212-3270-4579-852E-156A661F2E4C}"/>
                </a:ext>
              </a:extLst>
            </xdr:cNvPr>
            <xdr:cNvSpPr txBox="1"/>
          </xdr:nvSpPr>
          <xdr:spPr>
            <a:xfrm>
              <a:off x="3131820" y="14554200"/>
              <a:ext cx="2705100" cy="4648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 𝑅_𝑥 ̅ =𝑥 ̅  ̅_𝑚𝑎𝑥−𝑥 ̅  ̅_𝑚𝑖𝑛=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4</xdr:col>
      <xdr:colOff>167640</xdr:colOff>
      <xdr:row>156</xdr:row>
      <xdr:rowOff>175260</xdr:rowOff>
    </xdr:from>
    <xdr:ext cx="3398520" cy="3886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0499463-9FDA-4ECF-AFEC-5E53F1A43B68}"/>
                </a:ext>
              </a:extLst>
            </xdr:cNvPr>
            <xdr:cNvSpPr txBox="1"/>
          </xdr:nvSpPr>
          <xdr:spPr>
            <a:xfrm>
              <a:off x="3406140" y="31859220"/>
              <a:ext cx="3398520" cy="3886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̅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</m:acc>
                    <m:r>
                      <a:rPr lang="en-US" sz="2000" b="0" i="1">
                        <a:latin typeface="Cambria Math" panose="02040503050406030204" pitchFamily="18" charset="0"/>
                      </a:rPr>
                      <m:t>𝑚𝑎𝑥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2000" b="0" i="0">
                        <a:latin typeface="Cambria Math" panose="02040503050406030204" pitchFamily="18" charset="0"/>
                      </a:rPr>
                      <m:t>max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kumimoji="0" lang="en-US" sz="20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kumimoji="0" lang="en-US" sz="20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kumimoji="0" lang="en-US" sz="20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prstClr val="black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kumimoji="0" lang="en-US" sz="20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prstClr val="black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kumimoji="0" lang="en-US" sz="20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0499463-9FDA-4ECF-AFEC-5E53F1A43B68}"/>
                </a:ext>
              </a:extLst>
            </xdr:cNvPr>
            <xdr:cNvSpPr txBox="1"/>
          </xdr:nvSpPr>
          <xdr:spPr>
            <a:xfrm>
              <a:off x="3406140" y="31859220"/>
              <a:ext cx="3398520" cy="3886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 𝑥 ̅  ̅𝑚𝑎𝑥=max⁡(𝑥 ̅  ̅_𝐴,𝑥 ̅  ̅_𝐵,𝑥 ̅  ̅_𝐶,</a:t>
              </a:r>
              <a:r>
                <a:rPr kumimoji="0" lang="en-US" sz="20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𝑥 ̅  ̅_𝐷</a:t>
              </a:r>
              <a:r>
                <a:rPr lang="en-US" sz="2000" b="0" i="0">
                  <a:latin typeface="Cambria Math" panose="02040503050406030204" pitchFamily="18" charset="0"/>
                </a:rPr>
                <a:t>)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4</xdr:col>
      <xdr:colOff>160020</xdr:colOff>
      <xdr:row>159</xdr:row>
      <xdr:rowOff>182880</xdr:rowOff>
    </xdr:from>
    <xdr:ext cx="3070860" cy="3886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3A8C963-CB8F-4CF2-AC07-216D217415D3}"/>
                </a:ext>
              </a:extLst>
            </xdr:cNvPr>
            <xdr:cNvSpPr txBox="1"/>
          </xdr:nvSpPr>
          <xdr:spPr>
            <a:xfrm>
              <a:off x="3398520" y="32445960"/>
              <a:ext cx="3070860" cy="3886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̅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</m:acc>
                    <m:r>
                      <a:rPr lang="en-US" sz="2000" b="0" i="1">
                        <a:latin typeface="Cambria Math" panose="02040503050406030204" pitchFamily="18" charset="0"/>
                      </a:rPr>
                      <m:t>𝑚𝑖𝑛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2000" b="0" i="0">
                        <a:latin typeface="Cambria Math" panose="02040503050406030204" pitchFamily="18" charset="0"/>
                      </a:rPr>
                      <m:t>max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kumimoji="0" lang="en-US" sz="20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kumimoji="0" lang="en-US" sz="20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prstClr val="black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kumimoji="0" lang="en-US" sz="20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prstClr val="black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kumimoji="0" lang="en-US" sz="20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prstClr val="black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kumimoji="0" lang="en-US" sz="20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prstClr val="black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3A8C963-CB8F-4CF2-AC07-216D217415D3}"/>
                </a:ext>
              </a:extLst>
            </xdr:cNvPr>
            <xdr:cNvSpPr txBox="1"/>
          </xdr:nvSpPr>
          <xdr:spPr>
            <a:xfrm>
              <a:off x="3398520" y="32445960"/>
              <a:ext cx="3070860" cy="3886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 𝑥 ̅  ̅𝑚𝑖𝑛=max⁡(𝑥 ̅  ̅_𝐴,𝑥 ̅  ̅_𝐵,𝑥 ̅  ̅_𝐶,</a:t>
              </a:r>
              <a:r>
                <a:rPr kumimoji="0" lang="en-US" sz="20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𝑥 ̅  ̅_𝐷</a:t>
              </a:r>
              <a:r>
                <a:rPr lang="en-US" sz="2000" b="0" i="0">
                  <a:latin typeface="Cambria Math" panose="02040503050406030204" pitchFamily="18" charset="0"/>
                </a:rPr>
                <a:t>)</a:t>
              </a:r>
              <a:endParaRPr lang="en-IN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53</xdr:row>
      <xdr:rowOff>0</xdr:rowOff>
    </xdr:from>
    <xdr:to>
      <xdr:col>13</xdr:col>
      <xdr:colOff>716280</xdr:colOff>
      <xdr:row>83</xdr:row>
      <xdr:rowOff>99060</xdr:rowOff>
    </xdr:to>
    <xdr:pic>
      <xdr:nvPicPr>
        <xdr:cNvPr id="2" name="Picture 1" descr="Gage R&amp;amp;R for MEASUREMENTS">
          <a:extLst>
            <a:ext uri="{FF2B5EF4-FFF2-40B4-BE49-F238E27FC236}">
              <a16:creationId xmlns:a16="http://schemas.microsoft.com/office/drawing/2014/main" id="{66DE8EF4-B79C-41D6-AFBF-B1DC670B21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6820" y="11772900"/>
          <a:ext cx="7147560" cy="559308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3</xdr:col>
      <xdr:colOff>0</xdr:colOff>
      <xdr:row>115</xdr:row>
      <xdr:rowOff>3810</xdr:rowOff>
    </xdr:from>
    <xdr:ext cx="4684167" cy="5372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F98F06B-4957-455B-9AF0-E80F4B2213DC}"/>
                </a:ext>
              </a:extLst>
            </xdr:cNvPr>
            <xdr:cNvSpPr txBox="1"/>
          </xdr:nvSpPr>
          <xdr:spPr>
            <a:xfrm>
              <a:off x="3848100" y="26894790"/>
              <a:ext cx="4684167" cy="53721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N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en-IN" sz="20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IN" sz="20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</m:acc>
                          </m:e>
                          <m:sup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𝑔𝑎𝑔𝑒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</m:acc>
                          </m:e>
                          <m:sup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𝑟𝑒𝑝𝑒𝑎𝑡𝑎𝑏𝑖𝑙𝑖𝑡𝑦</m:t>
                        </m:r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+ 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𝑟𝑒𝑝𝑟𝑜𝑑𝑢𝑐𝑖𝑏𝑖𝑙𝑖𝑡𝑦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F98F06B-4957-455B-9AF0-E80F4B2213DC}"/>
                </a:ext>
              </a:extLst>
            </xdr:cNvPr>
            <xdr:cNvSpPr txBox="1"/>
          </xdr:nvSpPr>
          <xdr:spPr>
            <a:xfrm>
              <a:off x="3848100" y="26894790"/>
              <a:ext cx="4684167" cy="53721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IN" sz="2000" i="0">
                  <a:latin typeface="Cambria Math" panose="02040503050406030204" pitchFamily="18" charset="0"/>
                </a:rPr>
                <a:t>〖</a:t>
              </a:r>
              <a:r>
                <a:rPr lang="en-IN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</a:t>
              </a:r>
              <a:r>
                <a:rPr lang="en-US" sz="2000" b="0" i="0">
                  <a:latin typeface="Cambria Math" panose="02040503050406030204" pitchFamily="18" charset="0"/>
                </a:rPr>
                <a:t>2</a:t>
              </a:r>
              <a:r>
                <a:rPr lang="en-IN" sz="2000" b="0" i="0">
                  <a:latin typeface="Cambria Math" panose="02040503050406030204" pitchFamily="18" charset="0"/>
                </a:rPr>
                <a:t>〗_</a:t>
              </a:r>
              <a:r>
                <a:rPr lang="en-US" sz="2000" b="0" i="0">
                  <a:latin typeface="Cambria Math" panose="02040503050406030204" pitchFamily="18" charset="0"/>
                </a:rPr>
                <a:t>𝑔𝑎𝑔𝑒=〖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̂^</a:t>
              </a:r>
              <a:r>
                <a:rPr lang="en-US" sz="2000" b="0" i="0">
                  <a:latin typeface="Cambria Math" panose="02040503050406030204" pitchFamily="18" charset="0"/>
                </a:rPr>
                <a:t>2〗_(𝑟𝑒𝑝𝑒𝑎𝑡𝑎𝑏𝑖𝑙𝑖𝑡𝑦 )+ 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̂_</a:t>
              </a:r>
              <a:r>
                <a:rPr lang="en-US" sz="2000" b="0" i="0">
                  <a:latin typeface="Cambria Math" panose="02040503050406030204" pitchFamily="18" charset="0"/>
                </a:rPr>
                <a:t>𝑟𝑒𝑝𝑟𝑜𝑑𝑢𝑐𝑖𝑏𝑖𝑙𝑖𝑡𝑦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</xdr:col>
      <xdr:colOff>15241</xdr:colOff>
      <xdr:row>120</xdr:row>
      <xdr:rowOff>45720</xdr:rowOff>
    </xdr:from>
    <xdr:ext cx="2705100" cy="762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98F40C7-965B-4F32-9C1B-933F7D93DC63}"/>
                </a:ext>
              </a:extLst>
            </xdr:cNvPr>
            <xdr:cNvSpPr txBox="1"/>
          </xdr:nvSpPr>
          <xdr:spPr>
            <a:xfrm>
              <a:off x="3863341" y="27912060"/>
              <a:ext cx="2705100" cy="762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</m:acc>
                          </m:e>
                          <m:sup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𝑟𝑒𝑝𝑒𝑎𝑡𝑎𝑏𝑖𝑙𝑖𝑡𝑦</m:t>
                        </m:r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</m:acc>
                          </m:e>
                        </m:acc>
                      </m:num>
                      <m:den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𝐾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98F40C7-965B-4F32-9C1B-933F7D93DC63}"/>
                </a:ext>
              </a:extLst>
            </xdr:cNvPr>
            <xdr:cNvSpPr txBox="1"/>
          </xdr:nvSpPr>
          <xdr:spPr>
            <a:xfrm>
              <a:off x="3863341" y="27912060"/>
              <a:ext cx="2705100" cy="762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〖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̂^</a:t>
              </a:r>
              <a:r>
                <a:rPr lang="en-US" sz="2000" b="0" i="0">
                  <a:latin typeface="Cambria Math" panose="02040503050406030204" pitchFamily="18" charset="0"/>
                </a:rPr>
                <a:t>2〗_(𝑟𝑒𝑝𝑒𝑎𝑡𝑎𝑏𝑖𝑙𝑖𝑡𝑦 )=𝑅 ̅  ̅/𝐾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</xdr:col>
      <xdr:colOff>1</xdr:colOff>
      <xdr:row>126</xdr:row>
      <xdr:rowOff>0</xdr:rowOff>
    </xdr:from>
    <xdr:ext cx="2705100" cy="6629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FE63BC8-D369-4860-B465-7AA94BBA2509}"/>
                </a:ext>
              </a:extLst>
            </xdr:cNvPr>
            <xdr:cNvSpPr txBox="1"/>
          </xdr:nvSpPr>
          <xdr:spPr>
            <a:xfrm>
              <a:off x="3848101" y="29016960"/>
              <a:ext cx="2705100" cy="66294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𝑟𝑒𝑝𝑟𝑜𝑑𝑢𝑐𝑖𝑏𝑖𝑙𝑖𝑡𝑦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FE63BC8-D369-4860-B465-7AA94BBA2509}"/>
                </a:ext>
              </a:extLst>
            </xdr:cNvPr>
            <xdr:cNvSpPr txBox="1"/>
          </xdr:nvSpPr>
          <xdr:spPr>
            <a:xfrm>
              <a:off x="3848101" y="29016960"/>
              <a:ext cx="2705100" cy="66294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̂_</a:t>
              </a:r>
              <a:r>
                <a:rPr lang="en-US" sz="2000" b="0" i="0">
                  <a:latin typeface="Cambria Math" panose="02040503050406030204" pitchFamily="18" charset="0"/>
                </a:rPr>
                <a:t>𝑟𝑒𝑝𝑟𝑜𝑑𝑢𝑐𝑖𝑏𝑖𝑙𝑖𝑡𝑦=  𝑅_𝑥 ̅ /𝑑_2 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131</xdr:row>
      <xdr:rowOff>0</xdr:rowOff>
    </xdr:from>
    <xdr:ext cx="2705100" cy="6629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3BE9E08-CE20-4A60-9DD2-223D14EBA0C8}"/>
                </a:ext>
              </a:extLst>
            </xdr:cNvPr>
            <xdr:cNvSpPr txBox="1"/>
          </xdr:nvSpPr>
          <xdr:spPr>
            <a:xfrm>
              <a:off x="3848100" y="29961840"/>
              <a:ext cx="2705100" cy="66294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̅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</m:acc>
                      </m:e>
                    </m:acc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</m:acc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𝑡𝑒𝑠𝑡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</m:acc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𝑡𝑒𝑠𝑡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b>
                        </m:sSub>
                      </m:num>
                      <m:den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3BE9E08-CE20-4A60-9DD2-223D14EBA0C8}"/>
                </a:ext>
              </a:extLst>
            </xdr:cNvPr>
            <xdr:cNvSpPr txBox="1"/>
          </xdr:nvSpPr>
          <xdr:spPr>
            <a:xfrm>
              <a:off x="3848100" y="29961840"/>
              <a:ext cx="2705100" cy="66294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 𝑅 ̅  ̅=(𝑅 ̅_(𝑡𝑒𝑠𝑡−1)+𝑅 ̅_(𝑡𝑒𝑠𝑡−2))/2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137</xdr:row>
      <xdr:rowOff>0</xdr:rowOff>
    </xdr:from>
    <xdr:ext cx="2705100" cy="464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F8839A5-755F-4F65-AC94-3EE2B7306C62}"/>
                </a:ext>
              </a:extLst>
            </xdr:cNvPr>
            <xdr:cNvSpPr txBox="1"/>
          </xdr:nvSpPr>
          <xdr:spPr>
            <a:xfrm>
              <a:off x="3848100" y="31112460"/>
              <a:ext cx="2705100" cy="4648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F8839A5-755F-4F65-AC94-3EE2B7306C62}"/>
                </a:ext>
              </a:extLst>
            </xdr:cNvPr>
            <xdr:cNvSpPr txBox="1"/>
          </xdr:nvSpPr>
          <xdr:spPr>
            <a:xfrm>
              <a:off x="3848100" y="31112460"/>
              <a:ext cx="2705100" cy="4648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 𝑅_𝑥 ̅ =𝑥 ̅  ̅_𝑚𝑎𝑥−𝑥 ̅  ̅_𝑚𝑖𝑛=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</xdr:col>
      <xdr:colOff>601980</xdr:colOff>
      <xdr:row>140</xdr:row>
      <xdr:rowOff>167640</xdr:rowOff>
    </xdr:from>
    <xdr:ext cx="3413760" cy="3886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AEC0A3D-4C1E-437C-8378-707871054DEF}"/>
                </a:ext>
              </a:extLst>
            </xdr:cNvPr>
            <xdr:cNvSpPr txBox="1"/>
          </xdr:nvSpPr>
          <xdr:spPr>
            <a:xfrm>
              <a:off x="1211580" y="27881580"/>
              <a:ext cx="3413760" cy="3886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̅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</m:acc>
                    <m:r>
                      <a:rPr lang="en-US" sz="2000" b="0" i="1">
                        <a:latin typeface="Cambria Math" panose="02040503050406030204" pitchFamily="18" charset="0"/>
                      </a:rPr>
                      <m:t>𝑚𝑎𝑥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2000" b="0" i="0">
                        <a:latin typeface="Cambria Math" panose="02040503050406030204" pitchFamily="18" charset="0"/>
                      </a:rPr>
                      <m:t>max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𝑡𝑒𝑠𝑡</m:t>
                        </m:r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𝑡𝑒𝑠𝑡</m:t>
                        </m:r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−2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AEC0A3D-4C1E-437C-8378-707871054DEF}"/>
                </a:ext>
              </a:extLst>
            </xdr:cNvPr>
            <xdr:cNvSpPr txBox="1"/>
          </xdr:nvSpPr>
          <xdr:spPr>
            <a:xfrm>
              <a:off x="1211580" y="27881580"/>
              <a:ext cx="3413760" cy="3886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 𝑥 ̅  ̅𝑚𝑎𝑥=max⁡(𝑥 ̅  ̅_(𝑡𝑒𝑠𝑡−1),𝑥 ̅  ̅_(𝑡𝑒𝑠𝑡−2))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2</xdr:col>
      <xdr:colOff>160020</xdr:colOff>
      <xdr:row>143</xdr:row>
      <xdr:rowOff>182880</xdr:rowOff>
    </xdr:from>
    <xdr:ext cx="3268980" cy="3886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8A9C66D2-0E18-485D-9E9A-E9C15504A12A}"/>
                </a:ext>
              </a:extLst>
            </xdr:cNvPr>
            <xdr:cNvSpPr txBox="1"/>
          </xdr:nvSpPr>
          <xdr:spPr>
            <a:xfrm>
              <a:off x="1379220" y="28475940"/>
              <a:ext cx="3268980" cy="3886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̅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</m:acc>
                    <m:r>
                      <a:rPr lang="en-US" sz="2000" b="0" i="1">
                        <a:latin typeface="Cambria Math" panose="02040503050406030204" pitchFamily="18" charset="0"/>
                      </a:rPr>
                      <m:t>𝑚𝑖𝑛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2000" b="0" i="0">
                        <a:latin typeface="Cambria Math" panose="02040503050406030204" pitchFamily="18" charset="0"/>
                      </a:rPr>
                      <m:t>max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𝑡𝑒𝑠𝑡</m:t>
                        </m:r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𝑡𝑒𝑠𝑡</m:t>
                        </m:r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−2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8A9C66D2-0E18-485D-9E9A-E9C15504A12A}"/>
                </a:ext>
              </a:extLst>
            </xdr:cNvPr>
            <xdr:cNvSpPr txBox="1"/>
          </xdr:nvSpPr>
          <xdr:spPr>
            <a:xfrm>
              <a:off x="1379220" y="28475940"/>
              <a:ext cx="3268980" cy="3886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 𝑥 ̅  ̅𝑚𝑖𝑛=max⁡(𝑥 ̅  ̅_(𝑡𝑒𝑠𝑡−1),𝑥 ̅  ̅_(𝑡𝑒𝑠𝑡−2))</a:t>
              </a:r>
              <a:endParaRPr lang="en-IN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7"/>
  <sheetViews>
    <sheetView tabSelected="1" workbookViewId="0">
      <selection activeCell="B70" sqref="B70"/>
    </sheetView>
  </sheetViews>
  <sheetFormatPr defaultColWidth="9" defaultRowHeight="14.4"/>
  <cols>
    <col min="2" max="2" width="24" customWidth="1"/>
    <col min="3" max="3" width="12.6640625" customWidth="1"/>
    <col min="4" max="4" width="13.5546875" customWidth="1"/>
    <col min="5" max="5" width="10" customWidth="1"/>
    <col min="6" max="6" width="13.33203125" customWidth="1"/>
    <col min="7" max="7" width="16.5546875" customWidth="1"/>
    <col min="8" max="8" width="12.33203125" customWidth="1"/>
  </cols>
  <sheetData>
    <row r="1" spans="1:22" ht="14.4" customHeight="1">
      <c r="F1" s="210" t="s">
        <v>118</v>
      </c>
      <c r="G1" s="211"/>
      <c r="H1" s="211"/>
      <c r="J1" s="95"/>
      <c r="K1" s="95"/>
      <c r="L1" s="95"/>
      <c r="M1" s="95"/>
      <c r="N1" s="95"/>
    </row>
    <row r="2" spans="1:22" ht="15" customHeight="1" thickBot="1">
      <c r="F2" s="212"/>
      <c r="G2" s="212"/>
      <c r="H2" s="212"/>
      <c r="I2" s="95"/>
      <c r="J2" s="95"/>
      <c r="K2" s="95"/>
      <c r="L2" s="95"/>
      <c r="M2" s="95"/>
      <c r="N2" s="95"/>
    </row>
    <row r="3" spans="1:22" ht="16.8" thickTop="1" thickBot="1">
      <c r="A3" s="205" t="s">
        <v>33</v>
      </c>
      <c r="B3" s="206"/>
      <c r="C3" s="204"/>
    </row>
    <row r="4" spans="1:22" ht="16.2" thickBot="1">
      <c r="A4" s="207" t="s">
        <v>34</v>
      </c>
      <c r="B4" s="208"/>
      <c r="C4" s="204"/>
      <c r="E4" s="226" t="s">
        <v>116</v>
      </c>
      <c r="F4" s="227"/>
      <c r="G4" s="227"/>
      <c r="H4" s="227"/>
      <c r="I4" s="227"/>
    </row>
    <row r="5" spans="1:22">
      <c r="E5" s="227"/>
      <c r="F5" s="227"/>
      <c r="G5" s="227"/>
      <c r="H5" s="227"/>
      <c r="I5" s="227"/>
    </row>
    <row r="6" spans="1:22" ht="15" thickBot="1">
      <c r="E6" s="228"/>
      <c r="F6" s="228"/>
      <c r="G6" s="228"/>
      <c r="H6" s="228"/>
      <c r="I6" s="228"/>
      <c r="V6" s="3"/>
    </row>
    <row r="7" spans="1:22" ht="15" thickTop="1"/>
    <row r="9" spans="1:22" ht="17.399999999999999">
      <c r="A9" s="218" t="s">
        <v>35</v>
      </c>
      <c r="B9" s="218"/>
    </row>
    <row r="11" spans="1:22" ht="15.6">
      <c r="B11" s="15" t="s">
        <v>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  <c r="U11" s="6"/>
    </row>
    <row r="12" spans="1:22" ht="15" thickBot="1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2" ht="15" thickBot="1">
      <c r="B13" s="215" t="s">
        <v>1</v>
      </c>
      <c r="C13" s="219" t="s">
        <v>2</v>
      </c>
      <c r="D13" s="219"/>
      <c r="E13" s="213" t="s">
        <v>3</v>
      </c>
      <c r="F13" s="214"/>
      <c r="G13" s="213" t="s">
        <v>4</v>
      </c>
      <c r="H13" s="21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2" ht="15" thickBot="1">
      <c r="B14" s="216"/>
      <c r="C14" s="213" t="s">
        <v>5</v>
      </c>
      <c r="D14" s="214"/>
      <c r="E14" s="213" t="s">
        <v>5</v>
      </c>
      <c r="F14" s="214"/>
      <c r="G14" s="213" t="s">
        <v>5</v>
      </c>
      <c r="H14" s="214"/>
      <c r="I14" s="6"/>
      <c r="J14" s="7" t="s">
        <v>6</v>
      </c>
      <c r="K14" s="5" t="s">
        <v>7</v>
      </c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2" ht="15" thickBot="1">
      <c r="B15" s="217"/>
      <c r="C15" s="14" t="s">
        <v>8</v>
      </c>
      <c r="D15" s="14" t="s">
        <v>9</v>
      </c>
      <c r="E15" s="14" t="s">
        <v>10</v>
      </c>
      <c r="F15" s="14" t="s">
        <v>11</v>
      </c>
      <c r="G15" s="14" t="s">
        <v>12</v>
      </c>
      <c r="H15" s="14" t="s">
        <v>13</v>
      </c>
      <c r="I15" s="6"/>
      <c r="J15" s="8" t="s">
        <v>14</v>
      </c>
      <c r="K15" s="6" t="s">
        <v>15</v>
      </c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2">
      <c r="B16" s="11">
        <v>1</v>
      </c>
      <c r="C16" s="13">
        <v>31.83</v>
      </c>
      <c r="D16" s="13">
        <v>31.67</v>
      </c>
      <c r="E16" s="13">
        <v>32.549999999999997</v>
      </c>
      <c r="F16" s="13">
        <v>32.07</v>
      </c>
      <c r="G16" s="13">
        <v>31.99</v>
      </c>
      <c r="H16" s="9">
        <v>32.229999999999997</v>
      </c>
      <c r="I16" s="6"/>
      <c r="J16" s="8" t="s">
        <v>16</v>
      </c>
      <c r="K16" s="6" t="s">
        <v>17</v>
      </c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4">
      <c r="B17" s="11">
        <v>2</v>
      </c>
      <c r="C17" s="11">
        <v>30.31</v>
      </c>
      <c r="D17" s="11">
        <v>30.47</v>
      </c>
      <c r="E17" s="11">
        <v>30.63</v>
      </c>
      <c r="F17" s="11">
        <v>30.39</v>
      </c>
      <c r="G17" s="11">
        <v>30.15</v>
      </c>
      <c r="H17" s="9">
        <v>30.15</v>
      </c>
      <c r="I17" s="6"/>
      <c r="J17" s="6"/>
      <c r="K17" s="6" t="s">
        <v>18</v>
      </c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4">
      <c r="B18" s="11">
        <v>3</v>
      </c>
      <c r="C18" s="11">
        <v>29.51</v>
      </c>
      <c r="D18" s="11">
        <v>29.83</v>
      </c>
      <c r="E18" s="11">
        <v>29.83</v>
      </c>
      <c r="F18" s="11">
        <v>29.67</v>
      </c>
      <c r="G18" s="11">
        <v>29.51</v>
      </c>
      <c r="H18" s="9">
        <v>29.83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4">
      <c r="B19" s="11">
        <v>4</v>
      </c>
      <c r="C19" s="11">
        <v>29.43</v>
      </c>
      <c r="D19" s="11">
        <v>29.27</v>
      </c>
      <c r="E19" s="11">
        <v>29.83</v>
      </c>
      <c r="F19" s="11">
        <v>29.35</v>
      </c>
      <c r="G19" s="11">
        <v>29.27</v>
      </c>
      <c r="H19" s="9">
        <v>29.51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4">
      <c r="B20" s="11">
        <v>5</v>
      </c>
      <c r="C20" s="11">
        <v>29.91</v>
      </c>
      <c r="D20" s="11">
        <v>30.23</v>
      </c>
      <c r="E20" s="11">
        <v>30.07</v>
      </c>
      <c r="F20" s="11">
        <v>29.67</v>
      </c>
      <c r="G20" s="11">
        <v>29.83</v>
      </c>
      <c r="H20" s="9">
        <v>29.27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4">
      <c r="B21" s="11">
        <v>6</v>
      </c>
      <c r="C21" s="11">
        <v>30.47</v>
      </c>
      <c r="D21" s="11">
        <v>30.31</v>
      </c>
      <c r="E21" s="11">
        <v>30.87</v>
      </c>
      <c r="F21" s="11">
        <v>30.87</v>
      </c>
      <c r="G21" s="11">
        <v>30.31</v>
      </c>
      <c r="H21" s="9">
        <v>30.31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4">
      <c r="B22" s="11">
        <v>7</v>
      </c>
      <c r="C22" s="11">
        <v>28.79</v>
      </c>
      <c r="D22" s="11">
        <v>28.79</v>
      </c>
      <c r="E22" s="11">
        <v>29.03</v>
      </c>
      <c r="F22" s="11">
        <v>28.71</v>
      </c>
      <c r="G22" s="11">
        <v>28.23</v>
      </c>
      <c r="H22" s="9">
        <v>28.47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4">
      <c r="B23" s="11">
        <v>8</v>
      </c>
      <c r="C23" s="11">
        <v>29.99</v>
      </c>
      <c r="D23" s="11">
        <v>29.67</v>
      </c>
      <c r="E23" s="11">
        <v>30.07</v>
      </c>
      <c r="F23" s="11">
        <v>29.91</v>
      </c>
      <c r="G23" s="11">
        <v>29.67</v>
      </c>
      <c r="H23" s="9">
        <v>29.83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4">
      <c r="B24" s="11">
        <v>9</v>
      </c>
      <c r="C24" s="11">
        <v>28.55</v>
      </c>
      <c r="D24" s="11">
        <v>28.63</v>
      </c>
      <c r="E24" s="11">
        <v>28.95</v>
      </c>
      <c r="F24" s="11">
        <v>28.79</v>
      </c>
      <c r="G24" s="11">
        <v>28.55</v>
      </c>
      <c r="H24" s="9">
        <v>28.23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4" ht="15" thickBot="1">
      <c r="B25" s="12">
        <v>10</v>
      </c>
      <c r="C25" s="12">
        <v>29.35</v>
      </c>
      <c r="D25" s="12">
        <v>29.11</v>
      </c>
      <c r="E25" s="12">
        <v>29.83</v>
      </c>
      <c r="F25" s="12">
        <v>29.59</v>
      </c>
      <c r="G25" s="12">
        <v>29.59</v>
      </c>
      <c r="H25" s="10">
        <v>29.51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X25" s="3"/>
    </row>
    <row r="28" spans="1:24" ht="17.399999999999999">
      <c r="A28" s="218" t="s">
        <v>36</v>
      </c>
      <c r="B28" s="218"/>
    </row>
    <row r="31" spans="1:24" ht="15" thickBot="1"/>
    <row r="32" spans="1:24" ht="15" thickBot="1">
      <c r="C32" s="213" t="s">
        <v>2</v>
      </c>
      <c r="D32" s="214"/>
      <c r="E32" s="213" t="s">
        <v>3</v>
      </c>
      <c r="F32" s="214"/>
      <c r="G32" s="213" t="s">
        <v>4</v>
      </c>
      <c r="H32" s="214"/>
    </row>
    <row r="33" spans="3:8" ht="15" thickBot="1">
      <c r="C33" s="213" t="s">
        <v>5</v>
      </c>
      <c r="D33" s="214"/>
      <c r="E33" s="213" t="s">
        <v>5</v>
      </c>
      <c r="F33" s="214"/>
      <c r="G33" s="213" t="s">
        <v>5</v>
      </c>
      <c r="H33" s="214"/>
    </row>
    <row r="34" spans="3:8" ht="15" thickBot="1">
      <c r="C34" s="19" t="s">
        <v>37</v>
      </c>
      <c r="D34" s="18" t="s">
        <v>38</v>
      </c>
      <c r="E34" s="19" t="s">
        <v>39</v>
      </c>
      <c r="F34" s="18" t="s">
        <v>40</v>
      </c>
      <c r="G34" s="19" t="s">
        <v>41</v>
      </c>
      <c r="H34" s="18" t="s">
        <v>42</v>
      </c>
    </row>
    <row r="35" spans="3:8">
      <c r="C35" s="20">
        <f t="shared" ref="C35:C44" si="0">(C16+D16)/2</f>
        <v>31.75</v>
      </c>
      <c r="D35" s="16">
        <f t="shared" ref="D35:D44" si="1">ABS(C16-D16)</f>
        <v>0.15999999999999659</v>
      </c>
      <c r="E35" s="20">
        <f>(E16+F16)/2</f>
        <v>32.31</v>
      </c>
      <c r="F35" s="16">
        <f>ABS(E16-F16)</f>
        <v>0.47999999999999687</v>
      </c>
      <c r="G35" s="20">
        <f>(G16+H16)/2</f>
        <v>32.11</v>
      </c>
      <c r="H35" s="16">
        <f>ABS(G16-H16)</f>
        <v>0.23999999999999844</v>
      </c>
    </row>
    <row r="36" spans="3:8">
      <c r="C36" s="20">
        <f t="shared" si="0"/>
        <v>30.39</v>
      </c>
      <c r="D36" s="16">
        <f t="shared" si="1"/>
        <v>0.16000000000000014</v>
      </c>
      <c r="E36" s="20">
        <f t="shared" ref="E36:E43" si="2">(E17+F17)/2</f>
        <v>30.509999999999998</v>
      </c>
      <c r="F36" s="16">
        <f t="shared" ref="F36:F43" si="3">ABS(E17-F17)</f>
        <v>0.23999999999999844</v>
      </c>
      <c r="G36" s="20">
        <f t="shared" ref="G36:G44" si="4">(G17+H17)/2</f>
        <v>30.15</v>
      </c>
      <c r="H36" s="16">
        <f t="shared" ref="H36:H44" si="5">ABS(G17-H17)</f>
        <v>0</v>
      </c>
    </row>
    <row r="37" spans="3:8">
      <c r="C37" s="20">
        <f t="shared" si="0"/>
        <v>29.67</v>
      </c>
      <c r="D37" s="16">
        <f t="shared" si="1"/>
        <v>0.31999999999999673</v>
      </c>
      <c r="E37" s="20">
        <f t="shared" si="2"/>
        <v>29.75</v>
      </c>
      <c r="F37" s="16">
        <f t="shared" si="3"/>
        <v>0.15999999999999659</v>
      </c>
      <c r="G37" s="20">
        <f t="shared" si="4"/>
        <v>29.67</v>
      </c>
      <c r="H37" s="16">
        <f t="shared" si="5"/>
        <v>0.31999999999999673</v>
      </c>
    </row>
    <row r="38" spans="3:8">
      <c r="C38" s="20">
        <f t="shared" si="0"/>
        <v>29.35</v>
      </c>
      <c r="D38" s="16">
        <f t="shared" si="1"/>
        <v>0.16000000000000014</v>
      </c>
      <c r="E38" s="20">
        <f t="shared" si="2"/>
        <v>29.59</v>
      </c>
      <c r="F38" s="16">
        <f t="shared" si="3"/>
        <v>0.47999999999999687</v>
      </c>
      <c r="G38" s="20">
        <f t="shared" si="4"/>
        <v>29.39</v>
      </c>
      <c r="H38" s="16">
        <f t="shared" si="5"/>
        <v>0.24000000000000199</v>
      </c>
    </row>
    <row r="39" spans="3:8">
      <c r="C39" s="20">
        <f t="shared" si="0"/>
        <v>30.07</v>
      </c>
      <c r="D39" s="16">
        <f t="shared" si="1"/>
        <v>0.32000000000000028</v>
      </c>
      <c r="E39" s="20">
        <f t="shared" si="2"/>
        <v>29.87</v>
      </c>
      <c r="F39" s="16">
        <f t="shared" si="3"/>
        <v>0.39999999999999858</v>
      </c>
      <c r="G39" s="20">
        <f t="shared" si="4"/>
        <v>29.549999999999997</v>
      </c>
      <c r="H39" s="16">
        <f t="shared" si="5"/>
        <v>0.55999999999999872</v>
      </c>
    </row>
    <row r="40" spans="3:8">
      <c r="C40" s="20">
        <f t="shared" si="0"/>
        <v>30.39</v>
      </c>
      <c r="D40" s="16">
        <f t="shared" si="1"/>
        <v>0.16000000000000014</v>
      </c>
      <c r="E40" s="20">
        <f t="shared" si="2"/>
        <v>30.87</v>
      </c>
      <c r="F40" s="16">
        <f t="shared" si="3"/>
        <v>0</v>
      </c>
      <c r="G40" s="20">
        <f t="shared" si="4"/>
        <v>30.31</v>
      </c>
      <c r="H40" s="16">
        <f t="shared" si="5"/>
        <v>0</v>
      </c>
    </row>
    <row r="41" spans="3:8">
      <c r="C41" s="20">
        <f t="shared" si="0"/>
        <v>28.79</v>
      </c>
      <c r="D41" s="16">
        <f t="shared" si="1"/>
        <v>0</v>
      </c>
      <c r="E41" s="20">
        <f t="shared" si="2"/>
        <v>28.87</v>
      </c>
      <c r="F41" s="16">
        <f t="shared" si="3"/>
        <v>0.32000000000000028</v>
      </c>
      <c r="G41" s="20">
        <f t="shared" si="4"/>
        <v>28.35</v>
      </c>
      <c r="H41" s="16">
        <f t="shared" si="5"/>
        <v>0.23999999999999844</v>
      </c>
    </row>
    <row r="42" spans="3:8">
      <c r="C42" s="20">
        <f t="shared" si="0"/>
        <v>29.83</v>
      </c>
      <c r="D42" s="16">
        <f t="shared" si="1"/>
        <v>0.31999999999999673</v>
      </c>
      <c r="E42" s="20">
        <f>(E23+F23)/2</f>
        <v>29.990000000000002</v>
      </c>
      <c r="F42" s="16">
        <f t="shared" si="3"/>
        <v>0.16000000000000014</v>
      </c>
      <c r="G42" s="20">
        <f t="shared" si="4"/>
        <v>29.75</v>
      </c>
      <c r="H42" s="16">
        <f t="shared" si="5"/>
        <v>0.15999999999999659</v>
      </c>
    </row>
    <row r="43" spans="3:8">
      <c r="C43" s="20">
        <f t="shared" si="0"/>
        <v>28.59</v>
      </c>
      <c r="D43" s="16">
        <f t="shared" si="1"/>
        <v>7.9999999999998295E-2</v>
      </c>
      <c r="E43" s="20">
        <f t="shared" si="2"/>
        <v>28.869999999999997</v>
      </c>
      <c r="F43" s="16">
        <f t="shared" si="3"/>
        <v>0.16000000000000014</v>
      </c>
      <c r="G43" s="20">
        <f t="shared" si="4"/>
        <v>28.39</v>
      </c>
      <c r="H43" s="16">
        <f t="shared" si="5"/>
        <v>0.32000000000000028</v>
      </c>
    </row>
    <row r="44" spans="3:8" ht="15" thickBot="1">
      <c r="C44" s="21">
        <f t="shared" si="0"/>
        <v>29.23</v>
      </c>
      <c r="D44" s="17">
        <f t="shared" si="1"/>
        <v>0.24000000000000199</v>
      </c>
      <c r="E44" s="21">
        <f>(E25+F25)/2</f>
        <v>29.71</v>
      </c>
      <c r="F44" s="17">
        <f>ABS(E25-F25)</f>
        <v>0.23999999999999844</v>
      </c>
      <c r="G44" s="21">
        <f t="shared" si="4"/>
        <v>29.55</v>
      </c>
      <c r="H44" s="17">
        <f t="shared" si="5"/>
        <v>7.9999999999998295E-2</v>
      </c>
    </row>
    <row r="45" spans="3:8" ht="15" thickBot="1">
      <c r="C45" s="22">
        <f t="shared" ref="C45:H45" si="6">AVERAGE(C35:C44)</f>
        <v>29.806000000000001</v>
      </c>
      <c r="D45" s="23">
        <f t="shared" si="6"/>
        <v>0.19199999999999912</v>
      </c>
      <c r="E45" s="22">
        <f t="shared" si="6"/>
        <v>30.033999999999999</v>
      </c>
      <c r="F45" s="23">
        <f t="shared" si="6"/>
        <v>0.26399999999999862</v>
      </c>
      <c r="G45" s="22">
        <f t="shared" si="6"/>
        <v>29.722000000000001</v>
      </c>
      <c r="H45" s="23">
        <f t="shared" si="6"/>
        <v>0.21599999999999894</v>
      </c>
    </row>
    <row r="49" spans="2:12" ht="17.399999999999999">
      <c r="B49" s="24" t="s">
        <v>43</v>
      </c>
    </row>
    <row r="50" spans="2:12" ht="17.399999999999999">
      <c r="B50" s="24"/>
    </row>
    <row r="51" spans="2:12" ht="17.399999999999999">
      <c r="B51" s="24"/>
      <c r="D51" s="25" t="s">
        <v>44</v>
      </c>
    </row>
    <row r="52" spans="2:12" ht="17.399999999999999">
      <c r="B52" s="24"/>
      <c r="D52" s="26" t="s">
        <v>45</v>
      </c>
      <c r="E52" s="26">
        <v>1.1279999999999999</v>
      </c>
    </row>
    <row r="53" spans="2:12" ht="19.8">
      <c r="B53" s="209" t="s">
        <v>121</v>
      </c>
      <c r="D53" s="26" t="s">
        <v>46</v>
      </c>
      <c r="E53" s="26">
        <v>1.6930000000000001</v>
      </c>
    </row>
    <row r="54" spans="2:12" ht="15" thickBot="1"/>
    <row r="55" spans="2:12" ht="18.600000000000001" thickBot="1">
      <c r="J55" s="31">
        <f>(G60)^2 + (G66)^2</f>
        <v>7.3396793594396062E-2</v>
      </c>
      <c r="K55" s="183"/>
      <c r="L55" s="185"/>
    </row>
    <row r="59" spans="2:12" ht="15" thickBot="1"/>
    <row r="60" spans="2:12" ht="18" thickBot="1">
      <c r="G60" s="30">
        <f>G71/E52</f>
        <v>0.19858156028368698</v>
      </c>
    </row>
    <row r="65" spans="7:7" ht="15" thickBot="1"/>
    <row r="66" spans="7:7" ht="16.2" thickBot="1">
      <c r="G66" s="29">
        <f>G77/E53</f>
        <v>0.18428824571765953</v>
      </c>
    </row>
    <row r="70" spans="7:7" ht="15" thickBot="1"/>
    <row r="71" spans="7:7" ht="18" thickBot="1">
      <c r="G71" s="27">
        <f>(D45+F45+H45)/3</f>
        <v>0.22399999999999889</v>
      </c>
    </row>
    <row r="72" spans="7:7">
      <c r="G72" s="6"/>
    </row>
    <row r="73" spans="7:7">
      <c r="G73" s="6"/>
    </row>
    <row r="74" spans="7:7">
      <c r="G74" s="6"/>
    </row>
    <row r="75" spans="7:7">
      <c r="G75" s="6"/>
    </row>
    <row r="76" spans="7:7" ht="15" thickBot="1">
      <c r="G76" s="6"/>
    </row>
    <row r="77" spans="7:7" ht="16.2" thickBot="1">
      <c r="G77" s="28">
        <f>G81-G84</f>
        <v>0.31199999999999761</v>
      </c>
    </row>
    <row r="78" spans="7:7">
      <c r="G78" s="6"/>
    </row>
    <row r="79" spans="7:7">
      <c r="G79" s="6"/>
    </row>
    <row r="80" spans="7:7" ht="15" thickBot="1">
      <c r="G80" s="6"/>
    </row>
    <row r="81" spans="2:7" ht="16.2" thickBot="1">
      <c r="G81" s="28">
        <f>E45</f>
        <v>30.033999999999999</v>
      </c>
    </row>
    <row r="82" spans="2:7">
      <c r="G82" s="6"/>
    </row>
    <row r="83" spans="2:7" ht="15" thickBot="1">
      <c r="G83" s="6"/>
    </row>
    <row r="84" spans="2:7" ht="16.2" thickBot="1">
      <c r="G84" s="28">
        <f>G45</f>
        <v>29.722000000000001</v>
      </c>
    </row>
    <row r="92" spans="2:7" ht="18">
      <c r="B92" s="52" t="s">
        <v>92</v>
      </c>
    </row>
    <row r="93" spans="2:7" ht="18">
      <c r="B93" s="52"/>
    </row>
    <row r="94" spans="2:7" ht="17.399999999999999">
      <c r="B94" s="58" t="s">
        <v>95</v>
      </c>
      <c r="C94" s="59"/>
      <c r="D94" s="59"/>
      <c r="E94" s="6"/>
    </row>
    <row r="95" spans="2:7" ht="17.399999999999999">
      <c r="B95" s="59" t="s">
        <v>93</v>
      </c>
      <c r="C95" s="59"/>
      <c r="D95" s="59"/>
      <c r="E95" s="6"/>
    </row>
    <row r="96" spans="2:7" ht="17.399999999999999">
      <c r="B96" s="59" t="s">
        <v>94</v>
      </c>
      <c r="C96" s="59"/>
      <c r="D96" s="59"/>
      <c r="E96" s="6"/>
    </row>
    <row r="98" spans="2:15" ht="20.399999999999999">
      <c r="B98" s="94" t="s">
        <v>53</v>
      </c>
      <c r="C98" s="47"/>
      <c r="D98" s="47"/>
      <c r="E98" s="47"/>
      <c r="F98" s="47"/>
      <c r="G98" s="47"/>
    </row>
    <row r="99" spans="2:15" ht="16.2">
      <c r="B99" s="50"/>
      <c r="C99" s="47"/>
      <c r="D99" s="47"/>
      <c r="E99" s="47"/>
      <c r="F99" s="47"/>
      <c r="G99" s="47"/>
    </row>
    <row r="100" spans="2:15" ht="21" thickBot="1">
      <c r="B100" s="51" t="s">
        <v>54</v>
      </c>
      <c r="C100" s="47"/>
      <c r="D100" s="47"/>
      <c r="E100" s="47"/>
      <c r="F100" s="47"/>
      <c r="G100" s="47"/>
      <c r="J100" s="51" t="s">
        <v>75</v>
      </c>
      <c r="K100" s="74"/>
      <c r="L100" s="74"/>
      <c r="M100" s="74"/>
      <c r="N100" s="74"/>
      <c r="O100" s="74"/>
    </row>
    <row r="101" spans="2:15" ht="17.399999999999999" thickBot="1">
      <c r="B101" s="68" t="s">
        <v>55</v>
      </c>
      <c r="C101" s="61" t="s">
        <v>56</v>
      </c>
      <c r="D101" s="61" t="s">
        <v>57</v>
      </c>
      <c r="E101" s="61" t="s">
        <v>58</v>
      </c>
      <c r="F101" s="61" t="s">
        <v>59</v>
      </c>
      <c r="G101" s="62" t="s">
        <v>60</v>
      </c>
      <c r="J101" s="65" t="s">
        <v>55</v>
      </c>
      <c r="K101" s="61" t="s">
        <v>56</v>
      </c>
      <c r="L101" s="61" t="s">
        <v>57</v>
      </c>
      <c r="M101" s="61" t="s">
        <v>58</v>
      </c>
      <c r="N101" s="61" t="s">
        <v>59</v>
      </c>
      <c r="O101" s="62" t="s">
        <v>60</v>
      </c>
    </row>
    <row r="102" spans="2:15">
      <c r="B102" s="69" t="s">
        <v>1</v>
      </c>
      <c r="C102" s="60">
        <v>9</v>
      </c>
      <c r="D102" s="56">
        <v>52.801699999999997</v>
      </c>
      <c r="E102" s="56">
        <v>5.86686</v>
      </c>
      <c r="F102" s="56">
        <v>108.248</v>
      </c>
      <c r="G102" s="54">
        <v>0</v>
      </c>
      <c r="J102" s="66" t="s">
        <v>1</v>
      </c>
      <c r="K102" s="56">
        <v>9</v>
      </c>
      <c r="L102" s="56">
        <v>52.801699999999997</v>
      </c>
      <c r="M102" s="56">
        <v>5.86686</v>
      </c>
      <c r="N102" s="56">
        <v>138.61600000000001</v>
      </c>
      <c r="O102" s="54">
        <v>0</v>
      </c>
    </row>
    <row r="103" spans="2:15" ht="27.6">
      <c r="B103" s="70" t="s">
        <v>47</v>
      </c>
      <c r="C103" s="60">
        <v>2</v>
      </c>
      <c r="D103" s="60">
        <v>1.0426</v>
      </c>
      <c r="E103" s="56">
        <v>0.52127999999999997</v>
      </c>
      <c r="F103" s="56">
        <v>9.6180000000000003</v>
      </c>
      <c r="G103" s="54">
        <v>1E-3</v>
      </c>
      <c r="J103" s="66" t="s">
        <v>47</v>
      </c>
      <c r="K103" s="56">
        <v>2</v>
      </c>
      <c r="L103" s="56">
        <v>1.0426</v>
      </c>
      <c r="M103" s="56">
        <v>0.52127999999999997</v>
      </c>
      <c r="N103" s="56">
        <v>12.316000000000001</v>
      </c>
      <c r="O103" s="54">
        <v>0</v>
      </c>
    </row>
    <row r="104" spans="2:15" ht="28.2" thickBot="1">
      <c r="B104" s="70" t="s">
        <v>61</v>
      </c>
      <c r="C104" s="56">
        <v>18</v>
      </c>
      <c r="D104" s="56">
        <v>0.97560000000000002</v>
      </c>
      <c r="E104" s="56">
        <v>5.4199999999999998E-2</v>
      </c>
      <c r="F104" s="56">
        <v>1.54</v>
      </c>
      <c r="G104" s="54">
        <v>0.14399999999999999</v>
      </c>
      <c r="J104" s="66" t="s">
        <v>62</v>
      </c>
      <c r="K104" s="56">
        <v>48</v>
      </c>
      <c r="L104" s="56">
        <v>2.0316000000000001</v>
      </c>
      <c r="M104" s="56">
        <v>4.2320000000000003E-2</v>
      </c>
      <c r="N104" s="56"/>
      <c r="O104" s="54"/>
    </row>
    <row r="105" spans="2:15" ht="15" thickBot="1">
      <c r="B105" s="71" t="s">
        <v>62</v>
      </c>
      <c r="C105" s="57">
        <v>30</v>
      </c>
      <c r="D105" s="57">
        <v>1.056</v>
      </c>
      <c r="E105" s="57">
        <v>3.5200000000000002E-2</v>
      </c>
      <c r="F105" s="57"/>
      <c r="G105" s="55"/>
      <c r="J105" s="93" t="s">
        <v>63</v>
      </c>
      <c r="K105" s="79">
        <v>59</v>
      </c>
      <c r="L105" s="79">
        <v>55.875799999999998</v>
      </c>
      <c r="M105" s="79"/>
      <c r="N105" s="79"/>
      <c r="O105" s="78"/>
    </row>
    <row r="106" spans="2:15" ht="18.600000000000001" thickBot="1">
      <c r="B106" s="90" t="s">
        <v>63</v>
      </c>
      <c r="C106" s="91">
        <v>59</v>
      </c>
      <c r="D106" s="91">
        <v>55.875799999999998</v>
      </c>
      <c r="E106" s="79"/>
      <c r="F106" s="79"/>
      <c r="G106" s="78"/>
    </row>
    <row r="107" spans="2:15" ht="18">
      <c r="B107" s="64" t="s">
        <v>64</v>
      </c>
      <c r="C107" s="48"/>
      <c r="D107" s="48"/>
      <c r="E107" s="47"/>
      <c r="F107" s="47"/>
      <c r="G107" s="47"/>
    </row>
    <row r="112" spans="2:15" ht="21" thickBot="1">
      <c r="B112" s="72" t="s">
        <v>65</v>
      </c>
      <c r="C112" s="73"/>
      <c r="D112" s="73"/>
      <c r="G112" s="51" t="s">
        <v>76</v>
      </c>
    </row>
    <row r="113" spans="2:10" ht="33.6">
      <c r="B113" s="220" t="s">
        <v>55</v>
      </c>
      <c r="C113" s="220" t="s">
        <v>66</v>
      </c>
      <c r="D113" s="83" t="s">
        <v>67</v>
      </c>
      <c r="G113" s="222" t="s">
        <v>55</v>
      </c>
      <c r="H113" s="224" t="s">
        <v>77</v>
      </c>
      <c r="I113" s="85" t="s">
        <v>78</v>
      </c>
      <c r="J113" s="83" t="s">
        <v>80</v>
      </c>
    </row>
    <row r="114" spans="2:10" ht="34.200000000000003" thickBot="1">
      <c r="B114" s="221"/>
      <c r="C114" s="221"/>
      <c r="D114" s="84" t="s">
        <v>68</v>
      </c>
      <c r="G114" s="223"/>
      <c r="H114" s="225"/>
      <c r="I114" s="86" t="s">
        <v>79</v>
      </c>
      <c r="J114" s="84" t="s">
        <v>81</v>
      </c>
    </row>
    <row r="115" spans="2:10">
      <c r="B115" s="56" t="s">
        <v>69</v>
      </c>
      <c r="C115" s="56">
        <v>6.6269999999999996E-2</v>
      </c>
      <c r="D115" s="54">
        <v>6.39</v>
      </c>
      <c r="G115" s="56" t="s">
        <v>69</v>
      </c>
      <c r="H115" s="53">
        <v>0.25742999999999999</v>
      </c>
      <c r="I115" s="53">
        <v>1.5446</v>
      </c>
      <c r="J115" s="54">
        <v>25.28</v>
      </c>
    </row>
    <row r="116" spans="2:10">
      <c r="B116" s="56" t="s">
        <v>70</v>
      </c>
      <c r="C116" s="56">
        <v>4.2320000000000003E-2</v>
      </c>
      <c r="D116" s="54">
        <v>4.08</v>
      </c>
      <c r="G116" s="56" t="s">
        <v>70</v>
      </c>
      <c r="H116" s="53">
        <v>0.20573</v>
      </c>
      <c r="I116" s="53">
        <v>1.23437</v>
      </c>
      <c r="J116" s="54">
        <v>20.2</v>
      </c>
    </row>
    <row r="117" spans="2:10">
      <c r="B117" s="56" t="s">
        <v>71</v>
      </c>
      <c r="C117" s="56">
        <v>2.3949999999999999E-2</v>
      </c>
      <c r="D117" s="54">
        <v>2.31</v>
      </c>
      <c r="G117" s="56" t="s">
        <v>71</v>
      </c>
      <c r="H117" s="53">
        <v>0.15475</v>
      </c>
      <c r="I117" s="53">
        <v>0.92849999999999999</v>
      </c>
      <c r="J117" s="54">
        <v>15.2</v>
      </c>
    </row>
    <row r="118" spans="2:10">
      <c r="B118" s="56" t="s">
        <v>72</v>
      </c>
      <c r="C118" s="56">
        <v>2.3949999999999999E-2</v>
      </c>
      <c r="D118" s="54">
        <v>2.31</v>
      </c>
      <c r="G118" s="56" t="s">
        <v>72</v>
      </c>
      <c r="H118" s="53">
        <v>0.15475</v>
      </c>
      <c r="I118" s="53">
        <v>0.92849999999999999</v>
      </c>
      <c r="J118" s="54">
        <v>15.2</v>
      </c>
    </row>
    <row r="119" spans="2:10" ht="15" thickBot="1">
      <c r="B119" s="56" t="s">
        <v>73</v>
      </c>
      <c r="C119" s="56">
        <v>0.97075999999999996</v>
      </c>
      <c r="D119" s="54">
        <v>93.61</v>
      </c>
      <c r="G119" s="56" t="s">
        <v>73</v>
      </c>
      <c r="H119" s="53">
        <v>0.98526999999999998</v>
      </c>
      <c r="I119" s="53">
        <v>5.9116099999999996</v>
      </c>
      <c r="J119" s="54">
        <v>96.75</v>
      </c>
    </row>
    <row r="120" spans="2:10" ht="15" thickBot="1">
      <c r="B120" s="79" t="s">
        <v>74</v>
      </c>
      <c r="C120" s="79">
        <v>1.0370299999999999</v>
      </c>
      <c r="D120" s="78">
        <v>100</v>
      </c>
      <c r="G120" s="79" t="s">
        <v>74</v>
      </c>
      <c r="H120" s="77">
        <v>1.0183500000000001</v>
      </c>
      <c r="I120" s="77">
        <v>6.1100700000000003</v>
      </c>
      <c r="J120" s="78">
        <v>100</v>
      </c>
    </row>
    <row r="124" spans="2:10" ht="15" thickBot="1"/>
    <row r="125" spans="2:10" ht="21" thickBot="1">
      <c r="B125" s="80" t="s">
        <v>82</v>
      </c>
      <c r="C125" s="81"/>
      <c r="F125" s="80" t="s">
        <v>87</v>
      </c>
      <c r="G125" s="81"/>
    </row>
    <row r="126" spans="2:10" ht="17.399999999999999" thickBot="1">
      <c r="B126" s="87" t="s">
        <v>83</v>
      </c>
      <c r="C126" s="88" t="s">
        <v>84</v>
      </c>
      <c r="F126" s="87" t="s">
        <v>83</v>
      </c>
      <c r="G126" s="88" t="s">
        <v>84</v>
      </c>
    </row>
    <row r="127" spans="2:10" ht="55.2">
      <c r="B127" s="75" t="s">
        <v>85</v>
      </c>
      <c r="C127" s="54">
        <v>0</v>
      </c>
      <c r="F127" s="75" t="s">
        <v>88</v>
      </c>
      <c r="G127" s="54">
        <v>0</v>
      </c>
    </row>
    <row r="128" spans="2:10" ht="55.8" thickBot="1">
      <c r="B128" s="76" t="s">
        <v>86</v>
      </c>
      <c r="C128" s="55">
        <v>0</v>
      </c>
      <c r="F128" s="76" t="s">
        <v>89</v>
      </c>
      <c r="G128" s="55" t="s">
        <v>90</v>
      </c>
    </row>
    <row r="129" spans="6:6" ht="16.2">
      <c r="F129" s="89" t="s">
        <v>91</v>
      </c>
    </row>
    <row r="162" spans="2:17" ht="15" thickBot="1">
      <c r="B162" s="47"/>
    </row>
    <row r="163" spans="2:17" ht="20.399999999999999">
      <c r="C163" s="96" t="s">
        <v>96</v>
      </c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8"/>
    </row>
    <row r="164" spans="2:17">
      <c r="C164" s="99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1"/>
    </row>
    <row r="165" spans="2:17" ht="18">
      <c r="C165" s="102" t="s">
        <v>117</v>
      </c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0"/>
      <c r="O165" s="100"/>
      <c r="P165" s="100"/>
      <c r="Q165" s="101"/>
    </row>
    <row r="166" spans="2:17" ht="18">
      <c r="C166" s="104" t="s">
        <v>98</v>
      </c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0"/>
      <c r="O166" s="100"/>
      <c r="P166" s="100"/>
      <c r="Q166" s="101"/>
    </row>
    <row r="167" spans="2:17" ht="18.600000000000001" thickBot="1">
      <c r="C167" s="105" t="s">
        <v>97</v>
      </c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7"/>
      <c r="O167" s="107"/>
      <c r="P167" s="107"/>
      <c r="Q167" s="108"/>
    </row>
  </sheetData>
  <mergeCells count="21">
    <mergeCell ref="B113:B114"/>
    <mergeCell ref="C113:C114"/>
    <mergeCell ref="G113:G114"/>
    <mergeCell ref="H113:H114"/>
    <mergeCell ref="E4:I6"/>
    <mergeCell ref="F1:H2"/>
    <mergeCell ref="C33:D33"/>
    <mergeCell ref="E33:F33"/>
    <mergeCell ref="G33:H33"/>
    <mergeCell ref="B13:B15"/>
    <mergeCell ref="A28:B28"/>
    <mergeCell ref="C32:D32"/>
    <mergeCell ref="E32:F32"/>
    <mergeCell ref="G32:H32"/>
    <mergeCell ref="A9:B9"/>
    <mergeCell ref="C13:D13"/>
    <mergeCell ref="E13:F13"/>
    <mergeCell ref="G13:H13"/>
    <mergeCell ref="C14:D14"/>
    <mergeCell ref="E14:F14"/>
    <mergeCell ref="G14:H14"/>
  </mergeCells>
  <pageMargins left="0.7" right="0.7" top="0.75" bottom="0.75" header="0.3" footer="0.3"/>
  <pageSetup orientation="portrait" r:id="rId1"/>
  <ignoredErrors>
    <ignoredError sqref="F35:F44 D35:D44 E35:E44 G35:G44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6544-427F-4A40-AFF8-D1B5C840C7EA}">
  <dimension ref="B3:W161"/>
  <sheetViews>
    <sheetView topLeftCell="A112" zoomScale="70" zoomScaleNormal="70" workbookViewId="0">
      <selection activeCell="C130" sqref="C130"/>
    </sheetView>
  </sheetViews>
  <sheetFormatPr defaultRowHeight="14.4"/>
  <cols>
    <col min="3" max="3" width="11.6640625" customWidth="1"/>
    <col min="4" max="4" width="17.77734375" customWidth="1"/>
    <col min="7" max="7" width="17.6640625" customWidth="1"/>
    <col min="8" max="8" width="13.6640625" customWidth="1"/>
    <col min="9" max="9" width="16.109375" customWidth="1"/>
    <col min="10" max="10" width="17.44140625" customWidth="1"/>
    <col min="11" max="11" width="15.5546875" customWidth="1"/>
    <col min="12" max="12" width="16.5546875" customWidth="1"/>
    <col min="13" max="13" width="11" customWidth="1"/>
    <col min="14" max="14" width="13.5546875" customWidth="1"/>
    <col min="15" max="15" width="14.21875" customWidth="1"/>
  </cols>
  <sheetData>
    <row r="3" spans="2:23" ht="14.4" customHeight="1">
      <c r="G3" s="233" t="s">
        <v>19</v>
      </c>
      <c r="H3" s="233"/>
      <c r="I3" s="233"/>
      <c r="J3" s="233"/>
    </row>
    <row r="4" spans="2:23" ht="18" customHeight="1">
      <c r="G4" s="233"/>
      <c r="H4" s="233"/>
      <c r="I4" s="233"/>
      <c r="J4" s="233"/>
    </row>
    <row r="5" spans="2:23" ht="14.4" customHeight="1">
      <c r="G5" s="233"/>
      <c r="H5" s="233"/>
      <c r="I5" s="233"/>
      <c r="J5" s="233"/>
    </row>
    <row r="12" spans="2:23">
      <c r="B12" s="1" t="s">
        <v>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2:23" ht="15" thickBot="1"/>
    <row r="14" spans="2:23">
      <c r="B14" s="32"/>
      <c r="C14" s="234" t="s">
        <v>20</v>
      </c>
      <c r="D14" s="236"/>
      <c r="E14" s="234" t="s">
        <v>21</v>
      </c>
      <c r="F14" s="236"/>
      <c r="G14" s="234" t="s">
        <v>22</v>
      </c>
      <c r="H14" s="236"/>
      <c r="I14" s="234" t="s">
        <v>23</v>
      </c>
      <c r="J14" s="235"/>
    </row>
    <row r="15" spans="2:23" ht="15" thickBot="1">
      <c r="B15" s="33" t="s">
        <v>24</v>
      </c>
      <c r="C15" s="34" t="s">
        <v>25</v>
      </c>
      <c r="D15" s="34" t="s">
        <v>26</v>
      </c>
      <c r="E15" s="34" t="s">
        <v>25</v>
      </c>
      <c r="F15" s="34" t="s">
        <v>26</v>
      </c>
      <c r="G15" s="34" t="s">
        <v>25</v>
      </c>
      <c r="H15" s="34" t="s">
        <v>26</v>
      </c>
      <c r="I15" s="34" t="s">
        <v>25</v>
      </c>
      <c r="J15" s="35" t="s">
        <v>26</v>
      </c>
      <c r="L15" s="2" t="s">
        <v>6</v>
      </c>
      <c r="M15" s="1" t="s">
        <v>7</v>
      </c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2:23">
      <c r="B16" s="36">
        <v>1</v>
      </c>
      <c r="C16" s="36">
        <v>26</v>
      </c>
      <c r="D16" s="36">
        <v>26</v>
      </c>
      <c r="E16" s="36">
        <v>26</v>
      </c>
      <c r="F16" s="36">
        <v>28</v>
      </c>
      <c r="G16" s="36">
        <v>24</v>
      </c>
      <c r="H16" s="36">
        <v>27</v>
      </c>
      <c r="I16" s="36">
        <v>26</v>
      </c>
      <c r="J16" s="36">
        <v>26</v>
      </c>
      <c r="L16" s="4" t="s">
        <v>14</v>
      </c>
      <c r="M16" t="s">
        <v>15</v>
      </c>
    </row>
    <row r="17" spans="2:20">
      <c r="B17" s="37">
        <v>2</v>
      </c>
      <c r="C17" s="37">
        <v>18</v>
      </c>
      <c r="D17" s="37">
        <v>17</v>
      </c>
      <c r="E17" s="37">
        <v>19</v>
      </c>
      <c r="F17" s="37">
        <v>19</v>
      </c>
      <c r="G17" s="37">
        <v>18</v>
      </c>
      <c r="H17" s="37">
        <v>19</v>
      </c>
      <c r="I17" s="37">
        <v>18</v>
      </c>
      <c r="J17" s="37">
        <v>19</v>
      </c>
      <c r="L17" s="4" t="s">
        <v>16</v>
      </c>
      <c r="M17" t="s">
        <v>17</v>
      </c>
    </row>
    <row r="18" spans="2:20">
      <c r="B18" s="37">
        <v>3</v>
      </c>
      <c r="C18" s="37">
        <v>38</v>
      </c>
      <c r="D18" s="37">
        <v>37</v>
      </c>
      <c r="E18" s="37">
        <v>38</v>
      </c>
      <c r="F18" s="37">
        <v>36</v>
      </c>
      <c r="G18" s="37">
        <v>35</v>
      </c>
      <c r="H18" s="37">
        <v>38</v>
      </c>
      <c r="I18" s="37">
        <v>37</v>
      </c>
      <c r="J18" s="37">
        <v>38</v>
      </c>
      <c r="M18" t="s">
        <v>18</v>
      </c>
    </row>
    <row r="19" spans="2:20">
      <c r="B19" s="37">
        <v>4</v>
      </c>
      <c r="C19" s="37">
        <v>22</v>
      </c>
      <c r="D19" s="37">
        <v>23</v>
      </c>
      <c r="E19" s="37">
        <v>25</v>
      </c>
      <c r="F19" s="37">
        <v>26</v>
      </c>
      <c r="G19" s="37">
        <v>24</v>
      </c>
      <c r="H19" s="37">
        <v>26</v>
      </c>
      <c r="I19" s="37">
        <v>23</v>
      </c>
      <c r="J19" s="37">
        <v>26</v>
      </c>
    </row>
    <row r="20" spans="2:20">
      <c r="B20" s="37">
        <v>5</v>
      </c>
      <c r="C20" s="37">
        <v>22</v>
      </c>
      <c r="D20" s="37">
        <v>22</v>
      </c>
      <c r="E20" s="37">
        <v>22</v>
      </c>
      <c r="F20" s="37">
        <v>22</v>
      </c>
      <c r="G20" s="37">
        <v>22</v>
      </c>
      <c r="H20" s="37">
        <v>22</v>
      </c>
      <c r="I20" s="37">
        <v>21</v>
      </c>
      <c r="J20" s="37">
        <v>21</v>
      </c>
    </row>
    <row r="21" spans="2:20">
      <c r="B21" s="37">
        <v>6</v>
      </c>
      <c r="C21" s="37">
        <v>9</v>
      </c>
      <c r="D21" s="37">
        <v>9</v>
      </c>
      <c r="E21" s="37">
        <v>9</v>
      </c>
      <c r="F21" s="37">
        <v>9</v>
      </c>
      <c r="G21" s="37">
        <v>9</v>
      </c>
      <c r="H21" s="37">
        <v>9</v>
      </c>
      <c r="I21" s="37">
        <v>9</v>
      </c>
      <c r="J21" s="37">
        <v>9</v>
      </c>
    </row>
    <row r="22" spans="2:20">
      <c r="B22" s="37">
        <v>7</v>
      </c>
      <c r="C22" s="37">
        <v>21</v>
      </c>
      <c r="D22" s="37">
        <v>19</v>
      </c>
      <c r="E22" s="37">
        <v>24</v>
      </c>
      <c r="F22" s="37">
        <v>24</v>
      </c>
      <c r="G22" s="37">
        <v>22</v>
      </c>
      <c r="H22" s="37">
        <v>23</v>
      </c>
      <c r="I22" s="37">
        <v>22</v>
      </c>
      <c r="J22" s="37">
        <v>23</v>
      </c>
    </row>
    <row r="23" spans="2:20">
      <c r="B23" s="37">
        <v>8</v>
      </c>
      <c r="C23" s="37">
        <v>17</v>
      </c>
      <c r="D23" s="37">
        <v>19</v>
      </c>
      <c r="E23" s="37">
        <v>20</v>
      </c>
      <c r="F23" s="37">
        <v>20</v>
      </c>
      <c r="G23" s="37">
        <v>19</v>
      </c>
      <c r="H23" s="37">
        <v>20</v>
      </c>
      <c r="I23" s="37">
        <v>19</v>
      </c>
      <c r="J23" s="37">
        <v>19</v>
      </c>
    </row>
    <row r="24" spans="2:20">
      <c r="B24" s="37">
        <v>9</v>
      </c>
      <c r="C24" s="37">
        <v>19</v>
      </c>
      <c r="D24" s="37">
        <v>15</v>
      </c>
      <c r="E24" s="37">
        <v>20</v>
      </c>
      <c r="F24" s="37">
        <v>20</v>
      </c>
      <c r="G24" s="37">
        <v>18</v>
      </c>
      <c r="H24" s="37">
        <v>20</v>
      </c>
      <c r="I24" s="37">
        <v>19</v>
      </c>
      <c r="J24" s="37">
        <v>18</v>
      </c>
    </row>
    <row r="25" spans="2:20">
      <c r="B25" s="37">
        <v>10</v>
      </c>
      <c r="C25" s="37">
        <v>11</v>
      </c>
      <c r="D25" s="37">
        <v>11</v>
      </c>
      <c r="E25" s="37">
        <v>11</v>
      </c>
      <c r="F25" s="37">
        <v>11</v>
      </c>
      <c r="G25" s="37">
        <v>10</v>
      </c>
      <c r="H25" s="37">
        <v>11</v>
      </c>
      <c r="I25" s="37">
        <v>11</v>
      </c>
      <c r="J25" s="37">
        <v>11</v>
      </c>
    </row>
    <row r="26" spans="2:20" ht="15" thickBot="1"/>
    <row r="27" spans="2:20" ht="15" thickBot="1">
      <c r="B27" s="44" t="s">
        <v>1</v>
      </c>
      <c r="C27" s="45" t="s">
        <v>47</v>
      </c>
      <c r="D27" s="46" t="s">
        <v>5</v>
      </c>
    </row>
    <row r="28" spans="2:20" ht="20.399999999999999">
      <c r="B28" s="39">
        <v>1</v>
      </c>
      <c r="C28" s="38" t="s">
        <v>48</v>
      </c>
      <c r="D28" s="40">
        <v>26</v>
      </c>
      <c r="G28" s="49" t="s">
        <v>52</v>
      </c>
    </row>
    <row r="29" spans="2:20">
      <c r="B29" s="39">
        <v>1</v>
      </c>
      <c r="C29" s="38" t="s">
        <v>49</v>
      </c>
      <c r="D29" s="40">
        <v>26</v>
      </c>
    </row>
    <row r="30" spans="2:20">
      <c r="B30" s="39">
        <v>1</v>
      </c>
      <c r="C30" s="38" t="s">
        <v>50</v>
      </c>
      <c r="D30" s="40">
        <v>24</v>
      </c>
    </row>
    <row r="31" spans="2:20" ht="19.8" thickBot="1">
      <c r="B31" s="39">
        <v>1</v>
      </c>
      <c r="C31" s="38" t="s">
        <v>51</v>
      </c>
      <c r="D31" s="40">
        <v>26</v>
      </c>
      <c r="G31" s="124" t="s">
        <v>99</v>
      </c>
      <c r="H31" s="110"/>
      <c r="I31" s="110"/>
      <c r="J31" s="110"/>
      <c r="K31" s="110"/>
      <c r="L31" s="110"/>
      <c r="O31" s="123" t="s">
        <v>75</v>
      </c>
      <c r="P31" s="74"/>
      <c r="Q31" s="74"/>
      <c r="R31" s="74"/>
      <c r="S31" s="74"/>
      <c r="T31" s="74"/>
    </row>
    <row r="32" spans="2:20" ht="15.6" thickBot="1">
      <c r="B32" s="39">
        <v>2</v>
      </c>
      <c r="C32" s="38" t="s">
        <v>48</v>
      </c>
      <c r="D32" s="40">
        <v>18</v>
      </c>
      <c r="G32" s="120" t="s">
        <v>55</v>
      </c>
      <c r="H32" s="121" t="s">
        <v>56</v>
      </c>
      <c r="I32" s="121" t="s">
        <v>57</v>
      </c>
      <c r="J32" s="121" t="s">
        <v>58</v>
      </c>
      <c r="K32" s="121" t="s">
        <v>59</v>
      </c>
      <c r="L32" s="122" t="s">
        <v>60</v>
      </c>
      <c r="O32" s="120" t="s">
        <v>55</v>
      </c>
      <c r="P32" s="121" t="s">
        <v>56</v>
      </c>
      <c r="Q32" s="121" t="s">
        <v>57</v>
      </c>
      <c r="R32" s="121" t="s">
        <v>58</v>
      </c>
      <c r="S32" s="121" t="s">
        <v>59</v>
      </c>
      <c r="T32" s="122" t="s">
        <v>60</v>
      </c>
    </row>
    <row r="33" spans="2:20">
      <c r="B33" s="39">
        <v>2</v>
      </c>
      <c r="C33" s="38" t="s">
        <v>49</v>
      </c>
      <c r="D33" s="40">
        <v>19</v>
      </c>
      <c r="G33" s="114" t="s">
        <v>1</v>
      </c>
      <c r="H33" s="115">
        <v>9</v>
      </c>
      <c r="I33" s="115">
        <v>4494.3599999999997</v>
      </c>
      <c r="J33" s="115">
        <v>499.37400000000002</v>
      </c>
      <c r="K33" s="115">
        <v>465.13499999999999</v>
      </c>
      <c r="L33" s="112">
        <v>0</v>
      </c>
      <c r="O33" s="114" t="s">
        <v>1</v>
      </c>
      <c r="P33" s="115">
        <v>9</v>
      </c>
      <c r="Q33" s="115">
        <v>4494.3599999999997</v>
      </c>
      <c r="R33" s="115">
        <v>499.37400000000002</v>
      </c>
      <c r="S33" s="115">
        <v>488.52800000000002</v>
      </c>
      <c r="T33" s="112">
        <v>0</v>
      </c>
    </row>
    <row r="34" spans="2:20">
      <c r="B34" s="39">
        <v>2</v>
      </c>
      <c r="C34" s="38" t="s">
        <v>50</v>
      </c>
      <c r="D34" s="40">
        <v>18</v>
      </c>
      <c r="G34" s="114" t="s">
        <v>47</v>
      </c>
      <c r="H34" s="115">
        <v>3</v>
      </c>
      <c r="I34" s="115">
        <v>19.64</v>
      </c>
      <c r="J34" s="115">
        <v>6.5460000000000003</v>
      </c>
      <c r="K34" s="115">
        <v>6.0970000000000004</v>
      </c>
      <c r="L34" s="112">
        <v>3.0000000000000001E-3</v>
      </c>
      <c r="O34" s="114" t="s">
        <v>47</v>
      </c>
      <c r="P34" s="115">
        <v>3</v>
      </c>
      <c r="Q34" s="115">
        <v>19.64</v>
      </c>
      <c r="R34" s="115">
        <v>6.5460000000000003</v>
      </c>
      <c r="S34" s="115">
        <v>6.4039999999999999</v>
      </c>
      <c r="T34" s="112">
        <v>1E-3</v>
      </c>
    </row>
    <row r="35" spans="2:20" ht="27" thickBot="1">
      <c r="B35" s="39">
        <v>2</v>
      </c>
      <c r="C35" s="38" t="s">
        <v>51</v>
      </c>
      <c r="D35" s="40">
        <v>18</v>
      </c>
      <c r="G35" s="114" t="s">
        <v>61</v>
      </c>
      <c r="H35" s="115">
        <v>27</v>
      </c>
      <c r="I35" s="115">
        <v>28.99</v>
      </c>
      <c r="J35" s="115">
        <v>1.0740000000000001</v>
      </c>
      <c r="K35" s="115">
        <v>1.087</v>
      </c>
      <c r="L35" s="112">
        <v>0.39800000000000002</v>
      </c>
      <c r="O35" s="114" t="s">
        <v>62</v>
      </c>
      <c r="P35" s="115">
        <v>67</v>
      </c>
      <c r="Q35" s="115">
        <v>68.489999999999995</v>
      </c>
      <c r="R35" s="115">
        <v>1.022</v>
      </c>
      <c r="S35" s="115"/>
      <c r="T35" s="112"/>
    </row>
    <row r="36" spans="2:20" ht="15" thickBot="1">
      <c r="B36" s="39">
        <v>3</v>
      </c>
      <c r="C36" s="38" t="s">
        <v>48</v>
      </c>
      <c r="D36" s="40">
        <v>38</v>
      </c>
      <c r="G36" s="114" t="s">
        <v>62</v>
      </c>
      <c r="H36" s="115">
        <v>40</v>
      </c>
      <c r="I36" s="115">
        <v>39.5</v>
      </c>
      <c r="J36" s="115">
        <v>0.98699999999999999</v>
      </c>
      <c r="K36" s="115"/>
      <c r="L36" s="112"/>
      <c r="O36" s="117" t="s">
        <v>63</v>
      </c>
      <c r="P36" s="118">
        <v>79</v>
      </c>
      <c r="Q36" s="118">
        <v>4582.49</v>
      </c>
      <c r="R36" s="118"/>
      <c r="S36" s="118"/>
      <c r="T36" s="119"/>
    </row>
    <row r="37" spans="2:20" ht="15" thickBot="1">
      <c r="B37" s="39">
        <v>3</v>
      </c>
      <c r="C37" s="38" t="s">
        <v>49</v>
      </c>
      <c r="D37" s="40">
        <v>38</v>
      </c>
      <c r="G37" s="117" t="s">
        <v>63</v>
      </c>
      <c r="H37" s="118">
        <v>79</v>
      </c>
      <c r="I37" s="118">
        <v>4582.49</v>
      </c>
      <c r="J37" s="118"/>
      <c r="K37" s="118"/>
      <c r="L37" s="119"/>
    </row>
    <row r="38" spans="2:20" ht="15.6">
      <c r="B38" s="39">
        <v>3</v>
      </c>
      <c r="C38" s="38" t="s">
        <v>50</v>
      </c>
      <c r="D38" s="40">
        <v>35</v>
      </c>
      <c r="G38" s="63" t="s">
        <v>64</v>
      </c>
      <c r="H38" s="110"/>
      <c r="I38" s="110"/>
      <c r="J38" s="110"/>
      <c r="K38" s="110"/>
      <c r="L38" s="110"/>
    </row>
    <row r="39" spans="2:20">
      <c r="B39" s="39">
        <v>3</v>
      </c>
      <c r="C39" s="38" t="s">
        <v>51</v>
      </c>
      <c r="D39" s="40">
        <v>37</v>
      </c>
    </row>
    <row r="40" spans="2:20">
      <c r="B40" s="39">
        <v>4</v>
      </c>
      <c r="C40" s="38" t="s">
        <v>48</v>
      </c>
      <c r="D40" s="40">
        <v>22</v>
      </c>
    </row>
    <row r="41" spans="2:20" ht="17.399999999999999" thickBot="1">
      <c r="B41" s="39">
        <v>4</v>
      </c>
      <c r="C41" s="38" t="s">
        <v>49</v>
      </c>
      <c r="D41" s="40">
        <v>25</v>
      </c>
      <c r="G41" s="109" t="s">
        <v>65</v>
      </c>
      <c r="O41" s="123" t="s">
        <v>76</v>
      </c>
      <c r="P41" s="47"/>
      <c r="Q41" s="47"/>
      <c r="R41" s="47"/>
    </row>
    <row r="42" spans="2:20" ht="33.6">
      <c r="B42" s="39">
        <v>4</v>
      </c>
      <c r="C42" s="38" t="s">
        <v>50</v>
      </c>
      <c r="D42" s="40">
        <v>24</v>
      </c>
      <c r="G42" s="237" t="s">
        <v>55</v>
      </c>
      <c r="H42" s="239" t="s">
        <v>66</v>
      </c>
      <c r="I42" s="135" t="s">
        <v>67</v>
      </c>
      <c r="O42" s="229" t="s">
        <v>55</v>
      </c>
      <c r="P42" s="231" t="s">
        <v>77</v>
      </c>
      <c r="Q42" s="137" t="s">
        <v>78</v>
      </c>
      <c r="R42" s="138" t="s">
        <v>80</v>
      </c>
    </row>
    <row r="43" spans="2:20" ht="17.399999999999999" thickBot="1">
      <c r="B43" s="39">
        <v>4</v>
      </c>
      <c r="C43" s="38" t="s">
        <v>51</v>
      </c>
      <c r="D43" s="40">
        <v>23</v>
      </c>
      <c r="G43" s="238"/>
      <c r="H43" s="240"/>
      <c r="I43" s="136" t="s">
        <v>68</v>
      </c>
      <c r="O43" s="230"/>
      <c r="P43" s="232"/>
      <c r="Q43" s="139" t="s">
        <v>79</v>
      </c>
      <c r="R43" s="140" t="s">
        <v>81</v>
      </c>
    </row>
    <row r="44" spans="2:20" ht="27.6">
      <c r="B44" s="39">
        <v>5</v>
      </c>
      <c r="C44" s="38" t="s">
        <v>48</v>
      </c>
      <c r="D44" s="40">
        <v>22</v>
      </c>
      <c r="G44" s="131" t="s">
        <v>69</v>
      </c>
      <c r="H44" s="115">
        <v>1.2984</v>
      </c>
      <c r="I44" s="112">
        <v>2.04</v>
      </c>
      <c r="O44" s="69" t="s">
        <v>69</v>
      </c>
      <c r="P44" s="56">
        <v>1.13947</v>
      </c>
      <c r="Q44" s="56">
        <v>6.8368000000000002</v>
      </c>
      <c r="R44" s="54">
        <v>14.29</v>
      </c>
    </row>
    <row r="45" spans="2:20">
      <c r="B45" s="39">
        <v>5</v>
      </c>
      <c r="C45" s="38" t="s">
        <v>49</v>
      </c>
      <c r="D45" s="40">
        <v>22</v>
      </c>
      <c r="G45" s="131" t="s">
        <v>70</v>
      </c>
      <c r="H45" s="115">
        <v>1.0222</v>
      </c>
      <c r="I45" s="112">
        <v>1.61</v>
      </c>
      <c r="O45" s="69" t="s">
        <v>70</v>
      </c>
      <c r="P45" s="56">
        <v>1.0110399999999999</v>
      </c>
      <c r="Q45" s="56">
        <v>6.0662000000000003</v>
      </c>
      <c r="R45" s="54">
        <v>12.68</v>
      </c>
    </row>
    <row r="46" spans="2:20" ht="27.6">
      <c r="B46" s="39">
        <v>5</v>
      </c>
      <c r="C46" s="38" t="s">
        <v>50</v>
      </c>
      <c r="D46" s="40">
        <v>22</v>
      </c>
      <c r="G46" s="131" t="s">
        <v>71</v>
      </c>
      <c r="H46" s="115">
        <v>0.2762</v>
      </c>
      <c r="I46" s="112">
        <v>0.43</v>
      </c>
      <c r="O46" s="69" t="s">
        <v>71</v>
      </c>
      <c r="P46" s="56">
        <v>0.52553000000000005</v>
      </c>
      <c r="Q46" s="56">
        <v>3.1532</v>
      </c>
      <c r="R46" s="54">
        <v>6.59</v>
      </c>
    </row>
    <row r="47" spans="2:20" ht="27.6">
      <c r="B47" s="39">
        <v>5</v>
      </c>
      <c r="C47" s="38" t="s">
        <v>51</v>
      </c>
      <c r="D47" s="40">
        <v>21</v>
      </c>
      <c r="G47" s="131" t="s">
        <v>72</v>
      </c>
      <c r="H47" s="115">
        <v>0.2762</v>
      </c>
      <c r="I47" s="112">
        <v>0.43</v>
      </c>
      <c r="O47" s="69" t="s">
        <v>72</v>
      </c>
      <c r="P47" s="56">
        <v>0.52553000000000005</v>
      </c>
      <c r="Q47" s="56">
        <v>3.1532</v>
      </c>
      <c r="R47" s="54">
        <v>6.59</v>
      </c>
    </row>
    <row r="48" spans="2:20">
      <c r="B48" s="39">
        <v>6</v>
      </c>
      <c r="C48" s="38" t="s">
        <v>48</v>
      </c>
      <c r="D48" s="40">
        <v>9</v>
      </c>
      <c r="G48" s="131" t="s">
        <v>73</v>
      </c>
      <c r="H48" s="115">
        <v>62.293900000000001</v>
      </c>
      <c r="I48" s="112">
        <v>97.96</v>
      </c>
      <c r="O48" s="69" t="s">
        <v>73</v>
      </c>
      <c r="P48" s="56">
        <v>7.8926499999999997</v>
      </c>
      <c r="Q48" s="56">
        <v>47.355899999999998</v>
      </c>
      <c r="R48" s="54">
        <v>98.97</v>
      </c>
    </row>
    <row r="49" spans="2:18" ht="15" thickBot="1">
      <c r="B49" s="39">
        <v>6</v>
      </c>
      <c r="C49" s="38" t="s">
        <v>49</v>
      </c>
      <c r="D49" s="40">
        <v>9</v>
      </c>
      <c r="G49" s="132" t="s">
        <v>74</v>
      </c>
      <c r="H49" s="116">
        <v>63.592300000000002</v>
      </c>
      <c r="I49" s="113">
        <v>100</v>
      </c>
      <c r="O49" s="71" t="s">
        <v>74</v>
      </c>
      <c r="P49" s="57">
        <v>7.9744799999999998</v>
      </c>
      <c r="Q49" s="57">
        <v>47.846899999999998</v>
      </c>
      <c r="R49" s="55">
        <v>100</v>
      </c>
    </row>
    <row r="50" spans="2:18">
      <c r="B50" s="39">
        <v>6</v>
      </c>
      <c r="C50" s="38" t="s">
        <v>50</v>
      </c>
      <c r="D50" s="40">
        <v>9</v>
      </c>
    </row>
    <row r="51" spans="2:18">
      <c r="B51" s="39">
        <v>6</v>
      </c>
      <c r="C51" s="38" t="s">
        <v>51</v>
      </c>
      <c r="D51" s="40">
        <v>9</v>
      </c>
    </row>
    <row r="52" spans="2:18">
      <c r="B52" s="39">
        <v>7</v>
      </c>
      <c r="C52" s="38" t="s">
        <v>48</v>
      </c>
      <c r="D52" s="40">
        <v>21</v>
      </c>
    </row>
    <row r="53" spans="2:18">
      <c r="B53" s="39">
        <v>7</v>
      </c>
      <c r="C53" s="38" t="s">
        <v>49</v>
      </c>
      <c r="D53" s="40">
        <v>24</v>
      </c>
    </row>
    <row r="54" spans="2:18" ht="15" thickBot="1">
      <c r="B54" s="39">
        <v>7</v>
      </c>
      <c r="C54" s="38" t="s">
        <v>50</v>
      </c>
      <c r="D54" s="40">
        <v>22</v>
      </c>
    </row>
    <row r="55" spans="2:18" ht="17.399999999999999" thickBot="1">
      <c r="B55" s="39">
        <v>7</v>
      </c>
      <c r="C55" s="38" t="s">
        <v>51</v>
      </c>
      <c r="D55" s="40">
        <v>22</v>
      </c>
      <c r="G55" s="125" t="s">
        <v>82</v>
      </c>
      <c r="H55" s="126"/>
      <c r="N55" s="143" t="s">
        <v>87</v>
      </c>
      <c r="O55" s="144"/>
    </row>
    <row r="56" spans="2:18" ht="17.399999999999999" thickBot="1">
      <c r="B56" s="39">
        <v>8</v>
      </c>
      <c r="C56" s="38" t="s">
        <v>48</v>
      </c>
      <c r="D56" s="40">
        <v>17</v>
      </c>
      <c r="G56" s="141" t="s">
        <v>83</v>
      </c>
      <c r="H56" s="142" t="s">
        <v>84</v>
      </c>
      <c r="N56" s="145" t="s">
        <v>83</v>
      </c>
      <c r="O56" s="146" t="s">
        <v>84</v>
      </c>
    </row>
    <row r="57" spans="2:18" ht="55.2">
      <c r="B57" s="39">
        <v>8</v>
      </c>
      <c r="C57" s="38" t="s">
        <v>49</v>
      </c>
      <c r="D57" s="40">
        <v>20</v>
      </c>
      <c r="G57" s="131" t="s">
        <v>85</v>
      </c>
      <c r="H57" s="112">
        <v>7.0000000000000001E-3</v>
      </c>
      <c r="N57" s="134" t="s">
        <v>88</v>
      </c>
      <c r="O57" s="133">
        <v>8.0000000000000002E-3</v>
      </c>
    </row>
    <row r="58" spans="2:18" ht="55.8" thickBot="1">
      <c r="B58" s="39">
        <v>8</v>
      </c>
      <c r="C58" s="38" t="s">
        <v>50</v>
      </c>
      <c r="D58" s="40">
        <v>19</v>
      </c>
      <c r="G58" s="132" t="s">
        <v>86</v>
      </c>
      <c r="H58" s="113">
        <v>5.0000000000000001E-3</v>
      </c>
      <c r="N58" s="67" t="s">
        <v>89</v>
      </c>
      <c r="O58" s="55">
        <v>0.10199999999999999</v>
      </c>
    </row>
    <row r="59" spans="2:18">
      <c r="B59" s="39">
        <v>8</v>
      </c>
      <c r="C59" s="38" t="s">
        <v>51</v>
      </c>
      <c r="D59" s="40">
        <v>19</v>
      </c>
    </row>
    <row r="60" spans="2:18">
      <c r="B60" s="39">
        <v>9</v>
      </c>
      <c r="C60" s="38" t="s">
        <v>48</v>
      </c>
      <c r="D60" s="40">
        <v>19</v>
      </c>
    </row>
    <row r="61" spans="2:18">
      <c r="B61" s="39">
        <v>9</v>
      </c>
      <c r="C61" s="38" t="s">
        <v>49</v>
      </c>
      <c r="D61" s="40">
        <v>20</v>
      </c>
    </row>
    <row r="62" spans="2:18">
      <c r="B62" s="39">
        <v>9</v>
      </c>
      <c r="C62" s="38" t="s">
        <v>50</v>
      </c>
      <c r="D62" s="40">
        <v>18</v>
      </c>
    </row>
    <row r="63" spans="2:18">
      <c r="B63" s="39">
        <v>9</v>
      </c>
      <c r="C63" s="38" t="s">
        <v>51</v>
      </c>
      <c r="D63" s="40">
        <v>19</v>
      </c>
    </row>
    <row r="64" spans="2:18">
      <c r="B64" s="39">
        <v>10</v>
      </c>
      <c r="C64" s="38" t="s">
        <v>48</v>
      </c>
      <c r="D64" s="40">
        <v>11</v>
      </c>
    </row>
    <row r="65" spans="2:4">
      <c r="B65" s="39">
        <v>10</v>
      </c>
      <c r="C65" s="38" t="s">
        <v>49</v>
      </c>
      <c r="D65" s="40">
        <v>11</v>
      </c>
    </row>
    <row r="66" spans="2:4">
      <c r="B66" s="39">
        <v>10</v>
      </c>
      <c r="C66" s="38" t="s">
        <v>50</v>
      </c>
      <c r="D66" s="40">
        <v>10</v>
      </c>
    </row>
    <row r="67" spans="2:4">
      <c r="B67" s="39">
        <v>10</v>
      </c>
      <c r="C67" s="38" t="s">
        <v>51</v>
      </c>
      <c r="D67" s="40">
        <v>11</v>
      </c>
    </row>
    <row r="68" spans="2:4">
      <c r="B68" s="39">
        <v>1</v>
      </c>
      <c r="C68" s="38" t="s">
        <v>48</v>
      </c>
      <c r="D68" s="40">
        <v>26</v>
      </c>
    </row>
    <row r="69" spans="2:4">
      <c r="B69" s="39">
        <v>1</v>
      </c>
      <c r="C69" s="38" t="s">
        <v>49</v>
      </c>
      <c r="D69" s="40">
        <v>28</v>
      </c>
    </row>
    <row r="70" spans="2:4">
      <c r="B70" s="39">
        <v>1</v>
      </c>
      <c r="C70" s="38" t="s">
        <v>50</v>
      </c>
      <c r="D70" s="40">
        <v>27</v>
      </c>
    </row>
    <row r="71" spans="2:4">
      <c r="B71" s="39">
        <v>1</v>
      </c>
      <c r="C71" s="38" t="s">
        <v>51</v>
      </c>
      <c r="D71" s="40">
        <v>26</v>
      </c>
    </row>
    <row r="72" spans="2:4">
      <c r="B72" s="39">
        <v>2</v>
      </c>
      <c r="C72" s="38" t="s">
        <v>48</v>
      </c>
      <c r="D72" s="40">
        <v>17</v>
      </c>
    </row>
    <row r="73" spans="2:4">
      <c r="B73" s="39">
        <v>2</v>
      </c>
      <c r="C73" s="38" t="s">
        <v>49</v>
      </c>
      <c r="D73" s="40">
        <v>19</v>
      </c>
    </row>
    <row r="74" spans="2:4">
      <c r="B74" s="39">
        <v>2</v>
      </c>
      <c r="C74" s="38" t="s">
        <v>50</v>
      </c>
      <c r="D74" s="40">
        <v>19</v>
      </c>
    </row>
    <row r="75" spans="2:4">
      <c r="B75" s="39">
        <v>2</v>
      </c>
      <c r="C75" s="38" t="s">
        <v>51</v>
      </c>
      <c r="D75" s="40">
        <v>19</v>
      </c>
    </row>
    <row r="76" spans="2:4">
      <c r="B76" s="39">
        <v>3</v>
      </c>
      <c r="C76" s="38" t="s">
        <v>48</v>
      </c>
      <c r="D76" s="40">
        <v>37</v>
      </c>
    </row>
    <row r="77" spans="2:4">
      <c r="B77" s="39">
        <v>3</v>
      </c>
      <c r="C77" s="38" t="s">
        <v>49</v>
      </c>
      <c r="D77" s="40">
        <v>36</v>
      </c>
    </row>
    <row r="78" spans="2:4">
      <c r="B78" s="39">
        <v>3</v>
      </c>
      <c r="C78" s="38" t="s">
        <v>50</v>
      </c>
      <c r="D78" s="40">
        <v>38</v>
      </c>
    </row>
    <row r="79" spans="2:4">
      <c r="B79" s="39">
        <v>3</v>
      </c>
      <c r="C79" s="38" t="s">
        <v>51</v>
      </c>
      <c r="D79" s="40">
        <v>38</v>
      </c>
    </row>
    <row r="80" spans="2:4">
      <c r="B80" s="39">
        <v>4</v>
      </c>
      <c r="C80" s="38" t="s">
        <v>48</v>
      </c>
      <c r="D80" s="40">
        <v>23</v>
      </c>
    </row>
    <row r="81" spans="2:22">
      <c r="B81" s="39">
        <v>4</v>
      </c>
      <c r="C81" s="38" t="s">
        <v>49</v>
      </c>
      <c r="D81" s="40">
        <v>26</v>
      </c>
    </row>
    <row r="82" spans="2:22">
      <c r="B82" s="39">
        <v>4</v>
      </c>
      <c r="C82" s="38" t="s">
        <v>50</v>
      </c>
      <c r="D82" s="40">
        <v>26</v>
      </c>
    </row>
    <row r="83" spans="2:22">
      <c r="B83" s="39">
        <v>4</v>
      </c>
      <c r="C83" s="38" t="s">
        <v>51</v>
      </c>
      <c r="D83" s="40">
        <v>26</v>
      </c>
    </row>
    <row r="84" spans="2:22">
      <c r="B84" s="39">
        <v>5</v>
      </c>
      <c r="C84" s="38" t="s">
        <v>48</v>
      </c>
      <c r="D84" s="40">
        <v>22</v>
      </c>
    </row>
    <row r="85" spans="2:22">
      <c r="B85" s="39">
        <v>5</v>
      </c>
      <c r="C85" s="38" t="s">
        <v>49</v>
      </c>
      <c r="D85" s="40">
        <v>22</v>
      </c>
    </row>
    <row r="86" spans="2:22">
      <c r="B86" s="39">
        <v>5</v>
      </c>
      <c r="C86" s="38" t="s">
        <v>50</v>
      </c>
      <c r="D86" s="40">
        <v>22</v>
      </c>
    </row>
    <row r="87" spans="2:22">
      <c r="B87" s="39">
        <v>5</v>
      </c>
      <c r="C87" s="38" t="s">
        <v>51</v>
      </c>
      <c r="D87" s="40">
        <v>21</v>
      </c>
    </row>
    <row r="88" spans="2:22">
      <c r="B88" s="39">
        <v>6</v>
      </c>
      <c r="C88" s="38" t="s">
        <v>48</v>
      </c>
      <c r="D88" s="40">
        <v>9</v>
      </c>
    </row>
    <row r="89" spans="2:22">
      <c r="B89" s="39">
        <v>6</v>
      </c>
      <c r="C89" s="38" t="s">
        <v>49</v>
      </c>
      <c r="D89" s="40">
        <v>9</v>
      </c>
    </row>
    <row r="90" spans="2:22">
      <c r="B90" s="39">
        <v>6</v>
      </c>
      <c r="C90" s="38" t="s">
        <v>50</v>
      </c>
      <c r="D90" s="40">
        <v>9</v>
      </c>
    </row>
    <row r="91" spans="2:22" ht="20.399999999999999">
      <c r="B91" s="39">
        <v>6</v>
      </c>
      <c r="C91" s="38" t="s">
        <v>51</v>
      </c>
      <c r="D91" s="40">
        <v>9</v>
      </c>
      <c r="G91" s="151" t="s">
        <v>96</v>
      </c>
      <c r="H91" s="149"/>
      <c r="I91" s="149"/>
      <c r="J91" s="149"/>
      <c r="K91" s="149"/>
      <c r="L91" s="149"/>
      <c r="M91" s="149"/>
      <c r="N91" s="149"/>
      <c r="O91" s="149"/>
      <c r="P91" s="149"/>
      <c r="Q91" s="150"/>
      <c r="R91" s="150"/>
      <c r="S91" s="150"/>
      <c r="T91" s="150"/>
      <c r="U91" s="148"/>
      <c r="V91" s="148"/>
    </row>
    <row r="92" spans="2:22" ht="17.399999999999999">
      <c r="B92" s="39">
        <v>7</v>
      </c>
      <c r="C92" s="38" t="s">
        <v>48</v>
      </c>
      <c r="D92" s="40">
        <v>19</v>
      </c>
      <c r="G92" s="149" t="s">
        <v>107</v>
      </c>
      <c r="H92" s="149"/>
      <c r="I92" s="149"/>
      <c r="J92" s="149"/>
      <c r="K92" s="149"/>
      <c r="L92" s="149"/>
      <c r="M92" s="149"/>
      <c r="N92" s="149"/>
      <c r="O92" s="149"/>
      <c r="P92" s="149"/>
      <c r="Q92" s="150"/>
      <c r="R92" s="150"/>
      <c r="S92" s="150"/>
      <c r="T92" s="150"/>
      <c r="U92" s="148"/>
      <c r="V92" s="148"/>
    </row>
    <row r="93" spans="2:22" ht="17.399999999999999">
      <c r="B93" s="39">
        <v>7</v>
      </c>
      <c r="C93" s="38" t="s">
        <v>49</v>
      </c>
      <c r="D93" s="40">
        <v>24</v>
      </c>
      <c r="G93" s="149" t="s">
        <v>100</v>
      </c>
      <c r="H93" s="149"/>
      <c r="I93" s="149"/>
      <c r="J93" s="149"/>
      <c r="K93" s="149"/>
      <c r="L93" s="149"/>
      <c r="M93" s="149"/>
      <c r="N93" s="149"/>
      <c r="O93" s="149"/>
      <c r="P93" s="149"/>
      <c r="Q93" s="150"/>
      <c r="R93" s="150"/>
      <c r="S93" s="150"/>
      <c r="T93" s="150"/>
      <c r="U93" s="148"/>
      <c r="V93" s="148"/>
    </row>
    <row r="94" spans="2:22" ht="17.399999999999999">
      <c r="B94" s="39">
        <v>7</v>
      </c>
      <c r="C94" s="38" t="s">
        <v>50</v>
      </c>
      <c r="D94" s="40">
        <v>23</v>
      </c>
      <c r="G94" s="149" t="s">
        <v>101</v>
      </c>
      <c r="H94" s="149"/>
      <c r="I94" s="149"/>
      <c r="J94" s="149"/>
      <c r="K94" s="149"/>
      <c r="L94" s="149"/>
      <c r="M94" s="149"/>
      <c r="N94" s="149"/>
      <c r="O94" s="149"/>
      <c r="P94" s="149"/>
      <c r="Q94" s="150"/>
      <c r="R94" s="150"/>
      <c r="S94" s="150"/>
      <c r="T94" s="150"/>
      <c r="U94" s="148"/>
      <c r="V94" s="148"/>
    </row>
    <row r="95" spans="2:22">
      <c r="B95" s="39">
        <v>7</v>
      </c>
      <c r="C95" s="38" t="s">
        <v>51</v>
      </c>
      <c r="D95" s="40">
        <v>23</v>
      </c>
    </row>
    <row r="96" spans="2:22">
      <c r="B96" s="39">
        <v>8</v>
      </c>
      <c r="C96" s="38" t="s">
        <v>48</v>
      </c>
      <c r="D96" s="40">
        <v>19</v>
      </c>
    </row>
    <row r="97" spans="2:14">
      <c r="B97" s="39">
        <v>8</v>
      </c>
      <c r="C97" s="38" t="s">
        <v>49</v>
      </c>
      <c r="D97" s="40">
        <v>20</v>
      </c>
    </row>
    <row r="98" spans="2:14">
      <c r="B98" s="39">
        <v>8</v>
      </c>
      <c r="C98" s="38" t="s">
        <v>50</v>
      </c>
      <c r="D98" s="40">
        <v>20</v>
      </c>
    </row>
    <row r="99" spans="2:14">
      <c r="B99" s="39">
        <v>8</v>
      </c>
      <c r="C99" s="38" t="s">
        <v>51</v>
      </c>
      <c r="D99" s="40">
        <v>19</v>
      </c>
    </row>
    <row r="100" spans="2:14">
      <c r="B100" s="39">
        <v>9</v>
      </c>
      <c r="C100" s="38" t="s">
        <v>48</v>
      </c>
      <c r="D100" s="40">
        <v>15</v>
      </c>
    </row>
    <row r="101" spans="2:14">
      <c r="B101" s="39">
        <v>9</v>
      </c>
      <c r="C101" s="38" t="s">
        <v>49</v>
      </c>
      <c r="D101" s="40">
        <v>20</v>
      </c>
    </row>
    <row r="102" spans="2:14">
      <c r="B102" s="39">
        <v>9</v>
      </c>
      <c r="C102" s="38" t="s">
        <v>50</v>
      </c>
      <c r="D102" s="40">
        <v>20</v>
      </c>
    </row>
    <row r="103" spans="2:14">
      <c r="B103" s="39">
        <v>9</v>
      </c>
      <c r="C103" s="38" t="s">
        <v>51</v>
      </c>
      <c r="D103" s="40">
        <v>18</v>
      </c>
    </row>
    <row r="104" spans="2:14">
      <c r="B104" s="39">
        <v>10</v>
      </c>
      <c r="C104" s="38" t="s">
        <v>48</v>
      </c>
      <c r="D104" s="40">
        <v>11</v>
      </c>
    </row>
    <row r="105" spans="2:14">
      <c r="B105" s="39">
        <v>10</v>
      </c>
      <c r="C105" s="38" t="s">
        <v>49</v>
      </c>
      <c r="D105" s="40">
        <v>11</v>
      </c>
    </row>
    <row r="106" spans="2:14">
      <c r="B106" s="39">
        <v>10</v>
      </c>
      <c r="C106" s="38" t="s">
        <v>50</v>
      </c>
      <c r="D106" s="40">
        <v>11</v>
      </c>
    </row>
    <row r="107" spans="2:14" ht="21" thickBot="1">
      <c r="B107" s="41">
        <v>10</v>
      </c>
      <c r="C107" s="42" t="s">
        <v>51</v>
      </c>
      <c r="D107" s="43">
        <v>11</v>
      </c>
      <c r="G107" s="49" t="s">
        <v>108</v>
      </c>
    </row>
    <row r="109" spans="2:14" ht="15" thickBot="1"/>
    <row r="110" spans="2:14" ht="15" thickBot="1">
      <c r="G110" s="245" t="s">
        <v>20</v>
      </c>
      <c r="H110" s="242"/>
      <c r="I110" s="245" t="s">
        <v>21</v>
      </c>
      <c r="J110" s="242"/>
      <c r="K110" s="245" t="s">
        <v>22</v>
      </c>
      <c r="L110" s="242"/>
      <c r="M110" s="241" t="s">
        <v>23</v>
      </c>
      <c r="N110" s="242"/>
    </row>
    <row r="111" spans="2:14" ht="15" thickBot="1">
      <c r="G111" s="243" t="s">
        <v>109</v>
      </c>
      <c r="H111" s="242"/>
      <c r="I111" s="243" t="s">
        <v>109</v>
      </c>
      <c r="J111" s="242"/>
      <c r="K111" s="243" t="s">
        <v>109</v>
      </c>
      <c r="L111" s="242"/>
      <c r="M111" s="244" t="s">
        <v>109</v>
      </c>
      <c r="N111" s="242"/>
    </row>
    <row r="112" spans="2:14" ht="15" thickBot="1">
      <c r="G112" s="195" t="s">
        <v>110</v>
      </c>
      <c r="H112" s="196" t="s">
        <v>111</v>
      </c>
      <c r="I112" s="195" t="s">
        <v>110</v>
      </c>
      <c r="J112" s="196" t="s">
        <v>111</v>
      </c>
      <c r="K112" s="195" t="s">
        <v>110</v>
      </c>
      <c r="L112" s="196" t="s">
        <v>111</v>
      </c>
      <c r="M112" s="197" t="s">
        <v>110</v>
      </c>
      <c r="N112" s="196" t="s">
        <v>111</v>
      </c>
    </row>
    <row r="113" spans="4:14">
      <c r="G113" s="186">
        <f t="shared" ref="G113:G122" si="0">(C16+D16)/2</f>
        <v>26</v>
      </c>
      <c r="H113" s="187">
        <f t="shared" ref="H113:H118" si="1">ABS(C16-D16)</f>
        <v>0</v>
      </c>
      <c r="I113" s="186">
        <f>(E16+F16)/2</f>
        <v>27</v>
      </c>
      <c r="J113" s="187">
        <f>ABS(E16-F16)</f>
        <v>2</v>
      </c>
      <c r="K113" s="186">
        <f>(G16+H16)/2</f>
        <v>25.5</v>
      </c>
      <c r="L113" s="187">
        <f>ABS(G16-H16)</f>
        <v>3</v>
      </c>
      <c r="M113" s="192">
        <f>(I16+J16)/2</f>
        <v>26</v>
      </c>
      <c r="N113" s="187">
        <f>ABS(I16-J16)</f>
        <v>0</v>
      </c>
    </row>
    <row r="114" spans="4:14">
      <c r="G114" s="188">
        <f t="shared" si="0"/>
        <v>17.5</v>
      </c>
      <c r="H114" s="189">
        <f t="shared" si="1"/>
        <v>1</v>
      </c>
      <c r="I114" s="188">
        <f t="shared" ref="I114:I121" si="2">(E17+F17)/2</f>
        <v>19</v>
      </c>
      <c r="J114" s="189">
        <f t="shared" ref="J114:J121" si="3">ABS(E17-F17)</f>
        <v>0</v>
      </c>
      <c r="K114" s="188">
        <f t="shared" ref="K114:K122" si="4">(G17+H17)/2</f>
        <v>18.5</v>
      </c>
      <c r="L114" s="189">
        <f t="shared" ref="L114:L122" si="5">ABS(G17-H17)</f>
        <v>1</v>
      </c>
      <c r="M114" s="193">
        <f t="shared" ref="M114:M122" si="6">(I17+J17)/2</f>
        <v>18.5</v>
      </c>
      <c r="N114" s="189">
        <f t="shared" ref="N114:N122" si="7">ABS(I17-J17)</f>
        <v>1</v>
      </c>
    </row>
    <row r="115" spans="4:14">
      <c r="G115" s="188">
        <f t="shared" si="0"/>
        <v>37.5</v>
      </c>
      <c r="H115" s="189">
        <f t="shared" si="1"/>
        <v>1</v>
      </c>
      <c r="I115" s="188">
        <f t="shared" si="2"/>
        <v>37</v>
      </c>
      <c r="J115" s="189">
        <f t="shared" si="3"/>
        <v>2</v>
      </c>
      <c r="K115" s="188">
        <f t="shared" si="4"/>
        <v>36.5</v>
      </c>
      <c r="L115" s="189">
        <f t="shared" si="5"/>
        <v>3</v>
      </c>
      <c r="M115" s="193">
        <f t="shared" si="6"/>
        <v>37.5</v>
      </c>
      <c r="N115" s="189">
        <f t="shared" si="7"/>
        <v>1</v>
      </c>
    </row>
    <row r="116" spans="4:14">
      <c r="G116" s="188">
        <f t="shared" si="0"/>
        <v>22.5</v>
      </c>
      <c r="H116" s="189">
        <f t="shared" si="1"/>
        <v>1</v>
      </c>
      <c r="I116" s="188">
        <f t="shared" si="2"/>
        <v>25.5</v>
      </c>
      <c r="J116" s="189">
        <f t="shared" si="3"/>
        <v>1</v>
      </c>
      <c r="K116" s="188">
        <f t="shared" si="4"/>
        <v>25</v>
      </c>
      <c r="L116" s="189">
        <f t="shared" si="5"/>
        <v>2</v>
      </c>
      <c r="M116" s="193">
        <f t="shared" si="6"/>
        <v>24.5</v>
      </c>
      <c r="N116" s="189">
        <f t="shared" si="7"/>
        <v>3</v>
      </c>
    </row>
    <row r="117" spans="4:14">
      <c r="G117" s="188">
        <f t="shared" si="0"/>
        <v>22</v>
      </c>
      <c r="H117" s="189">
        <f t="shared" si="1"/>
        <v>0</v>
      </c>
      <c r="I117" s="188">
        <f t="shared" si="2"/>
        <v>22</v>
      </c>
      <c r="J117" s="189">
        <f t="shared" si="3"/>
        <v>0</v>
      </c>
      <c r="K117" s="188">
        <f t="shared" si="4"/>
        <v>22</v>
      </c>
      <c r="L117" s="189">
        <f t="shared" si="5"/>
        <v>0</v>
      </c>
      <c r="M117" s="193">
        <f t="shared" si="6"/>
        <v>21</v>
      </c>
      <c r="N117" s="189">
        <f t="shared" si="7"/>
        <v>0</v>
      </c>
    </row>
    <row r="118" spans="4:14">
      <c r="G118" s="188">
        <f t="shared" si="0"/>
        <v>9</v>
      </c>
      <c r="H118" s="189">
        <f t="shared" si="1"/>
        <v>0</v>
      </c>
      <c r="I118" s="188">
        <f t="shared" si="2"/>
        <v>9</v>
      </c>
      <c r="J118" s="189">
        <f t="shared" si="3"/>
        <v>0</v>
      </c>
      <c r="K118" s="188">
        <f t="shared" si="4"/>
        <v>9</v>
      </c>
      <c r="L118" s="189">
        <f t="shared" si="5"/>
        <v>0</v>
      </c>
      <c r="M118" s="193">
        <f t="shared" si="6"/>
        <v>9</v>
      </c>
      <c r="N118" s="189">
        <f t="shared" si="7"/>
        <v>0</v>
      </c>
    </row>
    <row r="119" spans="4:14">
      <c r="G119" s="188">
        <f t="shared" si="0"/>
        <v>20</v>
      </c>
      <c r="H119" s="189">
        <f t="shared" ref="H119:H120" si="8">ABS(C22-D22)</f>
        <v>2</v>
      </c>
      <c r="I119" s="188">
        <f t="shared" si="2"/>
        <v>24</v>
      </c>
      <c r="J119" s="189">
        <f t="shared" si="3"/>
        <v>0</v>
      </c>
      <c r="K119" s="188">
        <f t="shared" si="4"/>
        <v>22.5</v>
      </c>
      <c r="L119" s="189">
        <f t="shared" si="5"/>
        <v>1</v>
      </c>
      <c r="M119" s="193">
        <f t="shared" si="6"/>
        <v>22.5</v>
      </c>
      <c r="N119" s="189">
        <f t="shared" si="7"/>
        <v>1</v>
      </c>
    </row>
    <row r="120" spans="4:14">
      <c r="G120" s="188">
        <f t="shared" si="0"/>
        <v>18</v>
      </c>
      <c r="H120" s="189">
        <f t="shared" si="8"/>
        <v>2</v>
      </c>
      <c r="I120" s="188">
        <f t="shared" si="2"/>
        <v>20</v>
      </c>
      <c r="J120" s="189">
        <f t="shared" si="3"/>
        <v>0</v>
      </c>
      <c r="K120" s="188">
        <f t="shared" si="4"/>
        <v>19.5</v>
      </c>
      <c r="L120" s="189">
        <f t="shared" si="5"/>
        <v>1</v>
      </c>
      <c r="M120" s="193">
        <f t="shared" si="6"/>
        <v>19</v>
      </c>
      <c r="N120" s="189">
        <f t="shared" si="7"/>
        <v>0</v>
      </c>
    </row>
    <row r="121" spans="4:14">
      <c r="G121" s="188">
        <f t="shared" si="0"/>
        <v>17</v>
      </c>
      <c r="H121" s="189">
        <f>ABS(C24-D24)</f>
        <v>4</v>
      </c>
      <c r="I121" s="188">
        <f t="shared" si="2"/>
        <v>20</v>
      </c>
      <c r="J121" s="189">
        <f t="shared" si="3"/>
        <v>0</v>
      </c>
      <c r="K121" s="188">
        <f t="shared" si="4"/>
        <v>19</v>
      </c>
      <c r="L121" s="189">
        <f t="shared" si="5"/>
        <v>2</v>
      </c>
      <c r="M121" s="193">
        <f t="shared" si="6"/>
        <v>18.5</v>
      </c>
      <c r="N121" s="189">
        <f t="shared" si="7"/>
        <v>1</v>
      </c>
    </row>
    <row r="122" spans="4:14" ht="15" thickBot="1">
      <c r="G122" s="190">
        <f t="shared" si="0"/>
        <v>11</v>
      </c>
      <c r="H122" s="191">
        <f>ABS(C25-D25)</f>
        <v>0</v>
      </c>
      <c r="I122" s="190">
        <f>(E25+F25)/2</f>
        <v>11</v>
      </c>
      <c r="J122" s="191">
        <f>ABS(E25-F25)</f>
        <v>0</v>
      </c>
      <c r="K122" s="190">
        <f t="shared" si="4"/>
        <v>10.5</v>
      </c>
      <c r="L122" s="191">
        <f t="shared" si="5"/>
        <v>1</v>
      </c>
      <c r="M122" s="194">
        <f t="shared" si="6"/>
        <v>11</v>
      </c>
      <c r="N122" s="191">
        <f t="shared" si="7"/>
        <v>0</v>
      </c>
    </row>
    <row r="123" spans="4:14" ht="15" thickBot="1">
      <c r="F123" s="184"/>
      <c r="G123" s="19">
        <f t="shared" ref="G123:N123" si="9">AVERAGE(G113:G122)</f>
        <v>20.05</v>
      </c>
      <c r="H123" s="19">
        <f t="shared" si="9"/>
        <v>1.1000000000000001</v>
      </c>
      <c r="I123" s="19">
        <f t="shared" si="9"/>
        <v>21.45</v>
      </c>
      <c r="J123" s="19">
        <f t="shared" si="9"/>
        <v>0.5</v>
      </c>
      <c r="K123" s="19">
        <f t="shared" si="9"/>
        <v>20.8</v>
      </c>
      <c r="L123" s="19">
        <f t="shared" si="9"/>
        <v>1.4</v>
      </c>
      <c r="M123" s="19">
        <f t="shared" si="9"/>
        <v>20.75</v>
      </c>
      <c r="N123" s="18">
        <f t="shared" si="9"/>
        <v>0.7</v>
      </c>
    </row>
    <row r="126" spans="4:14" ht="17.399999999999999">
      <c r="D126" s="24" t="s">
        <v>43</v>
      </c>
    </row>
    <row r="127" spans="4:14" ht="17.399999999999999">
      <c r="D127" s="24"/>
    </row>
    <row r="128" spans="4:14" ht="17.399999999999999">
      <c r="D128" s="24"/>
      <c r="F128" s="25" t="s">
        <v>44</v>
      </c>
    </row>
    <row r="129" spans="3:14" ht="17.399999999999999">
      <c r="D129" s="24"/>
      <c r="F129" s="26" t="s">
        <v>45</v>
      </c>
      <c r="G129" s="26">
        <v>1.1279999999999999</v>
      </c>
    </row>
    <row r="130" spans="3:14" ht="19.8">
      <c r="C130" s="209" t="s">
        <v>119</v>
      </c>
      <c r="D130" s="24"/>
      <c r="F130" s="26" t="s">
        <v>46</v>
      </c>
      <c r="G130" s="26">
        <v>2.0590000000000002</v>
      </c>
    </row>
    <row r="131" spans="3:14" ht="15" thickBot="1"/>
    <row r="132" spans="3:14" ht="18.600000000000001" thickBot="1">
      <c r="L132" s="31">
        <f>(I137^2)+(I143^2)</f>
        <v>1.1347788989049303</v>
      </c>
      <c r="M132" s="183"/>
      <c r="N132" s="185"/>
    </row>
    <row r="136" spans="3:14" ht="15" thickBot="1"/>
    <row r="137" spans="3:14" ht="18" thickBot="1">
      <c r="I137" s="30">
        <f>I148/G129</f>
        <v>0.82003546099290792</v>
      </c>
    </row>
    <row r="142" spans="3:14" ht="15" thickBot="1"/>
    <row r="143" spans="3:14" ht="16.2" thickBot="1">
      <c r="I143" s="29">
        <f>I154/G130</f>
        <v>0.67994171928120373</v>
      </c>
    </row>
    <row r="147" spans="9:9" ht="15" thickBot="1"/>
    <row r="148" spans="9:9" ht="18" thickBot="1">
      <c r="I148" s="27">
        <f>(H123+J123+L123+N123)/4</f>
        <v>0.92500000000000004</v>
      </c>
    </row>
    <row r="149" spans="9:9">
      <c r="I149" s="6"/>
    </row>
    <row r="150" spans="9:9">
      <c r="I150" s="6"/>
    </row>
    <row r="151" spans="9:9">
      <c r="I151" s="6"/>
    </row>
    <row r="152" spans="9:9">
      <c r="I152" s="6"/>
    </row>
    <row r="153" spans="9:9" ht="15" thickBot="1">
      <c r="I153" s="6"/>
    </row>
    <row r="154" spans="9:9" ht="16.2" thickBot="1">
      <c r="I154" s="28">
        <f>I158-I161</f>
        <v>1.3999999999999986</v>
      </c>
    </row>
    <row r="155" spans="9:9">
      <c r="I155" s="6"/>
    </row>
    <row r="156" spans="9:9">
      <c r="I156" s="6"/>
    </row>
    <row r="157" spans="9:9" ht="15" thickBot="1">
      <c r="I157" s="6"/>
    </row>
    <row r="158" spans="9:9" ht="16.2" thickBot="1">
      <c r="I158" s="28">
        <f>I123</f>
        <v>21.45</v>
      </c>
    </row>
    <row r="159" spans="9:9">
      <c r="I159" s="6"/>
    </row>
    <row r="160" spans="9:9" ht="15" thickBot="1">
      <c r="I160" s="6"/>
    </row>
    <row r="161" spans="9:9" ht="16.2" thickBot="1">
      <c r="I161" s="28">
        <f>G123</f>
        <v>20.05</v>
      </c>
    </row>
  </sheetData>
  <mergeCells count="17">
    <mergeCell ref="M110:N110"/>
    <mergeCell ref="G111:H111"/>
    <mergeCell ref="I111:J111"/>
    <mergeCell ref="K111:L111"/>
    <mergeCell ref="M111:N111"/>
    <mergeCell ref="G110:H110"/>
    <mergeCell ref="I110:J110"/>
    <mergeCell ref="K110:L110"/>
    <mergeCell ref="O42:O43"/>
    <mergeCell ref="P42:P43"/>
    <mergeCell ref="G3:J5"/>
    <mergeCell ref="I14:J14"/>
    <mergeCell ref="C14:D14"/>
    <mergeCell ref="E14:F14"/>
    <mergeCell ref="G14:H14"/>
    <mergeCell ref="G42:G43"/>
    <mergeCell ref="H42:H43"/>
  </mergeCells>
  <pageMargins left="0.7" right="0.7" top="0.75" bottom="0.75" header="0.3" footer="0.3"/>
  <pageSetup orientation="portrait" r:id="rId1"/>
  <ignoredErrors>
    <ignoredError sqref="H115:H122 H113:H114 I116:I122 J113:J122 K116:K122 L113:L122 M116:M122 I113:I114 K113:K115 M113:M115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68C6-B4CD-4322-9918-E001EB492ED1}">
  <dimension ref="A6:T145"/>
  <sheetViews>
    <sheetView topLeftCell="A103" workbookViewId="0">
      <selection activeCell="J116" sqref="J116"/>
    </sheetView>
  </sheetViews>
  <sheetFormatPr defaultRowHeight="14.4"/>
  <cols>
    <col min="4" max="4" width="13.33203125" customWidth="1"/>
    <col min="5" max="5" width="15.6640625" customWidth="1"/>
    <col min="6" max="6" width="12.5546875" customWidth="1"/>
    <col min="7" max="7" width="11.6640625" customWidth="1"/>
    <col min="8" max="8" width="18.33203125" customWidth="1"/>
    <col min="9" max="9" width="15.88671875" customWidth="1"/>
    <col min="10" max="10" width="14.5546875" customWidth="1"/>
    <col min="11" max="11" width="13.88671875" customWidth="1"/>
    <col min="12" max="12" width="18.21875" customWidth="1"/>
    <col min="13" max="13" width="12.88671875" customWidth="1"/>
    <col min="14" max="14" width="16.44140625" customWidth="1"/>
    <col min="15" max="15" width="14.77734375" customWidth="1"/>
    <col min="16" max="16" width="15.21875" customWidth="1"/>
    <col min="17" max="18" width="9.44140625" bestFit="1" customWidth="1"/>
    <col min="19" max="20" width="9" bestFit="1" customWidth="1"/>
  </cols>
  <sheetData>
    <row r="6" spans="1:20" ht="18">
      <c r="A6" s="248" t="s">
        <v>27</v>
      </c>
      <c r="B6" s="248"/>
    </row>
    <row r="8" spans="1:20">
      <c r="B8" s="1"/>
      <c r="C8" s="1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0">
      <c r="C9" t="s">
        <v>29</v>
      </c>
    </row>
    <row r="11" spans="1:20">
      <c r="C11" s="2"/>
      <c r="D11" s="249" t="s">
        <v>2</v>
      </c>
      <c r="E11" s="250"/>
      <c r="F11" s="250" t="s">
        <v>3</v>
      </c>
      <c r="G11" s="250"/>
    </row>
    <row r="12" spans="1:20">
      <c r="C12" s="2" t="s">
        <v>30</v>
      </c>
      <c r="D12" s="2" t="s">
        <v>31</v>
      </c>
      <c r="E12" s="2" t="s">
        <v>32</v>
      </c>
      <c r="F12" s="2" t="s">
        <v>31</v>
      </c>
      <c r="G12" s="2" t="s">
        <v>32</v>
      </c>
      <c r="I12" s="2" t="s">
        <v>6</v>
      </c>
      <c r="J12" s="1" t="s">
        <v>7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C13" s="1">
        <v>1</v>
      </c>
      <c r="D13" s="1">
        <v>3.0449999999999999</v>
      </c>
      <c r="E13" s="1">
        <v>3.0409999999999999</v>
      </c>
      <c r="F13" s="1">
        <v>3.048</v>
      </c>
      <c r="G13" s="1">
        <v>3.0459999999999998</v>
      </c>
      <c r="I13" s="4" t="s">
        <v>14</v>
      </c>
      <c r="J13" t="s">
        <v>15</v>
      </c>
    </row>
    <row r="14" spans="1:20">
      <c r="C14" s="1">
        <v>2</v>
      </c>
      <c r="D14" s="1">
        <v>3.0369999999999999</v>
      </c>
      <c r="E14" s="1">
        <v>3.0379999999999998</v>
      </c>
      <c r="F14" s="1">
        <v>3.0310000000000001</v>
      </c>
      <c r="G14" s="1">
        <v>3.0379999999999998</v>
      </c>
      <c r="I14" s="4" t="s">
        <v>16</v>
      </c>
      <c r="J14" t="s">
        <v>17</v>
      </c>
    </row>
    <row r="15" spans="1:20">
      <c r="C15" s="1">
        <v>3</v>
      </c>
      <c r="D15" s="1">
        <v>3.0209999999999999</v>
      </c>
      <c r="E15" s="1">
        <v>3.024</v>
      </c>
      <c r="F15" s="1">
        <v>3.0230000000000001</v>
      </c>
      <c r="G15" s="1">
        <v>3.0219999999999998</v>
      </c>
      <c r="J15" t="s">
        <v>18</v>
      </c>
    </row>
    <row r="16" spans="1:20">
      <c r="C16" s="1">
        <v>4</v>
      </c>
      <c r="D16" s="1">
        <v>3.0169999999999999</v>
      </c>
      <c r="E16" s="1">
        <v>3.012</v>
      </c>
      <c r="F16" s="1">
        <v>3.0110000000000001</v>
      </c>
      <c r="G16" s="1">
        <v>3.016</v>
      </c>
    </row>
    <row r="17" spans="3:20">
      <c r="C17" s="1">
        <v>5</v>
      </c>
      <c r="D17" s="1">
        <v>3.048</v>
      </c>
      <c r="E17" s="1">
        <v>3.0489999999999999</v>
      </c>
      <c r="F17" s="1">
        <v>3.0419999999999998</v>
      </c>
      <c r="G17" s="1">
        <v>3.048</v>
      </c>
    </row>
    <row r="18" spans="3:20">
      <c r="C18" s="1">
        <v>6</v>
      </c>
      <c r="D18" s="1">
        <v>3.0459999999999998</v>
      </c>
      <c r="E18" s="1">
        <v>3.0449999999999999</v>
      </c>
      <c r="F18" s="1">
        <v>3.0419999999999998</v>
      </c>
      <c r="G18" s="1">
        <v>3.0430000000000001</v>
      </c>
    </row>
    <row r="19" spans="3:20">
      <c r="C19" s="1">
        <v>7</v>
      </c>
      <c r="D19" s="1">
        <v>3.0390000000000001</v>
      </c>
      <c r="E19" s="1">
        <v>3.0339999999999998</v>
      </c>
      <c r="F19" s="1">
        <v>3.0329999999999999</v>
      </c>
      <c r="G19" s="1">
        <v>3.0350000000000001</v>
      </c>
    </row>
    <row r="20" spans="3:20">
      <c r="C20" s="1">
        <v>8</v>
      </c>
      <c r="D20" s="1">
        <v>3.0329999999999999</v>
      </c>
      <c r="E20" s="1">
        <v>3.0350000000000001</v>
      </c>
      <c r="F20" s="1">
        <v>3.0379999999999998</v>
      </c>
      <c r="G20" s="1">
        <v>3.0369999999999999</v>
      </c>
    </row>
    <row r="21" spans="3:20">
      <c r="C21" s="1">
        <v>9</v>
      </c>
      <c r="D21" s="1">
        <v>3.048</v>
      </c>
      <c r="E21" s="1">
        <v>3.0409999999999999</v>
      </c>
      <c r="F21" s="1">
        <v>3.0339999999999998</v>
      </c>
      <c r="G21" s="1">
        <v>3.032</v>
      </c>
    </row>
    <row r="22" spans="3:20">
      <c r="C22" s="1">
        <v>10</v>
      </c>
      <c r="D22" s="1">
        <v>3.0409999999999999</v>
      </c>
      <c r="E22" s="1">
        <v>3.0489999999999999</v>
      </c>
      <c r="F22" s="1">
        <v>3.0459999999999998</v>
      </c>
      <c r="G22" s="1">
        <v>3.0449999999999999</v>
      </c>
    </row>
    <row r="23" spans="3:20" ht="15" thickBot="1"/>
    <row r="24" spans="3:20" ht="21" thickBot="1">
      <c r="C24" s="44" t="s">
        <v>1</v>
      </c>
      <c r="D24" s="45" t="s">
        <v>47</v>
      </c>
      <c r="E24" s="46" t="s">
        <v>5</v>
      </c>
      <c r="H24" s="49" t="s">
        <v>52</v>
      </c>
    </row>
    <row r="25" spans="3:20" ht="15" thickBot="1">
      <c r="C25" s="39">
        <v>1</v>
      </c>
      <c r="D25" s="38" t="s">
        <v>48</v>
      </c>
      <c r="E25" s="40">
        <v>3.0449999999999999</v>
      </c>
    </row>
    <row r="26" spans="3:20" ht="17.399999999999999" thickBot="1">
      <c r="C26" s="39">
        <v>1</v>
      </c>
      <c r="D26" s="38" t="s">
        <v>49</v>
      </c>
      <c r="E26" s="40">
        <v>3.048</v>
      </c>
      <c r="H26" s="157" t="s">
        <v>99</v>
      </c>
      <c r="I26" s="158"/>
      <c r="J26" s="152"/>
      <c r="K26" s="152"/>
      <c r="L26" s="152"/>
      <c r="M26" s="126"/>
      <c r="O26" s="143" t="s">
        <v>75</v>
      </c>
      <c r="P26" s="162"/>
      <c r="Q26" s="162"/>
      <c r="R26" s="162"/>
      <c r="S26" s="162"/>
      <c r="T26" s="144"/>
    </row>
    <row r="27" spans="3:20" ht="17.399999999999999" thickBot="1">
      <c r="C27" s="39">
        <v>2</v>
      </c>
      <c r="D27" s="38" t="s">
        <v>48</v>
      </c>
      <c r="E27" s="40">
        <v>3.0369999999999999</v>
      </c>
      <c r="H27" s="130" t="s">
        <v>55</v>
      </c>
      <c r="I27" s="159" t="s">
        <v>56</v>
      </c>
      <c r="J27" s="159" t="s">
        <v>57</v>
      </c>
      <c r="K27" s="159" t="s">
        <v>58</v>
      </c>
      <c r="L27" s="159" t="s">
        <v>59</v>
      </c>
      <c r="M27" s="159" t="s">
        <v>60</v>
      </c>
      <c r="O27" s="82" t="s">
        <v>55</v>
      </c>
      <c r="P27" s="163" t="s">
        <v>56</v>
      </c>
      <c r="Q27" s="163" t="s">
        <v>57</v>
      </c>
      <c r="R27" s="163" t="s">
        <v>58</v>
      </c>
      <c r="S27" s="163" t="s">
        <v>59</v>
      </c>
      <c r="T27" s="164" t="s">
        <v>60</v>
      </c>
    </row>
    <row r="28" spans="3:20">
      <c r="C28" s="39">
        <v>2</v>
      </c>
      <c r="D28" s="38" t="s">
        <v>49</v>
      </c>
      <c r="E28" s="40">
        <v>3.0310000000000001</v>
      </c>
      <c r="H28" s="131" t="s">
        <v>1</v>
      </c>
      <c r="I28" s="115">
        <v>9</v>
      </c>
      <c r="J28" s="115">
        <v>4.078E-3</v>
      </c>
      <c r="K28" s="115">
        <v>4.5310000000000001E-4</v>
      </c>
      <c r="L28" s="115">
        <v>23.8446</v>
      </c>
      <c r="M28" s="115">
        <v>0</v>
      </c>
      <c r="O28" s="75" t="s">
        <v>1</v>
      </c>
      <c r="P28" s="53">
        <v>9</v>
      </c>
      <c r="Q28" s="53">
        <v>4.078E-3</v>
      </c>
      <c r="R28" s="53">
        <v>4.5310000000000001E-4</v>
      </c>
      <c r="S28" s="53">
        <v>39.635899999999999</v>
      </c>
      <c r="T28" s="54">
        <v>0</v>
      </c>
    </row>
    <row r="29" spans="3:20">
      <c r="C29" s="39">
        <v>3</v>
      </c>
      <c r="D29" s="38" t="s">
        <v>48</v>
      </c>
      <c r="E29" s="40">
        <v>3.0209999999999999</v>
      </c>
      <c r="H29" s="131" t="s">
        <v>47</v>
      </c>
      <c r="I29" s="115">
        <v>1</v>
      </c>
      <c r="J29" s="115">
        <v>2.72E-5</v>
      </c>
      <c r="K29" s="115">
        <v>2.72E-5</v>
      </c>
      <c r="L29" s="115">
        <v>1.4327000000000001</v>
      </c>
      <c r="M29" s="115">
        <v>0.26200000000000001</v>
      </c>
      <c r="O29" s="75" t="s">
        <v>47</v>
      </c>
      <c r="P29" s="53">
        <v>1</v>
      </c>
      <c r="Q29" s="53">
        <v>2.72E-5</v>
      </c>
      <c r="R29" s="53">
        <v>2.72E-5</v>
      </c>
      <c r="S29" s="53">
        <v>2.3815</v>
      </c>
      <c r="T29" s="54">
        <v>0.13400000000000001</v>
      </c>
    </row>
    <row r="30" spans="3:20" ht="27" thickBot="1">
      <c r="C30" s="39">
        <v>3</v>
      </c>
      <c r="D30" s="38" t="s">
        <v>49</v>
      </c>
      <c r="E30" s="40">
        <v>3.0230000000000001</v>
      </c>
      <c r="H30" s="131" t="s">
        <v>61</v>
      </c>
      <c r="I30" s="115">
        <v>9</v>
      </c>
      <c r="J30" s="115">
        <v>1.7100000000000001E-4</v>
      </c>
      <c r="K30" s="115">
        <v>1.9000000000000001E-5</v>
      </c>
      <c r="L30" s="115">
        <v>2.3679000000000001</v>
      </c>
      <c r="M30" s="115">
        <v>5.1999999999999998E-2</v>
      </c>
      <c r="O30" s="75" t="s">
        <v>62</v>
      </c>
      <c r="P30" s="53">
        <v>29</v>
      </c>
      <c r="Q30" s="53">
        <v>3.3149999999999998E-4</v>
      </c>
      <c r="R30" s="53">
        <v>1.1399999999999999E-5</v>
      </c>
      <c r="S30" s="53"/>
      <c r="T30" s="54"/>
    </row>
    <row r="31" spans="3:20" ht="15" thickBot="1">
      <c r="C31" s="39">
        <v>4</v>
      </c>
      <c r="D31" s="38" t="s">
        <v>48</v>
      </c>
      <c r="E31" s="40">
        <v>3.0169999999999999</v>
      </c>
      <c r="H31" s="131" t="s">
        <v>62</v>
      </c>
      <c r="I31" s="115">
        <v>20</v>
      </c>
      <c r="J31" s="115">
        <v>1.605E-4</v>
      </c>
      <c r="K31" s="115">
        <v>7.9999999999999996E-6</v>
      </c>
      <c r="L31" s="115"/>
      <c r="M31" s="115"/>
      <c r="O31" s="92" t="s">
        <v>63</v>
      </c>
      <c r="P31" s="77">
        <v>39</v>
      </c>
      <c r="Q31" s="77">
        <v>4.4368000000000003E-3</v>
      </c>
      <c r="R31" s="77"/>
      <c r="S31" s="77"/>
      <c r="T31" s="78"/>
    </row>
    <row r="32" spans="3:20" ht="15" thickBot="1">
      <c r="C32" s="39">
        <v>4</v>
      </c>
      <c r="D32" s="38" t="s">
        <v>49</v>
      </c>
      <c r="E32" s="40">
        <v>3.0110000000000001</v>
      </c>
      <c r="H32" s="160" t="s">
        <v>63</v>
      </c>
      <c r="I32" s="118">
        <v>39</v>
      </c>
      <c r="J32" s="118">
        <v>4.4368000000000003E-3</v>
      </c>
      <c r="K32" s="118"/>
      <c r="L32" s="118"/>
      <c r="M32" s="118"/>
      <c r="O32" s="167"/>
      <c r="P32" s="166"/>
      <c r="Q32" s="166"/>
      <c r="R32" s="166"/>
      <c r="S32" s="166"/>
      <c r="T32" s="166"/>
    </row>
    <row r="33" spans="3:16" ht="16.2" thickBot="1">
      <c r="C33" s="39">
        <v>5</v>
      </c>
      <c r="D33" s="38" t="s">
        <v>48</v>
      </c>
      <c r="E33" s="40">
        <v>3.048</v>
      </c>
      <c r="H33" s="182" t="s">
        <v>64</v>
      </c>
      <c r="I33" s="153"/>
      <c r="J33" s="153"/>
      <c r="K33" s="153"/>
      <c r="L33" s="153"/>
      <c r="M33" s="154"/>
    </row>
    <row r="34" spans="3:16">
      <c r="C34" s="39">
        <v>5</v>
      </c>
      <c r="D34" s="38" t="s">
        <v>49</v>
      </c>
      <c r="E34" s="40">
        <v>3.0419999999999998</v>
      </c>
    </row>
    <row r="35" spans="3:16">
      <c r="C35" s="39">
        <v>6</v>
      </c>
      <c r="D35" s="38" t="s">
        <v>48</v>
      </c>
      <c r="E35" s="40">
        <v>3.0459999999999998</v>
      </c>
    </row>
    <row r="36" spans="3:16" ht="19.8" thickBot="1">
      <c r="C36" s="39">
        <v>6</v>
      </c>
      <c r="D36" s="38" t="s">
        <v>49</v>
      </c>
      <c r="E36" s="40">
        <v>3.0419999999999998</v>
      </c>
      <c r="H36" s="124" t="s">
        <v>65</v>
      </c>
      <c r="I36" s="168"/>
      <c r="J36" s="168"/>
      <c r="L36" s="165" t="s">
        <v>76</v>
      </c>
      <c r="M36" s="172"/>
      <c r="N36" s="172"/>
      <c r="O36" s="172"/>
      <c r="P36" s="172"/>
    </row>
    <row r="37" spans="3:16" ht="15">
      <c r="C37" s="39">
        <v>7</v>
      </c>
      <c r="D37" s="38" t="s">
        <v>48</v>
      </c>
      <c r="E37" s="40">
        <v>3.0390000000000001</v>
      </c>
      <c r="H37" s="246" t="s">
        <v>55</v>
      </c>
      <c r="I37" s="246" t="s">
        <v>66</v>
      </c>
      <c r="J37" s="169" t="s">
        <v>67</v>
      </c>
      <c r="L37" s="246" t="s">
        <v>55</v>
      </c>
      <c r="M37" s="246" t="s">
        <v>77</v>
      </c>
      <c r="N37" s="173" t="s">
        <v>78</v>
      </c>
      <c r="O37" s="173" t="s">
        <v>80</v>
      </c>
      <c r="P37" s="169" t="s">
        <v>102</v>
      </c>
    </row>
    <row r="38" spans="3:16" ht="15.6" thickBot="1">
      <c r="C38" s="39">
        <v>7</v>
      </c>
      <c r="D38" s="38" t="s">
        <v>49</v>
      </c>
      <c r="E38" s="40">
        <v>3.0329999999999999</v>
      </c>
      <c r="H38" s="251"/>
      <c r="I38" s="251"/>
      <c r="J38" s="155" t="s">
        <v>68</v>
      </c>
      <c r="L38" s="247"/>
      <c r="M38" s="247"/>
      <c r="N38" s="174" t="s">
        <v>79</v>
      </c>
      <c r="O38" s="174" t="s">
        <v>81</v>
      </c>
      <c r="P38" s="175" t="s">
        <v>103</v>
      </c>
    </row>
    <row r="39" spans="3:16">
      <c r="C39" s="39">
        <v>8</v>
      </c>
      <c r="D39" s="38" t="s">
        <v>48</v>
      </c>
      <c r="E39" s="40">
        <v>3.0329999999999999</v>
      </c>
      <c r="H39" s="170" t="s">
        <v>69</v>
      </c>
      <c r="I39" s="115">
        <v>1.22E-5</v>
      </c>
      <c r="J39" s="112">
        <v>9.9700000000000006</v>
      </c>
      <c r="L39" s="115" t="s">
        <v>69</v>
      </c>
      <c r="M39" s="115">
        <v>3.4959000000000001E-3</v>
      </c>
      <c r="N39" s="115">
        <v>2.09756E-2</v>
      </c>
      <c r="O39" s="115">
        <v>31.57</v>
      </c>
      <c r="P39" s="112">
        <v>0.21</v>
      </c>
    </row>
    <row r="40" spans="3:16">
      <c r="C40" s="39">
        <v>8</v>
      </c>
      <c r="D40" s="38" t="s">
        <v>49</v>
      </c>
      <c r="E40" s="40">
        <v>3.0379999999999998</v>
      </c>
      <c r="H40" s="170" t="s">
        <v>70</v>
      </c>
      <c r="I40" s="115">
        <v>1.1399999999999999E-5</v>
      </c>
      <c r="J40" s="112">
        <v>9.32</v>
      </c>
      <c r="L40" s="115" t="s">
        <v>70</v>
      </c>
      <c r="M40" s="115">
        <v>3.3811000000000002E-3</v>
      </c>
      <c r="N40" s="115">
        <v>2.0286700000000001E-2</v>
      </c>
      <c r="O40" s="115">
        <v>30.53</v>
      </c>
      <c r="P40" s="112">
        <v>0.2</v>
      </c>
    </row>
    <row r="41" spans="3:16">
      <c r="C41" s="39">
        <v>9</v>
      </c>
      <c r="D41" s="38" t="s">
        <v>48</v>
      </c>
      <c r="E41" s="40">
        <v>3.048</v>
      </c>
      <c r="H41" s="170" t="s">
        <v>71</v>
      </c>
      <c r="I41" s="115">
        <v>7.9999999999999996E-7</v>
      </c>
      <c r="J41" s="112">
        <v>0.64</v>
      </c>
      <c r="L41" s="115" t="s">
        <v>71</v>
      </c>
      <c r="M41" s="115">
        <v>8.8860000000000002E-4</v>
      </c>
      <c r="N41" s="115">
        <v>5.3318000000000003E-3</v>
      </c>
      <c r="O41" s="115">
        <v>8.02</v>
      </c>
      <c r="P41" s="112">
        <v>0.05</v>
      </c>
    </row>
    <row r="42" spans="3:16">
      <c r="C42" s="39">
        <v>9</v>
      </c>
      <c r="D42" s="38" t="s">
        <v>49</v>
      </c>
      <c r="E42" s="40">
        <v>3.0339999999999998</v>
      </c>
      <c r="H42" s="170" t="s">
        <v>72</v>
      </c>
      <c r="I42" s="115">
        <v>7.9999999999999996E-7</v>
      </c>
      <c r="J42" s="112">
        <v>0.64</v>
      </c>
      <c r="L42" s="115" t="s">
        <v>72</v>
      </c>
      <c r="M42" s="115">
        <v>8.8860000000000002E-4</v>
      </c>
      <c r="N42" s="115">
        <v>5.3318000000000003E-3</v>
      </c>
      <c r="O42" s="115">
        <v>8.02</v>
      </c>
      <c r="P42" s="112">
        <v>0.05</v>
      </c>
    </row>
    <row r="43" spans="3:16" ht="15" thickBot="1">
      <c r="C43" s="39">
        <v>10</v>
      </c>
      <c r="D43" s="38" t="s">
        <v>48</v>
      </c>
      <c r="E43" s="40">
        <v>3.0409999999999999</v>
      </c>
      <c r="H43" s="170" t="s">
        <v>73</v>
      </c>
      <c r="I43" s="115">
        <v>1.104E-4</v>
      </c>
      <c r="J43" s="112">
        <v>90.03</v>
      </c>
      <c r="L43" s="115" t="s">
        <v>73</v>
      </c>
      <c r="M43" s="115">
        <v>1.0508099999999999E-2</v>
      </c>
      <c r="N43" s="115">
        <v>6.3048699999999999E-2</v>
      </c>
      <c r="O43" s="115">
        <v>94.89</v>
      </c>
      <c r="P43" s="112">
        <v>0.64</v>
      </c>
    </row>
    <row r="44" spans="3:16" ht="15" thickBot="1">
      <c r="C44" s="39">
        <v>10</v>
      </c>
      <c r="D44" s="38" t="s">
        <v>49</v>
      </c>
      <c r="E44" s="40">
        <v>3.0459999999999998</v>
      </c>
      <c r="H44" s="171" t="s">
        <v>74</v>
      </c>
      <c r="I44" s="118">
        <v>1.226E-4</v>
      </c>
      <c r="J44" s="119">
        <v>100</v>
      </c>
      <c r="L44" s="118" t="s">
        <v>74</v>
      </c>
      <c r="M44" s="118">
        <v>1.10744E-2</v>
      </c>
      <c r="N44" s="118">
        <v>6.64463E-2</v>
      </c>
      <c r="O44" s="118">
        <v>100</v>
      </c>
      <c r="P44" s="119">
        <v>0.67</v>
      </c>
    </row>
    <row r="45" spans="3:16">
      <c r="C45" s="39">
        <v>1</v>
      </c>
      <c r="D45" s="38" t="s">
        <v>48</v>
      </c>
      <c r="E45" s="40">
        <v>3.0409999999999999</v>
      </c>
    </row>
    <row r="46" spans="3:16">
      <c r="C46" s="39">
        <v>1</v>
      </c>
      <c r="D46" s="38" t="s">
        <v>49</v>
      </c>
      <c r="E46" s="40">
        <v>3.0459999999999998</v>
      </c>
    </row>
    <row r="47" spans="3:16" ht="17.399999999999999" thickBot="1">
      <c r="C47" s="39">
        <v>2</v>
      </c>
      <c r="D47" s="38" t="s">
        <v>48</v>
      </c>
      <c r="E47" s="40">
        <v>3.0379999999999998</v>
      </c>
      <c r="H47" s="123" t="s">
        <v>82</v>
      </c>
      <c r="K47" s="123" t="s">
        <v>87</v>
      </c>
    </row>
    <row r="48" spans="3:16" ht="15.6" thickBot="1">
      <c r="C48" s="39">
        <v>2</v>
      </c>
      <c r="D48" s="38" t="s">
        <v>49</v>
      </c>
      <c r="E48" s="40">
        <v>3.0379999999999998</v>
      </c>
      <c r="H48" s="129" t="s">
        <v>83</v>
      </c>
      <c r="I48" s="156" t="s">
        <v>84</v>
      </c>
      <c r="K48" s="180" t="s">
        <v>83</v>
      </c>
      <c r="L48" s="181" t="s">
        <v>84</v>
      </c>
    </row>
    <row r="49" spans="3:12" ht="48">
      <c r="C49" s="39">
        <v>3</v>
      </c>
      <c r="D49" s="38" t="s">
        <v>48</v>
      </c>
      <c r="E49" s="40">
        <v>3.024</v>
      </c>
      <c r="H49" s="127" t="s">
        <v>85</v>
      </c>
      <c r="I49" s="112">
        <v>0</v>
      </c>
      <c r="K49" s="176" t="s">
        <v>88</v>
      </c>
      <c r="L49" s="177" t="s">
        <v>90</v>
      </c>
    </row>
    <row r="50" spans="3:12" ht="40.200000000000003" thickBot="1">
      <c r="C50" s="39">
        <v>3</v>
      </c>
      <c r="D50" s="38" t="s">
        <v>49</v>
      </c>
      <c r="E50" s="40">
        <v>3.0219999999999998</v>
      </c>
      <c r="H50" s="128" t="s">
        <v>86</v>
      </c>
      <c r="I50" s="113">
        <v>0</v>
      </c>
      <c r="K50" s="178" t="s">
        <v>89</v>
      </c>
      <c r="L50" s="179">
        <v>0</v>
      </c>
    </row>
    <row r="51" spans="3:12">
      <c r="C51" s="39">
        <v>4</v>
      </c>
      <c r="D51" s="38" t="s">
        <v>48</v>
      </c>
      <c r="E51" s="40">
        <v>3.012</v>
      </c>
      <c r="H51" s="161"/>
      <c r="K51" s="111" t="s">
        <v>104</v>
      </c>
      <c r="L51" s="168"/>
    </row>
    <row r="52" spans="3:12">
      <c r="C52" s="39">
        <v>4</v>
      </c>
      <c r="D52" s="38" t="s">
        <v>49</v>
      </c>
      <c r="E52" s="40">
        <v>3.016</v>
      </c>
    </row>
    <row r="53" spans="3:12">
      <c r="C53" s="39">
        <v>5</v>
      </c>
      <c r="D53" s="38" t="s">
        <v>48</v>
      </c>
      <c r="E53" s="40">
        <v>3.0489999999999999</v>
      </c>
    </row>
    <row r="54" spans="3:12">
      <c r="C54" s="39">
        <v>5</v>
      </c>
      <c r="D54" s="38" t="s">
        <v>49</v>
      </c>
      <c r="E54" s="40">
        <v>3.048</v>
      </c>
    </row>
    <row r="55" spans="3:12">
      <c r="C55" s="39">
        <v>6</v>
      </c>
      <c r="D55" s="38" t="s">
        <v>48</v>
      </c>
      <c r="E55" s="40">
        <v>3.0449999999999999</v>
      </c>
    </row>
    <row r="56" spans="3:12">
      <c r="C56" s="39">
        <v>6</v>
      </c>
      <c r="D56" s="38" t="s">
        <v>49</v>
      </c>
      <c r="E56" s="40">
        <v>3.0430000000000001</v>
      </c>
    </row>
    <row r="57" spans="3:12">
      <c r="C57" s="39">
        <v>7</v>
      </c>
      <c r="D57" s="38" t="s">
        <v>48</v>
      </c>
      <c r="E57" s="40">
        <v>3.0339999999999998</v>
      </c>
    </row>
    <row r="58" spans="3:12">
      <c r="C58" s="39">
        <v>7</v>
      </c>
      <c r="D58" s="38" t="s">
        <v>49</v>
      </c>
      <c r="E58" s="40">
        <v>3.0350000000000001</v>
      </c>
    </row>
    <row r="59" spans="3:12">
      <c r="C59" s="39">
        <v>8</v>
      </c>
      <c r="D59" s="38" t="s">
        <v>48</v>
      </c>
      <c r="E59" s="40">
        <v>3.0350000000000001</v>
      </c>
    </row>
    <row r="60" spans="3:12">
      <c r="C60" s="39">
        <v>8</v>
      </c>
      <c r="D60" s="38" t="s">
        <v>49</v>
      </c>
      <c r="E60" s="40">
        <v>3.0369999999999999</v>
      </c>
    </row>
    <row r="61" spans="3:12">
      <c r="C61" s="39">
        <v>9</v>
      </c>
      <c r="D61" s="38" t="s">
        <v>48</v>
      </c>
      <c r="E61" s="40">
        <v>3.0409999999999999</v>
      </c>
    </row>
    <row r="62" spans="3:12">
      <c r="C62" s="39">
        <v>9</v>
      </c>
      <c r="D62" s="38" t="s">
        <v>49</v>
      </c>
      <c r="E62" s="40">
        <v>3.032</v>
      </c>
    </row>
    <row r="63" spans="3:12">
      <c r="C63" s="39">
        <v>10</v>
      </c>
      <c r="D63" s="38" t="s">
        <v>48</v>
      </c>
      <c r="E63" s="40">
        <v>3.0489999999999999</v>
      </c>
    </row>
    <row r="64" spans="3:12" ht="15" thickBot="1">
      <c r="C64" s="41">
        <v>10</v>
      </c>
      <c r="D64" s="42" t="s">
        <v>49</v>
      </c>
      <c r="E64" s="43">
        <v>3.0449999999999999</v>
      </c>
    </row>
    <row r="86" spans="2:16" ht="20.399999999999999">
      <c r="D86" s="151" t="s">
        <v>96</v>
      </c>
      <c r="E86" s="149"/>
      <c r="F86" s="149"/>
      <c r="G86" s="149"/>
      <c r="H86" s="149"/>
      <c r="I86" s="149"/>
      <c r="J86" s="149"/>
      <c r="K86" s="149"/>
      <c r="L86" s="149"/>
      <c r="M86" s="147"/>
      <c r="N86" s="148"/>
      <c r="O86" s="148"/>
      <c r="P86" s="148"/>
    </row>
    <row r="87" spans="2:16" ht="18">
      <c r="D87" s="149" t="s">
        <v>106</v>
      </c>
      <c r="E87" s="149"/>
      <c r="F87" s="149"/>
      <c r="G87" s="149"/>
      <c r="H87" s="149"/>
      <c r="I87" s="149"/>
      <c r="J87" s="149"/>
      <c r="K87" s="149"/>
      <c r="L87" s="149"/>
      <c r="M87" s="147"/>
      <c r="N87" s="148"/>
      <c r="O87" s="148"/>
      <c r="P87" s="148"/>
    </row>
    <row r="88" spans="2:16" ht="18">
      <c r="D88" s="149" t="s">
        <v>105</v>
      </c>
      <c r="E88" s="149"/>
      <c r="F88" s="149"/>
      <c r="G88" s="149"/>
      <c r="H88" s="149"/>
      <c r="I88" s="149"/>
      <c r="J88" s="149"/>
      <c r="K88" s="149"/>
      <c r="L88" s="149"/>
      <c r="M88" s="147"/>
      <c r="N88" s="148"/>
      <c r="O88" s="148"/>
      <c r="P88" s="148"/>
    </row>
    <row r="89" spans="2:16" ht="18">
      <c r="D89" s="149" t="s">
        <v>101</v>
      </c>
      <c r="E89" s="149"/>
      <c r="F89" s="149"/>
      <c r="G89" s="149"/>
      <c r="H89" s="149"/>
      <c r="I89" s="149"/>
      <c r="J89" s="149"/>
      <c r="K89" s="149"/>
      <c r="L89" s="149"/>
      <c r="M89" s="147"/>
      <c r="N89" s="148"/>
      <c r="O89" s="148"/>
      <c r="P89" s="148"/>
    </row>
    <row r="92" spans="2:16" ht="20.399999999999999">
      <c r="B92" s="49" t="s">
        <v>108</v>
      </c>
    </row>
    <row r="93" spans="2:16" ht="15" thickBot="1"/>
    <row r="94" spans="2:16" ht="15" thickBot="1">
      <c r="E94" s="243" t="s">
        <v>2</v>
      </c>
      <c r="F94" s="242"/>
      <c r="G94" s="243" t="s">
        <v>3</v>
      </c>
      <c r="H94" s="242"/>
    </row>
    <row r="95" spans="2:16" ht="15" thickBot="1">
      <c r="E95" s="243" t="s">
        <v>109</v>
      </c>
      <c r="F95" s="242"/>
      <c r="G95" s="243" t="s">
        <v>109</v>
      </c>
      <c r="H95" s="242"/>
    </row>
    <row r="96" spans="2:16" ht="15" thickBot="1">
      <c r="E96" s="202" t="s">
        <v>115</v>
      </c>
      <c r="F96" s="200" t="s">
        <v>114</v>
      </c>
      <c r="G96" s="202" t="s">
        <v>113</v>
      </c>
      <c r="H96" s="200" t="s">
        <v>112</v>
      </c>
    </row>
    <row r="97" spans="2:12">
      <c r="E97" s="203">
        <f>(D13+E13)/2</f>
        <v>3.0430000000000001</v>
      </c>
      <c r="F97" s="201">
        <f>ABS(D13-E13)</f>
        <v>4.0000000000000036E-3</v>
      </c>
      <c r="G97" s="203">
        <f>(F13+G13)/2</f>
        <v>3.0469999999999997</v>
      </c>
      <c r="H97" s="201">
        <f>ABS(F13-G13)</f>
        <v>2.0000000000002238E-3</v>
      </c>
    </row>
    <row r="98" spans="2:12">
      <c r="E98" s="203">
        <f>(D14+E14)/2</f>
        <v>3.0374999999999996</v>
      </c>
      <c r="F98" s="201">
        <f t="shared" ref="F98:F106" si="0">ABS(D14-E14)</f>
        <v>9.9999999999988987E-4</v>
      </c>
      <c r="G98" s="203">
        <f t="shared" ref="G98:G106" si="1">(F14+G14)/2</f>
        <v>3.0345</v>
      </c>
      <c r="H98" s="201">
        <f t="shared" ref="H98:H106" si="2">ABS(F14-G14)</f>
        <v>6.9999999999996732E-3</v>
      </c>
    </row>
    <row r="99" spans="2:12">
      <c r="E99" s="203">
        <f t="shared" ref="E99:E106" si="3">(D15+E15)/2</f>
        <v>3.0225</v>
      </c>
      <c r="F99" s="201">
        <f t="shared" si="0"/>
        <v>3.0000000000001137E-3</v>
      </c>
      <c r="G99" s="203">
        <f t="shared" si="1"/>
        <v>3.0225</v>
      </c>
      <c r="H99" s="201">
        <f t="shared" si="2"/>
        <v>1.000000000000334E-3</v>
      </c>
    </row>
    <row r="100" spans="2:12">
      <c r="E100" s="203">
        <f t="shared" si="3"/>
        <v>3.0145</v>
      </c>
      <c r="F100" s="201">
        <f t="shared" si="0"/>
        <v>4.9999999999998934E-3</v>
      </c>
      <c r="G100" s="203">
        <f t="shared" si="1"/>
        <v>3.0135000000000001</v>
      </c>
      <c r="H100" s="201">
        <f t="shared" si="2"/>
        <v>4.9999999999998934E-3</v>
      </c>
    </row>
    <row r="101" spans="2:12">
      <c r="E101" s="203">
        <f t="shared" si="3"/>
        <v>3.0484999999999998</v>
      </c>
      <c r="F101" s="201">
        <f t="shared" si="0"/>
        <v>9.9999999999988987E-4</v>
      </c>
      <c r="G101" s="203">
        <f t="shared" si="1"/>
        <v>3.0449999999999999</v>
      </c>
      <c r="H101" s="201">
        <f t="shared" si="2"/>
        <v>6.0000000000002274E-3</v>
      </c>
    </row>
    <row r="102" spans="2:12" ht="18">
      <c r="E102" s="203">
        <f t="shared" si="3"/>
        <v>3.0454999999999997</v>
      </c>
      <c r="F102" s="201">
        <f t="shared" si="0"/>
        <v>9.9999999999988987E-4</v>
      </c>
      <c r="G102" s="203">
        <f t="shared" si="1"/>
        <v>3.0425</v>
      </c>
      <c r="H102" s="201">
        <f t="shared" si="2"/>
        <v>1.000000000000334E-3</v>
      </c>
      <c r="J102" s="198"/>
      <c r="K102" s="183"/>
      <c r="L102" s="185"/>
    </row>
    <row r="103" spans="2:12">
      <c r="E103" s="203">
        <f t="shared" si="3"/>
        <v>3.0365000000000002</v>
      </c>
      <c r="F103" s="201">
        <f t="shared" si="0"/>
        <v>5.0000000000003375E-3</v>
      </c>
      <c r="G103" s="203">
        <f t="shared" si="1"/>
        <v>3.0339999999999998</v>
      </c>
      <c r="H103" s="201">
        <f t="shared" si="2"/>
        <v>2.0000000000002238E-3</v>
      </c>
    </row>
    <row r="104" spans="2:12">
      <c r="E104" s="203">
        <f t="shared" si="3"/>
        <v>3.0339999999999998</v>
      </c>
      <c r="F104" s="201">
        <f t="shared" si="0"/>
        <v>2.0000000000002238E-3</v>
      </c>
      <c r="G104" s="203">
        <f t="shared" si="1"/>
        <v>3.0374999999999996</v>
      </c>
      <c r="H104" s="201">
        <f t="shared" si="2"/>
        <v>9.9999999999988987E-4</v>
      </c>
    </row>
    <row r="105" spans="2:12">
      <c r="E105" s="203">
        <f t="shared" si="3"/>
        <v>3.0445000000000002</v>
      </c>
      <c r="F105" s="201">
        <f t="shared" si="0"/>
        <v>7.0000000000001172E-3</v>
      </c>
      <c r="G105" s="203">
        <f t="shared" si="1"/>
        <v>3.0329999999999999</v>
      </c>
      <c r="H105" s="201">
        <f t="shared" si="2"/>
        <v>1.9999999999997797E-3</v>
      </c>
    </row>
    <row r="106" spans="2:12" ht="15" thickBot="1">
      <c r="E106" s="203">
        <f t="shared" si="3"/>
        <v>3.0449999999999999</v>
      </c>
      <c r="F106" s="201">
        <f t="shared" si="0"/>
        <v>8.0000000000000071E-3</v>
      </c>
      <c r="G106" s="203">
        <f t="shared" si="1"/>
        <v>3.0454999999999997</v>
      </c>
      <c r="H106" s="201">
        <f t="shared" si="2"/>
        <v>9.9999999999988987E-4</v>
      </c>
    </row>
    <row r="107" spans="2:12" ht="15" thickBot="1">
      <c r="D107" s="184"/>
      <c r="E107" s="19">
        <f>AVERAGE(E97:E106)</f>
        <v>3.0371499999999996</v>
      </c>
      <c r="F107" s="18">
        <f>AVERAGE(F97:F106)</f>
        <v>3.7000000000000366E-3</v>
      </c>
      <c r="G107" s="19">
        <f>AVERAGE(G97:G106)</f>
        <v>3.0354999999999999</v>
      </c>
      <c r="H107" s="18">
        <f>AVERAGE(H97:H106)</f>
        <v>2.8000000000000468E-3</v>
      </c>
    </row>
    <row r="110" spans="2:12" ht="17.399999999999999">
      <c r="B110" s="24" t="s">
        <v>43</v>
      </c>
    </row>
    <row r="111" spans="2:12" ht="17.399999999999999">
      <c r="B111" s="24"/>
    </row>
    <row r="112" spans="2:12" ht="17.399999999999999">
      <c r="B112" s="24"/>
      <c r="D112" s="25" t="s">
        <v>44</v>
      </c>
    </row>
    <row r="113" spans="2:10" ht="17.399999999999999">
      <c r="B113" s="24"/>
      <c r="D113" s="26" t="s">
        <v>45</v>
      </c>
      <c r="E113" s="26">
        <v>1.1279999999999999</v>
      </c>
    </row>
    <row r="114" spans="2:10" ht="19.8">
      <c r="B114" s="24"/>
      <c r="D114" s="26" t="s">
        <v>46</v>
      </c>
      <c r="E114" s="26">
        <v>1.1279999999999999</v>
      </c>
      <c r="F114" s="209" t="s">
        <v>120</v>
      </c>
    </row>
    <row r="115" spans="2:10" ht="15" thickBot="1"/>
    <row r="116" spans="2:10" ht="16.2" thickBot="1">
      <c r="I116" s="199">
        <f>G121^2+G127^2</f>
        <v>1.0441030380765012E-5</v>
      </c>
      <c r="J116" s="252">
        <f>0.00001044</f>
        <v>1.044E-5</v>
      </c>
    </row>
    <row r="120" spans="2:10" ht="15" thickBot="1"/>
    <row r="121" spans="2:10" ht="18" thickBot="1">
      <c r="G121" s="30">
        <f>G132/E113</f>
        <v>2.8812056737589028E-3</v>
      </c>
    </row>
    <row r="126" spans="2:10" ht="15" thickBot="1"/>
    <row r="127" spans="2:10" ht="16.2" thickBot="1">
      <c r="G127" s="29">
        <f>G138/E114</f>
        <v>1.4627659574465491E-3</v>
      </c>
    </row>
    <row r="131" spans="7:7" ht="15" thickBot="1"/>
    <row r="132" spans="7:7" ht="18" thickBot="1">
      <c r="G132" s="27">
        <f>(F107+H107)/2</f>
        <v>3.2500000000000419E-3</v>
      </c>
    </row>
    <row r="133" spans="7:7">
      <c r="G133" s="6"/>
    </row>
    <row r="134" spans="7:7">
      <c r="G134" s="6"/>
    </row>
    <row r="135" spans="7:7">
      <c r="G135" s="6"/>
    </row>
    <row r="136" spans="7:7">
      <c r="G136" s="6"/>
    </row>
    <row r="137" spans="7:7" ht="15" thickBot="1">
      <c r="G137" s="6"/>
    </row>
    <row r="138" spans="7:7" ht="16.2" thickBot="1">
      <c r="G138" s="28">
        <f>G142-G145</f>
        <v>1.6499999999997073E-3</v>
      </c>
    </row>
    <row r="139" spans="7:7">
      <c r="G139" s="6"/>
    </row>
    <row r="140" spans="7:7">
      <c r="G140" s="6"/>
    </row>
    <row r="141" spans="7:7" ht="15" thickBot="1">
      <c r="G141" s="6"/>
    </row>
    <row r="142" spans="7:7" ht="16.2" thickBot="1">
      <c r="G142" s="28">
        <f>E107</f>
        <v>3.0371499999999996</v>
      </c>
    </row>
    <row r="143" spans="7:7">
      <c r="G143" s="6"/>
    </row>
    <row r="144" spans="7:7" ht="15" thickBot="1">
      <c r="G144" s="6"/>
    </row>
    <row r="145" spans="7:7" ht="16.2" thickBot="1">
      <c r="G145" s="28">
        <f>G107</f>
        <v>3.0354999999999999</v>
      </c>
    </row>
  </sheetData>
  <mergeCells count="11">
    <mergeCell ref="E94:F94"/>
    <mergeCell ref="G94:H94"/>
    <mergeCell ref="E95:F95"/>
    <mergeCell ref="G95:H95"/>
    <mergeCell ref="L37:L38"/>
    <mergeCell ref="M37:M38"/>
    <mergeCell ref="A6:B6"/>
    <mergeCell ref="D11:E11"/>
    <mergeCell ref="F11:G11"/>
    <mergeCell ref="H37:H38"/>
    <mergeCell ref="I37:I38"/>
  </mergeCells>
  <pageMargins left="0.7" right="0.7" top="0.75" bottom="0.75" header="0.3" footer="0.3"/>
  <pageSetup orientation="portrait" r:id="rId1"/>
  <ignoredErrors>
    <ignoredError sqref="F97:F106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D162CF5C3DB84AA65A7BAE11756B8F" ma:contentTypeVersion="0" ma:contentTypeDescription="Create a new document." ma:contentTypeScope="" ma:versionID="2bb0680db453979dcfbd3aa3528847f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3257cd9829394d17656a545d5fa4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27B0B5-761B-4017-A112-63891F0F5F8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65A796D-66C1-408C-890E-0210FD9E45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0D1DF2-3C1E-4EDC-A997-ED0A45199A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Example-1</vt:lpstr>
      <vt:lpstr>Example-2</vt:lpstr>
      <vt:lpstr>Example-3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NISHANT</dc:creator>
  <cp:keywords/>
  <dc:description/>
  <cp:lastModifiedBy>Manthan Darji</cp:lastModifiedBy>
  <cp:revision/>
  <dcterms:created xsi:type="dcterms:W3CDTF">2021-09-22T11:18:00Z</dcterms:created>
  <dcterms:modified xsi:type="dcterms:W3CDTF">2021-09-27T03:40:00Z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B9EA75B4D6FC48458EA0896DC9F4D12D</vt:lpwstr>
  </property>
  <property fmtid="{D5CDD505-2E9C-101B-9397-08002B2CF9AE}" pid="3" name="KSOProductBuildVer">
    <vt:lpwstr>1033-11.2.0.10258</vt:lpwstr>
  </property>
  <property fmtid="{D5CDD505-2E9C-101B-9397-08002B2CF9AE}" pid="4" name="ContentTypeId">
    <vt:lpwstr>0x01010003D162CF5C3DB84AA65A7BAE11756B8F</vt:lpwstr>
  </property>
</Properties>
</file>