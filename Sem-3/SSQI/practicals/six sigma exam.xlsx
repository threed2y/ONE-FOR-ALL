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patel\Desktop\Msc sem3\SSQI\practicals\"/>
    </mc:Choice>
  </mc:AlternateContent>
  <xr:revisionPtr revIDLastSave="0" documentId="13_ncr:1_{AD07A333-0ECB-44C0-83E3-FE39783A0AA9}" xr6:coauthVersionLast="47" xr6:coauthVersionMax="47" xr10:uidLastSave="{00000000-0000-0000-0000-000000000000}"/>
  <bookViews>
    <workbookView xWindow="-120" yWindow="-120" windowWidth="20730" windowHeight="11160" xr2:uid="{8822D67D-82C2-49BA-A15C-C601146AEA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7" i="1" l="1"/>
  <c r="D143" i="1"/>
  <c r="D142" i="1"/>
  <c r="J115" i="1"/>
  <c r="I115" i="1"/>
  <c r="F115" i="1"/>
  <c r="E115" i="1"/>
  <c r="J114" i="1"/>
  <c r="I114" i="1"/>
  <c r="F114" i="1"/>
  <c r="E114" i="1"/>
  <c r="J113" i="1"/>
  <c r="I113" i="1"/>
  <c r="F113" i="1"/>
  <c r="E113" i="1"/>
  <c r="J112" i="1"/>
  <c r="I112" i="1"/>
  <c r="F112" i="1"/>
  <c r="E112" i="1"/>
  <c r="J111" i="1"/>
  <c r="I111" i="1"/>
  <c r="F111" i="1"/>
  <c r="E111" i="1"/>
  <c r="J110" i="1"/>
  <c r="I110" i="1"/>
  <c r="F110" i="1"/>
  <c r="E110" i="1"/>
  <c r="J109" i="1"/>
  <c r="I109" i="1"/>
  <c r="F109" i="1"/>
  <c r="E109" i="1"/>
  <c r="J108" i="1"/>
  <c r="I108" i="1"/>
  <c r="F108" i="1"/>
  <c r="E108" i="1"/>
  <c r="J107" i="1"/>
  <c r="F107" i="1"/>
  <c r="E107" i="1"/>
  <c r="J106" i="1"/>
  <c r="J116" i="1" s="1"/>
  <c r="I106" i="1"/>
  <c r="F106" i="1"/>
  <c r="F116" i="1" s="1"/>
  <c r="G123" i="1" s="1"/>
  <c r="G128" i="1" s="1"/>
  <c r="E106" i="1"/>
  <c r="I116" i="1" l="1"/>
  <c r="G121" i="1" s="1"/>
  <c r="G125" i="1" s="1"/>
  <c r="I133" i="1" s="1"/>
  <c r="G136" i="1" s="1"/>
  <c r="I142" i="1" s="1"/>
  <c r="E116" i="1"/>
  <c r="I136" i="1" l="1"/>
  <c r="G73" i="1" l="1" a="1"/>
  <c r="G74" i="1" s="1"/>
  <c r="G73" i="1" l="1"/>
  <c r="G77" i="1"/>
  <c r="G76" i="1"/>
  <c r="G75" i="1"/>
  <c r="G34" i="1" l="1"/>
  <c r="D27" i="1" l="1"/>
  <c r="D25" i="1"/>
  <c r="G33" i="1" l="1"/>
</calcChain>
</file>

<file path=xl/sharedStrings.xml><?xml version="1.0" encoding="utf-8"?>
<sst xmlns="http://schemas.openxmlformats.org/spreadsheetml/2006/main" count="78" uniqueCount="73">
  <si>
    <t>x</t>
  </si>
  <si>
    <t>sr no</t>
  </si>
  <si>
    <t>A machine is used to fill containers with a liquid product. Fill volume can be assumed to be normally distributed. A random sample of 11 containers is selected and the net contents are given below. 12.03 12.04 12.05 11.96 12.05 12.01 12.02 12.02 11.98 11.99 12.02 The manufacturer wishes to be sure that the mean net contents exceed 12.What conclusions can be drawn from these data at 5% level of significance?</t>
  </si>
  <si>
    <t>sample s.d</t>
  </si>
  <si>
    <t>σ=</t>
  </si>
  <si>
    <t>sample size</t>
  </si>
  <si>
    <t>n=</t>
  </si>
  <si>
    <t>sample mean</t>
  </si>
  <si>
    <t>popl mean</t>
  </si>
  <si>
    <t>μ0=</t>
  </si>
  <si>
    <t>level of significance</t>
  </si>
  <si>
    <t xml:space="preserve"> α=5%</t>
  </si>
  <si>
    <t>test statistic</t>
  </si>
  <si>
    <t>t cal =</t>
  </si>
  <si>
    <t>tcal=</t>
  </si>
  <si>
    <t>Ho :</t>
  </si>
  <si>
    <t>against</t>
  </si>
  <si>
    <t xml:space="preserve">H1: </t>
  </si>
  <si>
    <t>μ=12</t>
  </si>
  <si>
    <t>μ&gt;12</t>
  </si>
  <si>
    <t>tab=</t>
  </si>
  <si>
    <t>reject region</t>
  </si>
  <si>
    <t>reject Ho if Tcal &gt; T tab</t>
  </si>
  <si>
    <t>Conclusion: here t cal is not greather then t tab hence we donot have sufficient evidence to reject our null hypothesis.hence we concluded that mean net contents can not exceed to 12.</t>
  </si>
  <si>
    <t>x : fill container with a liquid product.</t>
  </si>
  <si>
    <t>Q3</t>
  </si>
  <si>
    <t>Q2</t>
  </si>
  <si>
    <t>The efficiency measurement (measured in percentage) of 50 workers during a workout is given below: 94 83 78 76 88 86 93 80 91 82 89 97 92 84 92 80 85 83 98 103 87 88 88 81 95 86 99 81 87 90 84 97 80 75 93 95 82 82 89 72 85 83 75 72 83 98 77 87 71 80 Perform a normality check on the da</t>
  </si>
  <si>
    <t>Column1</t>
  </si>
  <si>
    <t>Mean</t>
  </si>
  <si>
    <t>Standard Error</t>
  </si>
  <si>
    <t>Median</t>
  </si>
  <si>
    <t>Mode</t>
  </si>
  <si>
    <t>Standard Deviation</t>
  </si>
  <si>
    <t>Sample Variance</t>
  </si>
  <si>
    <t>Kurtosis</t>
  </si>
  <si>
    <t>Skewness</t>
  </si>
  <si>
    <t>Range</t>
  </si>
  <si>
    <t>Minimum</t>
  </si>
  <si>
    <t>Maximum</t>
  </si>
  <si>
    <t>Sum</t>
  </si>
  <si>
    <t>Count</t>
  </si>
  <si>
    <t>here by descriptive statistic tabkle we can see that mean median and mode are having same value which means the data is niormally distributed</t>
  </si>
  <si>
    <t>CLASS</t>
  </si>
  <si>
    <t>BIN</t>
  </si>
  <si>
    <t>FREQUENCY</t>
  </si>
  <si>
    <t>min :</t>
  </si>
  <si>
    <t>max :</t>
  </si>
  <si>
    <t>60-70</t>
  </si>
  <si>
    <t>70-80</t>
  </si>
  <si>
    <t>80-90</t>
  </si>
  <si>
    <t>90-100</t>
  </si>
  <si>
    <t>100-110</t>
  </si>
  <si>
    <t>By observing the graph we can conclude that data is not normally distributed.</t>
  </si>
  <si>
    <t>Operator 1</t>
  </si>
  <si>
    <t>Operator 2</t>
  </si>
  <si>
    <t>Part</t>
  </si>
  <si>
    <t>Test 1</t>
  </si>
  <si>
    <t>Test 2</t>
  </si>
  <si>
    <t>Range ( R1 )</t>
  </si>
  <si>
    <t>Xi_bar</t>
  </si>
  <si>
    <t xml:space="preserve">Test 2 </t>
  </si>
  <si>
    <t>a. Estimate gage repeatability and reproducibility.</t>
  </si>
  <si>
    <t xml:space="preserve"> Here , d2= 1.128 , because       is the average of range of a sample of size 2</t>
  </si>
  <si>
    <t xml:space="preserve"> Here , also  d2= 1.128 , because          is the range of a sample of size 2</t>
  </si>
  <si>
    <t>b. Obtain an estimate for gage percent repeatability and reproducibility. What is assessment of the measurement system?</t>
  </si>
  <si>
    <t xml:space="preserve">         =</t>
  </si>
  <si>
    <t xml:space="preserve">Here , gage ( R&amp; R ) &lt;  10%  means that the measurement system is excellent. </t>
  </si>
  <si>
    <t>LSL =</t>
  </si>
  <si>
    <t>USL =</t>
  </si>
  <si>
    <t>An article in Quality Engineering presents data for a gage capability studies based on a measuring device known as an optical comparator, two operators took two measurements (in mm) of a particular dimension on 10 gear parts. The results are shown below.</t>
  </si>
  <si>
    <t>Q1</t>
  </si>
  <si>
    <t>c. If the specifications for the measured dimension are 3.035 ± 0.05, what can you say about gage capability in terms of a P/T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</si>
</sst>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i/>
      <sz val="11"/>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xf numFmtId="0" fontId="3" fillId="0" borderId="0" xfId="0" applyFont="1"/>
    <xf numFmtId="0" fontId="0" fillId="0" borderId="0" xfId="0"/>
    <xf numFmtId="0" fontId="3" fillId="0" borderId="0" xfId="0" applyFont="1"/>
    <xf numFmtId="0" fontId="2" fillId="0" borderId="0" xfId="0" applyFont="1"/>
    <xf numFmtId="0" fontId="0" fillId="0" borderId="0" xfId="0" applyAlignment="1">
      <alignment wrapText="1"/>
    </xf>
    <xf numFmtId="0" fontId="0" fillId="0" borderId="0" xfId="0" applyFill="1" applyBorder="1" applyAlignment="1"/>
    <xf numFmtId="0" fontId="0" fillId="0" borderId="1" xfId="0" applyFill="1" applyBorder="1" applyAlignment="1"/>
    <xf numFmtId="0" fontId="4" fillId="0" borderId="2" xfId="0" applyFont="1" applyFill="1" applyBorder="1" applyAlignment="1">
      <alignment horizontal="centerContinuous"/>
    </xf>
    <xf numFmtId="0" fontId="0" fillId="0" borderId="4" xfId="0" applyFill="1" applyBorder="1" applyAlignment="1">
      <alignment horizontal="center"/>
    </xf>
    <xf numFmtId="0" fontId="0" fillId="0" borderId="3" xfId="0" applyBorder="1"/>
    <xf numFmtId="0" fontId="0" fillId="0" borderId="0" xfId="0"/>
    <xf numFmtId="0" fontId="0" fillId="0" borderId="3" xfId="0" applyBorder="1" applyAlignment="1">
      <alignment horizontal="center"/>
    </xf>
    <xf numFmtId="0" fontId="2" fillId="0" borderId="3" xfId="0" applyFont="1" applyBorder="1" applyAlignment="1">
      <alignment horizontal="center"/>
    </xf>
    <xf numFmtId="0" fontId="2" fillId="0" borderId="0" xfId="0" applyFont="1" applyAlignment="1">
      <alignment horizontal="center"/>
    </xf>
    <xf numFmtId="9" fontId="0" fillId="0" borderId="0" xfId="1" applyFont="1" applyAlignment="1">
      <alignment horizontal="center"/>
    </xf>
    <xf numFmtId="0" fontId="5" fillId="0" borderId="0" xfId="0" applyFont="1"/>
    <xf numFmtId="0" fontId="0" fillId="0" borderId="0" xfId="0" applyAlignment="1">
      <alignment horizontal="center"/>
    </xf>
    <xf numFmtId="0" fontId="2" fillId="0" borderId="3" xfId="0" applyFont="1" applyBorder="1" applyAlignment="1">
      <alignment horizontal="center"/>
    </xf>
    <xf numFmtId="0" fontId="0" fillId="0" borderId="0" xfId="0" applyAlignment="1">
      <alignment horizontal="center" wrapText="1"/>
    </xf>
    <xf numFmtId="0" fontId="0" fillId="0" borderId="0" xfId="0" applyAlignment="1">
      <alignmen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POLYGON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polygon</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Sheet1!$F$73:$F$77</c:f>
              <c:numCache>
                <c:formatCode>General</c:formatCode>
                <c:ptCount val="5"/>
                <c:pt idx="0">
                  <c:v>70</c:v>
                </c:pt>
                <c:pt idx="1">
                  <c:v>80</c:v>
                </c:pt>
                <c:pt idx="2">
                  <c:v>90</c:v>
                </c:pt>
                <c:pt idx="3">
                  <c:v>100</c:v>
                </c:pt>
                <c:pt idx="4">
                  <c:v>110</c:v>
                </c:pt>
              </c:numCache>
            </c:numRef>
          </c:xVal>
          <c:yVal>
            <c:numRef>
              <c:f>Sheet1!$G$73:$G$77</c:f>
              <c:numCache>
                <c:formatCode>General</c:formatCode>
                <c:ptCount val="5"/>
                <c:pt idx="0">
                  <c:v>0</c:v>
                </c:pt>
                <c:pt idx="1">
                  <c:v>12</c:v>
                </c:pt>
                <c:pt idx="2">
                  <c:v>24</c:v>
                </c:pt>
                <c:pt idx="3">
                  <c:v>13</c:v>
                </c:pt>
                <c:pt idx="4">
                  <c:v>1</c:v>
                </c:pt>
              </c:numCache>
            </c:numRef>
          </c:yVal>
          <c:smooth val="0"/>
          <c:extLst>
            <c:ext xmlns:c16="http://schemas.microsoft.com/office/drawing/2014/chart" uri="{C3380CC4-5D6E-409C-BE32-E72D297353CC}">
              <c16:uniqueId val="{00000000-CB9A-4E84-9EF0-A83466D1AD3C}"/>
            </c:ext>
          </c:extLst>
        </c:ser>
        <c:dLbls>
          <c:showLegendKey val="0"/>
          <c:showVal val="0"/>
          <c:showCatName val="0"/>
          <c:showSerName val="0"/>
          <c:showPercent val="0"/>
          <c:showBubbleSize val="0"/>
        </c:dLbls>
        <c:axId val="401197264"/>
        <c:axId val="401197920"/>
      </c:scatterChart>
      <c:valAx>
        <c:axId val="401197264"/>
        <c:scaling>
          <c:orientation val="minMax"/>
          <c:max val="15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97920"/>
        <c:crosses val="autoZero"/>
        <c:crossBetween val="midCat"/>
      </c:valAx>
      <c:valAx>
        <c:axId val="401197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972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400050</xdr:colOff>
      <xdr:row>32</xdr:row>
      <xdr:rowOff>12700</xdr:rowOff>
    </xdr:from>
    <xdr:ext cx="720725" cy="42082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1EE3446-E107-4B75-9722-4FB463AB7B66}"/>
                </a:ext>
              </a:extLst>
            </xdr:cNvPr>
            <xdr:cNvSpPr txBox="1"/>
          </xdr:nvSpPr>
          <xdr:spPr>
            <a:xfrm>
              <a:off x="2330450" y="5537200"/>
              <a:ext cx="720725" cy="420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IN" sz="1100" i="1">
                            <a:solidFill>
                              <a:srgbClr val="836967"/>
                            </a:solidFill>
                            <a:latin typeface="Cambria Math" panose="02040503050406030204" pitchFamily="18" charset="0"/>
                          </a:rPr>
                        </m:ctrlPr>
                      </m:fPr>
                      <m:num>
                        <m:acc>
                          <m:accPr>
                            <m:chr m:val="̅"/>
                            <m:ctrlPr>
                              <a:rPr lang="en-IN" sz="1100" i="1">
                                <a:solidFill>
                                  <a:srgbClr val="836967"/>
                                </a:solidFill>
                                <a:latin typeface="Cambria Math" panose="02040503050406030204" pitchFamily="18" charset="0"/>
                              </a:rPr>
                            </m:ctrlPr>
                          </m:accPr>
                          <m:e>
                            <m:r>
                              <a:rPr lang="en-IN" sz="1100" i="1">
                                <a:latin typeface="Cambria Math" panose="02040503050406030204" pitchFamily="18" charset="0"/>
                              </a:rPr>
                              <m:t>𝑥</m:t>
                            </m:r>
                          </m:e>
                        </m:acc>
                        <m:r>
                          <a:rPr lang="en-IN" sz="1100" i="0">
                            <a:latin typeface="Cambria Math" panose="02040503050406030204" pitchFamily="18" charset="0"/>
                          </a:rPr>
                          <m:t>−</m:t>
                        </m:r>
                        <m:r>
                          <a:rPr lang="en-IN" sz="1100" i="1">
                            <a:latin typeface="Cambria Math" panose="02040503050406030204" pitchFamily="18" charset="0"/>
                          </a:rPr>
                          <m:t>𝜇</m:t>
                        </m:r>
                      </m:num>
                      <m:den>
                        <m:f>
                          <m:fPr>
                            <m:type m:val="skw"/>
                            <m:ctrlPr>
                              <a:rPr lang="en-IN" sz="1100" i="1">
                                <a:solidFill>
                                  <a:srgbClr val="836967"/>
                                </a:solidFill>
                                <a:latin typeface="Cambria Math" panose="02040503050406030204" pitchFamily="18" charset="0"/>
                              </a:rPr>
                            </m:ctrlPr>
                          </m:fPr>
                          <m:num>
                            <m:r>
                              <a:rPr lang="en-IN" sz="1100" i="1">
                                <a:latin typeface="Cambria Math" panose="02040503050406030204" pitchFamily="18" charset="0"/>
                              </a:rPr>
                              <m:t>𝜎</m:t>
                            </m:r>
                          </m:num>
                          <m:den>
                            <m:rad>
                              <m:radPr>
                                <m:degHide m:val="on"/>
                                <m:ctrlPr>
                                  <a:rPr lang="en-IN" sz="1100" i="1">
                                    <a:solidFill>
                                      <a:srgbClr val="836967"/>
                                    </a:solidFill>
                                    <a:latin typeface="Cambria Math" panose="02040503050406030204" pitchFamily="18" charset="0"/>
                                  </a:rPr>
                                </m:ctrlPr>
                              </m:radPr>
                              <m:deg/>
                              <m:e>
                                <m:r>
                                  <a:rPr lang="en-IN" sz="1100" i="1">
                                    <a:latin typeface="Cambria Math" panose="02040503050406030204" pitchFamily="18" charset="0"/>
                                  </a:rPr>
                                  <m:t>𝑛</m:t>
                                </m:r>
                              </m:e>
                            </m:rad>
                          </m:den>
                        </m:f>
                      </m:den>
                    </m:f>
                  </m:oMath>
                </m:oMathPara>
              </a14:m>
              <a:endParaRPr lang="en-IN" sz="1100"/>
            </a:p>
          </xdr:txBody>
        </xdr:sp>
      </mc:Choice>
      <mc:Fallback xmlns="">
        <xdr:sp macro="" textlink="">
          <xdr:nvSpPr>
            <xdr:cNvPr id="2" name="TextBox 1">
              <a:extLst>
                <a:ext uri="{FF2B5EF4-FFF2-40B4-BE49-F238E27FC236}">
                  <a16:creationId xmlns:a16="http://schemas.microsoft.com/office/drawing/2014/main" id="{E1EE3446-E107-4B75-9722-4FB463AB7B66}"/>
                </a:ext>
              </a:extLst>
            </xdr:cNvPr>
            <xdr:cNvSpPr txBox="1"/>
          </xdr:nvSpPr>
          <xdr:spPr>
            <a:xfrm>
              <a:off x="2330450" y="5537200"/>
              <a:ext cx="720725" cy="420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IN" sz="1100" i="0">
                  <a:solidFill>
                    <a:srgbClr val="836967"/>
                  </a:solidFill>
                  <a:latin typeface="Cambria Math" panose="02040503050406030204" pitchFamily="18" charset="0"/>
                </a:rPr>
                <a:t>(</a:t>
              </a:r>
              <a:r>
                <a:rPr lang="en-IN" sz="1100" i="0">
                  <a:latin typeface="Cambria Math" panose="02040503050406030204" pitchFamily="18" charset="0"/>
                </a:rPr>
                <a:t>𝑥</a:t>
              </a:r>
              <a:r>
                <a:rPr lang="en-IN" sz="1100" i="0">
                  <a:solidFill>
                    <a:srgbClr val="836967"/>
                  </a:solidFill>
                  <a:latin typeface="Cambria Math" panose="02040503050406030204" pitchFamily="18" charset="0"/>
                </a:rPr>
                <a:t> ̅</a:t>
              </a:r>
              <a:r>
                <a:rPr lang="en-IN" sz="1100" i="0">
                  <a:latin typeface="Cambria Math" panose="02040503050406030204" pitchFamily="18" charset="0"/>
                </a:rPr>
                <a:t>−𝜇</a:t>
              </a:r>
              <a:r>
                <a:rPr lang="en-IN" sz="1100" i="0">
                  <a:solidFill>
                    <a:srgbClr val="836967"/>
                  </a:solidFill>
                  <a:latin typeface="Cambria Math" panose="02040503050406030204" pitchFamily="18" charset="0"/>
                </a:rPr>
                <a:t>)/(</a:t>
              </a:r>
              <a:r>
                <a:rPr lang="en-IN" sz="1100" i="0">
                  <a:latin typeface="Cambria Math" panose="02040503050406030204" pitchFamily="18" charset="0"/>
                </a:rPr>
                <a:t>𝜎</a:t>
              </a:r>
              <a:r>
                <a:rPr lang="en-IN" sz="1100" i="0">
                  <a:solidFill>
                    <a:srgbClr val="836967"/>
                  </a:solidFill>
                  <a:latin typeface="Cambria Math" panose="02040503050406030204" pitchFamily="18" charset="0"/>
                </a:rPr>
                <a:t>⁄√</a:t>
              </a:r>
              <a:r>
                <a:rPr lang="en-IN" sz="1100" i="0">
                  <a:latin typeface="Cambria Math" panose="02040503050406030204" pitchFamily="18" charset="0"/>
                </a:rPr>
                <a:t>𝑛</a:t>
              </a:r>
              <a:r>
                <a:rPr lang="en-IN" sz="1100" i="0">
                  <a:solidFill>
                    <a:srgbClr val="836967"/>
                  </a:solidFill>
                  <a:latin typeface="Cambria Math" panose="02040503050406030204" pitchFamily="18" charset="0"/>
                </a:rPr>
                <a:t>)</a:t>
              </a:r>
              <a:endParaRPr lang="en-IN" sz="1100"/>
            </a:p>
          </xdr:txBody>
        </xdr:sp>
      </mc:Fallback>
    </mc:AlternateContent>
    <xdr:clientData/>
  </xdr:oneCellAnchor>
  <xdr:twoCellAnchor>
    <xdr:from>
      <xdr:col>4</xdr:col>
      <xdr:colOff>0</xdr:colOff>
      <xdr:row>78</xdr:row>
      <xdr:rowOff>0</xdr:rowOff>
    </xdr:from>
    <xdr:to>
      <xdr:col>8</xdr:col>
      <xdr:colOff>536301</xdr:colOff>
      <xdr:row>87</xdr:row>
      <xdr:rowOff>120472</xdr:rowOff>
    </xdr:to>
    <xdr:graphicFrame macro="">
      <xdr:nvGraphicFramePr>
        <xdr:cNvPr id="5" name="Chart 4">
          <a:extLst>
            <a:ext uri="{FF2B5EF4-FFF2-40B4-BE49-F238E27FC236}">
              <a16:creationId xmlns:a16="http://schemas.microsoft.com/office/drawing/2014/main" id="{50A261A4-4405-4AD0-84ED-451796982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163268</xdr:colOff>
      <xdr:row>119</xdr:row>
      <xdr:rowOff>156796</xdr:rowOff>
    </xdr:from>
    <xdr:ext cx="1143518" cy="31688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67614FB-4ABF-488A-8E97-B621B1C4AC28}"/>
                </a:ext>
              </a:extLst>
            </xdr:cNvPr>
            <xdr:cNvSpPr txBox="1"/>
          </xdr:nvSpPr>
          <xdr:spPr>
            <a:xfrm>
              <a:off x="2601668" y="3839796"/>
              <a:ext cx="1143518"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solidFill>
                              <a:srgbClr val="836967"/>
                            </a:solidFill>
                            <a:latin typeface="Cambria Math" panose="02040503050406030204" pitchFamily="18" charset="0"/>
                          </a:rPr>
                        </m:ctrlPr>
                      </m:accPr>
                      <m:e>
                        <m:acc>
                          <m:accPr>
                            <m:chr m:val="̅"/>
                            <m:ctrlPr>
                              <a:rPr lang="en-US" sz="1100" i="1">
                                <a:solidFill>
                                  <a:srgbClr val="836967"/>
                                </a:solidFill>
                                <a:latin typeface="Cambria Math" panose="02040503050406030204" pitchFamily="18" charset="0"/>
                              </a:rPr>
                            </m:ctrlPr>
                          </m:accPr>
                          <m:e>
                            <m:r>
                              <a:rPr lang="en-US" sz="1100" i="1">
                                <a:latin typeface="Cambria Math" panose="02040503050406030204" pitchFamily="18" charset="0"/>
                              </a:rPr>
                              <m:t>𝑅</m:t>
                            </m:r>
                          </m:e>
                        </m:acc>
                      </m:e>
                    </m:acc>
                    <m:r>
                      <a:rPr lang="en-US" sz="1100" i="1">
                        <a:latin typeface="Cambria Math" panose="02040503050406030204" pitchFamily="18" charset="0"/>
                      </a:rPr>
                      <m:t>=</m:t>
                    </m:r>
                    <m:f>
                      <m:fPr>
                        <m:ctrlPr>
                          <a:rPr lang="en-US" sz="1100" i="1">
                            <a:solidFill>
                              <a:srgbClr val="836967"/>
                            </a:solidFill>
                            <a:latin typeface="Cambria Math" panose="02040503050406030204" pitchFamily="18" charset="0"/>
                          </a:rPr>
                        </m:ctrlPr>
                      </m:fPr>
                      <m:num>
                        <m:r>
                          <a:rPr lang="en-US" sz="1100" i="1">
                            <a:latin typeface="Cambria Math" panose="02040503050406030204" pitchFamily="18" charset="0"/>
                          </a:rPr>
                          <m:t>1</m:t>
                        </m:r>
                      </m:num>
                      <m:den>
                        <m:r>
                          <a:rPr lang="en-US" sz="1100" b="0" i="1">
                            <a:latin typeface="Cambria Math" panose="02040503050406030204" pitchFamily="18" charset="0"/>
                          </a:rPr>
                          <m:t>2</m:t>
                        </m:r>
                      </m:den>
                    </m:f>
                    <m:d>
                      <m:dPr>
                        <m:ctrlPr>
                          <a:rPr lang="en-US" sz="1100" i="1">
                            <a:solidFill>
                              <a:srgbClr val="836967"/>
                            </a:solidFill>
                            <a:latin typeface="Cambria Math" panose="02040503050406030204" pitchFamily="18" charset="0"/>
                          </a:rPr>
                        </m:ctrlPr>
                      </m:dPr>
                      <m:e>
                        <m:sSub>
                          <m:sSubPr>
                            <m:ctrlPr>
                              <a:rPr lang="en-US" sz="1100" i="1">
                                <a:solidFill>
                                  <a:srgbClr val="836967"/>
                                </a:solidFill>
                                <a:latin typeface="Cambria Math" panose="02040503050406030204" pitchFamily="18" charset="0"/>
                              </a:rPr>
                            </m:ctrlPr>
                          </m:sSubPr>
                          <m:e>
                            <m:acc>
                              <m:accPr>
                                <m:chr m:val="̅"/>
                                <m:ctrlPr>
                                  <a:rPr lang="en-US" sz="1100" i="1">
                                    <a:solidFill>
                                      <a:srgbClr val="836967"/>
                                    </a:solidFill>
                                    <a:latin typeface="Cambria Math" panose="02040503050406030204" pitchFamily="18" charset="0"/>
                                  </a:rPr>
                                </m:ctrlPr>
                              </m:accPr>
                              <m:e>
                                <m:r>
                                  <a:rPr lang="en-US" sz="1100" i="1">
                                    <a:latin typeface="Cambria Math" panose="02040503050406030204" pitchFamily="18" charset="0"/>
                                  </a:rPr>
                                  <m:t>𝑅</m:t>
                                </m:r>
                              </m:e>
                            </m:acc>
                          </m:e>
                          <m:sub>
                            <m:r>
                              <a:rPr lang="en-US" sz="1100" i="1">
                                <a:latin typeface="Cambria Math" panose="02040503050406030204" pitchFamily="18" charset="0"/>
                              </a:rPr>
                              <m:t>1</m:t>
                            </m:r>
                          </m:sub>
                        </m:sSub>
                        <m:r>
                          <a:rPr lang="en-US" sz="1100" i="1">
                            <a:latin typeface="Cambria Math" panose="02040503050406030204" pitchFamily="18" charset="0"/>
                          </a:rPr>
                          <m:t>+</m:t>
                        </m:r>
                        <m:sSub>
                          <m:sSubPr>
                            <m:ctrlPr>
                              <a:rPr lang="en-US" sz="1100" i="1">
                                <a:solidFill>
                                  <a:srgbClr val="836967"/>
                                </a:solidFill>
                                <a:latin typeface="Cambria Math" panose="02040503050406030204" pitchFamily="18" charset="0"/>
                              </a:rPr>
                            </m:ctrlPr>
                          </m:sSubPr>
                          <m:e>
                            <m:acc>
                              <m:accPr>
                                <m:chr m:val="̅"/>
                                <m:ctrlPr>
                                  <a:rPr lang="en-US" sz="1100" i="1">
                                    <a:solidFill>
                                      <a:srgbClr val="836967"/>
                                    </a:solidFill>
                                    <a:latin typeface="Cambria Math" panose="02040503050406030204" pitchFamily="18" charset="0"/>
                                  </a:rPr>
                                </m:ctrlPr>
                              </m:accPr>
                              <m:e>
                                <m:r>
                                  <a:rPr lang="en-US" sz="1100" i="1">
                                    <a:latin typeface="Cambria Math" panose="02040503050406030204" pitchFamily="18" charset="0"/>
                                  </a:rPr>
                                  <m:t>𝑅</m:t>
                                </m:r>
                              </m:e>
                            </m:acc>
                          </m:e>
                          <m:sub>
                            <m:r>
                              <a:rPr lang="en-US" sz="1100" i="1">
                                <a:latin typeface="Cambria Math" panose="02040503050406030204" pitchFamily="18" charset="0"/>
                              </a:rPr>
                              <m:t>2</m:t>
                            </m:r>
                          </m:sub>
                        </m:sSub>
                      </m:e>
                    </m:d>
                    <m:r>
                      <a:rPr lang="en-US" sz="1100" b="0" i="1">
                        <a:latin typeface="Cambria Math" panose="02040503050406030204" pitchFamily="18" charset="0"/>
                      </a:rPr>
                      <m:t>=</m:t>
                    </m:r>
                  </m:oMath>
                </m:oMathPara>
              </a14:m>
              <a:endParaRPr lang="en-US" sz="1100"/>
            </a:p>
          </xdr:txBody>
        </xdr:sp>
      </mc:Choice>
      <mc:Fallback xmlns="">
        <xdr:sp macro="" textlink="">
          <xdr:nvSpPr>
            <xdr:cNvPr id="6" name="TextBox 5">
              <a:extLst>
                <a:ext uri="{FF2B5EF4-FFF2-40B4-BE49-F238E27FC236}">
                  <a16:creationId xmlns:a16="http://schemas.microsoft.com/office/drawing/2014/main" id="{867614FB-4ABF-488A-8E97-B621B1C4AC28}"/>
                </a:ext>
              </a:extLst>
            </xdr:cNvPr>
            <xdr:cNvSpPr txBox="1"/>
          </xdr:nvSpPr>
          <xdr:spPr>
            <a:xfrm>
              <a:off x="2601668" y="3839796"/>
              <a:ext cx="1143518"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𝑅</a:t>
              </a:r>
              <a:r>
                <a:rPr lang="en-US" sz="1100" i="0">
                  <a:solidFill>
                    <a:srgbClr val="836967"/>
                  </a:solidFill>
                  <a:latin typeface="Cambria Math" panose="02040503050406030204" pitchFamily="18" charset="0"/>
                </a:rPr>
                <a:t> ̅  ̅</a:t>
              </a:r>
              <a:r>
                <a:rPr lang="en-US" sz="1100" i="0">
                  <a:latin typeface="Cambria Math" panose="02040503050406030204" pitchFamily="18" charset="0"/>
                </a:rPr>
                <a:t>=1</a:t>
              </a:r>
              <a:r>
                <a:rPr lang="en-US" sz="1100" i="0">
                  <a:solidFill>
                    <a:srgbClr val="836967"/>
                  </a:solidFill>
                  <a:latin typeface="Cambria Math" panose="02040503050406030204" pitchFamily="18" charset="0"/>
                </a:rPr>
                <a:t>/</a:t>
              </a:r>
              <a:r>
                <a:rPr lang="en-US" sz="1100" b="0" i="0">
                  <a:latin typeface="Cambria Math" panose="02040503050406030204" pitchFamily="18" charset="0"/>
                </a:rPr>
                <a:t>2</a:t>
              </a:r>
              <a:r>
                <a:rPr lang="en-US" sz="1100" b="0" i="0">
                  <a:solidFill>
                    <a:srgbClr val="836967"/>
                  </a:solidFill>
                  <a:latin typeface="Cambria Math" panose="02040503050406030204" pitchFamily="18" charset="0"/>
                </a:rPr>
                <a:t> </a:t>
              </a:r>
              <a:r>
                <a:rPr lang="en-US" sz="1100" i="0">
                  <a:solidFill>
                    <a:srgbClr val="836967"/>
                  </a:solidFill>
                  <a:latin typeface="Cambria Math" panose="02040503050406030204" pitchFamily="18" charset="0"/>
                </a:rPr>
                <a:t>(</a:t>
              </a:r>
              <a:r>
                <a:rPr lang="en-US" sz="1100" i="0">
                  <a:latin typeface="Cambria Math" panose="02040503050406030204" pitchFamily="18" charset="0"/>
                </a:rPr>
                <a:t>𝑅</a:t>
              </a:r>
              <a:r>
                <a:rPr lang="en-US" sz="1100" i="0">
                  <a:solidFill>
                    <a:srgbClr val="836967"/>
                  </a:solidFill>
                  <a:latin typeface="Cambria Math" panose="02040503050406030204" pitchFamily="18" charset="0"/>
                </a:rPr>
                <a:t> ̅_</a:t>
              </a:r>
              <a:r>
                <a:rPr lang="en-US" sz="1100" i="0">
                  <a:latin typeface="Cambria Math" panose="02040503050406030204" pitchFamily="18" charset="0"/>
                </a:rPr>
                <a:t>1+𝑅</a:t>
              </a:r>
              <a:r>
                <a:rPr lang="en-US" sz="1100" i="0">
                  <a:solidFill>
                    <a:srgbClr val="836967"/>
                  </a:solidFill>
                  <a:latin typeface="Cambria Math" panose="02040503050406030204" pitchFamily="18" charset="0"/>
                </a:rPr>
                <a:t> ̅_</a:t>
              </a:r>
              <a:r>
                <a:rPr lang="en-US" sz="1100" i="0">
                  <a:latin typeface="Cambria Math" panose="02040503050406030204" pitchFamily="18" charset="0"/>
                </a:rPr>
                <a:t>2 )</a:t>
              </a:r>
              <a:r>
                <a:rPr lang="en-US" sz="1100" b="0" i="0">
                  <a:latin typeface="Cambria Math" panose="02040503050406030204" pitchFamily="18" charset="0"/>
                </a:rPr>
                <a:t>=</a:t>
              </a:r>
              <a:endParaRPr lang="en-US" sz="1100"/>
            </a:p>
          </xdr:txBody>
        </xdr:sp>
      </mc:Fallback>
    </mc:AlternateContent>
    <xdr:clientData/>
  </xdr:oneCellAnchor>
  <xdr:oneCellAnchor>
    <xdr:from>
      <xdr:col>3</xdr:col>
      <xdr:colOff>537308</xdr:colOff>
      <xdr:row>123</xdr:row>
      <xdr:rowOff>61059</xdr:rowOff>
    </xdr:from>
    <xdr:ext cx="1404231" cy="39485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2CBCF39-ECBD-4F9E-888D-4146F68A3B85}"/>
                </a:ext>
              </a:extLst>
            </xdr:cNvPr>
            <xdr:cNvSpPr txBox="1"/>
          </xdr:nvSpPr>
          <xdr:spPr>
            <a:xfrm>
              <a:off x="2366108" y="4480659"/>
              <a:ext cx="1404231" cy="39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0" i="1">
                            <a:solidFill>
                              <a:srgbClr val="836967"/>
                            </a:solidFill>
                            <a:latin typeface="Cambria Math" panose="02040503050406030204" pitchFamily="18" charset="0"/>
                          </a:rPr>
                        </m:ctrlPr>
                      </m:sSubPr>
                      <m:e>
                        <m:acc>
                          <m:accPr>
                            <m:chr m:val="̂"/>
                            <m:ctrlPr>
                              <a:rPr lang="en-US" sz="1200" i="1">
                                <a:solidFill>
                                  <a:srgbClr val="836967"/>
                                </a:solidFill>
                                <a:latin typeface="Cambria Math" panose="02040503050406030204" pitchFamily="18" charset="0"/>
                              </a:rPr>
                            </m:ctrlPr>
                          </m:accPr>
                          <m:e>
                            <m:r>
                              <a:rPr lang="en-US" sz="1200" i="1">
                                <a:latin typeface="Cambria Math" panose="02040503050406030204" pitchFamily="18" charset="0"/>
                              </a:rPr>
                              <m:t>𝜎</m:t>
                            </m:r>
                          </m:e>
                        </m:acc>
                      </m:e>
                      <m:sub>
                        <m:r>
                          <a:rPr lang="en-US" sz="1200" b="0" i="1">
                            <a:latin typeface="Cambria Math" panose="02040503050406030204" pitchFamily="18" charset="0"/>
                          </a:rPr>
                          <m:t>𝑟𝑒𝑝𝑒𝑎𝑡𝑎𝑏𝑖𝑙𝑖𝑡𝑦</m:t>
                        </m:r>
                      </m:sub>
                    </m:sSub>
                    <m:r>
                      <a:rPr lang="en-US" sz="1200" i="1">
                        <a:latin typeface="Cambria Math" panose="02040503050406030204" pitchFamily="18" charset="0"/>
                      </a:rPr>
                      <m:t>=</m:t>
                    </m:r>
                    <m:f>
                      <m:fPr>
                        <m:ctrlPr>
                          <a:rPr lang="en-US" sz="1200" b="0" i="1">
                            <a:solidFill>
                              <a:srgbClr val="836967"/>
                            </a:solidFill>
                            <a:latin typeface="Cambria Math" panose="02040503050406030204" pitchFamily="18" charset="0"/>
                          </a:rPr>
                        </m:ctrlPr>
                      </m:fPr>
                      <m:num>
                        <m:acc>
                          <m:accPr>
                            <m:chr m:val="̅"/>
                            <m:ctrlPr>
                              <a:rPr lang="en-US" sz="1200" i="1">
                                <a:solidFill>
                                  <a:srgbClr val="836967"/>
                                </a:solidFill>
                                <a:latin typeface="Cambria Math" panose="02040503050406030204" pitchFamily="18" charset="0"/>
                              </a:rPr>
                            </m:ctrlPr>
                          </m:accPr>
                          <m:e>
                            <m:acc>
                              <m:accPr>
                                <m:chr m:val="̅"/>
                                <m:ctrlPr>
                                  <a:rPr lang="en-US" sz="1200" i="1">
                                    <a:solidFill>
                                      <a:srgbClr val="836967"/>
                                    </a:solidFill>
                                    <a:latin typeface="Cambria Math" panose="02040503050406030204" pitchFamily="18" charset="0"/>
                                  </a:rPr>
                                </m:ctrlPr>
                              </m:accPr>
                              <m:e>
                                <m:r>
                                  <a:rPr lang="en-US" sz="1200" i="1">
                                    <a:latin typeface="Cambria Math" panose="02040503050406030204" pitchFamily="18" charset="0"/>
                                  </a:rPr>
                                  <m:t>𝑅</m:t>
                                </m:r>
                              </m:e>
                            </m:acc>
                          </m:e>
                        </m:acc>
                      </m:num>
                      <m:den>
                        <m:r>
                          <a:rPr lang="en-US" sz="1200" b="0" i="1">
                            <a:latin typeface="Cambria Math" panose="02040503050406030204" pitchFamily="18" charset="0"/>
                          </a:rPr>
                          <m:t>𝑑</m:t>
                        </m:r>
                        <m:r>
                          <a:rPr lang="en-US" sz="1200" b="0" i="1">
                            <a:latin typeface="Cambria Math" panose="02040503050406030204" pitchFamily="18" charset="0"/>
                          </a:rPr>
                          <m:t>2</m:t>
                        </m:r>
                      </m:den>
                    </m:f>
                    <m:r>
                      <a:rPr lang="en-US" sz="1200" b="0" i="1">
                        <a:latin typeface="Cambria Math" panose="02040503050406030204" pitchFamily="18" charset="0"/>
                      </a:rPr>
                      <m:t>=</m:t>
                    </m:r>
                  </m:oMath>
                </m:oMathPara>
              </a14:m>
              <a:endParaRPr lang="en-US" sz="1200"/>
            </a:p>
          </xdr:txBody>
        </xdr:sp>
      </mc:Choice>
      <mc:Fallback xmlns="">
        <xdr:sp macro="" textlink="">
          <xdr:nvSpPr>
            <xdr:cNvPr id="7" name="TextBox 6">
              <a:extLst>
                <a:ext uri="{FF2B5EF4-FFF2-40B4-BE49-F238E27FC236}">
                  <a16:creationId xmlns:a16="http://schemas.microsoft.com/office/drawing/2014/main" id="{E2CBCF39-ECBD-4F9E-888D-4146F68A3B85}"/>
                </a:ext>
              </a:extLst>
            </xdr:cNvPr>
            <xdr:cNvSpPr txBox="1"/>
          </xdr:nvSpPr>
          <xdr:spPr>
            <a:xfrm>
              <a:off x="2366108" y="4480659"/>
              <a:ext cx="1404231" cy="39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i="0">
                  <a:latin typeface="Cambria Math" panose="02040503050406030204" pitchFamily="18" charset="0"/>
                </a:rPr>
                <a:t>𝜎</a:t>
              </a:r>
              <a:r>
                <a:rPr lang="en-US" sz="1200" i="0">
                  <a:solidFill>
                    <a:srgbClr val="836967"/>
                  </a:solidFill>
                  <a:latin typeface="Cambria Math" panose="02040503050406030204" pitchFamily="18" charset="0"/>
                </a:rPr>
                <a:t> ̂</a:t>
              </a:r>
              <a:r>
                <a:rPr lang="en-US" sz="1200" b="0" i="0">
                  <a:solidFill>
                    <a:srgbClr val="836967"/>
                  </a:solidFill>
                  <a:latin typeface="Cambria Math" panose="02040503050406030204" pitchFamily="18" charset="0"/>
                </a:rPr>
                <a:t>_</a:t>
              </a:r>
              <a:r>
                <a:rPr lang="en-US" sz="1200" b="0" i="0">
                  <a:latin typeface="Cambria Math" panose="02040503050406030204" pitchFamily="18" charset="0"/>
                </a:rPr>
                <a:t>𝑟𝑒𝑝𝑒𝑎𝑡𝑎𝑏𝑖𝑙𝑖𝑡𝑦</a:t>
              </a:r>
              <a:r>
                <a:rPr lang="en-US" sz="1200" i="0">
                  <a:latin typeface="Cambria Math" panose="02040503050406030204" pitchFamily="18" charset="0"/>
                </a:rPr>
                <a:t>=𝑅</a:t>
              </a:r>
              <a:r>
                <a:rPr lang="en-US" sz="1200" i="0">
                  <a:solidFill>
                    <a:srgbClr val="836967"/>
                  </a:solidFill>
                  <a:latin typeface="Cambria Math" panose="02040503050406030204" pitchFamily="18" charset="0"/>
                </a:rPr>
                <a:t> ̅  ̅</a:t>
              </a:r>
              <a:r>
                <a:rPr lang="en-US" sz="1200" b="0" i="0">
                  <a:solidFill>
                    <a:srgbClr val="836967"/>
                  </a:solidFill>
                  <a:latin typeface="Cambria Math" panose="02040503050406030204" pitchFamily="18" charset="0"/>
                </a:rPr>
                <a:t>/</a:t>
              </a:r>
              <a:r>
                <a:rPr lang="en-US" sz="1200" b="0" i="0">
                  <a:latin typeface="Cambria Math" panose="02040503050406030204" pitchFamily="18" charset="0"/>
                </a:rPr>
                <a:t>𝑑2=</a:t>
              </a:r>
              <a:endParaRPr lang="en-US" sz="1200"/>
            </a:p>
          </xdr:txBody>
        </xdr:sp>
      </mc:Fallback>
    </mc:AlternateContent>
    <xdr:clientData/>
  </xdr:oneCellAnchor>
  <xdr:oneCellAnchor>
    <xdr:from>
      <xdr:col>3</xdr:col>
      <xdr:colOff>427406</xdr:colOff>
      <xdr:row>126</xdr:row>
      <xdr:rowOff>109903</xdr:rowOff>
    </xdr:from>
    <xdr:ext cx="1520031" cy="34573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CAD2ECF-A573-4D51-AB0E-4228125328D6}"/>
                </a:ext>
              </a:extLst>
            </xdr:cNvPr>
            <xdr:cNvSpPr txBox="1"/>
          </xdr:nvSpPr>
          <xdr:spPr>
            <a:xfrm>
              <a:off x="2256206" y="5081953"/>
              <a:ext cx="1520031" cy="345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0" i="1">
                            <a:solidFill>
                              <a:srgbClr val="836967"/>
                            </a:solidFill>
                            <a:latin typeface="Cambria Math" panose="02040503050406030204" pitchFamily="18" charset="0"/>
                          </a:rPr>
                        </m:ctrlPr>
                      </m:sSubPr>
                      <m:e>
                        <m:acc>
                          <m:accPr>
                            <m:chr m:val="̂"/>
                            <m:ctrlPr>
                              <a:rPr lang="en-US" sz="1200" i="1">
                                <a:solidFill>
                                  <a:srgbClr val="836967"/>
                                </a:solidFill>
                                <a:latin typeface="Cambria Math" panose="02040503050406030204" pitchFamily="18" charset="0"/>
                              </a:rPr>
                            </m:ctrlPr>
                          </m:accPr>
                          <m:e>
                            <m:r>
                              <a:rPr lang="en-US" sz="1200" i="1">
                                <a:latin typeface="Cambria Math" panose="02040503050406030204" pitchFamily="18" charset="0"/>
                              </a:rPr>
                              <m:t>𝜎</m:t>
                            </m:r>
                          </m:e>
                        </m:acc>
                      </m:e>
                      <m:sub>
                        <m:r>
                          <a:rPr lang="en-US" sz="1200" b="0" i="1">
                            <a:latin typeface="Cambria Math" panose="02040503050406030204" pitchFamily="18" charset="0"/>
                          </a:rPr>
                          <m:t>𝑟𝑒𝑝𝑟𝑜𝑑𝑢𝑐𝑖𝑏𝑖𝑙𝑖𝑡𝑦</m:t>
                        </m:r>
                      </m:sub>
                    </m:sSub>
                    <m:r>
                      <a:rPr lang="en-US" sz="1200" i="1">
                        <a:latin typeface="Cambria Math" panose="02040503050406030204" pitchFamily="18" charset="0"/>
                      </a:rPr>
                      <m:t>=</m:t>
                    </m:r>
                    <m:f>
                      <m:fPr>
                        <m:ctrlPr>
                          <a:rPr lang="en-US" sz="1200" b="0" i="1">
                            <a:solidFill>
                              <a:schemeClr val="tx1"/>
                            </a:solidFill>
                            <a:effectLst/>
                            <a:latin typeface="Cambria Math" panose="02040503050406030204" pitchFamily="18" charset="0"/>
                            <a:ea typeface="+mn-ea"/>
                            <a:cs typeface="+mn-cs"/>
                          </a:rPr>
                        </m:ctrlPr>
                      </m:fPr>
                      <m:num>
                        <m:sSub>
                          <m:sSubPr>
                            <m:ctrlPr>
                              <a:rPr lang="en-US" sz="1200" i="1">
                                <a:solidFill>
                                  <a:schemeClr val="tx1"/>
                                </a:solidFill>
                                <a:effectLst/>
                                <a:latin typeface="Cambria Math" panose="02040503050406030204" pitchFamily="18" charset="0"/>
                                <a:ea typeface="+mn-ea"/>
                                <a:cs typeface="+mn-cs"/>
                              </a:rPr>
                            </m:ctrlPr>
                          </m:sSubPr>
                          <m:e>
                            <m:r>
                              <a:rPr lang="en-US" sz="1200" i="1">
                                <a:solidFill>
                                  <a:schemeClr val="tx1"/>
                                </a:solidFill>
                                <a:effectLst/>
                                <a:latin typeface="Cambria Math" panose="02040503050406030204" pitchFamily="18" charset="0"/>
                                <a:ea typeface="+mn-ea"/>
                                <a:cs typeface="+mn-cs"/>
                              </a:rPr>
                              <m:t>𝑅</m:t>
                            </m:r>
                          </m:e>
                          <m:sub>
                            <m:acc>
                              <m:accPr>
                                <m:chr m:val="̅"/>
                                <m:ctrlPr>
                                  <a:rPr lang="en-US" sz="1200" i="1">
                                    <a:solidFill>
                                      <a:schemeClr val="tx1"/>
                                    </a:solidFill>
                                    <a:effectLst/>
                                    <a:latin typeface="Cambria Math" panose="02040503050406030204" pitchFamily="18" charset="0"/>
                                    <a:ea typeface="+mn-ea"/>
                                    <a:cs typeface="+mn-cs"/>
                                  </a:rPr>
                                </m:ctrlPr>
                              </m:accPr>
                              <m:e>
                                <m:acc>
                                  <m:accPr>
                                    <m:chr m:val="̅"/>
                                    <m:ctrlPr>
                                      <a:rPr lang="en-US" sz="1200" i="1">
                                        <a:solidFill>
                                          <a:schemeClr val="tx1"/>
                                        </a:solidFill>
                                        <a:effectLst/>
                                        <a:latin typeface="Cambria Math" panose="02040503050406030204" pitchFamily="18" charset="0"/>
                                        <a:ea typeface="+mn-ea"/>
                                        <a:cs typeface="+mn-cs"/>
                                      </a:rPr>
                                    </m:ctrlPr>
                                  </m:accPr>
                                  <m:e>
                                    <m:r>
                                      <a:rPr lang="en-US" sz="1200" i="1">
                                        <a:solidFill>
                                          <a:schemeClr val="tx1"/>
                                        </a:solidFill>
                                        <a:effectLst/>
                                        <a:latin typeface="Cambria Math" panose="02040503050406030204" pitchFamily="18" charset="0"/>
                                        <a:ea typeface="+mn-ea"/>
                                        <a:cs typeface="+mn-cs"/>
                                      </a:rPr>
                                      <m:t>𝑥</m:t>
                                    </m:r>
                                  </m:e>
                                </m:acc>
                              </m:e>
                            </m:acc>
                          </m:sub>
                        </m:sSub>
                      </m:num>
                      <m:den>
                        <m:r>
                          <a:rPr lang="en-US" sz="1200" b="0" i="1">
                            <a:solidFill>
                              <a:schemeClr val="tx1"/>
                            </a:solidFill>
                            <a:effectLst/>
                            <a:latin typeface="Cambria Math" panose="02040503050406030204" pitchFamily="18" charset="0"/>
                            <a:ea typeface="+mn-ea"/>
                            <a:cs typeface="+mn-cs"/>
                          </a:rPr>
                          <m:t>𝑑</m:t>
                        </m:r>
                        <m:r>
                          <a:rPr lang="en-US" sz="1200" b="0" i="1">
                            <a:solidFill>
                              <a:schemeClr val="tx1"/>
                            </a:solidFill>
                            <a:effectLst/>
                            <a:latin typeface="Cambria Math" panose="02040503050406030204" pitchFamily="18" charset="0"/>
                            <a:ea typeface="+mn-ea"/>
                            <a:cs typeface="+mn-cs"/>
                          </a:rPr>
                          <m:t>2</m:t>
                        </m:r>
                      </m:den>
                    </m:f>
                    <m:r>
                      <a:rPr lang="en-US" sz="1200" b="0" i="1">
                        <a:solidFill>
                          <a:schemeClr val="tx1"/>
                        </a:solidFill>
                        <a:effectLst/>
                        <a:latin typeface="Cambria Math" panose="02040503050406030204" pitchFamily="18" charset="0"/>
                        <a:ea typeface="+mn-ea"/>
                        <a:cs typeface="+mn-cs"/>
                      </a:rPr>
                      <m:t>=</m:t>
                    </m:r>
                  </m:oMath>
                </m:oMathPara>
              </a14:m>
              <a:endParaRPr lang="en-US" sz="1200"/>
            </a:p>
          </xdr:txBody>
        </xdr:sp>
      </mc:Choice>
      <mc:Fallback xmlns="">
        <xdr:sp macro="" textlink="">
          <xdr:nvSpPr>
            <xdr:cNvPr id="8" name="TextBox 7">
              <a:extLst>
                <a:ext uri="{FF2B5EF4-FFF2-40B4-BE49-F238E27FC236}">
                  <a16:creationId xmlns:a16="http://schemas.microsoft.com/office/drawing/2014/main" id="{0CAD2ECF-A573-4D51-AB0E-4228125328D6}"/>
                </a:ext>
              </a:extLst>
            </xdr:cNvPr>
            <xdr:cNvSpPr txBox="1"/>
          </xdr:nvSpPr>
          <xdr:spPr>
            <a:xfrm>
              <a:off x="2256206" y="5081953"/>
              <a:ext cx="1520031" cy="345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i="0">
                  <a:latin typeface="Cambria Math" panose="02040503050406030204" pitchFamily="18" charset="0"/>
                </a:rPr>
                <a:t>𝜎</a:t>
              </a:r>
              <a:r>
                <a:rPr lang="en-US" sz="1200" i="0">
                  <a:solidFill>
                    <a:srgbClr val="836967"/>
                  </a:solidFill>
                  <a:latin typeface="Cambria Math" panose="02040503050406030204" pitchFamily="18" charset="0"/>
                </a:rPr>
                <a:t> ̂</a:t>
              </a:r>
              <a:r>
                <a:rPr lang="en-US" sz="1200" b="0" i="0">
                  <a:solidFill>
                    <a:srgbClr val="836967"/>
                  </a:solidFill>
                  <a:latin typeface="Cambria Math" panose="02040503050406030204" pitchFamily="18" charset="0"/>
                </a:rPr>
                <a:t>_</a:t>
              </a:r>
              <a:r>
                <a:rPr lang="en-US" sz="1200" b="0" i="0">
                  <a:latin typeface="Cambria Math" panose="02040503050406030204" pitchFamily="18" charset="0"/>
                </a:rPr>
                <a:t>𝑟𝑒𝑝𝑟𝑜𝑑𝑢𝑐𝑖𝑏𝑖𝑙𝑖𝑡𝑦</a:t>
              </a:r>
              <a:r>
                <a:rPr lang="en-US" sz="1200" i="0">
                  <a:latin typeface="Cambria Math" panose="02040503050406030204" pitchFamily="18" charset="0"/>
                </a:rPr>
                <a:t>=</a:t>
              </a:r>
              <a:r>
                <a:rPr lang="en-US" sz="1200" i="0">
                  <a:solidFill>
                    <a:schemeClr val="tx1"/>
                  </a:solidFill>
                  <a:effectLst/>
                  <a:latin typeface="Cambria Math" panose="02040503050406030204" pitchFamily="18" charset="0"/>
                  <a:ea typeface="+mn-ea"/>
                  <a:cs typeface="+mn-cs"/>
                </a:rPr>
                <a:t>𝑅_𝑥 ̅  ̅ </a:t>
              </a:r>
              <a:r>
                <a:rPr lang="en-US" sz="1200" b="0" i="0">
                  <a:solidFill>
                    <a:schemeClr val="tx1"/>
                  </a:solidFill>
                  <a:effectLst/>
                  <a:latin typeface="Cambria Math" panose="02040503050406030204" pitchFamily="18" charset="0"/>
                  <a:ea typeface="+mn-ea"/>
                  <a:cs typeface="+mn-cs"/>
                </a:rPr>
                <a:t>/𝑑2=</a:t>
              </a:r>
              <a:endParaRPr lang="en-US" sz="1200"/>
            </a:p>
          </xdr:txBody>
        </xdr:sp>
      </mc:Fallback>
    </mc:AlternateContent>
    <xdr:clientData/>
  </xdr:oneCellAnchor>
  <xdr:oneCellAnchor>
    <xdr:from>
      <xdr:col>9</xdr:col>
      <xdr:colOff>485134</xdr:colOff>
      <xdr:row>127</xdr:row>
      <xdr:rowOff>7483</xdr:rowOff>
    </xdr:from>
    <xdr:ext cx="202427" cy="18787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273859E-1117-4A5F-9821-2A9613B58BB1}"/>
                </a:ext>
              </a:extLst>
            </xdr:cNvPr>
            <xdr:cNvSpPr txBox="1"/>
          </xdr:nvSpPr>
          <xdr:spPr>
            <a:xfrm>
              <a:off x="6384284" y="5163683"/>
              <a:ext cx="202427"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i="1">
                            <a:solidFill>
                              <a:schemeClr val="tx1"/>
                            </a:solidFill>
                            <a:effectLst/>
                            <a:latin typeface="Cambria Math" panose="02040503050406030204" pitchFamily="18" charset="0"/>
                            <a:ea typeface="+mn-ea"/>
                            <a:cs typeface="+mn-cs"/>
                          </a:rPr>
                        </m:ctrlPr>
                      </m:sSubPr>
                      <m:e>
                        <m:r>
                          <a:rPr lang="en-US" sz="1200" i="1">
                            <a:solidFill>
                              <a:schemeClr val="tx1"/>
                            </a:solidFill>
                            <a:effectLst/>
                            <a:latin typeface="Cambria Math" panose="02040503050406030204" pitchFamily="18" charset="0"/>
                            <a:ea typeface="+mn-ea"/>
                            <a:cs typeface="+mn-cs"/>
                          </a:rPr>
                          <m:t>𝑅</m:t>
                        </m:r>
                      </m:e>
                      <m:sub>
                        <m:acc>
                          <m:accPr>
                            <m:chr m:val="̅"/>
                            <m:ctrlPr>
                              <a:rPr lang="en-US" sz="1200" i="1">
                                <a:solidFill>
                                  <a:schemeClr val="tx1"/>
                                </a:solidFill>
                                <a:effectLst/>
                                <a:latin typeface="Cambria Math" panose="02040503050406030204" pitchFamily="18" charset="0"/>
                                <a:ea typeface="+mn-ea"/>
                                <a:cs typeface="+mn-cs"/>
                              </a:rPr>
                            </m:ctrlPr>
                          </m:accPr>
                          <m:e>
                            <m:acc>
                              <m:accPr>
                                <m:chr m:val="̅"/>
                                <m:ctrlPr>
                                  <a:rPr lang="en-US" sz="1200" i="1">
                                    <a:solidFill>
                                      <a:schemeClr val="tx1"/>
                                    </a:solidFill>
                                    <a:effectLst/>
                                    <a:latin typeface="Cambria Math" panose="02040503050406030204" pitchFamily="18" charset="0"/>
                                    <a:ea typeface="+mn-ea"/>
                                    <a:cs typeface="+mn-cs"/>
                                  </a:rPr>
                                </m:ctrlPr>
                              </m:accPr>
                              <m:e>
                                <m:r>
                                  <a:rPr lang="en-US" sz="1200" i="1">
                                    <a:solidFill>
                                      <a:schemeClr val="tx1"/>
                                    </a:solidFill>
                                    <a:effectLst/>
                                    <a:latin typeface="Cambria Math" panose="02040503050406030204" pitchFamily="18" charset="0"/>
                                    <a:ea typeface="+mn-ea"/>
                                    <a:cs typeface="+mn-cs"/>
                                  </a:rPr>
                                  <m:t>𝑥</m:t>
                                </m:r>
                              </m:e>
                            </m:acc>
                          </m:e>
                        </m:acc>
                      </m:sub>
                    </m:sSub>
                  </m:oMath>
                </m:oMathPara>
              </a14:m>
              <a:endParaRPr lang="en-US" sz="1400"/>
            </a:p>
          </xdr:txBody>
        </xdr:sp>
      </mc:Choice>
      <mc:Fallback xmlns="">
        <xdr:sp macro="" textlink="">
          <xdr:nvSpPr>
            <xdr:cNvPr id="9" name="TextBox 8">
              <a:extLst>
                <a:ext uri="{FF2B5EF4-FFF2-40B4-BE49-F238E27FC236}">
                  <a16:creationId xmlns:a16="http://schemas.microsoft.com/office/drawing/2014/main" id="{6273859E-1117-4A5F-9821-2A9613B58BB1}"/>
                </a:ext>
              </a:extLst>
            </xdr:cNvPr>
            <xdr:cNvSpPr txBox="1"/>
          </xdr:nvSpPr>
          <xdr:spPr>
            <a:xfrm>
              <a:off x="6384284" y="5163683"/>
              <a:ext cx="202427"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i="0">
                  <a:solidFill>
                    <a:schemeClr val="tx1"/>
                  </a:solidFill>
                  <a:effectLst/>
                  <a:latin typeface="Cambria Math" panose="02040503050406030204" pitchFamily="18" charset="0"/>
                  <a:ea typeface="+mn-ea"/>
                  <a:cs typeface="+mn-cs"/>
                </a:rPr>
                <a:t>𝑅_𝑥 ̅  ̅ </a:t>
              </a:r>
              <a:endParaRPr lang="en-US" sz="1400"/>
            </a:p>
          </xdr:txBody>
        </xdr:sp>
      </mc:Fallback>
    </mc:AlternateContent>
    <xdr:clientData/>
  </xdr:oneCellAnchor>
  <xdr:oneCellAnchor>
    <xdr:from>
      <xdr:col>9</xdr:col>
      <xdr:colOff>147290</xdr:colOff>
      <xdr:row>123</xdr:row>
      <xdr:rowOff>188458</xdr:rowOff>
    </xdr:from>
    <xdr:ext cx="125868" cy="197683"/>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F9F38803-C3E2-46DD-BEAC-173D57C68A8F}"/>
                </a:ext>
              </a:extLst>
            </xdr:cNvPr>
            <xdr:cNvSpPr txBox="1"/>
          </xdr:nvSpPr>
          <xdr:spPr>
            <a:xfrm>
              <a:off x="6046440" y="4601708"/>
              <a:ext cx="125868" cy="197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solidFill>
                              <a:schemeClr val="tx1"/>
                            </a:solidFill>
                            <a:effectLst/>
                            <a:latin typeface="Cambria Math" panose="02040503050406030204" pitchFamily="18" charset="0"/>
                            <a:ea typeface="+mn-ea"/>
                            <a:cs typeface="+mn-cs"/>
                          </a:rPr>
                        </m:ctrlPr>
                      </m:accPr>
                      <m:e>
                        <m:acc>
                          <m:accPr>
                            <m:chr m:val="̅"/>
                            <m:ctrlPr>
                              <a:rPr lang="en-US" sz="1100" i="1">
                                <a:solidFill>
                                  <a:schemeClr val="tx1"/>
                                </a:solidFill>
                                <a:effectLst/>
                                <a:latin typeface="Cambria Math" panose="02040503050406030204" pitchFamily="18" charset="0"/>
                                <a:ea typeface="+mn-ea"/>
                                <a:cs typeface="+mn-cs"/>
                              </a:rPr>
                            </m:ctrlPr>
                          </m:accPr>
                          <m:e>
                            <m:r>
                              <a:rPr lang="en-US" sz="1100" i="1">
                                <a:solidFill>
                                  <a:schemeClr val="tx1"/>
                                </a:solidFill>
                                <a:effectLst/>
                                <a:latin typeface="Cambria Math" panose="02040503050406030204" pitchFamily="18" charset="0"/>
                                <a:ea typeface="+mn-ea"/>
                                <a:cs typeface="+mn-cs"/>
                              </a:rPr>
                              <m:t>𝑅</m:t>
                            </m:r>
                          </m:e>
                        </m:acc>
                      </m:e>
                    </m:acc>
                  </m:oMath>
                </m:oMathPara>
              </a14:m>
              <a:endParaRPr lang="en-US" sz="1400"/>
            </a:p>
          </xdr:txBody>
        </xdr:sp>
      </mc:Choice>
      <mc:Fallback xmlns="">
        <xdr:sp macro="" textlink="">
          <xdr:nvSpPr>
            <xdr:cNvPr id="10" name="TextBox 9">
              <a:extLst>
                <a:ext uri="{FF2B5EF4-FFF2-40B4-BE49-F238E27FC236}">
                  <a16:creationId xmlns:a16="http://schemas.microsoft.com/office/drawing/2014/main" id="{F9F38803-C3E2-46DD-BEAC-173D57C68A8F}"/>
                </a:ext>
              </a:extLst>
            </xdr:cNvPr>
            <xdr:cNvSpPr txBox="1"/>
          </xdr:nvSpPr>
          <xdr:spPr>
            <a:xfrm>
              <a:off x="6046440" y="4601708"/>
              <a:ext cx="125868" cy="197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𝑅 ̅  ̅</a:t>
              </a:r>
              <a:endParaRPr lang="en-US" sz="1400"/>
            </a:p>
          </xdr:txBody>
        </xdr:sp>
      </mc:Fallback>
    </mc:AlternateContent>
    <xdr:clientData/>
  </xdr:oneCellAnchor>
  <xdr:oneCellAnchor>
    <xdr:from>
      <xdr:col>3</xdr:col>
      <xdr:colOff>21358</xdr:colOff>
      <xdr:row>131</xdr:row>
      <xdr:rowOff>182804</xdr:rowOff>
    </xdr:from>
    <xdr:ext cx="3398117" cy="31750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F72CE884-8A2D-4959-8EFF-941D254BCA31}"/>
                </a:ext>
              </a:extLst>
            </xdr:cNvPr>
            <xdr:cNvSpPr txBox="1"/>
          </xdr:nvSpPr>
          <xdr:spPr>
            <a:xfrm>
              <a:off x="1850158" y="6075604"/>
              <a:ext cx="3398117"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Sup>
                      <m:sSubSupPr>
                        <m:ctrlPr>
                          <a:rPr lang="en-US" sz="1200" b="0" i="1">
                            <a:latin typeface="Cambria Math" panose="02040503050406030204" pitchFamily="18" charset="0"/>
                            <a:ea typeface="Cambria Math" panose="02040503050406030204" pitchFamily="18" charset="0"/>
                          </a:rPr>
                        </m:ctrlPr>
                      </m:sSubSupPr>
                      <m:e>
                        <m:acc>
                          <m:accPr>
                            <m:chr m:val="̂"/>
                            <m:ctrlPr>
                              <a:rPr lang="en-US" sz="1200" i="1">
                                <a:solidFill>
                                  <a:srgbClr val="836967"/>
                                </a:solidFill>
                                <a:latin typeface="Cambria Math" panose="02040503050406030204" pitchFamily="18" charset="0"/>
                                <a:ea typeface="Cambria Math" panose="02040503050406030204" pitchFamily="18" charset="0"/>
                              </a:rPr>
                            </m:ctrlPr>
                          </m:accPr>
                          <m:e>
                            <m:r>
                              <a:rPr lang="en-US" sz="1200" i="1">
                                <a:latin typeface="Cambria Math" panose="02040503050406030204" pitchFamily="18" charset="0"/>
                                <a:ea typeface="Cambria Math" panose="02040503050406030204" pitchFamily="18" charset="0"/>
                              </a:rPr>
                              <m:t>𝜎</m:t>
                            </m:r>
                          </m:e>
                        </m:acc>
                      </m:e>
                      <m:sub>
                        <m:r>
                          <a:rPr lang="en-US" sz="1200" b="0" i="1">
                            <a:latin typeface="Cambria Math" panose="02040503050406030204" pitchFamily="18" charset="0"/>
                            <a:ea typeface="Cambria Math" panose="02040503050406030204" pitchFamily="18" charset="0"/>
                          </a:rPr>
                          <m:t>𝑔𝑎𝑔𝑒</m:t>
                        </m:r>
                      </m:sub>
                      <m:sup>
                        <m:r>
                          <a:rPr lang="en-US" sz="1200" b="0" i="1">
                            <a:latin typeface="Cambria Math" panose="02040503050406030204" pitchFamily="18" charset="0"/>
                            <a:ea typeface="Cambria Math" panose="02040503050406030204" pitchFamily="18" charset="0"/>
                          </a:rPr>
                          <m:t>2</m:t>
                        </m:r>
                      </m:sup>
                    </m:sSubSup>
                    <m:r>
                      <a:rPr lang="en-US" sz="1200" b="0" i="1">
                        <a:latin typeface="Cambria Math" panose="02040503050406030204" pitchFamily="18" charset="0"/>
                        <a:ea typeface="Cambria Math" panose="02040503050406030204" pitchFamily="18" charset="0"/>
                      </a:rPr>
                      <m:t>=</m:t>
                    </m:r>
                    <m:sSubSup>
                      <m:sSubSupPr>
                        <m:ctrlPr>
                          <a:rPr lang="en-US" sz="1200" b="0" i="1">
                            <a:latin typeface="Cambria Math" panose="02040503050406030204" pitchFamily="18" charset="0"/>
                            <a:ea typeface="Cambria Math" panose="02040503050406030204" pitchFamily="18" charset="0"/>
                          </a:rPr>
                        </m:ctrlPr>
                      </m:sSubSupPr>
                      <m:e>
                        <m:r>
                          <a:rPr lang="en-US" sz="1200" b="0" i="1">
                            <a:latin typeface="Cambria Math" panose="02040503050406030204" pitchFamily="18" charset="0"/>
                            <a:ea typeface="Cambria Math" panose="02040503050406030204" pitchFamily="18" charset="0"/>
                          </a:rPr>
                          <m:t>𝜎</m:t>
                        </m:r>
                      </m:e>
                      <m:sub>
                        <m:r>
                          <a:rPr lang="en-US" sz="1200" b="0" i="1">
                            <a:latin typeface="Cambria Math" panose="02040503050406030204" pitchFamily="18" charset="0"/>
                            <a:ea typeface="Cambria Math" panose="02040503050406030204" pitchFamily="18" charset="0"/>
                          </a:rPr>
                          <m:t>𝑟𝑒𝑝𝑒𝑎𝑡𝑎𝑏𝑖𝑙𝑖𝑡𝑦</m:t>
                        </m:r>
                      </m:sub>
                      <m:sup>
                        <m:r>
                          <a:rPr lang="en-US" sz="1200" b="0" i="1">
                            <a:latin typeface="Cambria Math" panose="02040503050406030204" pitchFamily="18" charset="0"/>
                            <a:ea typeface="Cambria Math" panose="02040503050406030204" pitchFamily="18" charset="0"/>
                          </a:rPr>
                          <m:t>2</m:t>
                        </m:r>
                      </m:sup>
                    </m:sSubSup>
                    <m:r>
                      <a:rPr lang="en-US" sz="1200" b="0" i="1">
                        <a:latin typeface="Cambria Math" panose="02040503050406030204" pitchFamily="18" charset="0"/>
                        <a:ea typeface="Cambria Math" panose="02040503050406030204" pitchFamily="18" charset="0"/>
                      </a:rPr>
                      <m:t>+ </m:t>
                    </m:r>
                    <m:sSubSup>
                      <m:sSubSupPr>
                        <m:ctrlPr>
                          <a:rPr lang="en-US" sz="1200" b="0" i="1">
                            <a:latin typeface="Cambria Math" panose="02040503050406030204" pitchFamily="18" charset="0"/>
                            <a:ea typeface="Cambria Math" panose="02040503050406030204" pitchFamily="18" charset="0"/>
                          </a:rPr>
                        </m:ctrlPr>
                      </m:sSubSupPr>
                      <m:e>
                        <m:r>
                          <a:rPr lang="en-US" sz="1200" b="0" i="1">
                            <a:latin typeface="Cambria Math" panose="02040503050406030204" pitchFamily="18" charset="0"/>
                            <a:ea typeface="Cambria Math" panose="02040503050406030204" pitchFamily="18" charset="0"/>
                          </a:rPr>
                          <m:t>𝜎</m:t>
                        </m:r>
                      </m:e>
                      <m:sub>
                        <m:r>
                          <a:rPr lang="en-US" sz="1200" b="0" i="1">
                            <a:latin typeface="Cambria Math" panose="02040503050406030204" pitchFamily="18" charset="0"/>
                            <a:ea typeface="Cambria Math" panose="02040503050406030204" pitchFamily="18" charset="0"/>
                          </a:rPr>
                          <m:t>𝑟𝑒𝑝𝑟𝑜𝑑𝑢𝑐𝑖𝑏𝑖𝑙𝑖𝑡𝑦</m:t>
                        </m:r>
                      </m:sub>
                      <m:sup>
                        <m:r>
                          <a:rPr lang="en-US" sz="1200" b="0" i="1">
                            <a:latin typeface="Cambria Math" panose="02040503050406030204" pitchFamily="18" charset="0"/>
                            <a:ea typeface="Cambria Math" panose="02040503050406030204" pitchFamily="18" charset="0"/>
                          </a:rPr>
                          <m:t>2</m:t>
                        </m:r>
                      </m:sup>
                    </m:sSubSup>
                    <m:r>
                      <a:rPr lang="en-US" sz="1200" b="0" i="1">
                        <a:latin typeface="Cambria Math" panose="02040503050406030204" pitchFamily="18" charset="0"/>
                        <a:ea typeface="Cambria Math" panose="02040503050406030204" pitchFamily="18" charset="0"/>
                      </a:rPr>
                      <m:t>=</m:t>
                    </m:r>
                  </m:oMath>
                </m:oMathPara>
              </a14:m>
              <a:endParaRPr lang="en-US" sz="1200"/>
            </a:p>
          </xdr:txBody>
        </xdr:sp>
      </mc:Choice>
      <mc:Fallback xmlns="">
        <xdr:sp macro="" textlink="">
          <xdr:nvSpPr>
            <xdr:cNvPr id="11" name="TextBox 10">
              <a:extLst>
                <a:ext uri="{FF2B5EF4-FFF2-40B4-BE49-F238E27FC236}">
                  <a16:creationId xmlns:a16="http://schemas.microsoft.com/office/drawing/2014/main" id="{F72CE884-8A2D-4959-8EFF-941D254BCA31}"/>
                </a:ext>
              </a:extLst>
            </xdr:cNvPr>
            <xdr:cNvSpPr txBox="1"/>
          </xdr:nvSpPr>
          <xdr:spPr>
            <a:xfrm>
              <a:off x="1850158" y="6075604"/>
              <a:ext cx="3398117"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i="0">
                  <a:latin typeface="Cambria Math" panose="02040503050406030204" pitchFamily="18" charset="0"/>
                  <a:ea typeface="Cambria Math" panose="02040503050406030204" pitchFamily="18" charset="0"/>
                </a:rPr>
                <a:t>𝜎</a:t>
              </a:r>
              <a:r>
                <a:rPr lang="en-US" sz="1200" i="0">
                  <a:solidFill>
                    <a:srgbClr val="836967"/>
                  </a:solidFill>
                  <a:latin typeface="Cambria Math" panose="02040503050406030204" pitchFamily="18" charset="0"/>
                  <a:ea typeface="Cambria Math" panose="02040503050406030204" pitchFamily="18" charset="0"/>
                </a:rPr>
                <a:t> ̂</a:t>
              </a:r>
              <a:r>
                <a:rPr lang="en-US" sz="1200" b="0" i="0">
                  <a:solidFill>
                    <a:srgbClr val="836967"/>
                  </a:solidFill>
                  <a:latin typeface="Cambria Math" panose="02040503050406030204" pitchFamily="18" charset="0"/>
                  <a:ea typeface="Cambria Math" panose="02040503050406030204" pitchFamily="18" charset="0"/>
                </a:rPr>
                <a:t>_</a:t>
              </a:r>
              <a:r>
                <a:rPr lang="en-US" sz="1200" b="0" i="0">
                  <a:latin typeface="Cambria Math" panose="02040503050406030204" pitchFamily="18" charset="0"/>
                  <a:ea typeface="Cambria Math" panose="02040503050406030204" pitchFamily="18" charset="0"/>
                </a:rPr>
                <a:t>𝑔𝑎𝑔𝑒^2=𝜎_𝑟𝑒𝑝𝑒𝑎𝑡𝑎𝑏𝑖𝑙𝑖𝑡𝑦^2+ 𝜎_𝑟𝑒𝑝𝑟𝑜𝑑𝑢𝑐𝑖𝑏𝑖𝑙𝑖𝑡𝑦^2=</a:t>
              </a:r>
              <a:endParaRPr lang="en-US" sz="1200"/>
            </a:p>
          </xdr:txBody>
        </xdr:sp>
      </mc:Fallback>
    </mc:AlternateContent>
    <xdr:clientData/>
  </xdr:oneCellAnchor>
  <xdr:oneCellAnchor>
    <xdr:from>
      <xdr:col>5</xdr:col>
      <xdr:colOff>106796</xdr:colOff>
      <xdr:row>135</xdr:row>
      <xdr:rowOff>1830</xdr:rowOff>
    </xdr:from>
    <xdr:ext cx="508344" cy="183320"/>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8FD5B0B-8D10-4920-A72D-18AA6B12389C}"/>
                </a:ext>
              </a:extLst>
            </xdr:cNvPr>
            <xdr:cNvSpPr txBox="1"/>
          </xdr:nvSpPr>
          <xdr:spPr>
            <a:xfrm>
              <a:off x="3326246" y="6631230"/>
              <a:ext cx="508344" cy="183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rgbClr val="836967"/>
                            </a:solidFill>
                            <a:latin typeface="Cambria Math" panose="02040503050406030204" pitchFamily="18" charset="0"/>
                            <a:ea typeface="Cambria Math" panose="02040503050406030204" pitchFamily="18" charset="0"/>
                          </a:rPr>
                        </m:ctrlPr>
                      </m:sSubPr>
                      <m:e>
                        <m:acc>
                          <m:accPr>
                            <m:chr m:val="̂"/>
                            <m:ctrlPr>
                              <a:rPr lang="en-US" sz="1100" b="0" i="1">
                                <a:solidFill>
                                  <a:srgbClr val="836967"/>
                                </a:solidFill>
                                <a:latin typeface="Cambria Math" panose="02040503050406030204" pitchFamily="18" charset="0"/>
                                <a:ea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𝜎</m:t>
                            </m:r>
                          </m:e>
                        </m:acc>
                      </m:e>
                      <m:sub>
                        <m:r>
                          <a:rPr lang="en-US" sz="1100" b="0" i="1">
                            <a:latin typeface="Cambria Math" panose="02040503050406030204" pitchFamily="18" charset="0"/>
                            <a:ea typeface="Cambria Math" panose="02040503050406030204" pitchFamily="18" charset="0"/>
                          </a:rPr>
                          <m:t>𝑔𝑎𝑔𝑒</m:t>
                        </m:r>
                      </m:sub>
                    </m:sSub>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2" name="TextBox 11">
              <a:extLst>
                <a:ext uri="{FF2B5EF4-FFF2-40B4-BE49-F238E27FC236}">
                  <a16:creationId xmlns:a16="http://schemas.microsoft.com/office/drawing/2014/main" id="{C8FD5B0B-8D10-4920-A72D-18AA6B12389C}"/>
                </a:ext>
              </a:extLst>
            </xdr:cNvPr>
            <xdr:cNvSpPr txBox="1"/>
          </xdr:nvSpPr>
          <xdr:spPr>
            <a:xfrm>
              <a:off x="3326246" y="6631230"/>
              <a:ext cx="508344" cy="183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ea typeface="Cambria Math" panose="02040503050406030204" pitchFamily="18" charset="0"/>
                </a:rPr>
                <a:t>𝜎</a:t>
              </a:r>
              <a:r>
                <a:rPr lang="en-US" sz="1100" b="0" i="0">
                  <a:solidFill>
                    <a:srgbClr val="836967"/>
                  </a:solidFill>
                  <a:latin typeface="Cambria Math" panose="02040503050406030204" pitchFamily="18" charset="0"/>
                  <a:ea typeface="Cambria Math" panose="02040503050406030204" pitchFamily="18" charset="0"/>
                </a:rPr>
                <a:t> ̂_</a:t>
              </a:r>
              <a:r>
                <a:rPr lang="en-US" sz="1100" b="0" i="0">
                  <a:latin typeface="Cambria Math" panose="02040503050406030204" pitchFamily="18" charset="0"/>
                  <a:ea typeface="Cambria Math" panose="02040503050406030204" pitchFamily="18" charset="0"/>
                </a:rPr>
                <a:t>𝑔𝑎𝑔𝑒=</a:t>
              </a:r>
              <a:endParaRPr lang="en-US" sz="1100"/>
            </a:p>
          </xdr:txBody>
        </xdr:sp>
      </mc:Fallback>
    </mc:AlternateContent>
    <xdr:clientData/>
  </xdr:oneCellAnchor>
  <xdr:oneCellAnchor>
    <xdr:from>
      <xdr:col>3</xdr:col>
      <xdr:colOff>342900</xdr:colOff>
      <xdr:row>122</xdr:row>
      <xdr:rowOff>23812</xdr:rowOff>
    </xdr:from>
    <xdr:ext cx="1570238" cy="17222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4DD67BC7-1C52-42F7-A8FD-0B8D3D84954A}"/>
                </a:ext>
              </a:extLst>
            </xdr:cNvPr>
            <xdr:cNvSpPr txBox="1"/>
          </xdr:nvSpPr>
          <xdr:spPr>
            <a:xfrm>
              <a:off x="2171700" y="4259262"/>
              <a:ext cx="15702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rgbClr val="836967"/>
                            </a:solidFill>
                            <a:latin typeface="Cambria Math" panose="02040503050406030204" pitchFamily="18" charset="0"/>
                          </a:rPr>
                        </m:ctrlPr>
                      </m:sSubPr>
                      <m:e>
                        <m:r>
                          <a:rPr lang="en-US" sz="1100" i="1">
                            <a:latin typeface="Cambria Math" panose="02040503050406030204" pitchFamily="18" charset="0"/>
                          </a:rPr>
                          <m:t>𝑅</m:t>
                        </m:r>
                      </m:e>
                      <m:sub>
                        <m:acc>
                          <m:accPr>
                            <m:chr m:val="̅"/>
                            <m:ctrlPr>
                              <a:rPr lang="en-US" sz="1100" i="1">
                                <a:solidFill>
                                  <a:srgbClr val="836967"/>
                                </a:solidFill>
                                <a:latin typeface="Cambria Math" panose="02040503050406030204" pitchFamily="18" charset="0"/>
                              </a:rPr>
                            </m:ctrlPr>
                          </m:accPr>
                          <m:e>
                            <m:acc>
                              <m:accPr>
                                <m:chr m:val="̅"/>
                                <m:ctrlPr>
                                  <a:rPr lang="en-US" sz="1100" i="1">
                                    <a:solidFill>
                                      <a:srgbClr val="836967"/>
                                    </a:solidFill>
                                    <a:latin typeface="Cambria Math" panose="02040503050406030204" pitchFamily="18" charset="0"/>
                                  </a:rPr>
                                </m:ctrlPr>
                              </m:accPr>
                              <m:e>
                                <m:r>
                                  <a:rPr lang="en-US" sz="1100" i="1">
                                    <a:latin typeface="Cambria Math" panose="02040503050406030204" pitchFamily="18" charset="0"/>
                                  </a:rPr>
                                  <m:t>𝑥</m:t>
                                </m:r>
                              </m:e>
                            </m:acc>
                          </m:e>
                        </m:acc>
                      </m:sub>
                    </m:sSub>
                    <m:r>
                      <a:rPr lang="en-US" sz="1100" b="0" i="1">
                        <a:latin typeface="Cambria Math" panose="02040503050406030204" pitchFamily="18" charset="0"/>
                      </a:rPr>
                      <m:t>=</m:t>
                    </m:r>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max</m:t>
                        </m:r>
                      </m:fName>
                      <m:e>
                        <m:d>
                          <m:dPr>
                            <m:ctrlPr>
                              <a:rPr lang="en-US" sz="1100" b="0" i="1">
                                <a:latin typeface="Cambria Math" panose="02040503050406030204" pitchFamily="18" charset="0"/>
                              </a:rPr>
                            </m:ctrlPr>
                          </m:dPr>
                          <m:e>
                            <m:acc>
                              <m:accPr>
                                <m:chr m:val="̅"/>
                                <m:ctrlPr>
                                  <a:rPr lang="en-US" sz="1100" i="1">
                                    <a:solidFill>
                                      <a:srgbClr val="836967"/>
                                    </a:solidFill>
                                    <a:latin typeface="Cambria Math" panose="02040503050406030204" pitchFamily="18" charset="0"/>
                                  </a:rPr>
                                </m:ctrlPr>
                              </m:accPr>
                              <m:e>
                                <m:r>
                                  <a:rPr lang="en-US" sz="1100" i="1">
                                    <a:latin typeface="Cambria Math" panose="02040503050406030204" pitchFamily="18" charset="0"/>
                                  </a:rPr>
                                  <m:t>𝑥</m:t>
                                </m:r>
                              </m:e>
                            </m:acc>
                          </m:e>
                        </m:d>
                      </m:e>
                    </m:func>
                    <m:r>
                      <a:rPr lang="en-US" sz="1100" b="0" i="1">
                        <a:latin typeface="Cambria Math" panose="02040503050406030204" pitchFamily="18" charset="0"/>
                      </a:rPr>
                      <m:t>−</m:t>
                    </m:r>
                    <m:func>
                      <m:funcPr>
                        <m:ctrlPr>
                          <a:rPr lang="en-US" sz="1100" b="0" i="1">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min</m:t>
                        </m:r>
                      </m:fName>
                      <m:e>
                        <m:d>
                          <m:dPr>
                            <m:ctrlPr>
                              <a:rPr lang="en-US" sz="1100" b="0" i="1">
                                <a:solidFill>
                                  <a:schemeClr val="tx1"/>
                                </a:solidFill>
                                <a:effectLst/>
                                <a:latin typeface="Cambria Math" panose="02040503050406030204" pitchFamily="18" charset="0"/>
                                <a:ea typeface="+mn-ea"/>
                                <a:cs typeface="+mn-cs"/>
                              </a:rPr>
                            </m:ctrlPr>
                          </m:dPr>
                          <m:e>
                            <m:acc>
                              <m:accPr>
                                <m:chr m:val="̅"/>
                                <m:ctrlPr>
                                  <a:rPr lang="en-US" sz="1100" i="1">
                                    <a:solidFill>
                                      <a:schemeClr val="tx1"/>
                                    </a:solidFill>
                                    <a:effectLst/>
                                    <a:latin typeface="Cambria Math" panose="02040503050406030204" pitchFamily="18" charset="0"/>
                                    <a:ea typeface="+mn-ea"/>
                                    <a:cs typeface="+mn-cs"/>
                                  </a:rPr>
                                </m:ctrlPr>
                              </m:accPr>
                              <m:e>
                                <m:r>
                                  <a:rPr lang="en-US" sz="1100" i="1">
                                    <a:solidFill>
                                      <a:schemeClr val="tx1"/>
                                    </a:solidFill>
                                    <a:effectLst/>
                                    <a:latin typeface="Cambria Math" panose="02040503050406030204" pitchFamily="18" charset="0"/>
                                    <a:ea typeface="+mn-ea"/>
                                    <a:cs typeface="+mn-cs"/>
                                  </a:rPr>
                                  <m:t>𝑥</m:t>
                                </m:r>
                              </m:e>
                            </m:acc>
                          </m:e>
                        </m:d>
                      </m:e>
                    </m:func>
                    <m:r>
                      <a:rPr lang="en-US" sz="1100" b="0" i="1">
                        <a:solidFill>
                          <a:schemeClr val="tx1"/>
                        </a:solidFill>
                        <a:effectLst/>
                        <a:latin typeface="Cambria Math" panose="02040503050406030204" pitchFamily="18" charset="0"/>
                        <a:ea typeface="+mn-ea"/>
                        <a:cs typeface="+mn-cs"/>
                      </a:rPr>
                      <m:t>=</m:t>
                    </m:r>
                  </m:oMath>
                </m:oMathPara>
              </a14:m>
              <a:endParaRPr lang="en-US" sz="1100"/>
            </a:p>
          </xdr:txBody>
        </xdr:sp>
      </mc:Choice>
      <mc:Fallback xmlns="">
        <xdr:sp macro="" textlink="">
          <xdr:nvSpPr>
            <xdr:cNvPr id="13" name="TextBox 12">
              <a:extLst>
                <a:ext uri="{FF2B5EF4-FFF2-40B4-BE49-F238E27FC236}">
                  <a16:creationId xmlns:a16="http://schemas.microsoft.com/office/drawing/2014/main" id="{4DD67BC7-1C52-42F7-A8FD-0B8D3D84954A}"/>
                </a:ext>
              </a:extLst>
            </xdr:cNvPr>
            <xdr:cNvSpPr txBox="1"/>
          </xdr:nvSpPr>
          <xdr:spPr>
            <a:xfrm>
              <a:off x="2171700" y="4259262"/>
              <a:ext cx="15702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𝑅</a:t>
              </a:r>
              <a:r>
                <a:rPr lang="en-US" sz="1100" i="0">
                  <a:solidFill>
                    <a:srgbClr val="836967"/>
                  </a:solidFill>
                  <a:latin typeface="Cambria Math" panose="02040503050406030204" pitchFamily="18" charset="0"/>
                </a:rPr>
                <a:t>_</a:t>
              </a:r>
              <a:r>
                <a:rPr lang="en-US" sz="1100" i="0">
                  <a:latin typeface="Cambria Math" panose="02040503050406030204" pitchFamily="18" charset="0"/>
                </a:rPr>
                <a:t>𝑥</a:t>
              </a:r>
              <a:r>
                <a:rPr lang="en-US" sz="1100" i="0">
                  <a:solidFill>
                    <a:srgbClr val="836967"/>
                  </a:solidFill>
                  <a:latin typeface="Cambria Math" panose="02040503050406030204" pitchFamily="18" charset="0"/>
                </a:rPr>
                <a:t> ̅  ̅ </a:t>
              </a:r>
              <a:r>
                <a:rPr lang="en-US" sz="1100" b="0" i="0">
                  <a:latin typeface="Cambria Math" panose="02040503050406030204" pitchFamily="18" charset="0"/>
                </a:rPr>
                <a:t>=max⁡(</a:t>
              </a:r>
              <a:r>
                <a:rPr lang="en-US" sz="1100" i="0">
                  <a:latin typeface="Cambria Math" panose="02040503050406030204" pitchFamily="18" charset="0"/>
                </a:rPr>
                <a:t>𝑥</a:t>
              </a:r>
              <a:r>
                <a:rPr lang="en-US" sz="1100" i="0">
                  <a:solidFill>
                    <a:srgbClr val="836967"/>
                  </a:solidFill>
                  <a:latin typeface="Cambria Math" panose="02040503050406030204" pitchFamily="18" charset="0"/>
                </a:rPr>
                <a:t> ̅ )</a:t>
              </a:r>
              <a:r>
                <a:rPr lang="en-US" sz="1100" b="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min⁡(</a:t>
              </a:r>
              <a:r>
                <a:rPr lang="en-US" sz="1100" i="0">
                  <a:solidFill>
                    <a:schemeClr val="tx1"/>
                  </a:solidFill>
                  <a:effectLst/>
                  <a:latin typeface="Cambria Math" panose="02040503050406030204" pitchFamily="18" charset="0"/>
                  <a:ea typeface="+mn-ea"/>
                  <a:cs typeface="+mn-cs"/>
                </a:rPr>
                <a:t>𝑥 ̅ )</a:t>
              </a:r>
              <a:r>
                <a:rPr lang="en-US" sz="1100" b="0" i="0">
                  <a:solidFill>
                    <a:schemeClr val="tx1"/>
                  </a:solidFill>
                  <a:effectLst/>
                  <a:latin typeface="Cambria Math" panose="02040503050406030204" pitchFamily="18" charset="0"/>
                  <a:ea typeface="+mn-ea"/>
                  <a:cs typeface="+mn-cs"/>
                </a:rPr>
                <a:t>=</a:t>
              </a:r>
              <a:endParaRPr lang="en-US" sz="1100"/>
            </a:p>
          </xdr:txBody>
        </xdr:sp>
      </mc:Fallback>
    </mc:AlternateContent>
    <xdr:clientData/>
  </xdr:oneCellAnchor>
  <xdr:oneCellAnchor>
    <xdr:from>
      <xdr:col>6</xdr:col>
      <xdr:colOff>96212</xdr:colOff>
      <xdr:row>141</xdr:row>
      <xdr:rowOff>0</xdr:rowOff>
    </xdr:from>
    <xdr:ext cx="1096582" cy="329577"/>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73676DB-0D6B-440D-BBC1-0D23C6E6F17F}"/>
                </a:ext>
              </a:extLst>
            </xdr:cNvPr>
            <xdr:cNvSpPr txBox="1"/>
          </xdr:nvSpPr>
          <xdr:spPr>
            <a:xfrm>
              <a:off x="3925262" y="7734300"/>
              <a:ext cx="1096582" cy="3295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𝑃</m:t>
                        </m:r>
                      </m:num>
                      <m:den>
                        <m:r>
                          <a:rPr lang="en-US" sz="1100" b="0" i="1">
                            <a:latin typeface="Cambria Math" panose="02040503050406030204" pitchFamily="18" charset="0"/>
                            <a:ea typeface="Cambria Math" panose="02040503050406030204" pitchFamily="18" charset="0"/>
                          </a:rPr>
                          <m:t>𝑇</m:t>
                        </m:r>
                      </m:den>
                    </m:f>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6.</m:t>
                        </m:r>
                        <m:sSub>
                          <m:sSubPr>
                            <m:ctrlPr>
                              <a:rPr lang="en-US" sz="1100" b="0" i="1">
                                <a:solidFill>
                                  <a:schemeClr val="tx1"/>
                                </a:solidFill>
                                <a:effectLst/>
                                <a:latin typeface="Cambria Math" panose="02040503050406030204" pitchFamily="18" charset="0"/>
                                <a:ea typeface="+mn-ea"/>
                                <a:cs typeface="+mn-cs"/>
                              </a:rPr>
                            </m:ctrlPr>
                          </m:sSubPr>
                          <m:e>
                            <m:acc>
                              <m:accPr>
                                <m:chr m:val="̂"/>
                                <m:ctrlPr>
                                  <a:rPr lang="en-US" sz="1100" i="1">
                                    <a:solidFill>
                                      <a:schemeClr val="tx1"/>
                                    </a:solidFill>
                                    <a:effectLst/>
                                    <a:latin typeface="Cambria Math" panose="02040503050406030204" pitchFamily="18" charset="0"/>
                                    <a:ea typeface="+mn-ea"/>
                                    <a:cs typeface="+mn-cs"/>
                                  </a:rPr>
                                </m:ctrlPr>
                              </m:accPr>
                              <m:e>
                                <m:r>
                                  <a:rPr lang="en-US" sz="1100" i="1">
                                    <a:solidFill>
                                      <a:schemeClr val="tx1"/>
                                    </a:solidFill>
                                    <a:effectLst/>
                                    <a:latin typeface="Cambria Math" panose="02040503050406030204" pitchFamily="18" charset="0"/>
                                    <a:ea typeface="+mn-ea"/>
                                    <a:cs typeface="+mn-cs"/>
                                  </a:rPr>
                                  <m:t>𝜎</m:t>
                                </m:r>
                              </m:e>
                            </m:acc>
                          </m:e>
                          <m:sub>
                            <m:r>
                              <a:rPr lang="en-US" sz="1100" b="0" i="1">
                                <a:solidFill>
                                  <a:schemeClr val="tx1"/>
                                </a:solidFill>
                                <a:effectLst/>
                                <a:latin typeface="Cambria Math" panose="02040503050406030204" pitchFamily="18" charset="0"/>
                                <a:ea typeface="+mn-ea"/>
                                <a:cs typeface="+mn-cs"/>
                              </a:rPr>
                              <m:t>𝑔𝑎𝑔𝑒</m:t>
                            </m:r>
                          </m:sub>
                        </m:sSub>
                      </m:num>
                      <m:den>
                        <m:r>
                          <a:rPr lang="en-US" sz="1100" b="0" i="1">
                            <a:latin typeface="Cambria Math" panose="02040503050406030204" pitchFamily="18" charset="0"/>
                          </a:rPr>
                          <m:t>𝑈𝑆𝐿</m:t>
                        </m:r>
                        <m:r>
                          <a:rPr lang="en-US" sz="1100" b="0" i="1">
                            <a:latin typeface="Cambria Math" panose="02040503050406030204" pitchFamily="18" charset="0"/>
                          </a:rPr>
                          <m:t>−</m:t>
                        </m:r>
                        <m:r>
                          <a:rPr lang="en-US" sz="1100" b="0" i="1">
                            <a:latin typeface="Cambria Math" panose="02040503050406030204" pitchFamily="18" charset="0"/>
                          </a:rPr>
                          <m:t>𝐿𝑆𝐿</m:t>
                        </m:r>
                      </m:den>
                    </m:f>
                    <m:r>
                      <a:rPr lang="en-US" sz="1100" b="0" i="0">
                        <a:latin typeface="Cambria Math" panose="02040503050406030204" pitchFamily="18" charset="0"/>
                      </a:rPr>
                      <m:t>=</m:t>
                    </m:r>
                  </m:oMath>
                </m:oMathPara>
              </a14:m>
              <a:endParaRPr lang="en-US" sz="1100"/>
            </a:p>
          </xdr:txBody>
        </xdr:sp>
      </mc:Choice>
      <mc:Fallback xmlns="">
        <xdr:sp macro="" textlink="">
          <xdr:nvSpPr>
            <xdr:cNvPr id="14" name="TextBox 13">
              <a:extLst>
                <a:ext uri="{FF2B5EF4-FFF2-40B4-BE49-F238E27FC236}">
                  <a16:creationId xmlns:a16="http://schemas.microsoft.com/office/drawing/2014/main" id="{B73676DB-0D6B-440D-BBC1-0D23C6E6F17F}"/>
                </a:ext>
              </a:extLst>
            </xdr:cNvPr>
            <xdr:cNvSpPr txBox="1"/>
          </xdr:nvSpPr>
          <xdr:spPr>
            <a:xfrm>
              <a:off x="3925262" y="7734300"/>
              <a:ext cx="1096582" cy="3295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ea typeface="Cambria Math" panose="02040503050406030204" pitchFamily="18" charset="0"/>
                </a:rPr>
                <a:t>𝑃/𝑇=</a:t>
              </a:r>
              <a:r>
                <a:rPr lang="en-US" sz="1100" b="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6.</a:t>
              </a:r>
              <a:r>
                <a:rPr lang="en-US" sz="1100" i="0">
                  <a:solidFill>
                    <a:schemeClr val="tx1"/>
                  </a:solidFill>
                  <a:effectLst/>
                  <a:latin typeface="Cambria Math" panose="02040503050406030204" pitchFamily="18" charset="0"/>
                  <a:ea typeface="+mn-ea"/>
                  <a:cs typeface="+mn-cs"/>
                </a:rPr>
                <a:t>𝜎 ̂</a:t>
              </a:r>
              <a:r>
                <a:rPr lang="en-US" sz="1100" b="0" i="0">
                  <a:solidFill>
                    <a:schemeClr val="tx1"/>
                  </a:solidFill>
                  <a:effectLst/>
                  <a:latin typeface="Cambria Math" panose="02040503050406030204" pitchFamily="18" charset="0"/>
                  <a:ea typeface="+mn-ea"/>
                  <a:cs typeface="+mn-cs"/>
                </a:rPr>
                <a:t>_𝑔𝑎𝑔𝑒)/(</a:t>
              </a:r>
              <a:r>
                <a:rPr lang="en-US" sz="1100" b="0" i="0">
                  <a:latin typeface="Cambria Math" panose="02040503050406030204" pitchFamily="18" charset="0"/>
                </a:rPr>
                <a:t>𝑈𝑆𝐿−𝐿𝑆𝐿)=</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6F2C-37C6-4E46-953D-3FEF5E767DED}">
  <dimension ref="A2:O148"/>
  <sheetViews>
    <sheetView tabSelected="1" workbookViewId="0">
      <selection activeCell="K145" sqref="K145"/>
    </sheetView>
  </sheetViews>
  <sheetFormatPr defaultRowHeight="15" x14ac:dyDescent="0.25"/>
  <cols>
    <col min="2" max="2" width="10.140625" customWidth="1"/>
    <col min="5" max="5" width="17.85546875" customWidth="1"/>
    <col min="6" max="6" width="12.140625" customWidth="1"/>
    <col min="9" max="9" width="13.28515625" customWidth="1"/>
  </cols>
  <sheetData>
    <row r="2" spans="1:9" ht="14.45" customHeight="1" x14ac:dyDescent="0.25">
      <c r="B2" s="21" t="s">
        <v>2</v>
      </c>
      <c r="C2" s="21"/>
      <c r="D2" s="21"/>
      <c r="E2" s="21"/>
      <c r="F2" s="21"/>
      <c r="G2" s="21"/>
      <c r="H2" s="21"/>
      <c r="I2" s="21"/>
    </row>
    <row r="3" spans="1:9" x14ac:dyDescent="0.25">
      <c r="A3" t="s">
        <v>25</v>
      </c>
      <c r="B3" s="21"/>
      <c r="C3" s="21"/>
      <c r="D3" s="21"/>
      <c r="E3" s="21"/>
      <c r="F3" s="21"/>
      <c r="G3" s="21"/>
      <c r="H3" s="21"/>
      <c r="I3" s="21"/>
    </row>
    <row r="4" spans="1:9" x14ac:dyDescent="0.25">
      <c r="B4" s="21"/>
      <c r="C4" s="21"/>
      <c r="D4" s="21"/>
      <c r="E4" s="21"/>
      <c r="F4" s="21"/>
      <c r="G4" s="21"/>
      <c r="H4" s="21"/>
      <c r="I4" s="21"/>
    </row>
    <row r="5" spans="1:9" x14ac:dyDescent="0.25">
      <c r="B5" s="21"/>
      <c r="C5" s="21"/>
      <c r="D5" s="21"/>
      <c r="E5" s="21"/>
      <c r="F5" s="21"/>
      <c r="G5" s="21"/>
      <c r="H5" s="21"/>
      <c r="I5" s="21"/>
    </row>
    <row r="6" spans="1:9" x14ac:dyDescent="0.25">
      <c r="B6" s="21"/>
      <c r="C6" s="21"/>
      <c r="D6" s="21"/>
      <c r="E6" s="21"/>
      <c r="F6" s="21"/>
      <c r="G6" s="21"/>
      <c r="H6" s="21"/>
      <c r="I6" s="21"/>
    </row>
    <row r="7" spans="1:9" x14ac:dyDescent="0.25">
      <c r="B7" s="21"/>
      <c r="C7" s="21"/>
      <c r="D7" s="21"/>
      <c r="E7" s="21"/>
      <c r="F7" s="21"/>
      <c r="G7" s="21"/>
      <c r="H7" s="21"/>
      <c r="I7" s="21"/>
    </row>
    <row r="8" spans="1:9" x14ac:dyDescent="0.25">
      <c r="B8" s="21"/>
      <c r="C8" s="21"/>
      <c r="D8" s="21"/>
      <c r="E8" s="21"/>
      <c r="F8" s="21"/>
      <c r="G8" s="21"/>
      <c r="H8" s="21"/>
      <c r="I8" s="21"/>
    </row>
    <row r="11" spans="1:9" x14ac:dyDescent="0.25">
      <c r="B11" t="s">
        <v>1</v>
      </c>
      <c r="C11" t="s">
        <v>0</v>
      </c>
    </row>
    <row r="12" spans="1:9" x14ac:dyDescent="0.25">
      <c r="B12">
        <v>1</v>
      </c>
      <c r="C12">
        <v>12.03</v>
      </c>
    </row>
    <row r="13" spans="1:9" x14ac:dyDescent="0.25">
      <c r="B13">
        <v>2</v>
      </c>
      <c r="C13">
        <v>12.04</v>
      </c>
    </row>
    <row r="14" spans="1:9" x14ac:dyDescent="0.25">
      <c r="B14">
        <v>3</v>
      </c>
      <c r="C14">
        <v>12.05</v>
      </c>
    </row>
    <row r="15" spans="1:9" x14ac:dyDescent="0.25">
      <c r="B15">
        <v>4</v>
      </c>
      <c r="C15">
        <v>11.96</v>
      </c>
    </row>
    <row r="16" spans="1:9" x14ac:dyDescent="0.25">
      <c r="B16">
        <v>5</v>
      </c>
      <c r="C16">
        <v>12.05</v>
      </c>
    </row>
    <row r="17" spans="2:6" x14ac:dyDescent="0.25">
      <c r="B17">
        <v>6</v>
      </c>
      <c r="C17">
        <v>12.01</v>
      </c>
    </row>
    <row r="18" spans="2:6" x14ac:dyDescent="0.25">
      <c r="B18">
        <v>7</v>
      </c>
      <c r="C18">
        <v>12.02</v>
      </c>
    </row>
    <row r="19" spans="2:6" x14ac:dyDescent="0.25">
      <c r="B19">
        <v>8</v>
      </c>
      <c r="C19">
        <v>12.02</v>
      </c>
    </row>
    <row r="20" spans="2:6" x14ac:dyDescent="0.25">
      <c r="B20">
        <v>9</v>
      </c>
      <c r="C20">
        <v>11.98</v>
      </c>
    </row>
    <row r="21" spans="2:6" x14ac:dyDescent="0.25">
      <c r="B21">
        <v>10</v>
      </c>
      <c r="C21">
        <v>11.99</v>
      </c>
    </row>
    <row r="22" spans="2:6" x14ac:dyDescent="0.25">
      <c r="B22">
        <v>11</v>
      </c>
      <c r="C22">
        <v>12.02</v>
      </c>
    </row>
    <row r="24" spans="2:6" x14ac:dyDescent="0.25">
      <c r="B24" t="s">
        <v>24</v>
      </c>
    </row>
    <row r="25" spans="2:6" x14ac:dyDescent="0.25">
      <c r="B25" s="1" t="s">
        <v>3</v>
      </c>
      <c r="C25" s="2" t="s">
        <v>4</v>
      </c>
      <c r="D25">
        <f>STDEV(C12:C22)</f>
        <v>2.8762349126465948E-2</v>
      </c>
    </row>
    <row r="26" spans="2:6" x14ac:dyDescent="0.25">
      <c r="B26" s="1" t="s">
        <v>5</v>
      </c>
      <c r="C26" s="1" t="s">
        <v>6</v>
      </c>
      <c r="D26">
        <v>11</v>
      </c>
    </row>
    <row r="27" spans="2:6" x14ac:dyDescent="0.25">
      <c r="B27" s="1" t="s">
        <v>7</v>
      </c>
      <c r="C27" s="2"/>
      <c r="D27">
        <f>AVERAGE(C12:C22)</f>
        <v>12.015454545454547</v>
      </c>
    </row>
    <row r="28" spans="2:6" x14ac:dyDescent="0.25">
      <c r="B28" s="1" t="s">
        <v>8</v>
      </c>
      <c r="C28" s="2" t="s">
        <v>9</v>
      </c>
      <c r="D28">
        <v>12</v>
      </c>
    </row>
    <row r="29" spans="2:6" x14ac:dyDescent="0.25">
      <c r="B29" s="1" t="s">
        <v>10</v>
      </c>
      <c r="C29" s="1" t="s">
        <v>11</v>
      </c>
    </row>
    <row r="31" spans="2:6" x14ac:dyDescent="0.25">
      <c r="B31" t="s">
        <v>15</v>
      </c>
      <c r="C31" s="4" t="s">
        <v>18</v>
      </c>
      <c r="D31" t="s">
        <v>16</v>
      </c>
      <c r="E31" t="s">
        <v>17</v>
      </c>
      <c r="F31" s="4" t="s">
        <v>19</v>
      </c>
    </row>
    <row r="33" spans="1:9" x14ac:dyDescent="0.25">
      <c r="B33" s="3" t="s">
        <v>12</v>
      </c>
      <c r="C33" s="3"/>
      <c r="D33" s="3" t="s">
        <v>13</v>
      </c>
      <c r="E33" s="3"/>
      <c r="F33" s="3" t="s">
        <v>14</v>
      </c>
      <c r="G33">
        <f>(D27-D28)/(D25/SQRT(11))</f>
        <v>1.7820842224274955</v>
      </c>
    </row>
    <row r="34" spans="1:9" x14ac:dyDescent="0.25">
      <c r="B34" s="3"/>
      <c r="C34" s="3"/>
      <c r="D34" s="3"/>
      <c r="E34" s="3"/>
      <c r="F34" s="3" t="s">
        <v>20</v>
      </c>
      <c r="G34">
        <f>_xlfn.T.INV.2T(0.05,10)</f>
        <v>2.2281388519862744</v>
      </c>
    </row>
    <row r="36" spans="1:9" x14ac:dyDescent="0.25">
      <c r="B36" t="s">
        <v>21</v>
      </c>
      <c r="D36" t="s">
        <v>22</v>
      </c>
    </row>
    <row r="38" spans="1:9" x14ac:dyDescent="0.25">
      <c r="B38" s="20" t="s">
        <v>23</v>
      </c>
      <c r="C38" s="20"/>
      <c r="D38" s="20"/>
      <c r="E38" s="20"/>
      <c r="F38" s="20"/>
      <c r="G38" s="20"/>
    </row>
    <row r="39" spans="1:9" x14ac:dyDescent="0.25">
      <c r="B39" s="20"/>
      <c r="C39" s="20"/>
      <c r="D39" s="20"/>
      <c r="E39" s="20"/>
      <c r="F39" s="20"/>
      <c r="G39" s="20"/>
    </row>
    <row r="40" spans="1:9" x14ac:dyDescent="0.25">
      <c r="B40" s="20"/>
      <c r="C40" s="20"/>
      <c r="D40" s="20"/>
      <c r="E40" s="20"/>
      <c r="F40" s="20"/>
      <c r="G40" s="20"/>
    </row>
    <row r="42" spans="1:9" x14ac:dyDescent="0.25">
      <c r="A42" t="s">
        <v>26</v>
      </c>
      <c r="B42" s="20" t="s">
        <v>27</v>
      </c>
      <c r="C42" s="20"/>
      <c r="D42" s="20"/>
      <c r="E42" s="20"/>
      <c r="F42" s="20"/>
      <c r="G42" s="20"/>
      <c r="H42" s="20"/>
      <c r="I42" s="20"/>
    </row>
    <row r="43" spans="1:9" x14ac:dyDescent="0.25">
      <c r="B43" s="20"/>
      <c r="C43" s="20"/>
      <c r="D43" s="20"/>
      <c r="E43" s="20"/>
      <c r="F43" s="20"/>
      <c r="G43" s="20"/>
      <c r="H43" s="20"/>
      <c r="I43" s="20"/>
    </row>
    <row r="44" spans="1:9" x14ac:dyDescent="0.25">
      <c r="B44" s="20"/>
      <c r="C44" s="20"/>
      <c r="D44" s="20"/>
      <c r="E44" s="20"/>
      <c r="F44" s="20"/>
      <c r="G44" s="20"/>
      <c r="H44" s="20"/>
      <c r="I44" s="20"/>
    </row>
    <row r="45" spans="1:9" x14ac:dyDescent="0.25">
      <c r="B45" s="20"/>
      <c r="C45" s="20"/>
      <c r="D45" s="20"/>
      <c r="E45" s="20"/>
      <c r="F45" s="20"/>
      <c r="G45" s="20"/>
      <c r="H45" s="20"/>
      <c r="I45" s="20"/>
    </row>
    <row r="46" spans="1:9" x14ac:dyDescent="0.25">
      <c r="B46" s="20"/>
      <c r="C46" s="20"/>
      <c r="D46" s="20"/>
      <c r="E46" s="20"/>
      <c r="F46" s="20"/>
      <c r="G46" s="20"/>
      <c r="H46" s="20"/>
      <c r="I46" s="20"/>
    </row>
    <row r="48" spans="1:9" ht="15.75" thickBot="1" x14ac:dyDescent="0.3">
      <c r="B48" t="s">
        <v>1</v>
      </c>
      <c r="C48" t="s">
        <v>0</v>
      </c>
    </row>
    <row r="49" spans="2:6" x14ac:dyDescent="0.25">
      <c r="B49">
        <v>1</v>
      </c>
      <c r="C49">
        <v>94</v>
      </c>
      <c r="D49" s="3"/>
      <c r="E49" s="9" t="s">
        <v>28</v>
      </c>
      <c r="F49" s="9"/>
    </row>
    <row r="50" spans="2:6" x14ac:dyDescent="0.25">
      <c r="B50">
        <v>2</v>
      </c>
      <c r="C50">
        <v>83</v>
      </c>
      <c r="E50" s="7"/>
      <c r="F50" s="7"/>
    </row>
    <row r="51" spans="2:6" x14ac:dyDescent="0.25">
      <c r="B51" s="3">
        <v>3</v>
      </c>
      <c r="C51">
        <v>78</v>
      </c>
      <c r="E51" s="7" t="s">
        <v>29</v>
      </c>
      <c r="F51" s="7">
        <v>85.92</v>
      </c>
    </row>
    <row r="52" spans="2:6" x14ac:dyDescent="0.25">
      <c r="B52" s="3">
        <v>4</v>
      </c>
      <c r="C52">
        <v>76</v>
      </c>
      <c r="E52" s="7" t="s">
        <v>30</v>
      </c>
      <c r="F52" s="7">
        <v>1.0784872247168953</v>
      </c>
    </row>
    <row r="53" spans="2:6" x14ac:dyDescent="0.25">
      <c r="B53" s="3">
        <v>5</v>
      </c>
      <c r="C53">
        <v>88</v>
      </c>
      <c r="E53" s="7" t="s">
        <v>31</v>
      </c>
      <c r="F53" s="7">
        <v>85.5</v>
      </c>
    </row>
    <row r="54" spans="2:6" x14ac:dyDescent="0.25">
      <c r="B54" s="3">
        <v>6</v>
      </c>
      <c r="C54">
        <v>86</v>
      </c>
      <c r="E54" s="7" t="s">
        <v>32</v>
      </c>
      <c r="F54" s="7">
        <v>83</v>
      </c>
    </row>
    <row r="55" spans="2:6" x14ac:dyDescent="0.25">
      <c r="B55" s="3">
        <v>7</v>
      </c>
      <c r="C55">
        <v>93</v>
      </c>
      <c r="E55" s="7" t="s">
        <v>33</v>
      </c>
      <c r="F55" s="7">
        <v>7.6260563002037669</v>
      </c>
    </row>
    <row r="56" spans="2:6" x14ac:dyDescent="0.25">
      <c r="B56" s="3">
        <v>8</v>
      </c>
      <c r="C56">
        <v>80</v>
      </c>
      <c r="E56" s="7" t="s">
        <v>34</v>
      </c>
      <c r="F56" s="7">
        <v>58.156734693877567</v>
      </c>
    </row>
    <row r="57" spans="2:6" x14ac:dyDescent="0.25">
      <c r="B57" s="3">
        <v>9</v>
      </c>
      <c r="C57">
        <v>91</v>
      </c>
      <c r="E57" s="7" t="s">
        <v>35</v>
      </c>
      <c r="F57" s="7">
        <v>-0.5052597914636614</v>
      </c>
    </row>
    <row r="58" spans="2:6" x14ac:dyDescent="0.25">
      <c r="B58" s="3">
        <v>10</v>
      </c>
      <c r="C58">
        <v>82</v>
      </c>
      <c r="E58" s="7" t="s">
        <v>36</v>
      </c>
      <c r="F58" s="7">
        <v>9.9314276867935064E-2</v>
      </c>
    </row>
    <row r="59" spans="2:6" x14ac:dyDescent="0.25">
      <c r="B59" s="3">
        <v>11</v>
      </c>
      <c r="C59">
        <v>89</v>
      </c>
      <c r="E59" s="7" t="s">
        <v>37</v>
      </c>
      <c r="F59" s="7">
        <v>32</v>
      </c>
    </row>
    <row r="60" spans="2:6" x14ac:dyDescent="0.25">
      <c r="B60" s="3">
        <v>12</v>
      </c>
      <c r="C60">
        <v>97</v>
      </c>
      <c r="E60" s="7" t="s">
        <v>38</v>
      </c>
      <c r="F60" s="7">
        <v>71</v>
      </c>
    </row>
    <row r="61" spans="2:6" x14ac:dyDescent="0.25">
      <c r="B61" s="3">
        <v>13</v>
      </c>
      <c r="C61">
        <v>92</v>
      </c>
      <c r="E61" s="7" t="s">
        <v>39</v>
      </c>
      <c r="F61" s="7">
        <v>103</v>
      </c>
    </row>
    <row r="62" spans="2:6" x14ac:dyDescent="0.25">
      <c r="B62" s="3">
        <v>14</v>
      </c>
      <c r="C62">
        <v>84</v>
      </c>
      <c r="E62" s="7" t="s">
        <v>40</v>
      </c>
      <c r="F62" s="7">
        <v>4296</v>
      </c>
    </row>
    <row r="63" spans="2:6" ht="15.75" thickBot="1" x14ac:dyDescent="0.3">
      <c r="B63" s="3">
        <v>15</v>
      </c>
      <c r="C63">
        <v>92</v>
      </c>
      <c r="E63" s="8" t="s">
        <v>41</v>
      </c>
      <c r="F63" s="8">
        <v>50</v>
      </c>
    </row>
    <row r="64" spans="2:6" x14ac:dyDescent="0.25">
      <c r="B64" s="3">
        <v>16</v>
      </c>
      <c r="C64">
        <v>80</v>
      </c>
      <c r="F64">
        <v>0</v>
      </c>
    </row>
    <row r="65" spans="2:11" x14ac:dyDescent="0.25">
      <c r="B65" s="3">
        <v>17</v>
      </c>
      <c r="C65">
        <v>85</v>
      </c>
    </row>
    <row r="66" spans="2:11" ht="14.45" customHeight="1" x14ac:dyDescent="0.25">
      <c r="B66" s="3">
        <v>18</v>
      </c>
      <c r="C66">
        <v>83</v>
      </c>
      <c r="E66" s="20" t="s">
        <v>42</v>
      </c>
      <c r="F66" s="20"/>
      <c r="G66" s="20"/>
      <c r="H66" s="20"/>
      <c r="I66" s="6"/>
    </row>
    <row r="67" spans="2:11" x14ac:dyDescent="0.25">
      <c r="B67" s="3">
        <v>19</v>
      </c>
      <c r="C67">
        <v>98</v>
      </c>
      <c r="E67" s="20"/>
      <c r="F67" s="20"/>
      <c r="G67" s="20"/>
      <c r="H67" s="20"/>
      <c r="I67" s="6"/>
    </row>
    <row r="68" spans="2:11" x14ac:dyDescent="0.25">
      <c r="B68" s="3">
        <v>20</v>
      </c>
      <c r="C68">
        <v>103</v>
      </c>
      <c r="E68" s="20"/>
      <c r="F68" s="20"/>
      <c r="G68" s="20"/>
      <c r="H68" s="20"/>
      <c r="I68" s="6"/>
    </row>
    <row r="69" spans="2:11" x14ac:dyDescent="0.25">
      <c r="B69" s="3">
        <v>21</v>
      </c>
      <c r="C69">
        <v>87</v>
      </c>
      <c r="E69" s="20"/>
      <c r="F69" s="20"/>
      <c r="G69" s="20"/>
      <c r="H69" s="20"/>
      <c r="I69" s="6"/>
    </row>
    <row r="70" spans="2:11" x14ac:dyDescent="0.25">
      <c r="B70" s="3">
        <v>22</v>
      </c>
      <c r="C70">
        <v>88</v>
      </c>
      <c r="E70" s="6"/>
      <c r="F70" s="6"/>
      <c r="G70" s="6"/>
      <c r="H70" s="6"/>
      <c r="I70" s="6"/>
    </row>
    <row r="71" spans="2:11" x14ac:dyDescent="0.25">
      <c r="B71" s="3">
        <v>23</v>
      </c>
      <c r="C71">
        <v>88</v>
      </c>
    </row>
    <row r="72" spans="2:11" x14ac:dyDescent="0.25">
      <c r="B72" s="3">
        <v>24</v>
      </c>
      <c r="C72">
        <v>81</v>
      </c>
      <c r="E72" s="11" t="s">
        <v>43</v>
      </c>
      <c r="F72" s="11" t="s">
        <v>44</v>
      </c>
      <c r="G72" s="11" t="s">
        <v>45</v>
      </c>
      <c r="J72" t="s">
        <v>46</v>
      </c>
      <c r="K72">
        <v>71</v>
      </c>
    </row>
    <row r="73" spans="2:11" x14ac:dyDescent="0.25">
      <c r="B73" s="3">
        <v>25</v>
      </c>
      <c r="C73">
        <v>95</v>
      </c>
      <c r="E73" s="13" t="s">
        <v>48</v>
      </c>
      <c r="F73">
        <v>70</v>
      </c>
      <c r="G73">
        <f t="array" ref="G73:G77">FREQUENCY(C49:C98,F73:F77)</f>
        <v>0</v>
      </c>
      <c r="J73" t="s">
        <v>47</v>
      </c>
      <c r="K73">
        <v>103</v>
      </c>
    </row>
    <row r="74" spans="2:11" x14ac:dyDescent="0.25">
      <c r="B74" s="3">
        <v>26</v>
      </c>
      <c r="C74">
        <v>86</v>
      </c>
      <c r="E74" s="13" t="s">
        <v>49</v>
      </c>
      <c r="F74">
        <v>80</v>
      </c>
      <c r="G74">
        <v>12</v>
      </c>
    </row>
    <row r="75" spans="2:11" x14ac:dyDescent="0.25">
      <c r="B75" s="3">
        <v>27</v>
      </c>
      <c r="C75">
        <v>99</v>
      </c>
      <c r="E75" s="13" t="s">
        <v>50</v>
      </c>
      <c r="F75">
        <v>90</v>
      </c>
      <c r="G75">
        <v>24</v>
      </c>
    </row>
    <row r="76" spans="2:11" x14ac:dyDescent="0.25">
      <c r="B76" s="3">
        <v>28</v>
      </c>
      <c r="C76">
        <v>81</v>
      </c>
      <c r="E76" s="13" t="s">
        <v>51</v>
      </c>
      <c r="F76">
        <v>100</v>
      </c>
      <c r="G76">
        <v>13</v>
      </c>
    </row>
    <row r="77" spans="2:11" ht="23.25" customHeight="1" x14ac:dyDescent="0.25">
      <c r="B77" s="3">
        <v>29</v>
      </c>
      <c r="C77">
        <v>87</v>
      </c>
      <c r="E77" s="10" t="s">
        <v>52</v>
      </c>
      <c r="F77">
        <v>110</v>
      </c>
      <c r="G77">
        <v>1</v>
      </c>
    </row>
    <row r="78" spans="2:11" x14ac:dyDescent="0.25">
      <c r="B78" s="3">
        <v>30</v>
      </c>
      <c r="C78">
        <v>90</v>
      </c>
    </row>
    <row r="79" spans="2:11" x14ac:dyDescent="0.25">
      <c r="B79" s="3">
        <v>31</v>
      </c>
      <c r="C79">
        <v>84</v>
      </c>
    </row>
    <row r="80" spans="2:11" x14ac:dyDescent="0.25">
      <c r="B80" s="3">
        <v>32</v>
      </c>
      <c r="C80">
        <v>97</v>
      </c>
    </row>
    <row r="81" spans="2:5" x14ac:dyDescent="0.25">
      <c r="B81" s="3">
        <v>33</v>
      </c>
      <c r="C81">
        <v>80</v>
      </c>
    </row>
    <row r="82" spans="2:5" x14ac:dyDescent="0.25">
      <c r="B82" s="3">
        <v>34</v>
      </c>
      <c r="C82">
        <v>75</v>
      </c>
    </row>
    <row r="83" spans="2:5" x14ac:dyDescent="0.25">
      <c r="B83" s="3">
        <v>35</v>
      </c>
      <c r="C83">
        <v>93</v>
      </c>
    </row>
    <row r="84" spans="2:5" x14ac:dyDescent="0.25">
      <c r="B84" s="3">
        <v>36</v>
      </c>
      <c r="C84">
        <v>95</v>
      </c>
    </row>
    <row r="85" spans="2:5" x14ac:dyDescent="0.25">
      <c r="B85" s="3">
        <v>37</v>
      </c>
      <c r="C85">
        <v>82</v>
      </c>
    </row>
    <row r="86" spans="2:5" x14ac:dyDescent="0.25">
      <c r="B86" s="3">
        <v>38</v>
      </c>
      <c r="C86">
        <v>82</v>
      </c>
    </row>
    <row r="87" spans="2:5" x14ac:dyDescent="0.25">
      <c r="B87" s="3">
        <v>39</v>
      </c>
      <c r="C87">
        <v>89</v>
      </c>
    </row>
    <row r="88" spans="2:5" x14ac:dyDescent="0.25">
      <c r="B88" s="3">
        <v>40</v>
      </c>
      <c r="C88">
        <v>72</v>
      </c>
    </row>
    <row r="89" spans="2:5" x14ac:dyDescent="0.25">
      <c r="B89" s="3">
        <v>41</v>
      </c>
      <c r="C89">
        <v>85</v>
      </c>
    </row>
    <row r="90" spans="2:5" x14ac:dyDescent="0.25">
      <c r="B90" s="3">
        <v>42</v>
      </c>
      <c r="C90">
        <v>83</v>
      </c>
      <c r="E90" s="12" t="s">
        <v>53</v>
      </c>
    </row>
    <row r="91" spans="2:5" x14ac:dyDescent="0.25">
      <c r="B91" s="3">
        <v>43</v>
      </c>
      <c r="C91">
        <v>75</v>
      </c>
    </row>
    <row r="92" spans="2:5" x14ac:dyDescent="0.25">
      <c r="B92" s="3">
        <v>44</v>
      </c>
      <c r="C92">
        <v>72</v>
      </c>
    </row>
    <row r="93" spans="2:5" x14ac:dyDescent="0.25">
      <c r="B93" s="3">
        <v>45</v>
      </c>
      <c r="C93">
        <v>83</v>
      </c>
    </row>
    <row r="94" spans="2:5" x14ac:dyDescent="0.25">
      <c r="B94" s="3">
        <v>46</v>
      </c>
      <c r="C94">
        <v>98</v>
      </c>
    </row>
    <row r="95" spans="2:5" x14ac:dyDescent="0.25">
      <c r="B95" s="3">
        <v>47</v>
      </c>
      <c r="C95">
        <v>77</v>
      </c>
    </row>
    <row r="96" spans="2:5" x14ac:dyDescent="0.25">
      <c r="B96" s="3">
        <v>48</v>
      </c>
      <c r="C96">
        <v>87</v>
      </c>
    </row>
    <row r="97" spans="1:15" x14ac:dyDescent="0.25">
      <c r="B97" s="3">
        <v>49</v>
      </c>
      <c r="C97">
        <v>71</v>
      </c>
    </row>
    <row r="98" spans="1:15" x14ac:dyDescent="0.25">
      <c r="B98" s="3">
        <v>50</v>
      </c>
      <c r="C98">
        <v>80</v>
      </c>
    </row>
    <row r="99" spans="1:15" x14ac:dyDescent="0.25">
      <c r="B99" s="3"/>
    </row>
    <row r="100" spans="1:15" x14ac:dyDescent="0.25">
      <c r="A100" s="12" t="s">
        <v>71</v>
      </c>
      <c r="B100" s="20" t="s">
        <v>70</v>
      </c>
      <c r="C100" s="20"/>
      <c r="D100" s="20"/>
      <c r="E100" s="20"/>
      <c r="F100" s="20"/>
      <c r="G100" s="20"/>
      <c r="H100" s="20"/>
      <c r="I100" s="20"/>
      <c r="J100" s="20"/>
      <c r="K100" s="12"/>
      <c r="L100" s="12"/>
      <c r="M100" s="12"/>
      <c r="N100" s="12"/>
      <c r="O100" s="12"/>
    </row>
    <row r="101" spans="1:15" x14ac:dyDescent="0.25">
      <c r="A101" s="12"/>
      <c r="B101" s="20"/>
      <c r="C101" s="20"/>
      <c r="D101" s="20"/>
      <c r="E101" s="20"/>
      <c r="F101" s="20"/>
      <c r="G101" s="20"/>
      <c r="H101" s="20"/>
      <c r="I101" s="20"/>
      <c r="J101" s="20"/>
      <c r="K101" s="12"/>
      <c r="L101" s="12"/>
      <c r="M101" s="12"/>
      <c r="N101" s="12"/>
      <c r="O101" s="12"/>
    </row>
    <row r="102" spans="1:15" x14ac:dyDescent="0.25">
      <c r="A102" s="12"/>
      <c r="B102" s="20"/>
      <c r="C102" s="20"/>
      <c r="D102" s="20"/>
      <c r="E102" s="20"/>
      <c r="F102" s="20"/>
      <c r="G102" s="20"/>
      <c r="H102" s="20"/>
      <c r="I102" s="20"/>
      <c r="J102" s="20"/>
      <c r="K102" s="12"/>
      <c r="L102" s="12"/>
      <c r="M102" s="12"/>
      <c r="N102" s="12"/>
      <c r="O102" s="12"/>
    </row>
    <row r="103" spans="1:15" x14ac:dyDescent="0.25">
      <c r="A103" s="12"/>
      <c r="B103" s="12"/>
      <c r="C103" s="12"/>
      <c r="D103" s="12"/>
      <c r="E103" s="12"/>
      <c r="F103" s="12"/>
      <c r="G103" s="12"/>
      <c r="H103" s="12"/>
      <c r="I103" s="12"/>
      <c r="J103" s="12"/>
      <c r="K103" s="12"/>
      <c r="L103" s="12"/>
      <c r="M103" s="12"/>
      <c r="N103" s="12"/>
      <c r="O103" s="12"/>
    </row>
    <row r="104" spans="1:15" x14ac:dyDescent="0.25">
      <c r="A104" s="12"/>
      <c r="B104" s="13"/>
      <c r="C104" s="19" t="s">
        <v>54</v>
      </c>
      <c r="D104" s="19"/>
      <c r="E104" s="19"/>
      <c r="F104" s="19"/>
      <c r="G104" s="19" t="s">
        <v>55</v>
      </c>
      <c r="H104" s="19"/>
      <c r="I104" s="19"/>
      <c r="J104" s="19"/>
      <c r="K104" s="12"/>
      <c r="L104" s="12"/>
      <c r="M104" s="12"/>
      <c r="N104" s="12"/>
      <c r="O104" s="12"/>
    </row>
    <row r="105" spans="1:15" x14ac:dyDescent="0.25">
      <c r="A105" s="12"/>
      <c r="B105" s="14" t="s">
        <v>56</v>
      </c>
      <c r="C105" s="14" t="s">
        <v>57</v>
      </c>
      <c r="D105" s="14" t="s">
        <v>58</v>
      </c>
      <c r="E105" s="14" t="s">
        <v>59</v>
      </c>
      <c r="F105" s="14" t="s">
        <v>60</v>
      </c>
      <c r="G105" s="14" t="s">
        <v>57</v>
      </c>
      <c r="H105" s="14" t="s">
        <v>61</v>
      </c>
      <c r="I105" s="14" t="s">
        <v>59</v>
      </c>
      <c r="J105" s="14" t="s">
        <v>60</v>
      </c>
      <c r="K105" s="12"/>
      <c r="L105" s="12"/>
      <c r="M105" s="12"/>
      <c r="N105" s="12"/>
      <c r="O105" s="12"/>
    </row>
    <row r="106" spans="1:15" x14ac:dyDescent="0.25">
      <c r="A106" s="12"/>
      <c r="B106" s="13">
        <v>1</v>
      </c>
      <c r="C106" s="13">
        <v>3.0449999999999999</v>
      </c>
      <c r="D106" s="13">
        <v>3.0409999999999999</v>
      </c>
      <c r="E106" s="13">
        <f>MAX(C106:D106)-MIN(C106:D106)</f>
        <v>4.0000000000000036E-3</v>
      </c>
      <c r="F106" s="13">
        <f>SUM(C106:D106)/2</f>
        <v>3.0430000000000001</v>
      </c>
      <c r="G106" s="13">
        <v>3.048</v>
      </c>
      <c r="H106" s="13">
        <v>3.0459999999999998</v>
      </c>
      <c r="I106" s="13">
        <f>MAX(G106:H106)-MIN(G106:H106)</f>
        <v>2.0000000000002238E-3</v>
      </c>
      <c r="J106" s="13">
        <f>AVERAGE(G106:H106)</f>
        <v>3.0469999999999997</v>
      </c>
      <c r="K106" s="12"/>
      <c r="L106" s="12"/>
      <c r="M106" s="12"/>
      <c r="N106" s="12"/>
      <c r="O106" s="12"/>
    </row>
    <row r="107" spans="1:15" x14ac:dyDescent="0.25">
      <c r="A107" s="12"/>
      <c r="B107" s="13">
        <v>2</v>
      </c>
      <c r="C107" s="13">
        <v>3.0369999999999999</v>
      </c>
      <c r="D107" s="13">
        <v>3.0379999999999998</v>
      </c>
      <c r="E107" s="13">
        <f t="shared" ref="E107:E115" si="0">MAX(C107:D107)-MIN(C107:D107)</f>
        <v>9.9999999999988987E-4</v>
      </c>
      <c r="F107" s="13">
        <f t="shared" ref="F107:F115" si="1">SUM(C107:D107)/2</f>
        <v>3.0374999999999996</v>
      </c>
      <c r="G107" s="13">
        <v>3.0310000000000001</v>
      </c>
      <c r="H107" s="13">
        <v>3.0379999999999998</v>
      </c>
      <c r="I107" s="13">
        <f>MAX(G107:H107)-MIN(G107:H107)</f>
        <v>6.9999999999996732E-3</v>
      </c>
      <c r="J107" s="13">
        <f t="shared" ref="J107:J115" si="2">AVERAGE(G107:H107)</f>
        <v>3.0345</v>
      </c>
      <c r="K107" s="12"/>
      <c r="L107" s="12"/>
      <c r="M107" s="12"/>
      <c r="N107" s="12"/>
      <c r="O107" s="12"/>
    </row>
    <row r="108" spans="1:15" x14ac:dyDescent="0.25">
      <c r="A108" s="12"/>
      <c r="B108" s="13">
        <v>3</v>
      </c>
      <c r="C108" s="13">
        <v>3.0320999999999998</v>
      </c>
      <c r="D108" s="13">
        <v>3.024</v>
      </c>
      <c r="E108" s="13">
        <f t="shared" si="0"/>
        <v>8.099999999999774E-3</v>
      </c>
      <c r="F108" s="13">
        <f t="shared" si="1"/>
        <v>3.0280499999999999</v>
      </c>
      <c r="G108" s="13">
        <v>3.0230000000000001</v>
      </c>
      <c r="H108" s="13">
        <v>3.0219999999999998</v>
      </c>
      <c r="I108" s="13">
        <f t="shared" ref="I108:I115" si="3">MAX(G108:H108)-MIN(G108:H108)</f>
        <v>1.000000000000334E-3</v>
      </c>
      <c r="J108" s="13">
        <f t="shared" si="2"/>
        <v>3.0225</v>
      </c>
      <c r="K108" s="12"/>
      <c r="L108" s="12"/>
      <c r="M108" s="12"/>
      <c r="N108" s="12"/>
      <c r="O108" s="12"/>
    </row>
    <row r="109" spans="1:15" x14ac:dyDescent="0.25">
      <c r="A109" s="12"/>
      <c r="B109" s="13">
        <v>4</v>
      </c>
      <c r="C109" s="13">
        <v>3.0169999999999999</v>
      </c>
      <c r="D109" s="13">
        <v>3.012</v>
      </c>
      <c r="E109" s="13">
        <f t="shared" si="0"/>
        <v>4.9999999999998934E-3</v>
      </c>
      <c r="F109" s="13">
        <f t="shared" si="1"/>
        <v>3.0145</v>
      </c>
      <c r="G109" s="13">
        <v>3.0110000000000001</v>
      </c>
      <c r="H109" s="13">
        <v>3.016</v>
      </c>
      <c r="I109" s="13">
        <f t="shared" si="3"/>
        <v>4.9999999999998934E-3</v>
      </c>
      <c r="J109" s="13">
        <f t="shared" si="2"/>
        <v>3.0135000000000001</v>
      </c>
      <c r="K109" s="12"/>
      <c r="L109" s="12"/>
      <c r="M109" s="12"/>
      <c r="N109" s="12"/>
      <c r="O109" s="12"/>
    </row>
    <row r="110" spans="1:15" x14ac:dyDescent="0.25">
      <c r="A110" s="12"/>
      <c r="B110" s="13">
        <v>5</v>
      </c>
      <c r="C110" s="13">
        <v>3.048</v>
      </c>
      <c r="D110" s="13">
        <v>3.0489999999999999</v>
      </c>
      <c r="E110" s="13">
        <f t="shared" si="0"/>
        <v>9.9999999999988987E-4</v>
      </c>
      <c r="F110" s="13">
        <f t="shared" si="1"/>
        <v>3.0484999999999998</v>
      </c>
      <c r="G110" s="13">
        <v>3.0419999999999998</v>
      </c>
      <c r="H110" s="13">
        <v>3.048</v>
      </c>
      <c r="I110" s="13">
        <f t="shared" si="3"/>
        <v>6.0000000000002274E-3</v>
      </c>
      <c r="J110" s="13">
        <f t="shared" si="2"/>
        <v>3.0449999999999999</v>
      </c>
      <c r="K110" s="12"/>
      <c r="L110" s="12"/>
      <c r="M110" s="12"/>
      <c r="N110" s="12"/>
      <c r="O110" s="12"/>
    </row>
    <row r="111" spans="1:15" x14ac:dyDescent="0.25">
      <c r="A111" s="12"/>
      <c r="B111" s="13">
        <v>6</v>
      </c>
      <c r="C111" s="13">
        <v>3.0459999999999998</v>
      </c>
      <c r="D111" s="13">
        <v>3.0449999999999999</v>
      </c>
      <c r="E111" s="13">
        <f t="shared" si="0"/>
        <v>9.9999999999988987E-4</v>
      </c>
      <c r="F111" s="13">
        <f t="shared" si="1"/>
        <v>3.0454999999999997</v>
      </c>
      <c r="G111" s="13">
        <v>3.0419999999999998</v>
      </c>
      <c r="H111" s="13">
        <v>3.0430000000000001</v>
      </c>
      <c r="I111" s="13">
        <f t="shared" si="3"/>
        <v>1.000000000000334E-3</v>
      </c>
      <c r="J111" s="13">
        <f t="shared" si="2"/>
        <v>3.0425</v>
      </c>
      <c r="K111" s="12"/>
      <c r="L111" s="12"/>
      <c r="M111" s="12"/>
      <c r="N111" s="12"/>
      <c r="O111" s="12"/>
    </row>
    <row r="112" spans="1:15" x14ac:dyDescent="0.25">
      <c r="A112" s="12"/>
      <c r="B112" s="13">
        <v>7</v>
      </c>
      <c r="C112" s="13">
        <v>3.0390000000000001</v>
      </c>
      <c r="D112" s="13">
        <v>3.0339999999999998</v>
      </c>
      <c r="E112" s="13">
        <f t="shared" si="0"/>
        <v>5.0000000000003375E-3</v>
      </c>
      <c r="F112" s="13">
        <f t="shared" si="1"/>
        <v>3.0365000000000002</v>
      </c>
      <c r="G112" s="13">
        <v>3.0329999999999999</v>
      </c>
      <c r="H112" s="13">
        <v>3.0350000000000001</v>
      </c>
      <c r="I112" s="13">
        <f t="shared" si="3"/>
        <v>2.0000000000002238E-3</v>
      </c>
      <c r="J112" s="13">
        <f t="shared" si="2"/>
        <v>3.0339999999999998</v>
      </c>
      <c r="K112" s="12"/>
      <c r="L112" s="12"/>
      <c r="M112" s="12"/>
      <c r="N112" s="12"/>
      <c r="O112" s="12"/>
    </row>
    <row r="113" spans="1:15" x14ac:dyDescent="0.25">
      <c r="A113" s="12"/>
      <c r="B113" s="13">
        <v>8</v>
      </c>
      <c r="C113" s="13">
        <v>3.0329999999999999</v>
      </c>
      <c r="D113" s="13">
        <v>3.0350000000000001</v>
      </c>
      <c r="E113" s="13">
        <f t="shared" si="0"/>
        <v>2.0000000000002238E-3</v>
      </c>
      <c r="F113" s="13">
        <f t="shared" si="1"/>
        <v>3.0339999999999998</v>
      </c>
      <c r="G113" s="13">
        <v>3.0379999999999998</v>
      </c>
      <c r="H113" s="13">
        <v>3.0369999999999999</v>
      </c>
      <c r="I113" s="13">
        <f t="shared" si="3"/>
        <v>9.9999999999988987E-4</v>
      </c>
      <c r="J113" s="13">
        <f t="shared" si="2"/>
        <v>3.0374999999999996</v>
      </c>
      <c r="K113" s="12"/>
      <c r="L113" s="12"/>
      <c r="M113" s="12"/>
      <c r="N113" s="12"/>
      <c r="O113" s="12"/>
    </row>
    <row r="114" spans="1:15" x14ac:dyDescent="0.25">
      <c r="A114" s="12"/>
      <c r="B114" s="13">
        <v>9</v>
      </c>
      <c r="C114" s="13">
        <v>3.048</v>
      </c>
      <c r="D114" s="13">
        <v>3.0409999999999999</v>
      </c>
      <c r="E114" s="13">
        <f t="shared" si="0"/>
        <v>7.0000000000001172E-3</v>
      </c>
      <c r="F114" s="13">
        <f t="shared" si="1"/>
        <v>3.0445000000000002</v>
      </c>
      <c r="G114" s="13">
        <v>3.0339999999999998</v>
      </c>
      <c r="H114" s="13">
        <v>3.032</v>
      </c>
      <c r="I114" s="13">
        <f t="shared" si="3"/>
        <v>1.9999999999997797E-3</v>
      </c>
      <c r="J114" s="13">
        <f t="shared" si="2"/>
        <v>3.0329999999999999</v>
      </c>
      <c r="K114" s="12"/>
      <c r="L114" s="12"/>
      <c r="M114" s="12"/>
      <c r="N114" s="12"/>
      <c r="O114" s="12"/>
    </row>
    <row r="115" spans="1:15" x14ac:dyDescent="0.25">
      <c r="A115" s="12"/>
      <c r="B115" s="13">
        <v>10</v>
      </c>
      <c r="C115" s="13">
        <v>3.0409999999999999</v>
      </c>
      <c r="D115" s="13">
        <v>3.0489999999999999</v>
      </c>
      <c r="E115" s="13">
        <f t="shared" si="0"/>
        <v>8.0000000000000071E-3</v>
      </c>
      <c r="F115" s="13">
        <f t="shared" si="1"/>
        <v>3.0449999999999999</v>
      </c>
      <c r="G115" s="13">
        <v>3.0459999999999998</v>
      </c>
      <c r="H115" s="13">
        <v>3.0449999999999999</v>
      </c>
      <c r="I115" s="13">
        <f t="shared" si="3"/>
        <v>9.9999999999988987E-4</v>
      </c>
      <c r="J115" s="13">
        <f t="shared" si="2"/>
        <v>3.0454999999999997</v>
      </c>
      <c r="K115" s="12"/>
      <c r="L115" s="12"/>
      <c r="M115" s="12"/>
      <c r="N115" s="12"/>
      <c r="O115" s="12"/>
    </row>
    <row r="116" spans="1:15" x14ac:dyDescent="0.25">
      <c r="A116" s="12"/>
      <c r="B116" s="12"/>
      <c r="C116" s="12"/>
      <c r="D116" s="12"/>
      <c r="E116" s="14">
        <f>AVERAGE(E106:E115)</f>
        <v>4.2100000000000028E-3</v>
      </c>
      <c r="F116" s="14">
        <f>AVERAGE(F106:F115)</f>
        <v>3.0377049999999999</v>
      </c>
      <c r="G116" s="5"/>
      <c r="H116" s="5"/>
      <c r="I116" s="14">
        <f>AVERAGE(I106:I115)</f>
        <v>2.8000000000000468E-3</v>
      </c>
      <c r="J116" s="14">
        <f>AVERAGE(J106:J115)</f>
        <v>3.0354999999999999</v>
      </c>
      <c r="K116" s="12"/>
      <c r="L116" s="12"/>
      <c r="M116" s="12"/>
      <c r="N116" s="12"/>
      <c r="O116" s="12"/>
    </row>
    <row r="117" spans="1:15" x14ac:dyDescent="0.25">
      <c r="A117" s="12"/>
      <c r="B117" s="12"/>
      <c r="C117" s="12"/>
      <c r="D117" s="12"/>
      <c r="E117" s="12"/>
      <c r="F117" s="12"/>
      <c r="G117" s="12"/>
      <c r="H117" s="12"/>
      <c r="I117" s="12"/>
      <c r="J117" s="12"/>
      <c r="K117" s="12"/>
      <c r="L117" s="12"/>
      <c r="M117" s="12"/>
      <c r="N117" s="12"/>
      <c r="O117" s="12"/>
    </row>
    <row r="118" spans="1:15" x14ac:dyDescent="0.25">
      <c r="A118" s="12"/>
      <c r="B118" s="12"/>
      <c r="C118" s="12"/>
      <c r="D118" s="12"/>
      <c r="E118" s="12"/>
      <c r="F118" s="12"/>
      <c r="G118" s="12"/>
      <c r="H118" s="12"/>
      <c r="I118" s="12"/>
      <c r="J118" s="12"/>
      <c r="K118" s="12"/>
      <c r="L118" s="12"/>
      <c r="M118" s="12"/>
      <c r="N118" s="12"/>
      <c r="O118" s="12"/>
    </row>
    <row r="119" spans="1:15" x14ac:dyDescent="0.25">
      <c r="A119" s="12"/>
      <c r="B119" s="12"/>
      <c r="C119" s="18" t="s">
        <v>62</v>
      </c>
      <c r="D119" s="18"/>
      <c r="E119" s="18"/>
      <c r="F119" s="18"/>
      <c r="G119" s="18"/>
      <c r="H119" s="18"/>
      <c r="I119" s="12"/>
      <c r="J119" s="12"/>
      <c r="K119" s="12"/>
      <c r="L119" s="12"/>
      <c r="M119" s="12"/>
      <c r="N119" s="12"/>
      <c r="O119" s="12"/>
    </row>
    <row r="120" spans="1:15" x14ac:dyDescent="0.25">
      <c r="A120" s="12"/>
      <c r="B120" s="12"/>
      <c r="C120" s="12"/>
      <c r="D120" s="12"/>
      <c r="E120" s="12"/>
      <c r="F120" s="12"/>
      <c r="G120" s="12"/>
      <c r="H120" s="12"/>
      <c r="I120" s="12"/>
      <c r="J120" s="12"/>
      <c r="K120" s="12"/>
      <c r="L120" s="12"/>
      <c r="M120" s="12"/>
      <c r="N120" s="12"/>
      <c r="O120" s="12"/>
    </row>
    <row r="121" spans="1:15" x14ac:dyDescent="0.25">
      <c r="A121" s="12"/>
      <c r="B121" s="12"/>
      <c r="C121" s="12"/>
      <c r="D121" s="12"/>
      <c r="E121" s="12"/>
      <c r="F121" s="12"/>
      <c r="G121" s="15">
        <f>(1/2)*SUM(E116,I116)</f>
        <v>3.5050000000000246E-3</v>
      </c>
      <c r="H121" s="12"/>
      <c r="I121" s="12"/>
      <c r="J121" s="12"/>
      <c r="K121" s="12"/>
      <c r="L121" s="12"/>
      <c r="M121" s="12"/>
      <c r="N121" s="12"/>
      <c r="O121" s="12"/>
    </row>
    <row r="122" spans="1:15" x14ac:dyDescent="0.25">
      <c r="A122" s="12"/>
      <c r="B122" s="12"/>
      <c r="C122" s="12"/>
      <c r="D122" s="12"/>
      <c r="E122" s="12"/>
      <c r="F122" s="12"/>
      <c r="G122" s="15"/>
      <c r="H122" s="12"/>
      <c r="I122" s="12"/>
      <c r="J122" s="12"/>
      <c r="K122" s="12"/>
      <c r="L122" s="12"/>
      <c r="M122" s="12"/>
      <c r="N122" s="12"/>
      <c r="O122" s="12"/>
    </row>
    <row r="123" spans="1:15" x14ac:dyDescent="0.25">
      <c r="A123" s="12"/>
      <c r="B123" s="12"/>
      <c r="C123" s="12"/>
      <c r="D123" s="12"/>
      <c r="E123" s="12"/>
      <c r="F123" s="12"/>
      <c r="G123" s="15">
        <f>F116-J116</f>
        <v>2.2050000000000125E-3</v>
      </c>
      <c r="H123" s="12"/>
      <c r="I123" s="12"/>
      <c r="J123" s="12"/>
      <c r="K123" s="12"/>
      <c r="L123" s="12"/>
      <c r="M123" s="12"/>
      <c r="N123" s="12"/>
      <c r="O123" s="12"/>
    </row>
    <row r="124" spans="1:15" x14ac:dyDescent="0.25">
      <c r="A124" s="12"/>
      <c r="B124" s="12"/>
      <c r="C124" s="12"/>
      <c r="D124" s="12"/>
      <c r="E124" s="12"/>
      <c r="F124" s="12"/>
      <c r="G124" s="15"/>
      <c r="H124" s="12"/>
      <c r="I124" s="12"/>
      <c r="J124" s="12"/>
      <c r="K124" s="12"/>
      <c r="L124" s="12"/>
      <c r="M124" s="12"/>
      <c r="N124" s="12"/>
      <c r="O124" s="12"/>
    </row>
    <row r="125" spans="1:15" x14ac:dyDescent="0.25">
      <c r="A125" s="12"/>
      <c r="B125" s="12"/>
      <c r="C125" s="12"/>
      <c r="D125" s="12"/>
      <c r="E125" s="12"/>
      <c r="F125" s="12"/>
      <c r="G125" s="15">
        <f>G121/1.128</f>
        <v>3.1072695035461212E-3</v>
      </c>
      <c r="H125" s="12" t="s">
        <v>63</v>
      </c>
      <c r="I125" s="12"/>
      <c r="J125" s="12"/>
      <c r="K125" s="12"/>
      <c r="L125" s="12"/>
      <c r="M125" s="12"/>
      <c r="N125" s="12"/>
      <c r="O125" s="12"/>
    </row>
    <row r="126" spans="1:15" x14ac:dyDescent="0.25">
      <c r="A126" s="12"/>
      <c r="B126" s="12"/>
      <c r="C126" s="12"/>
      <c r="D126" s="12"/>
      <c r="E126" s="12"/>
      <c r="F126" s="12"/>
      <c r="G126" s="15"/>
      <c r="H126" s="12"/>
      <c r="I126" s="12"/>
      <c r="J126" s="12"/>
      <c r="K126" s="12"/>
      <c r="L126" s="12"/>
      <c r="M126" s="12"/>
      <c r="N126" s="12"/>
      <c r="O126" s="12"/>
    </row>
    <row r="127" spans="1:15" x14ac:dyDescent="0.25">
      <c r="A127" s="12"/>
      <c r="B127" s="12"/>
      <c r="C127" s="12"/>
      <c r="D127" s="12"/>
      <c r="E127" s="12"/>
      <c r="F127" s="12"/>
      <c r="G127" s="15"/>
      <c r="H127" s="12"/>
      <c r="I127" s="12"/>
      <c r="J127" s="12"/>
      <c r="K127" s="12"/>
      <c r="L127" s="12"/>
      <c r="M127" s="12"/>
      <c r="N127" s="12"/>
      <c r="O127" s="12"/>
    </row>
    <row r="128" spans="1:15" x14ac:dyDescent="0.25">
      <c r="A128" s="12"/>
      <c r="B128" s="12"/>
      <c r="C128" s="12"/>
      <c r="D128" s="12"/>
      <c r="E128" s="12"/>
      <c r="F128" s="12"/>
      <c r="G128" s="15">
        <f>G123/1.128</f>
        <v>1.9547872340425643E-3</v>
      </c>
      <c r="H128" s="12" t="s">
        <v>64</v>
      </c>
      <c r="I128" s="12"/>
      <c r="J128" s="12"/>
      <c r="K128" s="12"/>
      <c r="L128" s="12"/>
      <c r="M128" s="12"/>
      <c r="N128" s="12"/>
      <c r="O128" s="12"/>
    </row>
    <row r="129" spans="1:15" x14ac:dyDescent="0.25">
      <c r="A129" s="12"/>
      <c r="B129" s="12"/>
      <c r="C129" s="12"/>
      <c r="D129" s="12"/>
      <c r="E129" s="12"/>
      <c r="F129" s="12"/>
      <c r="G129" s="12"/>
      <c r="H129" s="12"/>
      <c r="I129" s="12"/>
      <c r="J129" s="12"/>
      <c r="K129" s="12"/>
      <c r="L129" s="12"/>
      <c r="M129" s="12"/>
      <c r="N129" s="12"/>
      <c r="O129" s="12"/>
    </row>
    <row r="130" spans="1:15" x14ac:dyDescent="0.25">
      <c r="A130" s="12"/>
      <c r="B130" s="12"/>
      <c r="C130" s="12"/>
      <c r="D130" s="12"/>
      <c r="E130" s="12"/>
      <c r="F130" s="12"/>
      <c r="G130" s="12"/>
      <c r="H130" s="12"/>
      <c r="I130" s="12"/>
      <c r="J130" s="12"/>
      <c r="K130" s="12"/>
      <c r="L130" s="12"/>
      <c r="M130" s="12"/>
      <c r="N130" s="12"/>
      <c r="O130" s="12"/>
    </row>
    <row r="131" spans="1:15" x14ac:dyDescent="0.25">
      <c r="A131" s="12"/>
      <c r="B131" s="12"/>
      <c r="C131" s="18" t="s">
        <v>65</v>
      </c>
      <c r="D131" s="18"/>
      <c r="E131" s="18"/>
      <c r="F131" s="18"/>
      <c r="G131" s="18"/>
      <c r="H131" s="18"/>
      <c r="I131" s="18"/>
      <c r="J131" s="18"/>
      <c r="K131" s="18"/>
      <c r="L131" s="18"/>
      <c r="M131" s="18"/>
      <c r="N131" s="18"/>
      <c r="O131" s="12"/>
    </row>
    <row r="132" spans="1:15" x14ac:dyDescent="0.25">
      <c r="A132" s="12"/>
      <c r="B132" s="12"/>
      <c r="C132" s="12"/>
      <c r="D132" s="12"/>
      <c r="E132" s="12"/>
      <c r="F132" s="12"/>
      <c r="G132" s="12"/>
      <c r="H132" s="12"/>
      <c r="I132" s="12"/>
      <c r="J132" s="12"/>
      <c r="K132" s="12"/>
      <c r="L132" s="12"/>
      <c r="M132" s="12"/>
      <c r="N132" s="12"/>
      <c r="O132" s="12"/>
    </row>
    <row r="133" spans="1:15" x14ac:dyDescent="0.25">
      <c r="A133" s="12"/>
      <c r="B133" s="12"/>
      <c r="C133" s="12"/>
      <c r="D133" s="12"/>
      <c r="E133" s="12"/>
      <c r="F133" s="12"/>
      <c r="G133" s="12"/>
      <c r="H133" s="12"/>
      <c r="I133" s="15">
        <f>(G125^2)+(G128^2)</f>
        <v>1.3476316898043538E-5</v>
      </c>
      <c r="J133" s="12"/>
      <c r="K133" s="12"/>
      <c r="L133" s="12"/>
      <c r="M133" s="12"/>
      <c r="N133" s="12"/>
      <c r="O133" s="12"/>
    </row>
    <row r="134" spans="1:15" x14ac:dyDescent="0.25">
      <c r="A134" s="12"/>
      <c r="B134" s="12"/>
      <c r="C134" s="12"/>
      <c r="D134" s="12"/>
      <c r="E134" s="12"/>
      <c r="F134" s="12"/>
      <c r="G134" s="12"/>
      <c r="H134" s="12"/>
      <c r="I134" s="12"/>
      <c r="J134" s="12"/>
      <c r="K134" s="12"/>
      <c r="L134" s="12"/>
      <c r="M134" s="12"/>
      <c r="N134" s="12"/>
      <c r="O134" s="12"/>
    </row>
    <row r="135" spans="1:15" x14ac:dyDescent="0.25">
      <c r="A135" s="12"/>
      <c r="B135" s="12"/>
      <c r="C135" s="12"/>
      <c r="D135" s="12"/>
      <c r="E135" s="12"/>
      <c r="F135" s="12"/>
      <c r="G135" s="12"/>
      <c r="H135" s="12"/>
      <c r="I135" s="12"/>
      <c r="J135" s="12"/>
      <c r="K135" s="12"/>
      <c r="L135" s="12"/>
      <c r="M135" s="12"/>
      <c r="N135" s="12"/>
      <c r="O135" s="12"/>
    </row>
    <row r="136" spans="1:15" x14ac:dyDescent="0.25">
      <c r="A136" s="12"/>
      <c r="B136" s="12"/>
      <c r="C136" s="12"/>
      <c r="D136" s="12"/>
      <c r="E136" s="12"/>
      <c r="F136" s="12"/>
      <c r="G136" s="5">
        <f>SQRT(I133)</f>
        <v>3.6710103375015902E-3</v>
      </c>
      <c r="H136" s="12" t="s">
        <v>66</v>
      </c>
      <c r="I136" s="16">
        <f>G136</f>
        <v>3.6710103375015902E-3</v>
      </c>
      <c r="J136" s="12"/>
      <c r="K136" s="12"/>
      <c r="L136" s="12"/>
      <c r="M136" s="12"/>
      <c r="N136" s="12"/>
      <c r="O136" s="12"/>
    </row>
    <row r="137" spans="1:15" x14ac:dyDescent="0.25">
      <c r="A137" s="12"/>
      <c r="B137" s="12"/>
      <c r="C137" s="12"/>
      <c r="D137" s="12"/>
      <c r="E137" s="12"/>
      <c r="F137" s="12"/>
      <c r="G137" s="12"/>
      <c r="H137" s="12"/>
      <c r="I137" s="12"/>
      <c r="J137" s="12"/>
      <c r="K137" s="12"/>
      <c r="L137" s="12"/>
      <c r="M137" s="12"/>
      <c r="N137" s="12"/>
      <c r="O137" s="12"/>
    </row>
    <row r="138" spans="1:15" x14ac:dyDescent="0.25">
      <c r="A138" s="12"/>
      <c r="B138" s="12"/>
      <c r="C138" s="12"/>
      <c r="D138" s="12"/>
      <c r="E138" s="12" t="s">
        <v>67</v>
      </c>
      <c r="F138" s="12"/>
      <c r="G138" s="12"/>
      <c r="H138" s="12"/>
      <c r="I138" s="12"/>
      <c r="J138" s="12"/>
      <c r="K138" s="12"/>
      <c r="L138" s="12"/>
      <c r="M138" s="12"/>
      <c r="N138" s="12"/>
      <c r="O138" s="12"/>
    </row>
    <row r="139" spans="1:15" x14ac:dyDescent="0.25">
      <c r="A139" s="12"/>
      <c r="B139" s="12"/>
      <c r="C139" s="12"/>
      <c r="D139" s="12"/>
      <c r="E139" s="12"/>
      <c r="F139" s="12"/>
      <c r="G139" s="12"/>
      <c r="H139" s="12"/>
      <c r="I139" s="12"/>
      <c r="J139" s="12"/>
      <c r="K139" s="12"/>
      <c r="L139" s="12"/>
      <c r="M139" s="12"/>
      <c r="N139" s="12"/>
      <c r="O139" s="12"/>
    </row>
    <row r="140" spans="1:15" x14ac:dyDescent="0.25">
      <c r="A140" s="12"/>
      <c r="B140" s="12"/>
      <c r="C140" s="18" t="s">
        <v>72</v>
      </c>
      <c r="D140" s="18"/>
      <c r="E140" s="18"/>
      <c r="F140" s="18"/>
      <c r="G140" s="18"/>
      <c r="H140" s="18"/>
      <c r="I140" s="18"/>
      <c r="J140" s="18"/>
      <c r="K140" s="18"/>
      <c r="L140" s="18"/>
      <c r="M140" s="18"/>
      <c r="N140" s="18"/>
      <c r="O140" s="18"/>
    </row>
    <row r="141" spans="1:15" x14ac:dyDescent="0.25">
      <c r="A141" s="12"/>
      <c r="B141" s="12"/>
      <c r="C141" s="12"/>
      <c r="D141" s="12"/>
      <c r="E141" s="12"/>
      <c r="F141" s="12"/>
      <c r="G141" s="12"/>
      <c r="H141" s="12"/>
      <c r="I141" s="12"/>
      <c r="J141" s="12"/>
      <c r="K141" s="12"/>
      <c r="L141" s="12"/>
      <c r="M141" s="12"/>
      <c r="N141" s="12"/>
      <c r="O141" s="12"/>
    </row>
    <row r="142" spans="1:15" x14ac:dyDescent="0.25">
      <c r="A142" s="12"/>
      <c r="B142" s="12"/>
      <c r="C142" s="12" t="s">
        <v>68</v>
      </c>
      <c r="D142" s="5">
        <f>3.035-0.05</f>
        <v>2.9850000000000003</v>
      </c>
      <c r="E142" s="12"/>
      <c r="F142" s="12"/>
      <c r="G142" s="12"/>
      <c r="H142" s="12"/>
      <c r="I142" s="17">
        <f>(6*G136)/(D143-D142)</f>
        <v>0.22026062025009621</v>
      </c>
      <c r="J142" s="12"/>
      <c r="K142" s="12"/>
      <c r="L142" s="12"/>
      <c r="M142" s="12"/>
      <c r="N142" s="12"/>
      <c r="O142" s="12"/>
    </row>
    <row r="143" spans="1:15" x14ac:dyDescent="0.25">
      <c r="A143" s="12"/>
      <c r="B143" s="12"/>
      <c r="C143" s="12" t="s">
        <v>69</v>
      </c>
      <c r="D143" s="5">
        <f>3.035+0.05</f>
        <v>3.085</v>
      </c>
      <c r="E143" s="12"/>
      <c r="F143" s="12"/>
      <c r="G143" s="12"/>
      <c r="H143" s="12"/>
      <c r="I143" s="12"/>
      <c r="J143" s="12"/>
      <c r="K143" s="12"/>
      <c r="L143" s="12"/>
      <c r="M143" s="12"/>
      <c r="N143" s="12"/>
      <c r="O143" s="12"/>
    </row>
    <row r="144" spans="1:15" x14ac:dyDescent="0.25">
      <c r="A144" s="12"/>
      <c r="B144" s="12"/>
      <c r="C144" s="12"/>
      <c r="D144" s="12"/>
      <c r="E144" s="12"/>
      <c r="F144" s="12"/>
      <c r="G144" s="12"/>
      <c r="H144" s="12"/>
      <c r="I144" s="12"/>
      <c r="J144" s="12"/>
      <c r="K144" s="12"/>
      <c r="L144" s="12"/>
      <c r="M144" s="12"/>
      <c r="N144" s="12"/>
      <c r="O144" s="12"/>
    </row>
    <row r="145" spans="1:15" x14ac:dyDescent="0.25">
      <c r="A145" s="12"/>
      <c r="B145" s="12"/>
      <c r="C145" s="12"/>
      <c r="D145" s="12"/>
      <c r="E145" s="12"/>
      <c r="F145" s="12"/>
      <c r="G145" s="12"/>
      <c r="H145" s="12"/>
      <c r="I145" s="12"/>
      <c r="J145" s="12"/>
      <c r="K145" s="12"/>
      <c r="L145" s="12"/>
      <c r="M145" s="12"/>
      <c r="N145" s="12"/>
      <c r="O145" s="12"/>
    </row>
    <row r="146" spans="1:15" x14ac:dyDescent="0.25">
      <c r="A146" s="12"/>
      <c r="B146" s="12"/>
      <c r="C146" s="12"/>
      <c r="D146" s="12"/>
      <c r="E146" s="12"/>
      <c r="F146" s="12"/>
      <c r="G146" s="12"/>
      <c r="H146" s="12"/>
      <c r="I146" s="12"/>
      <c r="J146" s="12"/>
      <c r="K146" s="12"/>
      <c r="L146" s="12"/>
      <c r="M146" s="12"/>
      <c r="N146" s="12"/>
      <c r="O146" s="12"/>
    </row>
    <row r="147" spans="1:15" x14ac:dyDescent="0.25">
      <c r="A147" s="12"/>
      <c r="B147" s="12"/>
      <c r="C147" s="12"/>
      <c r="D147" s="12"/>
      <c r="E147" s="12"/>
      <c r="F147" s="12"/>
      <c r="G147" s="12"/>
      <c r="H147" s="12"/>
      <c r="I147" s="12"/>
      <c r="J147" s="12"/>
      <c r="K147" s="12"/>
      <c r="L147" s="12"/>
      <c r="M147" s="12"/>
      <c r="N147" s="12"/>
      <c r="O147" s="12"/>
    </row>
    <row r="148" spans="1:15" x14ac:dyDescent="0.25">
      <c r="A148" s="12"/>
      <c r="B148" s="12"/>
      <c r="C148" s="12"/>
      <c r="D148" s="12"/>
      <c r="E148" s="12"/>
      <c r="F148" s="12"/>
      <c r="G148" s="12"/>
      <c r="H148" s="12"/>
      <c r="I148" s="12"/>
      <c r="J148" s="12"/>
      <c r="K148" s="12"/>
      <c r="L148" s="12"/>
      <c r="M148" s="12"/>
      <c r="N148" s="12"/>
      <c r="O148" s="12"/>
    </row>
  </sheetData>
  <mergeCells count="10">
    <mergeCell ref="B2:I8"/>
    <mergeCell ref="B38:G40"/>
    <mergeCell ref="B42:I46"/>
    <mergeCell ref="E66:H69"/>
    <mergeCell ref="C140:O140"/>
    <mergeCell ref="C104:F104"/>
    <mergeCell ref="G104:J104"/>
    <mergeCell ref="B100:J102"/>
    <mergeCell ref="C119:H119"/>
    <mergeCell ref="C131:N131"/>
  </mergeCells>
  <pageMargins left="0.7" right="0.7" top="0.75" bottom="0.75" header="0.3" footer="0.3"/>
  <pageSetup orientation="portrait" r:id="rId1"/>
  <ignoredErrors>
    <ignoredError sqref="E106:E115 F106:F115"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dc:creator>
  <cp:lastModifiedBy>pateldaksh3120@gmail.com</cp:lastModifiedBy>
  <dcterms:created xsi:type="dcterms:W3CDTF">2021-01-13T05:50:50Z</dcterms:created>
  <dcterms:modified xsi:type="dcterms:W3CDTF">2021-12-15T05:25:19Z</dcterms:modified>
</cp:coreProperties>
</file>