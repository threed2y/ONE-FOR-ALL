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patel\Desktop\Msc sem3\SSQI\"/>
    </mc:Choice>
  </mc:AlternateContent>
  <xr:revisionPtr revIDLastSave="0" documentId="13_ncr:1_{7D7464DD-7756-484A-AB62-402ED5CF86F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2" l="1"/>
  <c r="E9" i="2"/>
  <c r="E12" i="2" s="1"/>
  <c r="F16" i="2" s="1"/>
  <c r="E18" i="2" s="1"/>
  <c r="E8" i="2"/>
  <c r="E18" i="1"/>
  <c r="F16" i="1"/>
  <c r="E16" i="1"/>
  <c r="E11" i="2" l="1"/>
  <c r="E12" i="1"/>
  <c r="E11" i="1"/>
  <c r="E9" i="1"/>
  <c r="E8" i="1"/>
</calcChain>
</file>

<file path=xl/sharedStrings.xml><?xml version="1.0" encoding="utf-8"?>
<sst xmlns="http://schemas.openxmlformats.org/spreadsheetml/2006/main" count="30" uniqueCount="15">
  <si>
    <t>Q.</t>
  </si>
  <si>
    <t>specification limit 25+ -6.</t>
  </si>
  <si>
    <t>find σ level  of the process.  (22,28,18,20,25,16,12,32,29,26,28,28,31,20,19,25,29,33,24,21,22)</t>
  </si>
  <si>
    <t>LSL=</t>
  </si>
  <si>
    <t>USL=</t>
  </si>
  <si>
    <t>MEAN=</t>
  </si>
  <si>
    <t>SD=</t>
  </si>
  <si>
    <t>ZL=</t>
  </si>
  <si>
    <t>ZU=</t>
  </si>
  <si>
    <t xml:space="preserve"> σ </t>
  </si>
  <si>
    <r>
      <t>x</t>
    </r>
    <r>
      <rPr>
        <sz val="11"/>
        <color theme="1"/>
        <rFont val="Calibri"/>
        <family val="2"/>
      </rPr>
      <t>̅</t>
    </r>
  </si>
  <si>
    <t>P(DEFECTIVE)=</t>
  </si>
  <si>
    <r>
      <t>P(Z &lt; Z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 + P(Z &gt; Z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>)</t>
    </r>
  </si>
  <si>
    <t>=</t>
  </si>
  <si>
    <t>P(Z &lt; -0.9589) + P(Z &gt; 1.2580)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</si>
</sst>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5"/>
  <sheetViews>
    <sheetView workbookViewId="0">
      <selection sqref="A1:XFD1048576"/>
    </sheetView>
  </sheetViews>
  <sheetFormatPr defaultRowHeight="15" x14ac:dyDescent="0.25"/>
  <cols>
    <col min="4" max="4" width="13.42578125" customWidth="1"/>
  </cols>
  <sheetData>
    <row r="2" spans="1:7" x14ac:dyDescent="0.25">
      <c r="A2" t="s">
        <v>0</v>
      </c>
      <c r="B2" t="s">
        <v>2</v>
      </c>
    </row>
    <row r="3" spans="1:7" x14ac:dyDescent="0.25">
      <c r="B3" t="s">
        <v>1</v>
      </c>
    </row>
    <row r="5" spans="1:7" x14ac:dyDescent="0.25">
      <c r="B5">
        <v>22</v>
      </c>
    </row>
    <row r="6" spans="1:7" x14ac:dyDescent="0.25">
      <c r="B6">
        <v>28</v>
      </c>
      <c r="D6" t="s">
        <v>3</v>
      </c>
      <c r="E6">
        <v>19</v>
      </c>
    </row>
    <row r="7" spans="1:7" x14ac:dyDescent="0.25">
      <c r="B7">
        <v>18</v>
      </c>
      <c r="D7" t="s">
        <v>4</v>
      </c>
      <c r="E7">
        <v>31</v>
      </c>
    </row>
    <row r="8" spans="1:7" x14ac:dyDescent="0.25">
      <c r="B8">
        <v>20</v>
      </c>
      <c r="D8" t="s">
        <v>5</v>
      </c>
      <c r="E8">
        <f>AVERAGE(B5:B25)</f>
        <v>24.19047619047619</v>
      </c>
      <c r="F8" s="1" t="s">
        <v>10</v>
      </c>
    </row>
    <row r="9" spans="1:7" x14ac:dyDescent="0.25">
      <c r="B9">
        <v>25</v>
      </c>
      <c r="D9" t="s">
        <v>6</v>
      </c>
      <c r="E9">
        <f>STDEVP(B5:B25)</f>
        <v>5.4126751384315508</v>
      </c>
      <c r="F9" s="1" t="s">
        <v>9</v>
      </c>
    </row>
    <row r="10" spans="1:7" x14ac:dyDescent="0.25">
      <c r="B10">
        <v>16</v>
      </c>
    </row>
    <row r="11" spans="1:7" x14ac:dyDescent="0.25">
      <c r="B11">
        <v>12</v>
      </c>
      <c r="D11" t="s">
        <v>7</v>
      </c>
      <c r="E11">
        <f>(E6-E8)/E9</f>
        <v>-0.95894840494348454</v>
      </c>
    </row>
    <row r="12" spans="1:7" x14ac:dyDescent="0.25">
      <c r="B12">
        <v>32</v>
      </c>
      <c r="D12" t="s">
        <v>8</v>
      </c>
      <c r="E12">
        <f>(E7-E8)/E9</f>
        <v>1.2580699257515442</v>
      </c>
    </row>
    <row r="13" spans="1:7" x14ac:dyDescent="0.25">
      <c r="B13">
        <v>29</v>
      </c>
    </row>
    <row r="14" spans="1:7" ht="18" x14ac:dyDescent="0.35">
      <c r="B14">
        <v>26</v>
      </c>
      <c r="D14" t="s">
        <v>11</v>
      </c>
      <c r="E14" s="4" t="s">
        <v>12</v>
      </c>
      <c r="F14" s="4"/>
    </row>
    <row r="15" spans="1:7" x14ac:dyDescent="0.25">
      <c r="B15">
        <v>28</v>
      </c>
      <c r="D15" s="2" t="s">
        <v>13</v>
      </c>
      <c r="E15" s="4" t="s">
        <v>14</v>
      </c>
      <c r="F15" s="4"/>
      <c r="G15" s="4"/>
    </row>
    <row r="16" spans="1:7" x14ac:dyDescent="0.25">
      <c r="B16">
        <v>28</v>
      </c>
      <c r="E16">
        <f>_xlfn.NORM.S.DIST(-0.9589,TRUE)</f>
        <v>0.16880456239267186</v>
      </c>
      <c r="F16">
        <f>1-_xlfn.NORM.S.DIST(E12,TRUE)</f>
        <v>0.10418323429265974</v>
      </c>
    </row>
    <row r="17" spans="2:5" x14ac:dyDescent="0.25">
      <c r="B17">
        <v>31</v>
      </c>
    </row>
    <row r="18" spans="2:5" x14ac:dyDescent="0.25">
      <c r="B18">
        <v>20</v>
      </c>
      <c r="E18">
        <f>E16+F16</f>
        <v>0.27298779668533157</v>
      </c>
    </row>
    <row r="19" spans="2:5" x14ac:dyDescent="0.25">
      <c r="B19">
        <v>19</v>
      </c>
    </row>
    <row r="20" spans="2:5" x14ac:dyDescent="0.25">
      <c r="B20">
        <v>25</v>
      </c>
    </row>
    <row r="21" spans="2:5" x14ac:dyDescent="0.25">
      <c r="B21">
        <v>29</v>
      </c>
    </row>
    <row r="22" spans="2:5" x14ac:dyDescent="0.25">
      <c r="B22">
        <v>33</v>
      </c>
    </row>
    <row r="23" spans="2:5" x14ac:dyDescent="0.25">
      <c r="B23">
        <v>24</v>
      </c>
    </row>
    <row r="24" spans="2:5" x14ac:dyDescent="0.25">
      <c r="B24">
        <v>21</v>
      </c>
    </row>
    <row r="25" spans="2:5" x14ac:dyDescent="0.25">
      <c r="B25">
        <v>22</v>
      </c>
    </row>
  </sheetData>
  <mergeCells count="2">
    <mergeCell ref="E14:F14"/>
    <mergeCell ref="E15:G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A4E5-B351-404E-B948-86D5CC217B76}">
  <dimension ref="A2:G25"/>
  <sheetViews>
    <sheetView tabSelected="1" topLeftCell="A5" workbookViewId="0">
      <selection activeCell="I23" sqref="I23"/>
    </sheetView>
  </sheetViews>
  <sheetFormatPr defaultRowHeight="15" x14ac:dyDescent="0.25"/>
  <cols>
    <col min="4" max="4" width="13.42578125" customWidth="1"/>
  </cols>
  <sheetData>
    <row r="2" spans="1:7" x14ac:dyDescent="0.25">
      <c r="A2" t="s">
        <v>0</v>
      </c>
      <c r="B2" t="s">
        <v>2</v>
      </c>
    </row>
    <row r="3" spans="1:7" x14ac:dyDescent="0.25">
      <c r="B3" t="s">
        <v>1</v>
      </c>
    </row>
    <row r="5" spans="1:7" x14ac:dyDescent="0.25">
      <c r="B5">
        <v>22</v>
      </c>
    </row>
    <row r="6" spans="1:7" x14ac:dyDescent="0.25">
      <c r="B6">
        <v>28</v>
      </c>
      <c r="D6" t="s">
        <v>3</v>
      </c>
      <c r="E6">
        <v>19</v>
      </c>
    </row>
    <row r="7" spans="1:7" x14ac:dyDescent="0.25">
      <c r="B7">
        <v>18</v>
      </c>
      <c r="D7" t="s">
        <v>4</v>
      </c>
      <c r="E7">
        <v>31</v>
      </c>
    </row>
    <row r="8" spans="1:7" x14ac:dyDescent="0.25">
      <c r="B8">
        <v>20</v>
      </c>
      <c r="D8" t="s">
        <v>5</v>
      </c>
      <c r="E8">
        <f>AVERAGE(B5:B25)</f>
        <v>24.19047619047619</v>
      </c>
      <c r="F8" s="3" t="s">
        <v>10</v>
      </c>
    </row>
    <row r="9" spans="1:7" x14ac:dyDescent="0.25">
      <c r="B9">
        <v>25</v>
      </c>
      <c r="D9" t="s">
        <v>6</v>
      </c>
      <c r="E9">
        <f>STDEVP(B5:B25)</f>
        <v>5.4126751384315508</v>
      </c>
      <c r="F9" s="3" t="s">
        <v>9</v>
      </c>
    </row>
    <row r="10" spans="1:7" x14ac:dyDescent="0.25">
      <c r="B10">
        <v>16</v>
      </c>
    </row>
    <row r="11" spans="1:7" x14ac:dyDescent="0.25">
      <c r="B11">
        <v>12</v>
      </c>
      <c r="D11" t="s">
        <v>7</v>
      </c>
      <c r="E11">
        <f>(E6-E8)/E9</f>
        <v>-0.95894840494348454</v>
      </c>
    </row>
    <row r="12" spans="1:7" x14ac:dyDescent="0.25">
      <c r="B12">
        <v>32</v>
      </c>
      <c r="D12" t="s">
        <v>8</v>
      </c>
      <c r="E12">
        <f>(E7-E8)/E9</f>
        <v>1.2580699257515442</v>
      </c>
    </row>
    <row r="13" spans="1:7" x14ac:dyDescent="0.25">
      <c r="B13">
        <v>29</v>
      </c>
    </row>
    <row r="14" spans="1:7" ht="18" x14ac:dyDescent="0.35">
      <c r="B14">
        <v>26</v>
      </c>
      <c r="D14" t="s">
        <v>11</v>
      </c>
      <c r="E14" s="4" t="s">
        <v>12</v>
      </c>
      <c r="F14" s="4"/>
    </row>
    <row r="15" spans="1:7" x14ac:dyDescent="0.25">
      <c r="B15">
        <v>28</v>
      </c>
      <c r="D15" s="2" t="s">
        <v>13</v>
      </c>
      <c r="E15" s="4" t="s">
        <v>14</v>
      </c>
      <c r="F15" s="4"/>
      <c r="G15" s="4"/>
    </row>
    <row r="16" spans="1:7" x14ac:dyDescent="0.25">
      <c r="B16">
        <v>28</v>
      </c>
      <c r="E16">
        <f>_xlfn.NORM.S.DIST(-0.9589,TRUE)</f>
        <v>0.16880456239267186</v>
      </c>
      <c r="F16">
        <f>1-_xlfn.NORM.S.DIST(E12,TRUE)</f>
        <v>0.10418323429265974</v>
      </c>
    </row>
    <row r="17" spans="2:5" x14ac:dyDescent="0.25">
      <c r="B17">
        <v>31</v>
      </c>
    </row>
    <row r="18" spans="2:5" x14ac:dyDescent="0.25">
      <c r="B18">
        <v>20</v>
      </c>
      <c r="E18">
        <f>E16+F16</f>
        <v>0.27298779668533157</v>
      </c>
    </row>
    <row r="19" spans="2:5" x14ac:dyDescent="0.25">
      <c r="B19">
        <v>19</v>
      </c>
    </row>
    <row r="20" spans="2:5" x14ac:dyDescent="0.25">
      <c r="B20">
        <v>25</v>
      </c>
    </row>
    <row r="21" spans="2:5" x14ac:dyDescent="0.25">
      <c r="B21">
        <v>29</v>
      </c>
    </row>
    <row r="22" spans="2:5" x14ac:dyDescent="0.25">
      <c r="B22">
        <v>33</v>
      </c>
    </row>
    <row r="23" spans="2:5" x14ac:dyDescent="0.25">
      <c r="B23">
        <v>24</v>
      </c>
    </row>
    <row r="24" spans="2:5" x14ac:dyDescent="0.25">
      <c r="B24">
        <v>21</v>
      </c>
    </row>
    <row r="25" spans="2:5" x14ac:dyDescent="0.25">
      <c r="B25">
        <v>22</v>
      </c>
    </row>
  </sheetData>
  <mergeCells count="2">
    <mergeCell ref="E14:F14"/>
    <mergeCell ref="E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pateldaksh3120@gmail.com</cp:lastModifiedBy>
  <dcterms:created xsi:type="dcterms:W3CDTF">2015-06-05T18:17:20Z</dcterms:created>
  <dcterms:modified xsi:type="dcterms:W3CDTF">2021-11-26T13:53:41Z</dcterms:modified>
</cp:coreProperties>
</file>