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tLab\Desktop\"/>
    </mc:Choice>
  </mc:AlternateContent>
  <xr:revisionPtr revIDLastSave="0" documentId="13_ncr:1_{35284B53-1962-4501-A8A3-870314E55BD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ulticollinearityExample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3" l="1"/>
  <c r="H22" i="3"/>
  <c r="H21" i="3"/>
  <c r="I15" i="3"/>
  <c r="H14" i="3"/>
  <c r="H15" i="3"/>
  <c r="J40" i="2"/>
  <c r="J49" i="2" s="1"/>
  <c r="K40" i="2"/>
  <c r="J41" i="2"/>
  <c r="J50" i="2" s="1"/>
  <c r="K41" i="2"/>
  <c r="K50" i="2" s="1"/>
  <c r="I41" i="2"/>
  <c r="I50" i="2" s="1"/>
  <c r="I39" i="2"/>
  <c r="I48" i="2" s="1"/>
  <c r="I40" i="2"/>
  <c r="I49" i="2" s="1"/>
  <c r="I38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6" i="2"/>
  <c r="M37" i="1"/>
  <c r="K37" i="1"/>
  <c r="K44" i="1" s="1"/>
  <c r="L37" i="1"/>
  <c r="L44" i="1" s="1"/>
  <c r="L36" i="1"/>
  <c r="K36" i="1"/>
  <c r="K43" i="1" s="1"/>
  <c r="K35" i="1"/>
</calcChain>
</file>

<file path=xl/sharedStrings.xml><?xml version="1.0" encoding="utf-8"?>
<sst xmlns="http://schemas.openxmlformats.org/spreadsheetml/2006/main" count="154" uniqueCount="43">
  <si>
    <t>Femoral Neck</t>
  </si>
  <si>
    <t>%Fat</t>
  </si>
  <si>
    <t>Weight kg</t>
  </si>
  <si>
    <t>Activity</t>
  </si>
  <si>
    <t>%Fat S</t>
  </si>
  <si>
    <t>Weight S</t>
  </si>
  <si>
    <t>Activity S</t>
  </si>
  <si>
    <t>Y</t>
  </si>
  <si>
    <t>X1</t>
  </si>
  <si>
    <t>X2</t>
  </si>
  <si>
    <t>X3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</si>
  <si>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</si>
  <si>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</si>
  <si>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</si>
  <si>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</si>
  <si>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</si>
  <si>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</si>
  <si>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</si>
  <si>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</si>
  <si>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</si>
  <si>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</si>
  <si>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</si>
  <si>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</si>
  <si>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</si>
  <si>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</si>
  <si>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</si>
  <si>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</si>
  <si>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</si>
  <si>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</si>
  <si>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</si>
  <si>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</si>
  <si>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</si>
  <si>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</si>
  <si>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</si>
  <si>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</si>
  <si>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r>
      <t>R</t>
    </r>
    <r>
      <rPr>
        <b/>
        <u/>
        <vertAlign val="superscript"/>
        <sz val="11"/>
        <color theme="1"/>
        <rFont val="Calibri"/>
        <family val="2"/>
        <scheme val="minor"/>
      </rPr>
      <t>2</t>
    </r>
  </si>
  <si>
    <t>VIF=</t>
  </si>
  <si>
    <t>X1*X2</t>
  </si>
  <si>
    <t>%Fat*Weight kg</t>
  </si>
  <si>
    <t xml:space="preserve">so now we centering data </t>
  </si>
  <si>
    <t>(x1bar-x1)</t>
  </si>
  <si>
    <t>Practical 1</t>
  </si>
  <si>
    <t>Structural multicolinearity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</si>
</sst>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vertAlign val="superscript"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0" fillId="0" borderId="0" xfId="0" applyFill="1" applyBorder="1" applyAlignment="1"/>
    <xf numFmtId="0" fontId="0" fillId="0" borderId="10" xfId="0" applyFill="1" applyBorder="1" applyAlignment="1"/>
    <xf numFmtId="0" fontId="19" fillId="0" borderId="11" xfId="0" applyFont="1" applyFill="1" applyBorder="1" applyAlignment="1">
      <alignment horizontal="center"/>
    </xf>
    <xf numFmtId="0" fontId="19" fillId="0" borderId="11" xfId="0" applyFont="1" applyFill="1" applyBorder="1" applyAlignment="1">
      <alignment horizontal="centerContinuous"/>
    </xf>
    <xf numFmtId="0" fontId="7" fillId="3" borderId="11" xfId="7" applyBorder="1" applyAlignment="1">
      <alignment horizontal="center"/>
    </xf>
    <xf numFmtId="0" fontId="7" fillId="3" borderId="0" xfId="7" applyBorder="1" applyAlignment="1"/>
    <xf numFmtId="0" fontId="20" fillId="0" borderId="12" xfId="0" applyFont="1" applyBorder="1" applyAlignment="1">
      <alignment horizontal="center"/>
    </xf>
    <xf numFmtId="0" fontId="22" fillId="0" borderId="0" xfId="0" applyFont="1"/>
    <xf numFmtId="0" fontId="23" fillId="2" borderId="0" xfId="6" applyFont="1" applyAlignment="1">
      <alignment horizontal="center"/>
    </xf>
    <xf numFmtId="0" fontId="18" fillId="0" borderId="12" xfId="0" applyFont="1" applyBorder="1"/>
    <xf numFmtId="0" fontId="0" fillId="0" borderId="12" xfId="0" applyBorder="1"/>
    <xf numFmtId="0" fontId="24" fillId="0" borderId="12" xfId="0" applyFont="1" applyBorder="1"/>
    <xf numFmtId="0" fontId="25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6"/>
  <sheetViews>
    <sheetView workbookViewId="0">
      <selection activeCell="A3" sqref="A3"/>
    </sheetView>
  </sheetViews>
  <sheetFormatPr defaultRowHeight="15" x14ac:dyDescent="0.25"/>
  <cols>
    <col min="1" max="1" width="13.28515625" bestFit="1" customWidth="1"/>
    <col min="10" max="10" width="18" bestFit="1" customWidth="1"/>
    <col min="11" max="11" width="13.28515625" bestFit="1" customWidth="1"/>
    <col min="12" max="12" width="14.5703125" bestFit="1" customWidth="1"/>
    <col min="13" max="13" width="12.7109375" bestFit="1" customWidth="1"/>
    <col min="14" max="14" width="12" bestFit="1" customWidth="1"/>
    <col min="15" max="15" width="13.42578125" bestFit="1" customWidth="1"/>
    <col min="16" max="18" width="12.7109375" bestFit="1" customWidth="1"/>
  </cols>
  <sheetData>
    <row r="1" spans="1:15" ht="28.5" x14ac:dyDescent="0.45">
      <c r="H1" s="10" t="s">
        <v>41</v>
      </c>
      <c r="I1" s="10"/>
      <c r="J1" s="10"/>
    </row>
    <row r="3" spans="1:15" s="1" customFormat="1" ht="15.75" x14ac:dyDescent="0.25">
      <c r="A3" s="13" t="s">
        <v>7</v>
      </c>
      <c r="B3" s="13" t="s">
        <v>8</v>
      </c>
      <c r="C3" s="13" t="s">
        <v>9</v>
      </c>
      <c r="D3" s="13" t="s">
        <v>10</v>
      </c>
      <c r="E3" s="13"/>
      <c r="F3" s="13"/>
      <c r="G3" s="13"/>
    </row>
    <row r="4" spans="1:15" ht="15.75" x14ac:dyDescent="0.25">
      <c r="A4" s="13" t="s">
        <v>0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</row>
    <row r="5" spans="1:15" x14ac:dyDescent="0.25">
      <c r="A5" s="11">
        <v>0.93400000000000005</v>
      </c>
      <c r="B5" s="11">
        <v>25.3</v>
      </c>
      <c r="C5" s="11">
        <v>52.163125999999998</v>
      </c>
      <c r="D5" s="11">
        <v>3508.44</v>
      </c>
      <c r="E5" s="12">
        <v>-3.2652173913043399</v>
      </c>
      <c r="F5" s="12">
        <v>-1.76506607826088</v>
      </c>
      <c r="G5" s="12">
        <v>946.450434782608</v>
      </c>
      <c r="J5" t="s">
        <v>11</v>
      </c>
    </row>
    <row r="6" spans="1:15" ht="15.75" thickBot="1" x14ac:dyDescent="0.3">
      <c r="A6" s="11">
        <v>0.88800000000000001</v>
      </c>
      <c r="B6" s="11">
        <v>29.3</v>
      </c>
      <c r="C6" s="11">
        <v>61.801964499999997</v>
      </c>
      <c r="D6" s="11">
        <v>2773.54</v>
      </c>
      <c r="E6" s="12">
        <v>0.73478260869565304</v>
      </c>
      <c r="F6" s="12">
        <v>7.8737724217391101</v>
      </c>
      <c r="G6" s="12">
        <v>211.55043478260799</v>
      </c>
    </row>
    <row r="7" spans="1:15" x14ac:dyDescent="0.25">
      <c r="A7" s="11">
        <v>0.93300000000000005</v>
      </c>
      <c r="B7" s="11">
        <v>37.700000000000003</v>
      </c>
      <c r="C7" s="11">
        <v>93.440034400000002</v>
      </c>
      <c r="D7" s="11">
        <v>1738.97</v>
      </c>
      <c r="E7" s="12">
        <v>9.1347826086956498</v>
      </c>
      <c r="F7" s="12">
        <v>39.511842321739103</v>
      </c>
      <c r="G7" s="12">
        <v>-823.019565217391</v>
      </c>
      <c r="J7" s="5" t="s">
        <v>12</v>
      </c>
      <c r="K7" s="5"/>
    </row>
    <row r="8" spans="1:15" x14ac:dyDescent="0.25">
      <c r="A8" s="11">
        <v>0.75700000000000001</v>
      </c>
      <c r="B8" s="11">
        <v>32.799999999999997</v>
      </c>
      <c r="C8" s="11">
        <v>59.8741968</v>
      </c>
      <c r="D8" s="11">
        <v>1665.29</v>
      </c>
      <c r="E8" s="12">
        <v>4.2347826086956397</v>
      </c>
      <c r="F8" s="12">
        <v>5.9460047217391097</v>
      </c>
      <c r="G8" s="12">
        <v>-896.69956521739095</v>
      </c>
      <c r="J8" s="2" t="s">
        <v>13</v>
      </c>
      <c r="K8" s="2">
        <v>0.72118158021371681</v>
      </c>
    </row>
    <row r="9" spans="1:15" x14ac:dyDescent="0.25">
      <c r="A9" s="11">
        <v>1.0309999999999999</v>
      </c>
      <c r="B9" s="11">
        <v>24.6</v>
      </c>
      <c r="C9" s="11">
        <v>50.348756399999999</v>
      </c>
      <c r="D9" s="11">
        <v>3982.95</v>
      </c>
      <c r="E9" s="12">
        <v>-3.96521739130434</v>
      </c>
      <c r="F9" s="12">
        <v>-3.57943567826088</v>
      </c>
      <c r="G9" s="12">
        <v>1420.9604347826</v>
      </c>
      <c r="J9" s="2" t="s">
        <v>14</v>
      </c>
      <c r="K9" s="2">
        <v>0.5201028716395536</v>
      </c>
    </row>
    <row r="10" spans="1:15" x14ac:dyDescent="0.25">
      <c r="A10" s="11">
        <v>0.88300000000000001</v>
      </c>
      <c r="B10" s="11">
        <v>26.5</v>
      </c>
      <c r="C10" s="11">
        <v>57.606234800000003</v>
      </c>
      <c r="D10" s="11">
        <v>2985.74</v>
      </c>
      <c r="E10" s="12">
        <v>-2.0652173913043401</v>
      </c>
      <c r="F10" s="12">
        <v>3.6780427217391098</v>
      </c>
      <c r="G10" s="12">
        <v>423.75043478260699</v>
      </c>
      <c r="J10" s="2" t="s">
        <v>15</v>
      </c>
      <c r="K10" s="2">
        <v>0.50374274226362925</v>
      </c>
    </row>
    <row r="11" spans="1:15" x14ac:dyDescent="0.25">
      <c r="A11" s="11">
        <v>0.83699999999999997</v>
      </c>
      <c r="B11" s="11">
        <v>21.2</v>
      </c>
      <c r="C11" s="11">
        <v>51.7095336</v>
      </c>
      <c r="D11" s="11">
        <v>3002.38</v>
      </c>
      <c r="E11" s="12">
        <v>-7.3652173913043404</v>
      </c>
      <c r="F11" s="12">
        <v>-2.2186584782608798</v>
      </c>
      <c r="G11" s="12">
        <v>440.390434782608</v>
      </c>
      <c r="J11" s="2" t="s">
        <v>16</v>
      </c>
      <c r="K11" s="2">
        <v>7.3415252345050822E-2</v>
      </c>
    </row>
    <row r="12" spans="1:15" ht="15.75" thickBot="1" x14ac:dyDescent="0.3">
      <c r="A12" s="11">
        <v>0.91200000000000003</v>
      </c>
      <c r="B12" s="11">
        <v>28.4</v>
      </c>
      <c r="C12" s="11">
        <v>54.884680400000001</v>
      </c>
      <c r="D12" s="11">
        <v>3232.98</v>
      </c>
      <c r="E12" s="12">
        <v>-0.16521739130434901</v>
      </c>
      <c r="F12" s="12">
        <v>0.95648832173911502</v>
      </c>
      <c r="G12" s="12">
        <v>670.99043478260796</v>
      </c>
      <c r="J12" s="3" t="s">
        <v>17</v>
      </c>
      <c r="K12" s="3">
        <v>92</v>
      </c>
    </row>
    <row r="13" spans="1:15" x14ac:dyDescent="0.25">
      <c r="A13" s="11">
        <v>0.85299999999999998</v>
      </c>
      <c r="B13" s="11">
        <v>24</v>
      </c>
      <c r="C13" s="11">
        <v>53.977495599999997</v>
      </c>
      <c r="D13" s="11">
        <v>2823.68</v>
      </c>
      <c r="E13" s="12">
        <v>-4.5652173913043397</v>
      </c>
      <c r="F13" s="12">
        <v>4.9303521739112399E-2</v>
      </c>
      <c r="G13" s="12">
        <v>261.69043478260801</v>
      </c>
    </row>
    <row r="14" spans="1:15" ht="15.75" thickBot="1" x14ac:dyDescent="0.3">
      <c r="A14" s="11">
        <v>0.82499999999999996</v>
      </c>
      <c r="B14" s="11">
        <v>28.7</v>
      </c>
      <c r="C14" s="11">
        <v>53.523903199999999</v>
      </c>
      <c r="D14" s="11">
        <v>2414.12</v>
      </c>
      <c r="E14" s="12">
        <v>0.13478260869565101</v>
      </c>
      <c r="F14" s="12">
        <v>-0.404288878260885</v>
      </c>
      <c r="G14" s="12">
        <v>-147.869565217391</v>
      </c>
      <c r="J14" t="s">
        <v>18</v>
      </c>
    </row>
    <row r="15" spans="1:15" x14ac:dyDescent="0.25">
      <c r="A15" s="11">
        <v>0.77200000000000002</v>
      </c>
      <c r="B15" s="11">
        <v>37.4</v>
      </c>
      <c r="C15" s="11">
        <v>56.925846200000002</v>
      </c>
      <c r="D15" s="11">
        <v>2110.59</v>
      </c>
      <c r="E15" s="12">
        <v>8.8347826086956491</v>
      </c>
      <c r="F15" s="12">
        <v>2.9976541217391102</v>
      </c>
      <c r="G15" s="12">
        <v>-451.399565217391</v>
      </c>
      <c r="J15" s="4"/>
      <c r="K15" s="4" t="s">
        <v>23</v>
      </c>
      <c r="L15" s="4" t="s">
        <v>24</v>
      </c>
      <c r="M15" s="4" t="s">
        <v>25</v>
      </c>
      <c r="N15" s="4" t="s">
        <v>26</v>
      </c>
      <c r="O15" s="4" t="s">
        <v>27</v>
      </c>
    </row>
    <row r="16" spans="1:15" x14ac:dyDescent="0.25">
      <c r="A16" s="11">
        <v>1.0149999999999999</v>
      </c>
      <c r="B16" s="11">
        <v>30.7</v>
      </c>
      <c r="C16" s="11">
        <v>63.616334100000003</v>
      </c>
      <c r="D16" s="11">
        <v>3100.52</v>
      </c>
      <c r="E16" s="12">
        <v>2.1347826086956498</v>
      </c>
      <c r="F16" s="12">
        <v>9.6881420217391092</v>
      </c>
      <c r="G16" s="12">
        <v>538.53043478260804</v>
      </c>
      <c r="J16" s="2" t="s">
        <v>19</v>
      </c>
      <c r="K16" s="2">
        <v>3</v>
      </c>
      <c r="L16" s="2">
        <v>0.51403934841650911</v>
      </c>
      <c r="M16" s="2">
        <v>0.1713464494721697</v>
      </c>
      <c r="N16" s="2">
        <v>31.79087766903244</v>
      </c>
      <c r="O16" s="2">
        <v>5.1381299268380095E-14</v>
      </c>
    </row>
    <row r="17" spans="1:18" x14ac:dyDescent="0.25">
      <c r="A17" s="11">
        <v>0.96299999999999997</v>
      </c>
      <c r="B17" s="11">
        <v>36.700000000000003</v>
      </c>
      <c r="C17" s="11">
        <v>75.069542200000001</v>
      </c>
      <c r="D17" s="11">
        <v>1573.55</v>
      </c>
      <c r="E17" s="12">
        <v>8.1347826086956498</v>
      </c>
      <c r="F17" s="12">
        <v>21.141350121739102</v>
      </c>
      <c r="G17" s="12">
        <v>-988.43956521739096</v>
      </c>
      <c r="J17" s="2" t="s">
        <v>20</v>
      </c>
      <c r="K17" s="2">
        <v>88</v>
      </c>
      <c r="L17" s="2">
        <v>0.47430233636609914</v>
      </c>
      <c r="M17" s="2">
        <v>5.3897992768874902E-3</v>
      </c>
      <c r="N17" s="2"/>
      <c r="O17" s="2"/>
    </row>
    <row r="18" spans="1:18" ht="15.75" thickBot="1" x14ac:dyDescent="0.3">
      <c r="A18" s="11">
        <v>0.72899999999999998</v>
      </c>
      <c r="B18" s="11">
        <v>28.2</v>
      </c>
      <c r="C18" s="11">
        <v>48.761183000000003</v>
      </c>
      <c r="D18" s="11">
        <v>2814.91</v>
      </c>
      <c r="E18" s="12">
        <v>-0.36521739130434799</v>
      </c>
      <c r="F18" s="12">
        <v>-5.1670090782608797</v>
      </c>
      <c r="G18" s="12">
        <v>252.920434782608</v>
      </c>
      <c r="J18" s="3" t="s">
        <v>21</v>
      </c>
      <c r="K18" s="3">
        <v>91</v>
      </c>
      <c r="L18" s="3">
        <v>0.98834168478260831</v>
      </c>
      <c r="M18" s="3"/>
      <c r="N18" s="3"/>
      <c r="O18" s="3"/>
    </row>
    <row r="19" spans="1:18" ht="15.75" thickBot="1" x14ac:dyDescent="0.3">
      <c r="A19" s="11">
        <v>0.73799999999999999</v>
      </c>
      <c r="B19" s="11">
        <v>26.4</v>
      </c>
      <c r="C19" s="11">
        <v>48.420988700000002</v>
      </c>
      <c r="D19" s="11">
        <v>1254.29</v>
      </c>
      <c r="E19" s="12">
        <v>-2.1652173913043402</v>
      </c>
      <c r="F19" s="12">
        <v>-5.50720337826088</v>
      </c>
      <c r="G19" s="12">
        <v>-1307.69956521739</v>
      </c>
    </row>
    <row r="20" spans="1:18" x14ac:dyDescent="0.25">
      <c r="A20" s="11">
        <v>0.89400000000000002</v>
      </c>
      <c r="B20" s="11">
        <v>37.1</v>
      </c>
      <c r="C20" s="11">
        <v>72.688182100000006</v>
      </c>
      <c r="D20" s="11">
        <v>4096.58</v>
      </c>
      <c r="E20" s="12">
        <v>8.5347826086956502</v>
      </c>
      <c r="F20" s="12">
        <v>18.7599900217391</v>
      </c>
      <c r="G20" s="12">
        <v>1534.5904347825999</v>
      </c>
      <c r="J20" s="4"/>
      <c r="K20" s="4" t="s">
        <v>28</v>
      </c>
      <c r="L20" s="4" t="s">
        <v>16</v>
      </c>
      <c r="M20" s="4" t="s">
        <v>29</v>
      </c>
      <c r="N20" s="4" t="s">
        <v>30</v>
      </c>
      <c r="O20" s="4" t="s">
        <v>31</v>
      </c>
      <c r="P20" s="4" t="s">
        <v>32</v>
      </c>
      <c r="Q20" s="4" t="s">
        <v>33</v>
      </c>
      <c r="R20" s="4" t="s">
        <v>34</v>
      </c>
    </row>
    <row r="21" spans="1:18" x14ac:dyDescent="0.25">
      <c r="A21" s="11">
        <v>0.86299999999999999</v>
      </c>
      <c r="B21" s="11">
        <v>31.1</v>
      </c>
      <c r="C21" s="11">
        <v>54.431088000000003</v>
      </c>
      <c r="D21" s="11">
        <v>2116.94</v>
      </c>
      <c r="E21" s="12">
        <v>2.5347826086956502</v>
      </c>
      <c r="F21" s="12">
        <v>0.50289592173911701</v>
      </c>
      <c r="G21" s="12">
        <v>-445.04956521739098</v>
      </c>
      <c r="J21" s="2" t="s">
        <v>22</v>
      </c>
      <c r="K21" s="2">
        <v>0.52144810976109857</v>
      </c>
      <c r="L21" s="2">
        <v>3.8300988189156775E-2</v>
      </c>
      <c r="M21" s="2">
        <v>13.614481881925006</v>
      </c>
      <c r="N21" s="2">
        <v>2.2484059333288825E-23</v>
      </c>
      <c r="O21" s="2">
        <v>0.44533294411976887</v>
      </c>
      <c r="P21" s="2">
        <v>0.59756327540242826</v>
      </c>
      <c r="Q21" s="2">
        <v>0.44533294411976887</v>
      </c>
      <c r="R21" s="2">
        <v>0.59756327540242826</v>
      </c>
    </row>
    <row r="22" spans="1:18" x14ac:dyDescent="0.25">
      <c r="A22" s="11">
        <v>0.82699999999999996</v>
      </c>
      <c r="B22" s="11">
        <v>43.1</v>
      </c>
      <c r="C22" s="11">
        <v>78.471485200000004</v>
      </c>
      <c r="D22" s="11">
        <v>1591.77</v>
      </c>
      <c r="E22" s="12">
        <v>14.5347826086956</v>
      </c>
      <c r="F22" s="12">
        <v>24.543293121739101</v>
      </c>
      <c r="G22" s="12">
        <v>-970.21956521739105</v>
      </c>
      <c r="J22" s="2" t="s">
        <v>1</v>
      </c>
      <c r="K22" s="2">
        <v>-4.9231490047588946E-3</v>
      </c>
      <c r="L22" s="2">
        <v>1.9711036599130488E-3</v>
      </c>
      <c r="M22" s="2">
        <v>-2.4976611351713838</v>
      </c>
      <c r="N22" s="2">
        <v>1.4361396509944052E-2</v>
      </c>
      <c r="O22" s="2">
        <v>-8.8403033306357261E-3</v>
      </c>
      <c r="P22" s="2">
        <v>-1.0059946788820631E-3</v>
      </c>
      <c r="Q22" s="2">
        <v>-8.8403033306357261E-3</v>
      </c>
      <c r="R22" s="2">
        <v>-1.0059946788820631E-3</v>
      </c>
    </row>
    <row r="23" spans="1:18" x14ac:dyDescent="0.25">
      <c r="A23" s="11">
        <v>0.85</v>
      </c>
      <c r="B23" s="11">
        <v>34.1</v>
      </c>
      <c r="C23" s="11">
        <v>58.513419599999999</v>
      </c>
      <c r="D23" s="11">
        <v>4157.72</v>
      </c>
      <c r="E23" s="12">
        <v>5.5347826086956502</v>
      </c>
      <c r="F23" s="12">
        <v>4.5852275217391103</v>
      </c>
      <c r="G23" s="12">
        <v>1595.7304347826</v>
      </c>
      <c r="J23" s="2" t="s">
        <v>2</v>
      </c>
      <c r="K23" s="2">
        <v>6.6080197490283113E-3</v>
      </c>
      <c r="L23" s="2">
        <v>9.174302882930742E-4</v>
      </c>
      <c r="M23" s="2">
        <v>7.2027486266263008</v>
      </c>
      <c r="N23" s="2">
        <v>1.9056849195513582E-10</v>
      </c>
      <c r="O23" s="2">
        <v>4.7848198354143445E-3</v>
      </c>
      <c r="P23" s="2">
        <v>8.4312196626422781E-3</v>
      </c>
      <c r="Q23" s="2">
        <v>4.7848198354143445E-3</v>
      </c>
      <c r="R23" s="2">
        <v>8.4312196626422781E-3</v>
      </c>
    </row>
    <row r="24" spans="1:18" ht="15.75" thickBot="1" x14ac:dyDescent="0.3">
      <c r="A24" s="11">
        <v>0.83899999999999997</v>
      </c>
      <c r="B24" s="11">
        <v>26.7</v>
      </c>
      <c r="C24" s="11">
        <v>49.554969700000001</v>
      </c>
      <c r="D24" s="11">
        <v>2534.71</v>
      </c>
      <c r="E24" s="12">
        <v>-1.8652173913043399</v>
      </c>
      <c r="F24" s="12">
        <v>-4.3732223782608797</v>
      </c>
      <c r="G24" s="12">
        <v>-27.279565217391699</v>
      </c>
      <c r="J24" s="3" t="s">
        <v>3</v>
      </c>
      <c r="K24" s="3">
        <v>2.5739261252173973E-5</v>
      </c>
      <c r="L24" s="3">
        <v>7.4786802267353789E-6</v>
      </c>
      <c r="M24" s="3">
        <v>3.4416849593540877</v>
      </c>
      <c r="N24" s="3">
        <v>8.8653447795564231E-4</v>
      </c>
      <c r="O24" s="3">
        <v>1.0876955835269462E-5</v>
      </c>
      <c r="P24" s="3">
        <v>4.0601566669078482E-5</v>
      </c>
      <c r="Q24" s="3">
        <v>1.0876955835269462E-5</v>
      </c>
      <c r="R24" s="3">
        <v>4.0601566669078482E-5</v>
      </c>
    </row>
    <row r="25" spans="1:18" x14ac:dyDescent="0.25">
      <c r="A25" s="11">
        <v>0.79500000000000004</v>
      </c>
      <c r="B25" s="11">
        <v>30.9</v>
      </c>
      <c r="C25" s="11">
        <v>57.719632900000001</v>
      </c>
      <c r="D25" s="11">
        <v>5853.51</v>
      </c>
      <c r="E25" s="12">
        <v>2.33478260869565</v>
      </c>
      <c r="F25" s="12">
        <v>3.7914408217391098</v>
      </c>
      <c r="G25" s="12">
        <v>3291.5204347826002</v>
      </c>
    </row>
    <row r="26" spans="1:18" ht="15.75" thickBot="1" x14ac:dyDescent="0.3">
      <c r="A26" s="11">
        <v>0.73499999999999999</v>
      </c>
      <c r="B26" s="11">
        <v>30</v>
      </c>
      <c r="C26" s="11">
        <v>46.720017200000001</v>
      </c>
      <c r="D26" s="11">
        <v>3230.57</v>
      </c>
      <c r="E26" s="12">
        <v>1.4347826086956501</v>
      </c>
      <c r="F26" s="12">
        <v>-7.2081748782608797</v>
      </c>
      <c r="G26" s="12">
        <v>668.58043478260799</v>
      </c>
    </row>
    <row r="27" spans="1:18" x14ac:dyDescent="0.25">
      <c r="A27" s="11">
        <v>0.85899999999999999</v>
      </c>
      <c r="B27" s="11">
        <v>22.1</v>
      </c>
      <c r="C27" s="11">
        <v>46.720017200000001</v>
      </c>
      <c r="D27" s="11">
        <v>2780.89</v>
      </c>
      <c r="E27" s="12">
        <v>-6.46521739130434</v>
      </c>
      <c r="F27" s="12">
        <v>-7.2081748782608797</v>
      </c>
      <c r="G27" s="12">
        <v>218.90043478260799</v>
      </c>
      <c r="J27" s="4"/>
      <c r="K27" s="6" t="s">
        <v>0</v>
      </c>
      <c r="L27" s="4" t="s">
        <v>1</v>
      </c>
      <c r="M27" s="4" t="s">
        <v>2</v>
      </c>
      <c r="N27" s="4" t="s">
        <v>3</v>
      </c>
    </row>
    <row r="28" spans="1:18" x14ac:dyDescent="0.25">
      <c r="A28" s="11">
        <v>0.76300000000000001</v>
      </c>
      <c r="B28" s="11">
        <v>24.4</v>
      </c>
      <c r="C28" s="11">
        <v>48.307590599999997</v>
      </c>
      <c r="D28" s="11">
        <v>2145.35</v>
      </c>
      <c r="E28" s="12">
        <v>-4.1652173913043402</v>
      </c>
      <c r="F28" s="12">
        <v>-5.6206014782608804</v>
      </c>
      <c r="G28" s="12">
        <v>-416.63956521739101</v>
      </c>
      <c r="J28" s="7" t="s">
        <v>0</v>
      </c>
      <c r="K28" s="2">
        <v>1</v>
      </c>
      <c r="L28" s="2"/>
      <c r="M28" s="2"/>
      <c r="N28" s="2"/>
    </row>
    <row r="29" spans="1:18" x14ac:dyDescent="0.25">
      <c r="A29" s="11">
        <v>0.82099999999999995</v>
      </c>
      <c r="B29" s="11">
        <v>22.5</v>
      </c>
      <c r="C29" s="11">
        <v>49.441571600000003</v>
      </c>
      <c r="D29" s="11">
        <v>1349.81</v>
      </c>
      <c r="E29" s="12">
        <v>-6.0652173913043397</v>
      </c>
      <c r="F29" s="12">
        <v>-4.4866204782608801</v>
      </c>
      <c r="G29" s="12">
        <v>-1212.1795652173901</v>
      </c>
      <c r="J29" s="2" t="s">
        <v>1</v>
      </c>
      <c r="K29" s="2">
        <v>0.45558418116191274</v>
      </c>
      <c r="L29" s="2">
        <v>1</v>
      </c>
      <c r="M29" s="2"/>
      <c r="N29" s="2"/>
    </row>
    <row r="30" spans="1:18" x14ac:dyDescent="0.25">
      <c r="A30" s="11">
        <v>0.70399999999999996</v>
      </c>
      <c r="B30" s="11">
        <v>24.9</v>
      </c>
      <c r="C30" s="11">
        <v>45.35924</v>
      </c>
      <c r="D30" s="11">
        <v>1819.44</v>
      </c>
      <c r="E30" s="12">
        <v>-3.6652173913043402</v>
      </c>
      <c r="F30" s="12">
        <v>-8.5689520782608799</v>
      </c>
      <c r="G30" s="12">
        <v>-742.54956521739098</v>
      </c>
      <c r="J30" s="2" t="s">
        <v>2</v>
      </c>
      <c r="K30" s="2">
        <v>0.65679290233797338</v>
      </c>
      <c r="L30" s="2">
        <v>0.8267145438392387</v>
      </c>
      <c r="M30" s="2">
        <v>1</v>
      </c>
      <c r="N30" s="2"/>
    </row>
    <row r="31" spans="1:18" ht="15.75" thickBot="1" x14ac:dyDescent="0.3">
      <c r="A31" s="11">
        <v>0.74199999999999999</v>
      </c>
      <c r="B31" s="11">
        <v>18.2</v>
      </c>
      <c r="C31" s="11">
        <v>44.111860900000003</v>
      </c>
      <c r="D31" s="11">
        <v>2569.71</v>
      </c>
      <c r="E31" s="12">
        <v>-10.3652173913043</v>
      </c>
      <c r="F31" s="12">
        <v>-9.8163311782608798</v>
      </c>
      <c r="G31" s="12">
        <v>7.7204347826081996</v>
      </c>
      <c r="J31" s="3" t="s">
        <v>3</v>
      </c>
      <c r="K31" s="3">
        <v>0.16181814568606362</v>
      </c>
      <c r="L31" s="3">
        <v>-2.2527420108596669E-2</v>
      </c>
      <c r="M31" s="3">
        <v>-0.10766796322625993</v>
      </c>
      <c r="N31" s="3">
        <v>1</v>
      </c>
    </row>
    <row r="32" spans="1:18" x14ac:dyDescent="0.25">
      <c r="A32" s="11">
        <v>0.76200000000000001</v>
      </c>
      <c r="B32" s="11">
        <v>27.3</v>
      </c>
      <c r="C32" s="11">
        <v>43.544870400000001</v>
      </c>
      <c r="D32" s="11">
        <v>1945.33</v>
      </c>
      <c r="E32" s="12">
        <v>-1.2652173913043401</v>
      </c>
      <c r="F32" s="12">
        <v>-10.383321678260801</v>
      </c>
      <c r="G32" s="12">
        <v>-616.65956521739099</v>
      </c>
    </row>
    <row r="33" spans="1:15" ht="18" thickBot="1" x14ac:dyDescent="0.3">
      <c r="A33" s="11">
        <v>0.73099999999999998</v>
      </c>
      <c r="B33" s="11">
        <v>25.9</v>
      </c>
      <c r="C33" s="11">
        <v>40.142927399999998</v>
      </c>
      <c r="D33" s="11">
        <v>1722.13</v>
      </c>
      <c r="E33" s="12">
        <v>-2.6652173913043402</v>
      </c>
      <c r="F33" s="12">
        <v>-13.7852646782608</v>
      </c>
      <c r="G33" s="12">
        <v>-839.85956521739104</v>
      </c>
      <c r="J33" s="8" t="s">
        <v>35</v>
      </c>
      <c r="K33" s="8"/>
      <c r="L33" s="8"/>
      <c r="M33" s="8"/>
      <c r="N33" s="8"/>
      <c r="O33" s="8"/>
    </row>
    <row r="34" spans="1:15" x14ac:dyDescent="0.25">
      <c r="A34" s="11">
        <v>0.8</v>
      </c>
      <c r="B34" s="11">
        <v>28.3</v>
      </c>
      <c r="C34" s="11">
        <v>46.720017200000001</v>
      </c>
      <c r="D34" s="11">
        <v>1580.64</v>
      </c>
      <c r="E34" s="12">
        <v>-0.26521739130434602</v>
      </c>
      <c r="F34" s="12">
        <v>-7.2081748782608797</v>
      </c>
      <c r="G34" s="12">
        <v>-981.34956521739105</v>
      </c>
      <c r="J34" s="4"/>
      <c r="K34" s="4" t="s">
        <v>1</v>
      </c>
      <c r="L34" s="4" t="s">
        <v>2</v>
      </c>
      <c r="M34" s="4" t="s">
        <v>3</v>
      </c>
    </row>
    <row r="35" spans="1:15" x14ac:dyDescent="0.25">
      <c r="A35" s="11">
        <v>0.79800000000000004</v>
      </c>
      <c r="B35" s="11">
        <v>18.7</v>
      </c>
      <c r="C35" s="11">
        <v>44.452055199999997</v>
      </c>
      <c r="D35" s="11">
        <v>1809.41</v>
      </c>
      <c r="E35" s="12">
        <v>-9.8652173913043395</v>
      </c>
      <c r="F35" s="12">
        <v>-9.4761368782608795</v>
      </c>
      <c r="G35" s="12">
        <v>-752.57956521739095</v>
      </c>
      <c r="J35" s="2" t="s">
        <v>1</v>
      </c>
      <c r="K35" s="2">
        <f>L29*L29</f>
        <v>1</v>
      </c>
      <c r="L35" s="2"/>
      <c r="M35" s="2"/>
    </row>
    <row r="36" spans="1:15" x14ac:dyDescent="0.25">
      <c r="A36" s="11">
        <v>0.78900000000000003</v>
      </c>
      <c r="B36" s="11">
        <v>22.4</v>
      </c>
      <c r="C36" s="11">
        <v>45.35924</v>
      </c>
      <c r="D36" s="11">
        <v>2815.98</v>
      </c>
      <c r="E36" s="12">
        <v>-6.1652173913043402</v>
      </c>
      <c r="F36" s="12">
        <v>-8.5689520782608799</v>
      </c>
      <c r="G36" s="12">
        <v>253.99043478260799</v>
      </c>
      <c r="J36" s="2" t="s">
        <v>2</v>
      </c>
      <c r="K36" s="2">
        <f t="shared" ref="K36:L37" si="0">L30*L30</f>
        <v>0.68345693699532051</v>
      </c>
      <c r="L36" s="2">
        <f t="shared" si="0"/>
        <v>1</v>
      </c>
      <c r="M36" s="2"/>
    </row>
    <row r="37" spans="1:15" ht="15.75" thickBot="1" x14ac:dyDescent="0.3">
      <c r="A37" s="11">
        <v>0.95499999999999996</v>
      </c>
      <c r="B37" s="11">
        <v>23.6</v>
      </c>
      <c r="C37" s="11">
        <v>43.091278000000003</v>
      </c>
      <c r="D37" s="11">
        <v>3503.26</v>
      </c>
      <c r="E37" s="12">
        <v>-4.96521739130434</v>
      </c>
      <c r="F37" s="12">
        <v>-10.836914078260801</v>
      </c>
      <c r="G37" s="12">
        <v>941.27043478260805</v>
      </c>
      <c r="J37" s="3" t="s">
        <v>3</v>
      </c>
      <c r="K37" s="2">
        <f t="shared" si="0"/>
        <v>5.0748465674920558E-4</v>
      </c>
      <c r="L37" s="2">
        <f t="shared" si="0"/>
        <v>1.1592390305291262E-2</v>
      </c>
      <c r="M37" s="2">
        <f t="shared" ref="M37" si="1">N31*N31</f>
        <v>1</v>
      </c>
    </row>
    <row r="38" spans="1:15" x14ac:dyDescent="0.25">
      <c r="A38" s="11">
        <v>0.78200000000000003</v>
      </c>
      <c r="B38" s="11">
        <v>26.8</v>
      </c>
      <c r="C38" s="11">
        <v>52.163125999999998</v>
      </c>
      <c r="D38" s="11">
        <v>3381.07</v>
      </c>
      <c r="E38" s="12">
        <v>-1.7652173913043401</v>
      </c>
      <c r="F38" s="12">
        <v>-1.76506607826088</v>
      </c>
      <c r="G38" s="12">
        <v>819.08043478260799</v>
      </c>
    </row>
    <row r="39" spans="1:15" x14ac:dyDescent="0.25">
      <c r="A39" s="11">
        <v>0.68100000000000005</v>
      </c>
      <c r="B39" s="11">
        <v>17.8</v>
      </c>
      <c r="C39" s="11">
        <v>34.586420500000003</v>
      </c>
      <c r="D39" s="11">
        <v>5153.57</v>
      </c>
      <c r="E39" s="12">
        <v>-10.765217391304301</v>
      </c>
      <c r="F39" s="12">
        <v>-19.341771578260801</v>
      </c>
      <c r="G39" s="12">
        <v>2591.5804347826002</v>
      </c>
      <c r="J39" s="8" t="s">
        <v>36</v>
      </c>
      <c r="K39" s="8"/>
      <c r="L39" s="8"/>
      <c r="M39" s="8"/>
      <c r="N39" s="8"/>
      <c r="O39" s="8"/>
    </row>
    <row r="40" spans="1:15" ht="15.75" thickBot="1" x14ac:dyDescent="0.3">
      <c r="A40" s="11">
        <v>0.85</v>
      </c>
      <c r="B40" s="11">
        <v>27.4</v>
      </c>
      <c r="C40" s="11">
        <v>56.69905</v>
      </c>
      <c r="D40" s="11">
        <v>2446.4</v>
      </c>
      <c r="E40" s="12">
        <v>-1.16521739130434</v>
      </c>
      <c r="F40" s="12">
        <v>2.7708579217391098</v>
      </c>
      <c r="G40" s="12">
        <v>-115.589565217391</v>
      </c>
    </row>
    <row r="41" spans="1:15" x14ac:dyDescent="0.25">
      <c r="A41" s="11">
        <v>0.67</v>
      </c>
      <c r="B41" s="11">
        <v>16.8</v>
      </c>
      <c r="C41" s="11">
        <v>34.926614800000003</v>
      </c>
      <c r="D41" s="11">
        <v>2031.51</v>
      </c>
      <c r="E41" s="12">
        <v>-11.765217391304301</v>
      </c>
      <c r="F41" s="12">
        <v>-19.0015772782608</v>
      </c>
      <c r="G41" s="12">
        <v>-530.47956521739104</v>
      </c>
      <c r="J41" s="4"/>
      <c r="K41" s="4" t="s">
        <v>1</v>
      </c>
      <c r="L41" s="4" t="s">
        <v>2</v>
      </c>
      <c r="M41" s="4" t="s">
        <v>3</v>
      </c>
    </row>
    <row r="42" spans="1:15" x14ac:dyDescent="0.25">
      <c r="A42" s="11">
        <v>0.64500000000000002</v>
      </c>
      <c r="B42" s="11">
        <v>26.1</v>
      </c>
      <c r="C42" s="11">
        <v>35.380207200000001</v>
      </c>
      <c r="D42" s="11">
        <v>1742.94</v>
      </c>
      <c r="E42" s="12">
        <v>-2.46521739130434</v>
      </c>
      <c r="F42" s="12">
        <v>-18.547984878260799</v>
      </c>
      <c r="G42" s="12">
        <v>-819.04956521739098</v>
      </c>
      <c r="J42" s="2" t="s">
        <v>1</v>
      </c>
      <c r="K42" s="2"/>
      <c r="L42" s="2"/>
      <c r="M42" s="2"/>
    </row>
    <row r="43" spans="1:15" x14ac:dyDescent="0.25">
      <c r="A43" s="11">
        <v>0.69</v>
      </c>
      <c r="B43" s="11">
        <v>20.8</v>
      </c>
      <c r="C43" s="11">
        <v>37.648169199999998</v>
      </c>
      <c r="D43" s="11">
        <v>1665.29</v>
      </c>
      <c r="E43" s="12">
        <v>-7.7652173913043399</v>
      </c>
      <c r="F43" s="12">
        <v>-16.280022878260802</v>
      </c>
      <c r="G43" s="12">
        <v>-896.69956521739095</v>
      </c>
      <c r="J43" s="2" t="s">
        <v>2</v>
      </c>
      <c r="K43" s="2">
        <f>1/(1-K36)</f>
        <v>3.1591278308481425</v>
      </c>
      <c r="L43" s="2"/>
      <c r="M43" s="2"/>
    </row>
    <row r="44" spans="1:15" ht="15.75" thickBot="1" x14ac:dyDescent="0.3">
      <c r="A44" s="11">
        <v>0.68</v>
      </c>
      <c r="B44" s="11">
        <v>22.7</v>
      </c>
      <c r="C44" s="11">
        <v>39.008946399999999</v>
      </c>
      <c r="D44" s="11">
        <v>2730.81</v>
      </c>
      <c r="E44" s="12">
        <v>-5.8652173913043404</v>
      </c>
      <c r="F44" s="12">
        <v>-14.919245678260801</v>
      </c>
      <c r="G44" s="12">
        <v>168.820434782608</v>
      </c>
      <c r="J44" s="3" t="s">
        <v>3</v>
      </c>
      <c r="K44" s="2">
        <f>1/(1-K37)</f>
        <v>1.0005077423281903</v>
      </c>
      <c r="L44" s="2">
        <f t="shared" ref="L44" si="2">1/(1-L37)</f>
        <v>1.0117283499151446</v>
      </c>
      <c r="M44" s="2"/>
    </row>
    <row r="45" spans="1:15" x14ac:dyDescent="0.25">
      <c r="A45" s="11">
        <v>0.70899999999999996</v>
      </c>
      <c r="B45" s="11">
        <v>20.2</v>
      </c>
      <c r="C45" s="11">
        <v>41.730500800000002</v>
      </c>
      <c r="D45" s="11">
        <v>3576.25</v>
      </c>
      <c r="E45" s="12">
        <v>-8.3652173913043395</v>
      </c>
      <c r="F45" s="12">
        <v>-12.1976912782608</v>
      </c>
      <c r="G45" s="12">
        <v>1014.2604347826</v>
      </c>
    </row>
    <row r="46" spans="1:15" x14ac:dyDescent="0.25">
      <c r="A46" s="11">
        <v>0.749</v>
      </c>
      <c r="B46" s="11">
        <v>20.3</v>
      </c>
      <c r="C46" s="11">
        <v>38.101761600000003</v>
      </c>
      <c r="D46" s="11">
        <v>1499.31</v>
      </c>
      <c r="E46" s="12">
        <v>-8.2652173913043399</v>
      </c>
      <c r="F46" s="12">
        <v>-15.8264304782608</v>
      </c>
      <c r="G46" s="12">
        <v>-1062.6795652173901</v>
      </c>
    </row>
    <row r="47" spans="1:15" x14ac:dyDescent="0.25">
      <c r="A47" s="11">
        <v>0.55800000000000005</v>
      </c>
      <c r="B47" s="11">
        <v>31.9</v>
      </c>
      <c r="C47" s="11">
        <v>33.565837600000002</v>
      </c>
      <c r="D47" s="11">
        <v>2060.48</v>
      </c>
      <c r="E47" s="12">
        <v>3.33478260869565</v>
      </c>
      <c r="F47" s="12">
        <v>-20.362354478260801</v>
      </c>
      <c r="G47" s="12">
        <v>-501.50956521739101</v>
      </c>
    </row>
    <row r="48" spans="1:15" x14ac:dyDescent="0.25">
      <c r="A48" s="11">
        <v>0.68700000000000006</v>
      </c>
      <c r="B48" s="11">
        <v>22.9</v>
      </c>
      <c r="C48" s="11">
        <v>33.6792357</v>
      </c>
      <c r="D48" s="11">
        <v>4998.25</v>
      </c>
      <c r="E48" s="12">
        <v>-5.6652173913043402</v>
      </c>
      <c r="F48" s="12">
        <v>-20.2489563782608</v>
      </c>
      <c r="G48" s="12">
        <v>2436.2604347826</v>
      </c>
    </row>
    <row r="49" spans="1:7" x14ac:dyDescent="0.25">
      <c r="A49" s="11">
        <v>0.73399999999999999</v>
      </c>
      <c r="B49" s="11">
        <v>25.3</v>
      </c>
      <c r="C49" s="11">
        <v>49.441571600000003</v>
      </c>
      <c r="D49" s="11">
        <v>1450.86</v>
      </c>
      <c r="E49" s="12">
        <v>-3.2652173913043399</v>
      </c>
      <c r="F49" s="12">
        <v>-4.4866204782608801</v>
      </c>
      <c r="G49" s="12">
        <v>-1111.1295652173901</v>
      </c>
    </row>
    <row r="50" spans="1:7" x14ac:dyDescent="0.25">
      <c r="A50" s="11">
        <v>0.69899999999999995</v>
      </c>
      <c r="B50" s="11">
        <v>17.3</v>
      </c>
      <c r="C50" s="11">
        <v>39.008946399999999</v>
      </c>
      <c r="D50" s="11">
        <v>1547.67</v>
      </c>
      <c r="E50" s="12">
        <v>-11.265217391304301</v>
      </c>
      <c r="F50" s="12">
        <v>-14.919245678260801</v>
      </c>
      <c r="G50" s="12">
        <v>-1014.31956521739</v>
      </c>
    </row>
    <row r="51" spans="1:7" x14ac:dyDescent="0.25">
      <c r="A51" s="11">
        <v>0.81499999999999995</v>
      </c>
      <c r="B51" s="11">
        <v>41</v>
      </c>
      <c r="C51" s="11">
        <v>63.0493436</v>
      </c>
      <c r="D51" s="11">
        <v>1880.67</v>
      </c>
      <c r="E51" s="12">
        <v>12.434782608695601</v>
      </c>
      <c r="F51" s="12">
        <v>9.1211515217391099</v>
      </c>
      <c r="G51" s="12">
        <v>-681.31956521739096</v>
      </c>
    </row>
    <row r="52" spans="1:7" x14ac:dyDescent="0.25">
      <c r="A52" s="11">
        <v>0.80100000000000005</v>
      </c>
      <c r="B52" s="11">
        <v>25.8</v>
      </c>
      <c r="C52" s="11">
        <v>49.895164000000001</v>
      </c>
      <c r="D52" s="11">
        <v>1405.69</v>
      </c>
      <c r="E52" s="12">
        <v>-2.7652173913043399</v>
      </c>
      <c r="F52" s="12">
        <v>-4.0330280782608803</v>
      </c>
      <c r="G52" s="12">
        <v>-1156.29956521739</v>
      </c>
    </row>
    <row r="53" spans="1:7" x14ac:dyDescent="0.25">
      <c r="A53" s="11">
        <v>0.81499999999999995</v>
      </c>
      <c r="B53" s="11">
        <v>36.6</v>
      </c>
      <c r="C53" s="11">
        <v>58.740215800000001</v>
      </c>
      <c r="D53" s="11">
        <v>2013.06</v>
      </c>
      <c r="E53" s="12">
        <v>8.0347826086956502</v>
      </c>
      <c r="F53" s="12">
        <v>4.8120237217391102</v>
      </c>
      <c r="G53" s="12">
        <v>-548.92956521739097</v>
      </c>
    </row>
    <row r="54" spans="1:7" x14ac:dyDescent="0.25">
      <c r="A54" s="11">
        <v>0.745</v>
      </c>
      <c r="B54" s="11">
        <v>27.8</v>
      </c>
      <c r="C54" s="11">
        <v>56.812448099999997</v>
      </c>
      <c r="D54" s="11">
        <v>2558.81</v>
      </c>
      <c r="E54" s="12">
        <v>-0.76521739130434696</v>
      </c>
      <c r="F54" s="12">
        <v>2.8842560217391102</v>
      </c>
      <c r="G54" s="12">
        <v>-3.1795652173918798</v>
      </c>
    </row>
    <row r="55" spans="1:7" x14ac:dyDescent="0.25">
      <c r="A55" s="11">
        <v>0.83599999999999997</v>
      </c>
      <c r="B55" s="11">
        <v>39.4</v>
      </c>
      <c r="C55" s="11">
        <v>61.688566399999999</v>
      </c>
      <c r="D55" s="11">
        <v>2748.62</v>
      </c>
      <c r="E55" s="12">
        <v>10.834782608695599</v>
      </c>
      <c r="F55" s="12">
        <v>7.7603743217391097</v>
      </c>
      <c r="G55" s="12">
        <v>186.63043478260801</v>
      </c>
    </row>
    <row r="56" spans="1:7" x14ac:dyDescent="0.25">
      <c r="A56" s="11">
        <v>0.76200000000000001</v>
      </c>
      <c r="B56" s="11">
        <v>36.4</v>
      </c>
      <c r="C56" s="11">
        <v>54.431088000000003</v>
      </c>
      <c r="D56" s="11">
        <v>2187.21</v>
      </c>
      <c r="E56" s="12">
        <v>7.83478260869565</v>
      </c>
      <c r="F56" s="12">
        <v>0.50289592173911701</v>
      </c>
      <c r="G56" s="12">
        <v>-374.779565217391</v>
      </c>
    </row>
    <row r="57" spans="1:7" x14ac:dyDescent="0.25">
      <c r="A57" s="11">
        <v>0.86099999999999999</v>
      </c>
      <c r="B57" s="11">
        <v>46.8</v>
      </c>
      <c r="C57" s="11">
        <v>93.893626800000007</v>
      </c>
      <c r="D57" s="11">
        <v>824.25</v>
      </c>
      <c r="E57" s="12">
        <v>18.2347826086956</v>
      </c>
      <c r="F57" s="12">
        <v>39.965434721739101</v>
      </c>
      <c r="G57" s="12">
        <v>-1737.73956521739</v>
      </c>
    </row>
    <row r="58" spans="1:7" x14ac:dyDescent="0.25">
      <c r="A58" s="11">
        <v>1.02</v>
      </c>
      <c r="B58" s="11">
        <v>40.5</v>
      </c>
      <c r="C58" s="11">
        <v>74.3891536</v>
      </c>
      <c r="D58" s="11">
        <v>2701.94</v>
      </c>
      <c r="E58" s="12">
        <v>11.934782608695601</v>
      </c>
      <c r="F58" s="12">
        <v>20.460961521739101</v>
      </c>
      <c r="G58" s="12">
        <v>139.950434782608</v>
      </c>
    </row>
    <row r="59" spans="1:7" x14ac:dyDescent="0.25">
      <c r="A59" s="11">
        <v>0.77600000000000002</v>
      </c>
      <c r="B59" s="11">
        <v>43</v>
      </c>
      <c r="C59" s="11">
        <v>96.161588800000004</v>
      </c>
      <c r="D59" s="11">
        <v>1595.62</v>
      </c>
      <c r="E59" s="12">
        <v>14.434782608695601</v>
      </c>
      <c r="F59" s="12">
        <v>42.233396721739098</v>
      </c>
      <c r="G59" s="12">
        <v>-966.36956521739103</v>
      </c>
    </row>
    <row r="60" spans="1:7" x14ac:dyDescent="0.25">
      <c r="A60" s="11">
        <v>1.008</v>
      </c>
      <c r="B60" s="11">
        <v>39.5</v>
      </c>
      <c r="C60" s="11">
        <v>72.574783999999994</v>
      </c>
      <c r="D60" s="11">
        <v>7191.08</v>
      </c>
      <c r="E60" s="12">
        <v>10.934782608695601</v>
      </c>
      <c r="F60" s="12">
        <v>18.646591921739098</v>
      </c>
      <c r="G60" s="12">
        <v>4629.0904347825999</v>
      </c>
    </row>
    <row r="61" spans="1:7" x14ac:dyDescent="0.25">
      <c r="A61" s="11">
        <v>1.01</v>
      </c>
      <c r="B61" s="11">
        <v>39.4</v>
      </c>
      <c r="C61" s="11">
        <v>98.429550800000001</v>
      </c>
      <c r="D61" s="11">
        <v>1704.27</v>
      </c>
      <c r="E61" s="12">
        <v>10.834782608695599</v>
      </c>
      <c r="F61" s="12">
        <v>44.501358721739102</v>
      </c>
      <c r="G61" s="12">
        <v>-857.71956521739105</v>
      </c>
    </row>
    <row r="62" spans="1:7" x14ac:dyDescent="0.25">
      <c r="A62" s="11">
        <v>0.88500000000000001</v>
      </c>
      <c r="B62" s="11">
        <v>24.8</v>
      </c>
      <c r="C62" s="11">
        <v>51.596135500000003</v>
      </c>
      <c r="D62" s="11">
        <v>1827.86</v>
      </c>
      <c r="E62" s="12">
        <v>-3.7652173913043399</v>
      </c>
      <c r="F62" s="12">
        <v>-2.3320565782608802</v>
      </c>
      <c r="G62" s="12">
        <v>-734.12956521739102</v>
      </c>
    </row>
    <row r="63" spans="1:7" x14ac:dyDescent="0.25">
      <c r="A63" s="11">
        <v>0.77100000000000002</v>
      </c>
      <c r="B63" s="11">
        <v>35</v>
      </c>
      <c r="C63" s="11">
        <v>56.245457600000002</v>
      </c>
      <c r="D63" s="11">
        <v>3246.64</v>
      </c>
      <c r="E63" s="12">
        <v>6.4347826086956497</v>
      </c>
      <c r="F63" s="12">
        <v>2.31726552173911</v>
      </c>
      <c r="G63" s="12">
        <v>684.65043478260804</v>
      </c>
    </row>
    <row r="64" spans="1:7" x14ac:dyDescent="0.25">
      <c r="A64" s="11">
        <v>1.081</v>
      </c>
      <c r="B64" s="11">
        <v>25.3</v>
      </c>
      <c r="C64" s="11">
        <v>59.420604400000002</v>
      </c>
      <c r="D64" s="11">
        <v>3035.29</v>
      </c>
      <c r="E64" s="12">
        <v>-3.2652173913043399</v>
      </c>
      <c r="F64" s="12">
        <v>5.4924123217391099</v>
      </c>
      <c r="G64" s="12">
        <v>473.30043478260802</v>
      </c>
    </row>
    <row r="65" spans="1:7" x14ac:dyDescent="0.25">
      <c r="A65" s="11">
        <v>1.0269999999999999</v>
      </c>
      <c r="B65" s="11">
        <v>42.5</v>
      </c>
      <c r="C65" s="11">
        <v>93.440034400000002</v>
      </c>
      <c r="D65" s="11">
        <v>2198.29</v>
      </c>
      <c r="E65" s="12">
        <v>13.934782608695601</v>
      </c>
      <c r="F65" s="12">
        <v>39.511842321739103</v>
      </c>
      <c r="G65" s="12">
        <v>-363.69956521739101</v>
      </c>
    </row>
    <row r="66" spans="1:7" x14ac:dyDescent="0.25">
      <c r="A66" s="11">
        <v>0.80200000000000005</v>
      </c>
      <c r="B66" s="11">
        <v>27.8</v>
      </c>
      <c r="C66" s="11">
        <v>48.987979199999998</v>
      </c>
      <c r="D66" s="11">
        <v>2209.1999999999998</v>
      </c>
      <c r="E66" s="12">
        <v>-0.76521739130434696</v>
      </c>
      <c r="F66" s="12">
        <v>-4.9402128782608798</v>
      </c>
      <c r="G66" s="12">
        <v>-352.78956521739201</v>
      </c>
    </row>
    <row r="67" spans="1:7" x14ac:dyDescent="0.25">
      <c r="A67" s="11">
        <v>0.78300000000000003</v>
      </c>
      <c r="B67" s="11">
        <v>35.799999999999997</v>
      </c>
      <c r="C67" s="11">
        <v>53.750698999999997</v>
      </c>
      <c r="D67" s="11">
        <v>3188.11</v>
      </c>
      <c r="E67" s="12">
        <v>7.2347826086956397</v>
      </c>
      <c r="F67" s="12">
        <v>-0.17749307826088701</v>
      </c>
      <c r="G67" s="12">
        <v>626.12043478260796</v>
      </c>
    </row>
    <row r="68" spans="1:7" x14ac:dyDescent="0.25">
      <c r="A68" s="11">
        <v>0.98</v>
      </c>
      <c r="B68" s="11">
        <v>39.200000000000003</v>
      </c>
      <c r="C68" s="11">
        <v>91.625664799999996</v>
      </c>
      <c r="D68" s="11">
        <v>1280.8900000000001</v>
      </c>
      <c r="E68" s="12">
        <v>10.6347826086956</v>
      </c>
      <c r="F68" s="12">
        <v>37.697472721739103</v>
      </c>
      <c r="G68" s="12">
        <v>-1281.0995652173899</v>
      </c>
    </row>
    <row r="69" spans="1:7" x14ac:dyDescent="0.25">
      <c r="A69" s="11">
        <v>0.84799999999999998</v>
      </c>
      <c r="B69" s="11">
        <v>38.299999999999997</v>
      </c>
      <c r="C69" s="11">
        <v>62.595751200000002</v>
      </c>
      <c r="D69" s="11">
        <v>2771.29</v>
      </c>
      <c r="E69" s="12">
        <v>9.7347826086956495</v>
      </c>
      <c r="F69" s="12">
        <v>8.6675591217391101</v>
      </c>
      <c r="G69" s="12">
        <v>209.30043478260799</v>
      </c>
    </row>
    <row r="70" spans="1:7" x14ac:dyDescent="0.25">
      <c r="A70" s="11">
        <v>0.84899999999999998</v>
      </c>
      <c r="B70" s="11">
        <v>34.1</v>
      </c>
      <c r="C70" s="11">
        <v>68.03886</v>
      </c>
      <c r="D70" s="11">
        <v>3795.98</v>
      </c>
      <c r="E70" s="12">
        <v>5.5347826086956502</v>
      </c>
      <c r="F70" s="12">
        <v>14.1106679217391</v>
      </c>
      <c r="G70" s="12">
        <v>1233.9904347826</v>
      </c>
    </row>
    <row r="71" spans="1:7" x14ac:dyDescent="0.25">
      <c r="A71" s="11">
        <v>0.97299999999999998</v>
      </c>
      <c r="B71" s="11">
        <v>39.9</v>
      </c>
      <c r="C71" s="11">
        <v>84.368186399999999</v>
      </c>
      <c r="D71" s="11">
        <v>1974.92</v>
      </c>
      <c r="E71" s="12">
        <v>11.334782608695599</v>
      </c>
      <c r="F71" s="12">
        <v>30.4399943217391</v>
      </c>
      <c r="G71" s="12">
        <v>-587.06956521739096</v>
      </c>
    </row>
    <row r="72" spans="1:7" x14ac:dyDescent="0.25">
      <c r="A72" s="11">
        <v>0.86599999999999999</v>
      </c>
      <c r="B72" s="11">
        <v>32.5</v>
      </c>
      <c r="C72" s="11">
        <v>69.853229999999996</v>
      </c>
      <c r="D72" s="11">
        <v>2161.87</v>
      </c>
      <c r="E72" s="12">
        <v>3.9347826086956501</v>
      </c>
      <c r="F72" s="12">
        <v>15.925037921739101</v>
      </c>
      <c r="G72" s="12">
        <v>-400.11956521739103</v>
      </c>
    </row>
    <row r="73" spans="1:7" x14ac:dyDescent="0.25">
      <c r="A73" s="11">
        <v>0.77600000000000002</v>
      </c>
      <c r="B73" s="11">
        <v>29.9</v>
      </c>
      <c r="C73" s="11">
        <v>54.431088000000003</v>
      </c>
      <c r="D73" s="11">
        <v>3648.71</v>
      </c>
      <c r="E73" s="12">
        <v>1.33478260869565</v>
      </c>
      <c r="F73" s="12">
        <v>0.50289592173911701</v>
      </c>
      <c r="G73" s="12">
        <v>1086.7204347826</v>
      </c>
    </row>
    <row r="74" spans="1:7" x14ac:dyDescent="0.25">
      <c r="A74" s="11">
        <v>0.84299999999999997</v>
      </c>
      <c r="B74" s="11">
        <v>32</v>
      </c>
      <c r="C74" s="11">
        <v>68.265656199999995</v>
      </c>
      <c r="D74" s="11">
        <v>2524.2199999999998</v>
      </c>
      <c r="E74" s="12">
        <v>3.4347826086956501</v>
      </c>
      <c r="F74" s="12">
        <v>14.337464121739099</v>
      </c>
      <c r="G74" s="12">
        <v>-37.769565217392</v>
      </c>
    </row>
    <row r="75" spans="1:7" x14ac:dyDescent="0.25">
      <c r="A75" s="11">
        <v>0.84099999999999997</v>
      </c>
      <c r="B75" s="11">
        <v>23</v>
      </c>
      <c r="C75" s="11">
        <v>48.1941925</v>
      </c>
      <c r="D75" s="11">
        <v>3287.8</v>
      </c>
      <c r="E75" s="12">
        <v>-5.5652173913043397</v>
      </c>
      <c r="F75" s="12">
        <v>-5.7339995782608799</v>
      </c>
      <c r="G75" s="12">
        <v>725.81043478260801</v>
      </c>
    </row>
    <row r="76" spans="1:7" x14ac:dyDescent="0.25">
      <c r="A76" s="11">
        <v>0.68700000000000006</v>
      </c>
      <c r="B76" s="11">
        <v>28.5</v>
      </c>
      <c r="C76" s="11">
        <v>46.379822900000001</v>
      </c>
      <c r="D76" s="11">
        <v>4215.59</v>
      </c>
      <c r="E76" s="12">
        <v>-6.5217391304347602E-2</v>
      </c>
      <c r="F76" s="12">
        <v>-7.5483691782608799</v>
      </c>
      <c r="G76" s="12">
        <v>1653.6004347825999</v>
      </c>
    </row>
    <row r="77" spans="1:7" x14ac:dyDescent="0.25">
      <c r="A77" s="11">
        <v>0.67600000000000005</v>
      </c>
      <c r="B77" s="11">
        <v>26.4</v>
      </c>
      <c r="C77" s="11">
        <v>54.884680400000001</v>
      </c>
      <c r="D77" s="11">
        <v>1421.96</v>
      </c>
      <c r="E77" s="12">
        <v>-2.1652173913043402</v>
      </c>
      <c r="F77" s="12">
        <v>0.95648832173911502</v>
      </c>
      <c r="G77" s="12">
        <v>-1140.02956521739</v>
      </c>
    </row>
    <row r="78" spans="1:7" x14ac:dyDescent="0.25">
      <c r="A78" s="11">
        <v>0.752</v>
      </c>
      <c r="B78" s="11">
        <v>33.9</v>
      </c>
      <c r="C78" s="11">
        <v>61.915362600000002</v>
      </c>
      <c r="D78" s="11">
        <v>1821.66</v>
      </c>
      <c r="E78" s="12">
        <v>5.33478260869565</v>
      </c>
      <c r="F78" s="12">
        <v>7.9871705217391096</v>
      </c>
      <c r="G78" s="12">
        <v>-740.32956521739095</v>
      </c>
    </row>
    <row r="79" spans="1:7" x14ac:dyDescent="0.25">
      <c r="A79" s="11">
        <v>0.747</v>
      </c>
      <c r="B79" s="11">
        <v>29.4</v>
      </c>
      <c r="C79" s="11">
        <v>49.101377300000003</v>
      </c>
      <c r="D79" s="11">
        <v>2462.5100000000002</v>
      </c>
      <c r="E79" s="12">
        <v>0.83478260869565002</v>
      </c>
      <c r="F79" s="12">
        <v>-4.8268147782608803</v>
      </c>
      <c r="G79" s="12">
        <v>-99.479565217391595</v>
      </c>
    </row>
    <row r="80" spans="1:7" x14ac:dyDescent="0.25">
      <c r="A80" s="11">
        <v>0.73799999999999999</v>
      </c>
      <c r="B80" s="11">
        <v>29.4</v>
      </c>
      <c r="C80" s="11">
        <v>49.101377300000003</v>
      </c>
      <c r="D80" s="11">
        <v>2775.67</v>
      </c>
      <c r="E80" s="12">
        <v>0.83478260869565002</v>
      </c>
      <c r="F80" s="12">
        <v>-4.8268147782608803</v>
      </c>
      <c r="G80" s="12">
        <v>213.68043478260799</v>
      </c>
    </row>
    <row r="81" spans="1:7" x14ac:dyDescent="0.25">
      <c r="A81" s="11">
        <v>0.79400000000000004</v>
      </c>
      <c r="B81" s="11">
        <v>21</v>
      </c>
      <c r="C81" s="11">
        <v>33.565837600000002</v>
      </c>
      <c r="D81" s="11">
        <v>3006.89</v>
      </c>
      <c r="E81" s="12">
        <v>-7.5652173913043397</v>
      </c>
      <c r="F81" s="12">
        <v>-20.362354478260801</v>
      </c>
      <c r="G81" s="12">
        <v>444.90043478260799</v>
      </c>
    </row>
    <row r="82" spans="1:7" x14ac:dyDescent="0.25">
      <c r="A82" s="11">
        <v>0.72</v>
      </c>
      <c r="B82" s="11">
        <v>22.4</v>
      </c>
      <c r="C82" s="11">
        <v>42.8644818</v>
      </c>
      <c r="D82" s="11">
        <v>2008.19</v>
      </c>
      <c r="E82" s="12">
        <v>-6.1652173913043402</v>
      </c>
      <c r="F82" s="12">
        <v>-11.0637102782608</v>
      </c>
      <c r="G82" s="12">
        <v>-553.79956521739098</v>
      </c>
    </row>
    <row r="83" spans="1:7" x14ac:dyDescent="0.25">
      <c r="A83" s="11">
        <v>0.83699999999999997</v>
      </c>
      <c r="B83" s="11">
        <v>25.3</v>
      </c>
      <c r="C83" s="11">
        <v>43.091278000000003</v>
      </c>
      <c r="D83" s="11">
        <v>2503.69</v>
      </c>
      <c r="E83" s="12">
        <v>-3.2652173913043399</v>
      </c>
      <c r="F83" s="12">
        <v>-10.836914078260801</v>
      </c>
      <c r="G83" s="12">
        <v>-58.299565217391702</v>
      </c>
    </row>
    <row r="84" spans="1:7" x14ac:dyDescent="0.25">
      <c r="A84" s="11">
        <v>0.73199999999999998</v>
      </c>
      <c r="B84" s="11">
        <v>20.2</v>
      </c>
      <c r="C84" s="11">
        <v>42.1840932</v>
      </c>
      <c r="D84" s="11">
        <v>2246.3200000000002</v>
      </c>
      <c r="E84" s="12">
        <v>-8.3652173913043395</v>
      </c>
      <c r="F84" s="12">
        <v>-11.7440988782608</v>
      </c>
      <c r="G84" s="12">
        <v>-315.66956521739098</v>
      </c>
    </row>
    <row r="85" spans="1:7" x14ac:dyDescent="0.25">
      <c r="A85" s="11">
        <v>0.73799999999999999</v>
      </c>
      <c r="B85" s="11">
        <v>22.5</v>
      </c>
      <c r="C85" s="11">
        <v>47.740600100000002</v>
      </c>
      <c r="D85" s="11">
        <v>1531.93</v>
      </c>
      <c r="E85" s="12">
        <v>-6.0652173913043397</v>
      </c>
      <c r="F85" s="12">
        <v>-6.1875919782608797</v>
      </c>
      <c r="G85" s="12">
        <v>-1030.0595652173899</v>
      </c>
    </row>
    <row r="86" spans="1:7" x14ac:dyDescent="0.25">
      <c r="A86" s="11">
        <v>0.85599999999999998</v>
      </c>
      <c r="B86" s="11">
        <v>23.4</v>
      </c>
      <c r="C86" s="11">
        <v>44.452055199999997</v>
      </c>
      <c r="D86" s="11">
        <v>2002.41</v>
      </c>
      <c r="E86" s="12">
        <v>-5.1652173913043402</v>
      </c>
      <c r="F86" s="12">
        <v>-9.4761368782608795</v>
      </c>
      <c r="G86" s="12">
        <v>-559.57956521739095</v>
      </c>
    </row>
    <row r="87" spans="1:7" x14ac:dyDescent="0.25">
      <c r="A87" s="11">
        <v>0.79300000000000004</v>
      </c>
      <c r="B87" s="11">
        <v>29.5</v>
      </c>
      <c r="C87" s="11">
        <v>43.544870400000001</v>
      </c>
      <c r="D87" s="11">
        <v>4080.04</v>
      </c>
      <c r="E87" s="12">
        <v>0.934782608695652</v>
      </c>
      <c r="F87" s="12">
        <v>-10.383321678260801</v>
      </c>
      <c r="G87" s="12">
        <v>1518.0504347826</v>
      </c>
    </row>
    <row r="88" spans="1:7" x14ac:dyDescent="0.25">
      <c r="A88" s="11">
        <v>0.71</v>
      </c>
      <c r="B88" s="11">
        <v>21.9</v>
      </c>
      <c r="C88" s="11">
        <v>42.5242875</v>
      </c>
      <c r="D88" s="11">
        <v>2413</v>
      </c>
      <c r="E88" s="12">
        <v>-6.6652173913043402</v>
      </c>
      <c r="F88" s="12">
        <v>-11.4039045782608</v>
      </c>
      <c r="G88" s="12">
        <v>-148.989565217391</v>
      </c>
    </row>
    <row r="89" spans="1:7" x14ac:dyDescent="0.25">
      <c r="A89" s="11">
        <v>0.77</v>
      </c>
      <c r="B89" s="11">
        <v>19.2</v>
      </c>
      <c r="C89" s="11">
        <v>40.823315999999998</v>
      </c>
      <c r="D89" s="11">
        <v>1721.39</v>
      </c>
      <c r="E89" s="12">
        <v>-9.3652173913043395</v>
      </c>
      <c r="F89" s="12">
        <v>-13.1048760782608</v>
      </c>
      <c r="G89" s="12">
        <v>-840.59956521739105</v>
      </c>
    </row>
    <row r="90" spans="1:7" x14ac:dyDescent="0.25">
      <c r="A90" s="11">
        <v>0.74</v>
      </c>
      <c r="B90" s="11">
        <v>28.6</v>
      </c>
      <c r="C90" s="11">
        <v>47.740600100000002</v>
      </c>
      <c r="D90" s="11">
        <v>2226.92</v>
      </c>
      <c r="E90" s="12">
        <v>3.4782608695653701E-2</v>
      </c>
      <c r="F90" s="12">
        <v>-6.1875919782608797</v>
      </c>
      <c r="G90" s="12">
        <v>-335.06956521739102</v>
      </c>
    </row>
    <row r="91" spans="1:7" x14ac:dyDescent="0.25">
      <c r="A91" s="11">
        <v>0.73699999999999999</v>
      </c>
      <c r="B91" s="11">
        <v>23.4</v>
      </c>
      <c r="C91" s="11">
        <v>42.637685599999998</v>
      </c>
      <c r="D91" s="11">
        <v>2449.9699999999998</v>
      </c>
      <c r="E91" s="12">
        <v>-5.1652173913043402</v>
      </c>
      <c r="F91" s="12">
        <v>-11.2905064782608</v>
      </c>
      <c r="G91" s="12">
        <v>-112.019565217392</v>
      </c>
    </row>
    <row r="92" spans="1:7" x14ac:dyDescent="0.25">
      <c r="A92" s="11">
        <v>0.63300000000000001</v>
      </c>
      <c r="B92" s="11">
        <v>23.2</v>
      </c>
      <c r="C92" s="11">
        <v>43.544870400000001</v>
      </c>
      <c r="D92" s="11">
        <v>1283.6600000000001</v>
      </c>
      <c r="E92" s="12">
        <v>-5.3652173913043404</v>
      </c>
      <c r="F92" s="12">
        <v>-10.383321678260801</v>
      </c>
      <c r="G92" s="12">
        <v>-1278.3295652173899</v>
      </c>
    </row>
    <row r="93" spans="1:7" x14ac:dyDescent="0.25">
      <c r="A93" s="11">
        <v>0.621</v>
      </c>
      <c r="B93" s="11">
        <v>18.100000000000001</v>
      </c>
      <c r="C93" s="11">
        <v>45.35924</v>
      </c>
      <c r="D93" s="11">
        <v>2829.43</v>
      </c>
      <c r="E93" s="12">
        <v>-10.4652173913043</v>
      </c>
      <c r="F93" s="12">
        <v>-8.5689520782608799</v>
      </c>
      <c r="G93" s="12">
        <v>267.44043478260801</v>
      </c>
    </row>
    <row r="94" spans="1:7" x14ac:dyDescent="0.25">
      <c r="A94" s="11">
        <v>0.74399999999999999</v>
      </c>
      <c r="B94" s="11">
        <v>31.4</v>
      </c>
      <c r="C94" s="11">
        <v>43.998462799999999</v>
      </c>
      <c r="D94" s="11">
        <v>2922.46</v>
      </c>
      <c r="E94" s="12">
        <v>2.83478260869565</v>
      </c>
      <c r="F94" s="12">
        <v>-9.9297292782608793</v>
      </c>
      <c r="G94" s="12">
        <v>360.47043478260798</v>
      </c>
    </row>
    <row r="95" spans="1:7" x14ac:dyDescent="0.25">
      <c r="A95" s="11">
        <v>0.622</v>
      </c>
      <c r="B95" s="11">
        <v>22.9</v>
      </c>
      <c r="C95" s="11">
        <v>34.01943</v>
      </c>
      <c r="D95" s="11">
        <v>2560.61</v>
      </c>
      <c r="E95" s="12">
        <v>-5.6652173913043402</v>
      </c>
      <c r="F95" s="12">
        <v>-19.9087620782608</v>
      </c>
      <c r="G95" s="12">
        <v>-1.3795652173916999</v>
      </c>
    </row>
    <row r="96" spans="1:7" x14ac:dyDescent="0.25">
      <c r="A96" s="11">
        <v>0.73499999999999999</v>
      </c>
      <c r="B96" s="11">
        <v>25.6</v>
      </c>
      <c r="C96" s="11">
        <v>47.627201999999997</v>
      </c>
      <c r="D96" s="11">
        <v>2366.34</v>
      </c>
      <c r="E96" s="12">
        <v>-2.96521739130434</v>
      </c>
      <c r="F96" s="12">
        <v>-6.3009900782608801</v>
      </c>
      <c r="G96" s="12">
        <v>-195.649565217391</v>
      </c>
    </row>
  </sheetData>
  <mergeCells count="3">
    <mergeCell ref="J33:O33"/>
    <mergeCell ref="J39:O39"/>
    <mergeCell ref="H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CFE2-5413-456F-86F3-28690609D519}">
  <dimension ref="A2:P97"/>
  <sheetViews>
    <sheetView tabSelected="1" workbookViewId="0">
      <selection activeCell="H3" sqref="H3"/>
    </sheetView>
  </sheetViews>
  <sheetFormatPr defaultRowHeight="15" x14ac:dyDescent="0.25"/>
  <cols>
    <col min="1" max="1" width="14.42578125" bestFit="1" customWidth="1"/>
    <col min="2" max="2" width="5.7109375" bestFit="1" customWidth="1"/>
    <col min="3" max="3" width="11" bestFit="1" customWidth="1"/>
    <col min="4" max="4" width="8.5703125" bestFit="1" customWidth="1"/>
    <col min="5" max="5" width="17" bestFit="1" customWidth="1"/>
    <col min="8" max="8" width="18" bestFit="1" customWidth="1"/>
    <col min="9" max="9" width="13.28515625" bestFit="1" customWidth="1"/>
    <col min="10" max="10" width="14.5703125" bestFit="1" customWidth="1"/>
    <col min="11" max="12" width="12.7109375" bestFit="1" customWidth="1"/>
    <col min="13" max="13" width="16" bestFit="1" customWidth="1"/>
    <col min="14" max="16" width="12.7109375" bestFit="1" customWidth="1"/>
  </cols>
  <sheetData>
    <row r="2" spans="1:13" ht="18.75" x14ac:dyDescent="0.3">
      <c r="C2" s="14" t="s">
        <v>42</v>
      </c>
      <c r="D2" s="14"/>
    </row>
    <row r="4" spans="1:13" ht="15.75" x14ac:dyDescent="0.25">
      <c r="A4" s="13" t="s">
        <v>7</v>
      </c>
      <c r="B4" s="13" t="s">
        <v>8</v>
      </c>
      <c r="C4" s="13" t="s">
        <v>9</v>
      </c>
      <c r="D4" s="13" t="s">
        <v>10</v>
      </c>
      <c r="E4" s="13" t="s">
        <v>37</v>
      </c>
    </row>
    <row r="5" spans="1:13" ht="15.75" x14ac:dyDescent="0.25">
      <c r="A5" s="13" t="s">
        <v>0</v>
      </c>
      <c r="B5" s="13" t="s">
        <v>1</v>
      </c>
      <c r="C5" s="13" t="s">
        <v>2</v>
      </c>
      <c r="D5" s="13" t="s">
        <v>3</v>
      </c>
      <c r="E5" s="13" t="s">
        <v>38</v>
      </c>
      <c r="H5" t="s">
        <v>11</v>
      </c>
    </row>
    <row r="6" spans="1:13" ht="15.75" thickBot="1" x14ac:dyDescent="0.3">
      <c r="A6" s="11">
        <v>0.93400000000000005</v>
      </c>
      <c r="B6" s="11">
        <v>25.3</v>
      </c>
      <c r="C6" s="11">
        <v>52.163125999999998</v>
      </c>
      <c r="D6" s="11">
        <v>3508.44</v>
      </c>
      <c r="E6" s="12">
        <f>B6*C6</f>
        <v>1319.7270877999999</v>
      </c>
    </row>
    <row r="7" spans="1:13" x14ac:dyDescent="0.25">
      <c r="A7" s="11">
        <v>0.88800000000000001</v>
      </c>
      <c r="B7" s="11">
        <v>29.3</v>
      </c>
      <c r="C7" s="11">
        <v>61.801964499999997</v>
      </c>
      <c r="D7" s="11">
        <v>2773.54</v>
      </c>
      <c r="E7" s="12">
        <f t="shared" ref="E7:E70" si="0">B7*C7</f>
        <v>1810.79755985</v>
      </c>
      <c r="H7" s="5" t="s">
        <v>12</v>
      </c>
      <c r="I7" s="5"/>
    </row>
    <row r="8" spans="1:13" x14ac:dyDescent="0.25">
      <c r="A8" s="11">
        <v>0.93300000000000005</v>
      </c>
      <c r="B8" s="11">
        <v>37.700000000000003</v>
      </c>
      <c r="C8" s="11">
        <v>93.440034400000002</v>
      </c>
      <c r="D8" s="11">
        <v>1738.97</v>
      </c>
      <c r="E8" s="12">
        <f t="shared" si="0"/>
        <v>3522.6892968800003</v>
      </c>
      <c r="H8" s="2" t="s">
        <v>13</v>
      </c>
      <c r="I8" s="2">
        <v>0.7498936734299424</v>
      </c>
    </row>
    <row r="9" spans="1:13" x14ac:dyDescent="0.25">
      <c r="A9" s="11">
        <v>0.75700000000000001</v>
      </c>
      <c r="B9" s="11">
        <v>32.799999999999997</v>
      </c>
      <c r="C9" s="11">
        <v>59.8741968</v>
      </c>
      <c r="D9" s="11">
        <v>1665.29</v>
      </c>
      <c r="E9" s="12">
        <f t="shared" si="0"/>
        <v>1963.8736550399999</v>
      </c>
      <c r="H9" s="2" t="s">
        <v>14</v>
      </c>
      <c r="I9" s="2">
        <v>0.56234052145025315</v>
      </c>
    </row>
    <row r="10" spans="1:13" x14ac:dyDescent="0.25">
      <c r="A10" s="11">
        <v>1.0309999999999999</v>
      </c>
      <c r="B10" s="11">
        <v>24.6</v>
      </c>
      <c r="C10" s="11">
        <v>50.348756399999999</v>
      </c>
      <c r="D10" s="11">
        <v>3982.95</v>
      </c>
      <c r="E10" s="12">
        <f t="shared" si="0"/>
        <v>1238.5794074400001</v>
      </c>
      <c r="H10" s="2" t="s">
        <v>15</v>
      </c>
      <c r="I10" s="2">
        <v>0.54221824657440276</v>
      </c>
    </row>
    <row r="11" spans="1:13" x14ac:dyDescent="0.25">
      <c r="A11" s="11">
        <v>0.88300000000000001</v>
      </c>
      <c r="B11" s="11">
        <v>26.5</v>
      </c>
      <c r="C11" s="11">
        <v>57.606234800000003</v>
      </c>
      <c r="D11" s="11">
        <v>2985.74</v>
      </c>
      <c r="E11" s="12">
        <f t="shared" si="0"/>
        <v>1526.5652222000001</v>
      </c>
      <c r="H11" s="2" t="s">
        <v>16</v>
      </c>
      <c r="I11" s="2">
        <v>7.0511848388155246E-2</v>
      </c>
    </row>
    <row r="12" spans="1:13" ht="15.75" thickBot="1" x14ac:dyDescent="0.3">
      <c r="A12" s="11">
        <v>0.83699999999999997</v>
      </c>
      <c r="B12" s="11">
        <v>21.2</v>
      </c>
      <c r="C12" s="11">
        <v>51.7095336</v>
      </c>
      <c r="D12" s="11">
        <v>3002.38</v>
      </c>
      <c r="E12" s="12">
        <f t="shared" si="0"/>
        <v>1096.2421123199999</v>
      </c>
      <c r="H12" s="3" t="s">
        <v>17</v>
      </c>
      <c r="I12" s="3">
        <v>92</v>
      </c>
    </row>
    <row r="13" spans="1:13" x14ac:dyDescent="0.25">
      <c r="A13" s="11">
        <v>0.91200000000000003</v>
      </c>
      <c r="B13" s="11">
        <v>28.4</v>
      </c>
      <c r="C13" s="11">
        <v>54.884680400000001</v>
      </c>
      <c r="D13" s="11">
        <v>3232.98</v>
      </c>
      <c r="E13" s="12">
        <f t="shared" si="0"/>
        <v>1558.72492336</v>
      </c>
    </row>
    <row r="14" spans="1:13" ht="15.75" thickBot="1" x14ac:dyDescent="0.3">
      <c r="A14" s="11">
        <v>0.85299999999999998</v>
      </c>
      <c r="B14" s="11">
        <v>24</v>
      </c>
      <c r="C14" s="11">
        <v>53.977495599999997</v>
      </c>
      <c r="D14" s="11">
        <v>2823.68</v>
      </c>
      <c r="E14" s="12">
        <f t="shared" si="0"/>
        <v>1295.4598943999999</v>
      </c>
      <c r="H14" t="s">
        <v>18</v>
      </c>
    </row>
    <row r="15" spans="1:13" x14ac:dyDescent="0.25">
      <c r="A15" s="11">
        <v>0.82499999999999996</v>
      </c>
      <c r="B15" s="11">
        <v>28.7</v>
      </c>
      <c r="C15" s="11">
        <v>53.523903199999999</v>
      </c>
      <c r="D15" s="11">
        <v>2414.12</v>
      </c>
      <c r="E15" s="12">
        <f t="shared" si="0"/>
        <v>1536.13602184</v>
      </c>
      <c r="H15" s="4"/>
      <c r="I15" s="4" t="s">
        <v>23</v>
      </c>
      <c r="J15" s="4" t="s">
        <v>24</v>
      </c>
      <c r="K15" s="4" t="s">
        <v>25</v>
      </c>
      <c r="L15" s="4" t="s">
        <v>26</v>
      </c>
      <c r="M15" s="4" t="s">
        <v>27</v>
      </c>
    </row>
    <row r="16" spans="1:13" x14ac:dyDescent="0.25">
      <c r="A16" s="11">
        <v>0.77200000000000002</v>
      </c>
      <c r="B16" s="11">
        <v>37.4</v>
      </c>
      <c r="C16" s="11">
        <v>56.925846200000002</v>
      </c>
      <c r="D16" s="11">
        <v>2110.59</v>
      </c>
      <c r="E16" s="12">
        <f t="shared" si="0"/>
        <v>2129.0266478799999</v>
      </c>
      <c r="H16" s="2" t="s">
        <v>19</v>
      </c>
      <c r="I16" s="2">
        <v>4</v>
      </c>
      <c r="J16" s="2">
        <v>0.55578457839167372</v>
      </c>
      <c r="K16" s="2">
        <v>0.13894614459791843</v>
      </c>
      <c r="L16" s="2">
        <v>27.946170347028765</v>
      </c>
      <c r="M16" s="2">
        <v>6.2419465714376811E-15</v>
      </c>
    </row>
    <row r="17" spans="1:16" x14ac:dyDescent="0.25">
      <c r="A17" s="11">
        <v>1.0149999999999999</v>
      </c>
      <c r="B17" s="11">
        <v>30.7</v>
      </c>
      <c r="C17" s="11">
        <v>63.616334100000003</v>
      </c>
      <c r="D17" s="11">
        <v>3100.52</v>
      </c>
      <c r="E17" s="12">
        <f t="shared" si="0"/>
        <v>1953.0214568700001</v>
      </c>
      <c r="H17" s="2" t="s">
        <v>20</v>
      </c>
      <c r="I17" s="2">
        <v>87</v>
      </c>
      <c r="J17" s="2">
        <v>0.43255710639093464</v>
      </c>
      <c r="K17" s="2">
        <v>4.9719207631141911E-3</v>
      </c>
      <c r="L17" s="2"/>
      <c r="M17" s="2"/>
    </row>
    <row r="18" spans="1:16" ht="15.75" thickBot="1" x14ac:dyDescent="0.3">
      <c r="A18" s="11">
        <v>0.96299999999999997</v>
      </c>
      <c r="B18" s="11">
        <v>36.700000000000003</v>
      </c>
      <c r="C18" s="11">
        <v>75.069542200000001</v>
      </c>
      <c r="D18" s="11">
        <v>1573.55</v>
      </c>
      <c r="E18" s="12">
        <f t="shared" si="0"/>
        <v>2755.0521987400002</v>
      </c>
      <c r="H18" s="3" t="s">
        <v>21</v>
      </c>
      <c r="I18" s="3">
        <v>91</v>
      </c>
      <c r="J18" s="3">
        <v>0.98834168478260831</v>
      </c>
      <c r="K18" s="3"/>
      <c r="L18" s="3"/>
      <c r="M18" s="3"/>
    </row>
    <row r="19" spans="1:16" ht="15.75" thickBot="1" x14ac:dyDescent="0.3">
      <c r="A19" s="11">
        <v>0.72899999999999998</v>
      </c>
      <c r="B19" s="11">
        <v>28.2</v>
      </c>
      <c r="C19" s="11">
        <v>48.761183000000003</v>
      </c>
      <c r="D19" s="11">
        <v>2814.91</v>
      </c>
      <c r="E19" s="12">
        <f t="shared" si="0"/>
        <v>1375.0653606000001</v>
      </c>
    </row>
    <row r="20" spans="1:16" x14ac:dyDescent="0.25">
      <c r="A20" s="11">
        <v>0.73799999999999999</v>
      </c>
      <c r="B20" s="11">
        <v>26.4</v>
      </c>
      <c r="C20" s="11">
        <v>48.420988700000002</v>
      </c>
      <c r="D20" s="11">
        <v>1254.29</v>
      </c>
      <c r="E20" s="12">
        <f t="shared" si="0"/>
        <v>1278.31410168</v>
      </c>
      <c r="H20" s="4"/>
      <c r="I20" s="4" t="s">
        <v>28</v>
      </c>
      <c r="J20" s="4" t="s">
        <v>16</v>
      </c>
      <c r="K20" s="4" t="s">
        <v>29</v>
      </c>
      <c r="L20" s="4" t="s">
        <v>30</v>
      </c>
      <c r="M20" s="4" t="s">
        <v>31</v>
      </c>
      <c r="N20" s="4" t="s">
        <v>32</v>
      </c>
      <c r="O20" s="4" t="s">
        <v>33</v>
      </c>
      <c r="P20" s="4" t="s">
        <v>34</v>
      </c>
    </row>
    <row r="21" spans="1:16" x14ac:dyDescent="0.25">
      <c r="A21" s="11">
        <v>0.89400000000000002</v>
      </c>
      <c r="B21" s="11">
        <v>37.1</v>
      </c>
      <c r="C21" s="11">
        <v>72.688182100000006</v>
      </c>
      <c r="D21" s="11">
        <v>4096.58</v>
      </c>
      <c r="E21" s="12">
        <f t="shared" si="0"/>
        <v>2696.7315559100002</v>
      </c>
      <c r="H21" s="2" t="s">
        <v>22</v>
      </c>
      <c r="I21" s="2">
        <v>0.15493381820525898</v>
      </c>
      <c r="J21" s="2">
        <v>0.13172874793705916</v>
      </c>
      <c r="K21" s="2">
        <v>1.1761579809388862</v>
      </c>
      <c r="L21" s="2">
        <v>0.24274008042042713</v>
      </c>
      <c r="M21" s="2">
        <v>-0.10689133211779955</v>
      </c>
      <c r="N21" s="2">
        <v>0.41675896852831751</v>
      </c>
      <c r="O21" s="2">
        <v>-0.10689133211779955</v>
      </c>
      <c r="P21" s="2">
        <v>0.41675896852831751</v>
      </c>
    </row>
    <row r="22" spans="1:16" x14ac:dyDescent="0.25">
      <c r="A22" s="11">
        <v>0.86299999999999999</v>
      </c>
      <c r="B22" s="11">
        <v>31.1</v>
      </c>
      <c r="C22" s="11">
        <v>54.431088000000003</v>
      </c>
      <c r="D22" s="11">
        <v>2116.94</v>
      </c>
      <c r="E22" s="12">
        <f t="shared" si="0"/>
        <v>1692.8068368000002</v>
      </c>
      <c r="H22" s="2" t="s">
        <v>1</v>
      </c>
      <c r="I22" s="2">
        <v>5.5710628598437647E-3</v>
      </c>
      <c r="J22" s="2">
        <v>4.0866235091634173E-3</v>
      </c>
      <c r="K22" s="2">
        <v>1.3632434814099699</v>
      </c>
      <c r="L22" s="2">
        <v>0.17632342008432797</v>
      </c>
      <c r="M22" s="2">
        <v>-2.5515438707060497E-3</v>
      </c>
      <c r="N22" s="2">
        <v>1.369366959039358E-2</v>
      </c>
      <c r="O22" s="2">
        <v>-2.5515438707060497E-3</v>
      </c>
      <c r="P22" s="2">
        <v>1.369366959039358E-2</v>
      </c>
    </row>
    <row r="23" spans="1:16" x14ac:dyDescent="0.25">
      <c r="A23" s="11">
        <v>0.82699999999999996</v>
      </c>
      <c r="B23" s="11">
        <v>43.1</v>
      </c>
      <c r="C23" s="11">
        <v>78.471485200000004</v>
      </c>
      <c r="D23" s="11">
        <v>1591.77</v>
      </c>
      <c r="E23" s="12">
        <f t="shared" si="0"/>
        <v>3382.1210121200002</v>
      </c>
      <c r="H23" s="2" t="s">
        <v>2</v>
      </c>
      <c r="I23" s="2">
        <v>1.4467998617357361E-2</v>
      </c>
      <c r="J23" s="2">
        <v>2.8520917207549403E-3</v>
      </c>
      <c r="K23" s="2">
        <v>5.0727676505185197</v>
      </c>
      <c r="L23" s="2">
        <v>2.1947861781278213E-6</v>
      </c>
      <c r="M23" s="2">
        <v>8.799157493333206E-3</v>
      </c>
      <c r="N23" s="2">
        <v>2.0136839741381515E-2</v>
      </c>
      <c r="O23" s="2">
        <v>8.799157493333206E-3</v>
      </c>
      <c r="P23" s="2">
        <v>2.0136839741381515E-2</v>
      </c>
    </row>
    <row r="24" spans="1:16" x14ac:dyDescent="0.25">
      <c r="A24" s="11">
        <v>0.85</v>
      </c>
      <c r="B24" s="11">
        <v>34.1</v>
      </c>
      <c r="C24" s="11">
        <v>58.513419599999999</v>
      </c>
      <c r="D24" s="11">
        <v>4157.72</v>
      </c>
      <c r="E24" s="12">
        <f t="shared" si="0"/>
        <v>1995.3076083600001</v>
      </c>
      <c r="H24" s="2" t="s">
        <v>3</v>
      </c>
      <c r="I24" s="2">
        <v>2.2377123887630073E-5</v>
      </c>
      <c r="J24" s="2">
        <v>7.2760289532172629E-6</v>
      </c>
      <c r="K24" s="2">
        <v>3.0754583346916884</v>
      </c>
      <c r="L24" s="2">
        <v>2.8086966757265709E-3</v>
      </c>
      <c r="M24" s="2">
        <v>7.9152284831335561E-6</v>
      </c>
      <c r="N24" s="2">
        <v>3.6839019292126589E-5</v>
      </c>
      <c r="O24" s="2">
        <v>7.9152284831335561E-6</v>
      </c>
      <c r="P24" s="2">
        <v>3.6839019292126589E-5</v>
      </c>
    </row>
    <row r="25" spans="1:16" ht="15.75" thickBot="1" x14ac:dyDescent="0.3">
      <c r="A25" s="11">
        <v>0.83899999999999997</v>
      </c>
      <c r="B25" s="11">
        <v>26.7</v>
      </c>
      <c r="C25" s="11">
        <v>49.554969700000001</v>
      </c>
      <c r="D25" s="11">
        <v>2534.71</v>
      </c>
      <c r="E25" s="12">
        <f t="shared" si="0"/>
        <v>1323.11769099</v>
      </c>
      <c r="H25" s="3" t="s">
        <v>38</v>
      </c>
      <c r="I25" s="3">
        <v>-2.1423746855368583E-4</v>
      </c>
      <c r="J25" s="3">
        <v>7.393568458370994E-5</v>
      </c>
      <c r="K25" s="3">
        <v>-2.8976193263095613</v>
      </c>
      <c r="L25" s="3">
        <v>4.7564616610859083E-3</v>
      </c>
      <c r="M25" s="3">
        <v>-3.6119264753722537E-4</v>
      </c>
      <c r="N25" s="3">
        <v>-6.7282289570146287E-5</v>
      </c>
      <c r="O25" s="3">
        <v>-3.6119264753722537E-4</v>
      </c>
      <c r="P25" s="3">
        <v>-6.7282289570146287E-5</v>
      </c>
    </row>
    <row r="26" spans="1:16" x14ac:dyDescent="0.25">
      <c r="A26" s="11">
        <v>0.79500000000000004</v>
      </c>
      <c r="B26" s="11">
        <v>30.9</v>
      </c>
      <c r="C26" s="11">
        <v>57.719632900000001</v>
      </c>
      <c r="D26" s="11">
        <v>5853.51</v>
      </c>
      <c r="E26" s="12">
        <f t="shared" si="0"/>
        <v>1783.5366566099999</v>
      </c>
    </row>
    <row r="27" spans="1:16" x14ac:dyDescent="0.25">
      <c r="A27" s="11">
        <v>0.73499999999999999</v>
      </c>
      <c r="B27" s="11">
        <v>30</v>
      </c>
      <c r="C27" s="11">
        <v>46.720017200000001</v>
      </c>
      <c r="D27" s="11">
        <v>3230.57</v>
      </c>
      <c r="E27" s="12">
        <f t="shared" si="0"/>
        <v>1401.600516</v>
      </c>
    </row>
    <row r="28" spans="1:16" ht="15.75" thickBot="1" x14ac:dyDescent="0.3">
      <c r="A28" s="11">
        <v>0.85899999999999999</v>
      </c>
      <c r="B28" s="11">
        <v>22.1</v>
      </c>
      <c r="C28" s="11">
        <v>46.720017200000001</v>
      </c>
      <c r="D28" s="11">
        <v>2780.89</v>
      </c>
      <c r="E28" s="12">
        <f t="shared" si="0"/>
        <v>1032.51238012</v>
      </c>
    </row>
    <row r="29" spans="1:16" x14ac:dyDescent="0.25">
      <c r="A29" s="11">
        <v>0.76300000000000001</v>
      </c>
      <c r="B29" s="11">
        <v>24.4</v>
      </c>
      <c r="C29" s="11">
        <v>48.307590599999997</v>
      </c>
      <c r="D29" s="11">
        <v>2145.35</v>
      </c>
      <c r="E29" s="12">
        <f t="shared" si="0"/>
        <v>1178.7052106399999</v>
      </c>
      <c r="H29" s="4"/>
      <c r="I29" s="6" t="s">
        <v>0</v>
      </c>
      <c r="J29" s="4" t="s">
        <v>1</v>
      </c>
      <c r="K29" s="4" t="s">
        <v>2</v>
      </c>
      <c r="L29" s="4" t="s">
        <v>3</v>
      </c>
      <c r="M29" s="4" t="s">
        <v>38</v>
      </c>
    </row>
    <row r="30" spans="1:16" x14ac:dyDescent="0.25">
      <c r="A30" s="11">
        <v>0.82099999999999995</v>
      </c>
      <c r="B30" s="11">
        <v>22.5</v>
      </c>
      <c r="C30" s="11">
        <v>49.441571600000003</v>
      </c>
      <c r="D30" s="11">
        <v>1349.81</v>
      </c>
      <c r="E30" s="12">
        <f t="shared" si="0"/>
        <v>1112.4353610000001</v>
      </c>
      <c r="H30" s="7" t="s">
        <v>0</v>
      </c>
      <c r="I30" s="2">
        <v>1</v>
      </c>
      <c r="J30" s="2"/>
      <c r="K30" s="2"/>
      <c r="L30" s="2"/>
      <c r="M30" s="2"/>
    </row>
    <row r="31" spans="1:16" x14ac:dyDescent="0.25">
      <c r="A31" s="11">
        <v>0.70399999999999996</v>
      </c>
      <c r="B31" s="11">
        <v>24.9</v>
      </c>
      <c r="C31" s="11">
        <v>45.35924</v>
      </c>
      <c r="D31" s="11">
        <v>1819.44</v>
      </c>
      <c r="E31" s="12">
        <f t="shared" si="0"/>
        <v>1129.445076</v>
      </c>
      <c r="H31" s="2" t="s">
        <v>1</v>
      </c>
      <c r="I31" s="2">
        <v>0.45558418116191274</v>
      </c>
      <c r="J31" s="2">
        <v>1</v>
      </c>
      <c r="K31" s="2"/>
      <c r="L31" s="2"/>
      <c r="M31" s="2"/>
    </row>
    <row r="32" spans="1:16" x14ac:dyDescent="0.25">
      <c r="A32" s="11">
        <v>0.74199999999999999</v>
      </c>
      <c r="B32" s="11">
        <v>18.2</v>
      </c>
      <c r="C32" s="11">
        <v>44.111860900000003</v>
      </c>
      <c r="D32" s="11">
        <v>2569.71</v>
      </c>
      <c r="E32" s="12">
        <f t="shared" si="0"/>
        <v>802.83586838000008</v>
      </c>
      <c r="H32" s="2" t="s">
        <v>2</v>
      </c>
      <c r="I32" s="2">
        <v>0.65679290233797338</v>
      </c>
      <c r="J32" s="2">
        <v>0.8267145438392387</v>
      </c>
      <c r="K32" s="2">
        <v>1</v>
      </c>
      <c r="L32" s="2"/>
      <c r="M32" s="2"/>
    </row>
    <row r="33" spans="1:13" x14ac:dyDescent="0.25">
      <c r="A33" s="11">
        <v>0.76200000000000001</v>
      </c>
      <c r="B33" s="11">
        <v>27.3</v>
      </c>
      <c r="C33" s="11">
        <v>43.544870400000001</v>
      </c>
      <c r="D33" s="11">
        <v>1945.33</v>
      </c>
      <c r="E33" s="12">
        <f t="shared" si="0"/>
        <v>1188.7749619200001</v>
      </c>
      <c r="H33" s="2" t="s">
        <v>3</v>
      </c>
      <c r="I33" s="2">
        <v>0.16181814568606362</v>
      </c>
      <c r="J33" s="2">
        <v>-2.2527420108596669E-2</v>
      </c>
      <c r="K33" s="2">
        <v>-0.10766796322625993</v>
      </c>
      <c r="L33" s="2">
        <v>1</v>
      </c>
      <c r="M33" s="2"/>
    </row>
    <row r="34" spans="1:13" ht="15.75" thickBot="1" x14ac:dyDescent="0.3">
      <c r="A34" s="11">
        <v>0.73099999999999998</v>
      </c>
      <c r="B34" s="11">
        <v>25.9</v>
      </c>
      <c r="C34" s="11">
        <v>40.142927399999998</v>
      </c>
      <c r="D34" s="11">
        <v>1722.13</v>
      </c>
      <c r="E34" s="12">
        <f t="shared" si="0"/>
        <v>1039.70181966</v>
      </c>
      <c r="H34" s="3" t="s">
        <v>38</v>
      </c>
      <c r="I34" s="3">
        <v>0.57340037973029567</v>
      </c>
      <c r="J34" s="3">
        <v>0.9244813648982767</v>
      </c>
      <c r="K34" s="3">
        <v>0.96843224736397937</v>
      </c>
      <c r="L34" s="3">
        <v>-9.6659602236318309E-2</v>
      </c>
      <c r="M34" s="3">
        <v>1</v>
      </c>
    </row>
    <row r="35" spans="1:13" x14ac:dyDescent="0.25">
      <c r="A35" s="11">
        <v>0.8</v>
      </c>
      <c r="B35" s="11">
        <v>28.3</v>
      </c>
      <c r="C35" s="11">
        <v>46.720017200000001</v>
      </c>
      <c r="D35" s="11">
        <v>1580.64</v>
      </c>
      <c r="E35" s="12">
        <f t="shared" si="0"/>
        <v>1322.17648676</v>
      </c>
    </row>
    <row r="36" spans="1:13" ht="18" thickBot="1" x14ac:dyDescent="0.3">
      <c r="A36" s="11">
        <v>0.79800000000000004</v>
      </c>
      <c r="B36" s="11">
        <v>18.7</v>
      </c>
      <c r="C36" s="11">
        <v>44.452055199999997</v>
      </c>
      <c r="D36" s="11">
        <v>1809.41</v>
      </c>
      <c r="E36" s="12">
        <f t="shared" si="0"/>
        <v>831.25343223999994</v>
      </c>
      <c r="H36" s="8" t="s">
        <v>35</v>
      </c>
      <c r="I36" s="8"/>
      <c r="J36" s="8"/>
      <c r="K36" s="8"/>
      <c r="L36" s="8"/>
      <c r="M36" s="8"/>
    </row>
    <row r="37" spans="1:13" x14ac:dyDescent="0.25">
      <c r="A37" s="11">
        <v>0.78900000000000003</v>
      </c>
      <c r="B37" s="11">
        <v>22.4</v>
      </c>
      <c r="C37" s="11">
        <v>45.35924</v>
      </c>
      <c r="D37" s="11">
        <v>2815.98</v>
      </c>
      <c r="E37" s="12">
        <f t="shared" si="0"/>
        <v>1016.046976</v>
      </c>
      <c r="H37" s="4"/>
      <c r="I37" s="4" t="s">
        <v>1</v>
      </c>
      <c r="J37" s="4" t="s">
        <v>2</v>
      </c>
      <c r="K37" s="4" t="s">
        <v>3</v>
      </c>
    </row>
    <row r="38" spans="1:13" x14ac:dyDescent="0.25">
      <c r="A38" s="11">
        <v>0.95499999999999996</v>
      </c>
      <c r="B38" s="11">
        <v>23.6</v>
      </c>
      <c r="C38" s="11">
        <v>43.091278000000003</v>
      </c>
      <c r="D38" s="11">
        <v>3503.26</v>
      </c>
      <c r="E38" s="12">
        <f t="shared" si="0"/>
        <v>1016.9541608000001</v>
      </c>
      <c r="H38" s="2"/>
      <c r="I38" s="2">
        <f>J31*J31</f>
        <v>1</v>
      </c>
      <c r="J38" s="2"/>
      <c r="K38" s="2"/>
    </row>
    <row r="39" spans="1:13" x14ac:dyDescent="0.25">
      <c r="A39" s="11">
        <v>0.78200000000000003</v>
      </c>
      <c r="B39" s="11">
        <v>26.8</v>
      </c>
      <c r="C39" s="11">
        <v>52.163125999999998</v>
      </c>
      <c r="D39" s="11">
        <v>3381.07</v>
      </c>
      <c r="E39" s="12">
        <f t="shared" si="0"/>
        <v>1397.9717768</v>
      </c>
      <c r="H39" s="2" t="s">
        <v>2</v>
      </c>
      <c r="I39" s="2">
        <f t="shared" ref="I39:K41" si="1">J32*J32</f>
        <v>0.68345693699532051</v>
      </c>
      <c r="J39" s="2"/>
      <c r="K39" s="2"/>
    </row>
    <row r="40" spans="1:13" ht="15.75" thickBot="1" x14ac:dyDescent="0.3">
      <c r="A40" s="11">
        <v>0.68100000000000005</v>
      </c>
      <c r="B40" s="11">
        <v>17.8</v>
      </c>
      <c r="C40" s="11">
        <v>34.586420500000003</v>
      </c>
      <c r="D40" s="11">
        <v>5153.57</v>
      </c>
      <c r="E40" s="12">
        <f t="shared" si="0"/>
        <v>615.63828490000003</v>
      </c>
      <c r="H40" s="3" t="s">
        <v>3</v>
      </c>
      <c r="I40" s="2">
        <f t="shared" si="1"/>
        <v>5.0748465674920558E-4</v>
      </c>
      <c r="J40" s="2">
        <f t="shared" ref="J40:K40" si="2">K33*K33</f>
        <v>1.1592390305291262E-2</v>
      </c>
      <c r="K40" s="2">
        <f t="shared" si="2"/>
        <v>1</v>
      </c>
    </row>
    <row r="41" spans="1:13" ht="15.75" thickBot="1" x14ac:dyDescent="0.3">
      <c r="A41" s="11">
        <v>0.85</v>
      </c>
      <c r="B41" s="11">
        <v>27.4</v>
      </c>
      <c r="C41" s="11">
        <v>56.69905</v>
      </c>
      <c r="D41" s="11">
        <v>2446.4</v>
      </c>
      <c r="E41" s="12">
        <f t="shared" si="0"/>
        <v>1553.5539699999999</v>
      </c>
      <c r="H41" s="3" t="s">
        <v>38</v>
      </c>
      <c r="I41" s="2">
        <f t="shared" si="1"/>
        <v>0.85466579404418064</v>
      </c>
      <c r="J41" s="2">
        <f t="shared" ref="J41:K41" si="3">K34*K34</f>
        <v>0.93786101773444774</v>
      </c>
      <c r="K41" s="2">
        <f t="shared" si="3"/>
        <v>9.3430787044832715E-3</v>
      </c>
    </row>
    <row r="42" spans="1:13" x14ac:dyDescent="0.25">
      <c r="A42" s="11">
        <v>0.67</v>
      </c>
      <c r="B42" s="11">
        <v>16.8</v>
      </c>
      <c r="C42" s="11">
        <v>34.926614800000003</v>
      </c>
      <c r="D42" s="11">
        <v>2031.51</v>
      </c>
      <c r="E42" s="12">
        <f t="shared" si="0"/>
        <v>586.76712864000012</v>
      </c>
    </row>
    <row r="43" spans="1:13" x14ac:dyDescent="0.25">
      <c r="A43" s="11">
        <v>0.64500000000000002</v>
      </c>
      <c r="B43" s="11">
        <v>26.1</v>
      </c>
      <c r="C43" s="11">
        <v>35.380207200000001</v>
      </c>
      <c r="D43" s="11">
        <v>1742.94</v>
      </c>
      <c r="E43" s="12">
        <f t="shared" si="0"/>
        <v>923.42340792000005</v>
      </c>
    </row>
    <row r="44" spans="1:13" x14ac:dyDescent="0.25">
      <c r="A44" s="11">
        <v>0.69</v>
      </c>
      <c r="B44" s="11">
        <v>20.8</v>
      </c>
      <c r="C44" s="11">
        <v>37.648169199999998</v>
      </c>
      <c r="D44" s="11">
        <v>1665.29</v>
      </c>
      <c r="E44" s="12">
        <f t="shared" si="0"/>
        <v>783.08191936000003</v>
      </c>
      <c r="H44" s="8" t="s">
        <v>36</v>
      </c>
      <c r="I44" s="8"/>
      <c r="J44" s="8"/>
      <c r="K44" s="8"/>
      <c r="L44" s="8"/>
      <c r="M44" s="8"/>
    </row>
    <row r="45" spans="1:13" ht="15.75" thickBot="1" x14ac:dyDescent="0.3">
      <c r="A45" s="11">
        <v>0.68</v>
      </c>
      <c r="B45" s="11">
        <v>22.7</v>
      </c>
      <c r="C45" s="11">
        <v>39.008946399999999</v>
      </c>
      <c r="D45" s="11">
        <v>2730.81</v>
      </c>
      <c r="E45" s="12">
        <f t="shared" si="0"/>
        <v>885.50308327999994</v>
      </c>
    </row>
    <row r="46" spans="1:13" x14ac:dyDescent="0.25">
      <c r="A46" s="11">
        <v>0.70899999999999996</v>
      </c>
      <c r="B46" s="11">
        <v>20.2</v>
      </c>
      <c r="C46" s="11">
        <v>41.730500800000002</v>
      </c>
      <c r="D46" s="11">
        <v>3576.25</v>
      </c>
      <c r="E46" s="12">
        <f t="shared" si="0"/>
        <v>842.95611615999997</v>
      </c>
      <c r="H46" s="4"/>
      <c r="I46" s="4" t="s">
        <v>1</v>
      </c>
      <c r="J46" s="4" t="s">
        <v>2</v>
      </c>
      <c r="K46" s="4" t="s">
        <v>3</v>
      </c>
    </row>
    <row r="47" spans="1:13" x14ac:dyDescent="0.25">
      <c r="A47" s="11">
        <v>0.749</v>
      </c>
      <c r="B47" s="11">
        <v>20.3</v>
      </c>
      <c r="C47" s="11">
        <v>38.101761600000003</v>
      </c>
      <c r="D47" s="11">
        <v>1499.31</v>
      </c>
      <c r="E47" s="12">
        <f t="shared" si="0"/>
        <v>773.46576048000009</v>
      </c>
      <c r="H47" s="2"/>
      <c r="I47" s="2"/>
      <c r="J47" s="2"/>
      <c r="K47" s="2"/>
    </row>
    <row r="48" spans="1:13" x14ac:dyDescent="0.25">
      <c r="A48" s="11">
        <v>0.55800000000000005</v>
      </c>
      <c r="B48" s="11">
        <v>31.9</v>
      </c>
      <c r="C48" s="11">
        <v>33.565837600000002</v>
      </c>
      <c r="D48" s="11">
        <v>2060.48</v>
      </c>
      <c r="E48" s="12">
        <f t="shared" si="0"/>
        <v>1070.7502194399999</v>
      </c>
      <c r="H48" s="2" t="s">
        <v>2</v>
      </c>
      <c r="I48" s="2">
        <f>1/(1-I39)</f>
        <v>3.1591278308481425</v>
      </c>
      <c r="J48" s="2"/>
      <c r="K48" s="2"/>
    </row>
    <row r="49" spans="1:11" ht="15.75" thickBot="1" x14ac:dyDescent="0.3">
      <c r="A49" s="11">
        <v>0.68700000000000006</v>
      </c>
      <c r="B49" s="11">
        <v>22.9</v>
      </c>
      <c r="C49" s="11">
        <v>33.6792357</v>
      </c>
      <c r="D49" s="11">
        <v>4998.25</v>
      </c>
      <c r="E49" s="12">
        <f t="shared" si="0"/>
        <v>771.25449752999998</v>
      </c>
      <c r="H49" s="3" t="s">
        <v>3</v>
      </c>
      <c r="I49" s="2">
        <f t="shared" ref="I49:K50" si="4">1/(1-I40)</f>
        <v>1.0005077423281903</v>
      </c>
      <c r="J49" s="2">
        <f t="shared" si="4"/>
        <v>1.0117283499151446</v>
      </c>
      <c r="K49" s="2"/>
    </row>
    <row r="50" spans="1:11" ht="15.75" thickBot="1" x14ac:dyDescent="0.3">
      <c r="A50" s="11">
        <v>0.73399999999999999</v>
      </c>
      <c r="B50" s="11">
        <v>25.3</v>
      </c>
      <c r="C50" s="11">
        <v>49.441571600000003</v>
      </c>
      <c r="D50" s="11">
        <v>1450.86</v>
      </c>
      <c r="E50" s="12">
        <f t="shared" si="0"/>
        <v>1250.87176148</v>
      </c>
      <c r="H50" s="3" t="s">
        <v>38</v>
      </c>
      <c r="I50" s="2">
        <f t="shared" si="4"/>
        <v>6.8806926313272276</v>
      </c>
      <c r="J50" s="2">
        <f t="shared" si="4"/>
        <v>16.09295748885102</v>
      </c>
      <c r="K50" s="2">
        <f t="shared" si="4"/>
        <v>1.0094311951026043</v>
      </c>
    </row>
    <row r="51" spans="1:11" x14ac:dyDescent="0.25">
      <c r="A51" s="11">
        <v>0.69899999999999995</v>
      </c>
      <c r="B51" s="11">
        <v>17.3</v>
      </c>
      <c r="C51" s="11">
        <v>39.008946399999999</v>
      </c>
      <c r="D51" s="11">
        <v>1547.67</v>
      </c>
      <c r="E51" s="12">
        <f t="shared" si="0"/>
        <v>674.85477272000003</v>
      </c>
    </row>
    <row r="52" spans="1:11" x14ac:dyDescent="0.25">
      <c r="A52" s="11">
        <v>0.81499999999999995</v>
      </c>
      <c r="B52" s="11">
        <v>41</v>
      </c>
      <c r="C52" s="11">
        <v>63.0493436</v>
      </c>
      <c r="D52" s="11">
        <v>1880.67</v>
      </c>
      <c r="E52" s="12">
        <f t="shared" si="0"/>
        <v>2585.0230876000001</v>
      </c>
    </row>
    <row r="53" spans="1:11" x14ac:dyDescent="0.25">
      <c r="A53" s="11">
        <v>0.80100000000000005</v>
      </c>
      <c r="B53" s="11">
        <v>25.8</v>
      </c>
      <c r="C53" s="11">
        <v>49.895164000000001</v>
      </c>
      <c r="D53" s="11">
        <v>1405.69</v>
      </c>
      <c r="E53" s="12">
        <f t="shared" si="0"/>
        <v>1287.2952312</v>
      </c>
    </row>
    <row r="54" spans="1:11" x14ac:dyDescent="0.25">
      <c r="A54" s="11">
        <v>0.81499999999999995</v>
      </c>
      <c r="B54" s="11">
        <v>36.6</v>
      </c>
      <c r="C54" s="11">
        <v>58.740215800000001</v>
      </c>
      <c r="D54" s="11">
        <v>2013.06</v>
      </c>
      <c r="E54" s="12">
        <f t="shared" si="0"/>
        <v>2149.8918982800001</v>
      </c>
    </row>
    <row r="55" spans="1:11" x14ac:dyDescent="0.25">
      <c r="A55" s="11">
        <v>0.745</v>
      </c>
      <c r="B55" s="11">
        <v>27.8</v>
      </c>
      <c r="C55" s="11">
        <v>56.812448099999997</v>
      </c>
      <c r="D55" s="11">
        <v>2558.81</v>
      </c>
      <c r="E55" s="12">
        <f t="shared" si="0"/>
        <v>1579.3860571800001</v>
      </c>
    </row>
    <row r="56" spans="1:11" x14ac:dyDescent="0.25">
      <c r="A56" s="11">
        <v>0.83599999999999997</v>
      </c>
      <c r="B56" s="11">
        <v>39.4</v>
      </c>
      <c r="C56" s="11">
        <v>61.688566399999999</v>
      </c>
      <c r="D56" s="11">
        <v>2748.62</v>
      </c>
      <c r="E56" s="12">
        <f t="shared" si="0"/>
        <v>2430.5295161599997</v>
      </c>
    </row>
    <row r="57" spans="1:11" x14ac:dyDescent="0.25">
      <c r="A57" s="11">
        <v>0.76200000000000001</v>
      </c>
      <c r="B57" s="11">
        <v>36.4</v>
      </c>
      <c r="C57" s="11">
        <v>54.431088000000003</v>
      </c>
      <c r="D57" s="11">
        <v>2187.21</v>
      </c>
      <c r="E57" s="12">
        <f t="shared" si="0"/>
        <v>1981.2916032000001</v>
      </c>
    </row>
    <row r="58" spans="1:11" x14ac:dyDescent="0.25">
      <c r="A58" s="11">
        <v>0.86099999999999999</v>
      </c>
      <c r="B58" s="11">
        <v>46.8</v>
      </c>
      <c r="C58" s="11">
        <v>93.893626800000007</v>
      </c>
      <c r="D58" s="11">
        <v>824.25</v>
      </c>
      <c r="E58" s="12">
        <f t="shared" si="0"/>
        <v>4394.2217342399999</v>
      </c>
    </row>
    <row r="59" spans="1:11" x14ac:dyDescent="0.25">
      <c r="A59" s="11">
        <v>1.02</v>
      </c>
      <c r="B59" s="11">
        <v>40.5</v>
      </c>
      <c r="C59" s="11">
        <v>74.3891536</v>
      </c>
      <c r="D59" s="11">
        <v>2701.94</v>
      </c>
      <c r="E59" s="12">
        <f t="shared" si="0"/>
        <v>3012.7607207999999</v>
      </c>
    </row>
    <row r="60" spans="1:11" x14ac:dyDescent="0.25">
      <c r="A60" s="11">
        <v>0.77600000000000002</v>
      </c>
      <c r="B60" s="11">
        <v>43</v>
      </c>
      <c r="C60" s="11">
        <v>96.161588800000004</v>
      </c>
      <c r="D60" s="11">
        <v>1595.62</v>
      </c>
      <c r="E60" s="12">
        <f t="shared" si="0"/>
        <v>4134.9483184000001</v>
      </c>
    </row>
    <row r="61" spans="1:11" x14ac:dyDescent="0.25">
      <c r="A61" s="11">
        <v>1.008</v>
      </c>
      <c r="B61" s="11">
        <v>39.5</v>
      </c>
      <c r="C61" s="11">
        <v>72.574783999999994</v>
      </c>
      <c r="D61" s="11">
        <v>7191.08</v>
      </c>
      <c r="E61" s="12">
        <f t="shared" si="0"/>
        <v>2866.7039679999998</v>
      </c>
    </row>
    <row r="62" spans="1:11" x14ac:dyDescent="0.25">
      <c r="A62" s="11">
        <v>1.01</v>
      </c>
      <c r="B62" s="11">
        <v>39.4</v>
      </c>
      <c r="C62" s="11">
        <v>98.429550800000001</v>
      </c>
      <c r="D62" s="11">
        <v>1704.27</v>
      </c>
      <c r="E62" s="12">
        <f t="shared" si="0"/>
        <v>3878.1243015199998</v>
      </c>
    </row>
    <row r="63" spans="1:11" x14ac:dyDescent="0.25">
      <c r="A63" s="11">
        <v>0.88500000000000001</v>
      </c>
      <c r="B63" s="11">
        <v>24.8</v>
      </c>
      <c r="C63" s="11">
        <v>51.596135500000003</v>
      </c>
      <c r="D63" s="11">
        <v>1827.86</v>
      </c>
      <c r="E63" s="12">
        <f t="shared" si="0"/>
        <v>1279.5841604000002</v>
      </c>
    </row>
    <row r="64" spans="1:11" x14ac:dyDescent="0.25">
      <c r="A64" s="11">
        <v>0.77100000000000002</v>
      </c>
      <c r="B64" s="11">
        <v>35</v>
      </c>
      <c r="C64" s="11">
        <v>56.245457600000002</v>
      </c>
      <c r="D64" s="11">
        <v>3246.64</v>
      </c>
      <c r="E64" s="12">
        <f t="shared" si="0"/>
        <v>1968.5910160000001</v>
      </c>
    </row>
    <row r="65" spans="1:5" x14ac:dyDescent="0.25">
      <c r="A65" s="11">
        <v>1.081</v>
      </c>
      <c r="B65" s="11">
        <v>25.3</v>
      </c>
      <c r="C65" s="11">
        <v>59.420604400000002</v>
      </c>
      <c r="D65" s="11">
        <v>3035.29</v>
      </c>
      <c r="E65" s="12">
        <f t="shared" si="0"/>
        <v>1503.34129132</v>
      </c>
    </row>
    <row r="66" spans="1:5" x14ac:dyDescent="0.25">
      <c r="A66" s="11">
        <v>1.0269999999999999</v>
      </c>
      <c r="B66" s="11">
        <v>42.5</v>
      </c>
      <c r="C66" s="11">
        <v>93.440034400000002</v>
      </c>
      <c r="D66" s="11">
        <v>2198.29</v>
      </c>
      <c r="E66" s="12">
        <f t="shared" si="0"/>
        <v>3971.201462</v>
      </c>
    </row>
    <row r="67" spans="1:5" x14ac:dyDescent="0.25">
      <c r="A67" s="11">
        <v>0.80200000000000005</v>
      </c>
      <c r="B67" s="11">
        <v>27.8</v>
      </c>
      <c r="C67" s="11">
        <v>48.987979199999998</v>
      </c>
      <c r="D67" s="11">
        <v>2209.1999999999998</v>
      </c>
      <c r="E67" s="12">
        <f t="shared" si="0"/>
        <v>1361.86582176</v>
      </c>
    </row>
    <row r="68" spans="1:5" x14ac:dyDescent="0.25">
      <c r="A68" s="11">
        <v>0.78300000000000003</v>
      </c>
      <c r="B68" s="11">
        <v>35.799999999999997</v>
      </c>
      <c r="C68" s="11">
        <v>53.750698999999997</v>
      </c>
      <c r="D68" s="11">
        <v>3188.11</v>
      </c>
      <c r="E68" s="12">
        <f t="shared" si="0"/>
        <v>1924.2750241999997</v>
      </c>
    </row>
    <row r="69" spans="1:5" x14ac:dyDescent="0.25">
      <c r="A69" s="11">
        <v>0.98</v>
      </c>
      <c r="B69" s="11">
        <v>39.200000000000003</v>
      </c>
      <c r="C69" s="11">
        <v>91.625664799999996</v>
      </c>
      <c r="D69" s="11">
        <v>1280.8900000000001</v>
      </c>
      <c r="E69" s="12">
        <f t="shared" si="0"/>
        <v>3591.7260601600001</v>
      </c>
    </row>
    <row r="70" spans="1:5" x14ac:dyDescent="0.25">
      <c r="A70" s="11">
        <v>0.84799999999999998</v>
      </c>
      <c r="B70" s="11">
        <v>38.299999999999997</v>
      </c>
      <c r="C70" s="11">
        <v>62.595751200000002</v>
      </c>
      <c r="D70" s="11">
        <v>2771.29</v>
      </c>
      <c r="E70" s="12">
        <f t="shared" si="0"/>
        <v>2397.4172709599998</v>
      </c>
    </row>
    <row r="71" spans="1:5" x14ac:dyDescent="0.25">
      <c r="A71" s="11">
        <v>0.84899999999999998</v>
      </c>
      <c r="B71" s="11">
        <v>34.1</v>
      </c>
      <c r="C71" s="11">
        <v>68.03886</v>
      </c>
      <c r="D71" s="11">
        <v>3795.98</v>
      </c>
      <c r="E71" s="12">
        <f t="shared" ref="E71:E97" si="5">B71*C71</f>
        <v>2320.1251259999999</v>
      </c>
    </row>
    <row r="72" spans="1:5" x14ac:dyDescent="0.25">
      <c r="A72" s="11">
        <v>0.97299999999999998</v>
      </c>
      <c r="B72" s="11">
        <v>39.9</v>
      </c>
      <c r="C72" s="11">
        <v>84.368186399999999</v>
      </c>
      <c r="D72" s="11">
        <v>1974.92</v>
      </c>
      <c r="E72" s="12">
        <f t="shared" si="5"/>
        <v>3366.2906373599999</v>
      </c>
    </row>
    <row r="73" spans="1:5" x14ac:dyDescent="0.25">
      <c r="A73" s="11">
        <v>0.86599999999999999</v>
      </c>
      <c r="B73" s="11">
        <v>32.5</v>
      </c>
      <c r="C73" s="11">
        <v>69.853229999999996</v>
      </c>
      <c r="D73" s="11">
        <v>2161.87</v>
      </c>
      <c r="E73" s="12">
        <f t="shared" si="5"/>
        <v>2270.2299749999997</v>
      </c>
    </row>
    <row r="74" spans="1:5" x14ac:dyDescent="0.25">
      <c r="A74" s="11">
        <v>0.77600000000000002</v>
      </c>
      <c r="B74" s="11">
        <v>29.9</v>
      </c>
      <c r="C74" s="11">
        <v>54.431088000000003</v>
      </c>
      <c r="D74" s="11">
        <v>3648.71</v>
      </c>
      <c r="E74" s="12">
        <f t="shared" si="5"/>
        <v>1627.4895312000001</v>
      </c>
    </row>
    <row r="75" spans="1:5" x14ac:dyDescent="0.25">
      <c r="A75" s="11">
        <v>0.84299999999999997</v>
      </c>
      <c r="B75" s="11">
        <v>32</v>
      </c>
      <c r="C75" s="11">
        <v>68.265656199999995</v>
      </c>
      <c r="D75" s="11">
        <v>2524.2199999999998</v>
      </c>
      <c r="E75" s="12">
        <f t="shared" si="5"/>
        <v>2184.5009983999998</v>
      </c>
    </row>
    <row r="76" spans="1:5" x14ac:dyDescent="0.25">
      <c r="A76" s="11">
        <v>0.84099999999999997</v>
      </c>
      <c r="B76" s="11">
        <v>23</v>
      </c>
      <c r="C76" s="11">
        <v>48.1941925</v>
      </c>
      <c r="D76" s="11">
        <v>3287.8</v>
      </c>
      <c r="E76" s="12">
        <f t="shared" si="5"/>
        <v>1108.4664275</v>
      </c>
    </row>
    <row r="77" spans="1:5" x14ac:dyDescent="0.25">
      <c r="A77" s="11">
        <v>0.68700000000000006</v>
      </c>
      <c r="B77" s="11">
        <v>28.5</v>
      </c>
      <c r="C77" s="11">
        <v>46.379822900000001</v>
      </c>
      <c r="D77" s="11">
        <v>4215.59</v>
      </c>
      <c r="E77" s="12">
        <f t="shared" si="5"/>
        <v>1321.8249526500001</v>
      </c>
    </row>
    <row r="78" spans="1:5" x14ac:dyDescent="0.25">
      <c r="A78" s="11">
        <v>0.67600000000000005</v>
      </c>
      <c r="B78" s="11">
        <v>26.4</v>
      </c>
      <c r="C78" s="11">
        <v>54.884680400000001</v>
      </c>
      <c r="D78" s="11">
        <v>1421.96</v>
      </c>
      <c r="E78" s="12">
        <f t="shared" si="5"/>
        <v>1448.9555625599999</v>
      </c>
    </row>
    <row r="79" spans="1:5" x14ac:dyDescent="0.25">
      <c r="A79" s="11">
        <v>0.752</v>
      </c>
      <c r="B79" s="11">
        <v>33.9</v>
      </c>
      <c r="C79" s="11">
        <v>61.915362600000002</v>
      </c>
      <c r="D79" s="11">
        <v>1821.66</v>
      </c>
      <c r="E79" s="12">
        <f t="shared" si="5"/>
        <v>2098.93079214</v>
      </c>
    </row>
    <row r="80" spans="1:5" x14ac:dyDescent="0.25">
      <c r="A80" s="11">
        <v>0.747</v>
      </c>
      <c r="B80" s="11">
        <v>29.4</v>
      </c>
      <c r="C80" s="11">
        <v>49.101377300000003</v>
      </c>
      <c r="D80" s="11">
        <v>2462.5100000000002</v>
      </c>
      <c r="E80" s="12">
        <f t="shared" si="5"/>
        <v>1443.5804926200001</v>
      </c>
    </row>
    <row r="81" spans="1:5" x14ac:dyDescent="0.25">
      <c r="A81" s="11">
        <v>0.73799999999999999</v>
      </c>
      <c r="B81" s="11">
        <v>29.4</v>
      </c>
      <c r="C81" s="11">
        <v>49.101377300000003</v>
      </c>
      <c r="D81" s="11">
        <v>2775.67</v>
      </c>
      <c r="E81" s="12">
        <f t="shared" si="5"/>
        <v>1443.5804926200001</v>
      </c>
    </row>
    <row r="82" spans="1:5" x14ac:dyDescent="0.25">
      <c r="A82" s="11">
        <v>0.79400000000000004</v>
      </c>
      <c r="B82" s="11">
        <v>21</v>
      </c>
      <c r="C82" s="11">
        <v>33.565837600000002</v>
      </c>
      <c r="D82" s="11">
        <v>3006.89</v>
      </c>
      <c r="E82" s="12">
        <f t="shared" si="5"/>
        <v>704.88258960000007</v>
      </c>
    </row>
    <row r="83" spans="1:5" x14ac:dyDescent="0.25">
      <c r="A83" s="11">
        <v>0.72</v>
      </c>
      <c r="B83" s="11">
        <v>22.4</v>
      </c>
      <c r="C83" s="11">
        <v>42.8644818</v>
      </c>
      <c r="D83" s="11">
        <v>2008.19</v>
      </c>
      <c r="E83" s="12">
        <f t="shared" si="5"/>
        <v>960.16439231999993</v>
      </c>
    </row>
    <row r="84" spans="1:5" x14ac:dyDescent="0.25">
      <c r="A84" s="11">
        <v>0.83699999999999997</v>
      </c>
      <c r="B84" s="11">
        <v>25.3</v>
      </c>
      <c r="C84" s="11">
        <v>43.091278000000003</v>
      </c>
      <c r="D84" s="11">
        <v>2503.69</v>
      </c>
      <c r="E84" s="12">
        <f t="shared" si="5"/>
        <v>1090.2093334000001</v>
      </c>
    </row>
    <row r="85" spans="1:5" x14ac:dyDescent="0.25">
      <c r="A85" s="11">
        <v>0.73199999999999998</v>
      </c>
      <c r="B85" s="11">
        <v>20.2</v>
      </c>
      <c r="C85" s="11">
        <v>42.1840932</v>
      </c>
      <c r="D85" s="11">
        <v>2246.3200000000002</v>
      </c>
      <c r="E85" s="12">
        <f t="shared" si="5"/>
        <v>852.11868263999997</v>
      </c>
    </row>
    <row r="86" spans="1:5" x14ac:dyDescent="0.25">
      <c r="A86" s="11">
        <v>0.73799999999999999</v>
      </c>
      <c r="B86" s="11">
        <v>22.5</v>
      </c>
      <c r="C86" s="11">
        <v>47.740600100000002</v>
      </c>
      <c r="D86" s="11">
        <v>1531.93</v>
      </c>
      <c r="E86" s="12">
        <f t="shared" si="5"/>
        <v>1074.16350225</v>
      </c>
    </row>
    <row r="87" spans="1:5" x14ac:dyDescent="0.25">
      <c r="A87" s="11">
        <v>0.85599999999999998</v>
      </c>
      <c r="B87" s="11">
        <v>23.4</v>
      </c>
      <c r="C87" s="11">
        <v>44.452055199999997</v>
      </c>
      <c r="D87" s="11">
        <v>2002.41</v>
      </c>
      <c r="E87" s="12">
        <f t="shared" si="5"/>
        <v>1040.1780916799999</v>
      </c>
    </row>
    <row r="88" spans="1:5" x14ac:dyDescent="0.25">
      <c r="A88" s="11">
        <v>0.79300000000000004</v>
      </c>
      <c r="B88" s="11">
        <v>29.5</v>
      </c>
      <c r="C88" s="11">
        <v>43.544870400000001</v>
      </c>
      <c r="D88" s="11">
        <v>4080.04</v>
      </c>
      <c r="E88" s="12">
        <f t="shared" si="5"/>
        <v>1284.5736767999999</v>
      </c>
    </row>
    <row r="89" spans="1:5" x14ac:dyDescent="0.25">
      <c r="A89" s="11">
        <v>0.71</v>
      </c>
      <c r="B89" s="11">
        <v>21.9</v>
      </c>
      <c r="C89" s="11">
        <v>42.5242875</v>
      </c>
      <c r="D89" s="11">
        <v>2413</v>
      </c>
      <c r="E89" s="12">
        <f t="shared" si="5"/>
        <v>931.28189624999993</v>
      </c>
    </row>
    <row r="90" spans="1:5" x14ac:dyDescent="0.25">
      <c r="A90" s="11">
        <v>0.77</v>
      </c>
      <c r="B90" s="11">
        <v>19.2</v>
      </c>
      <c r="C90" s="11">
        <v>40.823315999999998</v>
      </c>
      <c r="D90" s="11">
        <v>1721.39</v>
      </c>
      <c r="E90" s="12">
        <f t="shared" si="5"/>
        <v>783.80766719999997</v>
      </c>
    </row>
    <row r="91" spans="1:5" x14ac:dyDescent="0.25">
      <c r="A91" s="11">
        <v>0.74</v>
      </c>
      <c r="B91" s="11">
        <v>28.6</v>
      </c>
      <c r="C91" s="11">
        <v>47.740600100000002</v>
      </c>
      <c r="D91" s="11">
        <v>2226.92</v>
      </c>
      <c r="E91" s="12">
        <f t="shared" si="5"/>
        <v>1365.3811628600001</v>
      </c>
    </row>
    <row r="92" spans="1:5" x14ac:dyDescent="0.25">
      <c r="A92" s="11">
        <v>0.73699999999999999</v>
      </c>
      <c r="B92" s="11">
        <v>23.4</v>
      </c>
      <c r="C92" s="11">
        <v>42.637685599999998</v>
      </c>
      <c r="D92" s="11">
        <v>2449.9699999999998</v>
      </c>
      <c r="E92" s="12">
        <f t="shared" si="5"/>
        <v>997.72184303999984</v>
      </c>
    </row>
    <row r="93" spans="1:5" x14ac:dyDescent="0.25">
      <c r="A93" s="11">
        <v>0.63300000000000001</v>
      </c>
      <c r="B93" s="11">
        <v>23.2</v>
      </c>
      <c r="C93" s="11">
        <v>43.544870400000001</v>
      </c>
      <c r="D93" s="11">
        <v>1283.6600000000001</v>
      </c>
      <c r="E93" s="12">
        <f t="shared" si="5"/>
        <v>1010.24099328</v>
      </c>
    </row>
    <row r="94" spans="1:5" x14ac:dyDescent="0.25">
      <c r="A94" s="11">
        <v>0.621</v>
      </c>
      <c r="B94" s="11">
        <v>18.100000000000001</v>
      </c>
      <c r="C94" s="11">
        <v>45.35924</v>
      </c>
      <c r="D94" s="11">
        <v>2829.43</v>
      </c>
      <c r="E94" s="12">
        <f t="shared" si="5"/>
        <v>821.00224400000002</v>
      </c>
    </row>
    <row r="95" spans="1:5" x14ac:dyDescent="0.25">
      <c r="A95" s="11">
        <v>0.74399999999999999</v>
      </c>
      <c r="B95" s="11">
        <v>31.4</v>
      </c>
      <c r="C95" s="11">
        <v>43.998462799999999</v>
      </c>
      <c r="D95" s="11">
        <v>2922.46</v>
      </c>
      <c r="E95" s="12">
        <f t="shared" si="5"/>
        <v>1381.5517319199998</v>
      </c>
    </row>
    <row r="96" spans="1:5" x14ac:dyDescent="0.25">
      <c r="A96" s="11">
        <v>0.622</v>
      </c>
      <c r="B96" s="11">
        <v>22.9</v>
      </c>
      <c r="C96" s="11">
        <v>34.01943</v>
      </c>
      <c r="D96" s="11">
        <v>2560.61</v>
      </c>
      <c r="E96" s="12">
        <f t="shared" si="5"/>
        <v>779.04494699999998</v>
      </c>
    </row>
    <row r="97" spans="1:5" x14ac:dyDescent="0.25">
      <c r="A97" s="11">
        <v>0.73499999999999999</v>
      </c>
      <c r="B97" s="11">
        <v>25.6</v>
      </c>
      <c r="C97" s="11">
        <v>47.627201999999997</v>
      </c>
      <c r="D97" s="11">
        <v>2366.34</v>
      </c>
      <c r="E97" s="12">
        <f t="shared" si="5"/>
        <v>1219.2563711999999</v>
      </c>
    </row>
  </sheetData>
  <mergeCells count="2">
    <mergeCell ref="H36:M36"/>
    <mergeCell ref="H44:M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082E-2C25-4204-8FC5-E73EB8575AC8}">
  <dimension ref="B2:L96"/>
  <sheetViews>
    <sheetView topLeftCell="A2" workbookViewId="0">
      <selection activeCell="H16" sqref="H16"/>
    </sheetView>
  </sheetViews>
  <sheetFormatPr defaultRowHeight="15" x14ac:dyDescent="0.25"/>
  <cols>
    <col min="7" max="7" width="13.28515625" bestFit="1" customWidth="1"/>
    <col min="8" max="8" width="13.5703125" bestFit="1" customWidth="1"/>
    <col min="9" max="9" width="12" bestFit="1" customWidth="1"/>
    <col min="10" max="10" width="12.7109375" bestFit="1" customWidth="1"/>
    <col min="11" max="11" width="9.42578125" bestFit="1" customWidth="1"/>
  </cols>
  <sheetData>
    <row r="2" spans="2:12" ht="23.25" x14ac:dyDescent="0.35">
      <c r="B2" s="9" t="s">
        <v>39</v>
      </c>
      <c r="G2" t="s">
        <v>40</v>
      </c>
    </row>
    <row r="3" spans="2:12" ht="16.5" thickBot="1" x14ac:dyDescent="0.3">
      <c r="B3" s="13" t="s">
        <v>7</v>
      </c>
      <c r="C3" s="13" t="s">
        <v>8</v>
      </c>
      <c r="D3" s="13" t="s">
        <v>9</v>
      </c>
      <c r="E3" s="13" t="s">
        <v>10</v>
      </c>
    </row>
    <row r="4" spans="2:12" ht="15.75" x14ac:dyDescent="0.25">
      <c r="B4" s="13" t="s">
        <v>0</v>
      </c>
      <c r="C4" s="13" t="s">
        <v>4</v>
      </c>
      <c r="D4" s="13" t="s">
        <v>5</v>
      </c>
      <c r="E4" s="13" t="s">
        <v>6</v>
      </c>
      <c r="G4" s="4"/>
      <c r="H4" s="6" t="s">
        <v>0</v>
      </c>
      <c r="I4" s="4" t="s">
        <v>4</v>
      </c>
      <c r="J4" s="4" t="s">
        <v>5</v>
      </c>
      <c r="K4" s="4" t="s">
        <v>6</v>
      </c>
    </row>
    <row r="5" spans="2:12" x14ac:dyDescent="0.25">
      <c r="B5" s="11">
        <v>0.93400000000000005</v>
      </c>
      <c r="C5" s="12">
        <v>-3.2652173913043399</v>
      </c>
      <c r="D5" s="12">
        <v>-1.76506607826088</v>
      </c>
      <c r="E5" s="12">
        <v>946.450434782608</v>
      </c>
      <c r="G5" s="7" t="s">
        <v>0</v>
      </c>
      <c r="H5" s="2">
        <v>1</v>
      </c>
      <c r="I5" s="2"/>
      <c r="J5" s="2"/>
      <c r="K5" s="2"/>
    </row>
    <row r="6" spans="2:12" x14ac:dyDescent="0.25">
      <c r="B6" s="11">
        <v>0.88800000000000001</v>
      </c>
      <c r="C6" s="12">
        <v>0.73478260869565304</v>
      </c>
      <c r="D6" s="12">
        <v>7.8737724217391101</v>
      </c>
      <c r="E6" s="12">
        <v>211.55043478260799</v>
      </c>
      <c r="G6" s="2" t="s">
        <v>4</v>
      </c>
      <c r="H6" s="2">
        <v>0.4555841811619124</v>
      </c>
      <c r="I6" s="2">
        <v>1</v>
      </c>
      <c r="J6" s="2"/>
      <c r="K6" s="2"/>
    </row>
    <row r="7" spans="2:12" x14ac:dyDescent="0.25">
      <c r="B7" s="11">
        <v>0.93300000000000005</v>
      </c>
      <c r="C7" s="12">
        <v>9.1347826086956498</v>
      </c>
      <c r="D7" s="12">
        <v>39.511842321739103</v>
      </c>
      <c r="E7" s="12">
        <v>-823.019565217391</v>
      </c>
      <c r="G7" s="2" t="s">
        <v>5</v>
      </c>
      <c r="H7" s="2">
        <v>0.65679290233797338</v>
      </c>
      <c r="I7" s="2">
        <v>0.82671454383923859</v>
      </c>
      <c r="J7" s="2">
        <v>1</v>
      </c>
      <c r="K7" s="2"/>
    </row>
    <row r="8" spans="2:12" ht="15.75" thickBot="1" x14ac:dyDescent="0.3">
      <c r="B8" s="11">
        <v>0.75700000000000001</v>
      </c>
      <c r="C8" s="12">
        <v>4.2347826086956397</v>
      </c>
      <c r="D8" s="12">
        <v>5.9460047217391097</v>
      </c>
      <c r="E8" s="12">
        <v>-896.69956521739095</v>
      </c>
      <c r="G8" s="3" t="s">
        <v>6</v>
      </c>
      <c r="H8" s="3">
        <v>0.1618181456860637</v>
      </c>
      <c r="I8" s="3">
        <v>-2.2527420108596659E-2</v>
      </c>
      <c r="J8" s="3">
        <v>-0.10766796322626018</v>
      </c>
      <c r="K8" s="3">
        <v>1</v>
      </c>
    </row>
    <row r="9" spans="2:12" x14ac:dyDescent="0.25">
      <c r="B9" s="11">
        <v>1.0309999999999999</v>
      </c>
      <c r="C9" s="12">
        <v>-3.96521739130434</v>
      </c>
      <c r="D9" s="12">
        <v>-3.57943567826088</v>
      </c>
      <c r="E9" s="12">
        <v>1420.9604347826</v>
      </c>
      <c r="G9" s="2"/>
      <c r="H9" s="2"/>
      <c r="I9" s="2"/>
      <c r="J9" s="2"/>
      <c r="K9" s="2"/>
    </row>
    <row r="10" spans="2:12" ht="17.25" x14ac:dyDescent="0.25">
      <c r="B10" s="11">
        <v>0.88300000000000001</v>
      </c>
      <c r="C10" s="12">
        <v>-2.0652173913043401</v>
      </c>
      <c r="D10" s="12">
        <v>3.6780427217391098</v>
      </c>
      <c r="E10" s="12">
        <v>423.75043478260699</v>
      </c>
      <c r="G10" s="8" t="s">
        <v>35</v>
      </c>
      <c r="H10" s="8"/>
      <c r="I10" s="8"/>
      <c r="J10" s="8"/>
      <c r="K10" s="8"/>
      <c r="L10" s="8"/>
    </row>
    <row r="11" spans="2:12" ht="15.75" thickBot="1" x14ac:dyDescent="0.3">
      <c r="B11" s="11">
        <v>0.83699999999999997</v>
      </c>
      <c r="C11" s="12">
        <v>-7.3652173913043404</v>
      </c>
      <c r="D11" s="12">
        <v>-2.2186584782608798</v>
      </c>
      <c r="E11" s="12">
        <v>440.390434782608</v>
      </c>
    </row>
    <row r="12" spans="2:12" x14ac:dyDescent="0.25">
      <c r="B12" s="11">
        <v>0.91200000000000003</v>
      </c>
      <c r="C12" s="12">
        <v>-0.16521739130434901</v>
      </c>
      <c r="D12" s="12">
        <v>0.95648832173911502</v>
      </c>
      <c r="E12" s="12">
        <v>670.99043478260796</v>
      </c>
      <c r="H12" s="4" t="s">
        <v>4</v>
      </c>
      <c r="I12" s="4" t="s">
        <v>5</v>
      </c>
      <c r="J12" s="4"/>
    </row>
    <row r="13" spans="2:12" x14ac:dyDescent="0.25">
      <c r="B13" s="11">
        <v>0.85299999999999998</v>
      </c>
      <c r="C13" s="12">
        <v>-4.5652173913043397</v>
      </c>
      <c r="D13" s="12">
        <v>4.9303521739112399E-2</v>
      </c>
      <c r="E13" s="12">
        <v>261.69043478260801</v>
      </c>
      <c r="G13" s="2"/>
      <c r="H13" s="2"/>
      <c r="I13" s="2"/>
      <c r="J13" s="2"/>
      <c r="K13" s="2"/>
    </row>
    <row r="14" spans="2:12" x14ac:dyDescent="0.25">
      <c r="B14" s="11">
        <v>0.82499999999999996</v>
      </c>
      <c r="C14" s="12">
        <v>0.13478260869565101</v>
      </c>
      <c r="D14" s="12">
        <v>-0.404288878260885</v>
      </c>
      <c r="E14" s="12">
        <v>-147.869565217391</v>
      </c>
      <c r="G14" s="2" t="s">
        <v>5</v>
      </c>
      <c r="H14" s="2">
        <f>I7*I7</f>
        <v>0.6834569369953204</v>
      </c>
      <c r="I14" s="2"/>
      <c r="J14" s="2"/>
      <c r="K14" s="2"/>
    </row>
    <row r="15" spans="2:12" ht="15.75" thickBot="1" x14ac:dyDescent="0.3">
      <c r="B15" s="11">
        <v>0.77200000000000002</v>
      </c>
      <c r="C15" s="12">
        <v>8.8347826086956491</v>
      </c>
      <c r="D15" s="12">
        <v>2.9976541217391102</v>
      </c>
      <c r="E15" s="12">
        <v>-451.399565217391</v>
      </c>
      <c r="G15" s="3" t="s">
        <v>6</v>
      </c>
      <c r="H15" s="2">
        <f>I8*I8</f>
        <v>5.0748465674920514E-4</v>
      </c>
      <c r="I15" s="2">
        <f>J8*J8</f>
        <v>1.1592390305291316E-2</v>
      </c>
      <c r="J15" s="2"/>
      <c r="K15" s="2"/>
    </row>
    <row r="16" spans="2:12" x14ac:dyDescent="0.25">
      <c r="B16" s="11">
        <v>1.0149999999999999</v>
      </c>
      <c r="C16" s="12">
        <v>2.1347826086956498</v>
      </c>
      <c r="D16" s="12">
        <v>9.6881420217391092</v>
      </c>
      <c r="E16" s="12">
        <v>538.53043478260804</v>
      </c>
    </row>
    <row r="17" spans="2:12" x14ac:dyDescent="0.25">
      <c r="B17" s="11">
        <v>0.96299999999999997</v>
      </c>
      <c r="C17" s="12">
        <v>8.1347826086956498</v>
      </c>
      <c r="D17" s="12">
        <v>21.141350121739102</v>
      </c>
      <c r="E17" s="12">
        <v>-988.43956521739096</v>
      </c>
      <c r="G17" s="8" t="s">
        <v>36</v>
      </c>
      <c r="H17" s="8"/>
      <c r="I17" s="8"/>
      <c r="J17" s="8"/>
      <c r="K17" s="8"/>
      <c r="L17" s="8"/>
    </row>
    <row r="18" spans="2:12" ht="15.75" thickBot="1" x14ac:dyDescent="0.3">
      <c r="B18" s="11">
        <v>0.72899999999999998</v>
      </c>
      <c r="C18" s="12">
        <v>-0.36521739130434799</v>
      </c>
      <c r="D18" s="12">
        <v>-5.1670090782608797</v>
      </c>
      <c r="E18" s="12">
        <v>252.920434782608</v>
      </c>
    </row>
    <row r="19" spans="2:12" x14ac:dyDescent="0.25">
      <c r="B19" s="11">
        <v>0.73799999999999999</v>
      </c>
      <c r="C19" s="12">
        <v>-2.1652173913043402</v>
      </c>
      <c r="D19" s="12">
        <v>-5.50720337826088</v>
      </c>
      <c r="E19" s="12">
        <v>-1307.69956521739</v>
      </c>
      <c r="H19" s="4" t="s">
        <v>4</v>
      </c>
      <c r="I19" s="4" t="s">
        <v>5</v>
      </c>
      <c r="J19" s="4"/>
    </row>
    <row r="20" spans="2:12" x14ac:dyDescent="0.25">
      <c r="B20" s="11">
        <v>0.89400000000000002</v>
      </c>
      <c r="C20" s="12">
        <v>8.5347826086956502</v>
      </c>
      <c r="D20" s="12">
        <v>18.7599900217391</v>
      </c>
      <c r="E20" s="12">
        <v>1534.5904347825999</v>
      </c>
      <c r="G20" s="2"/>
      <c r="H20" s="2"/>
      <c r="I20" s="2"/>
      <c r="J20" s="2"/>
    </row>
    <row r="21" spans="2:12" x14ac:dyDescent="0.25">
      <c r="B21" s="11">
        <v>0.86299999999999999</v>
      </c>
      <c r="C21" s="12">
        <v>2.5347826086956502</v>
      </c>
      <c r="D21" s="12">
        <v>0.50289592173911701</v>
      </c>
      <c r="E21" s="12">
        <v>-445.04956521739098</v>
      </c>
      <c r="G21" s="2" t="s">
        <v>5</v>
      </c>
      <c r="H21" s="2">
        <f>1/(1-H14)</f>
        <v>3.1591278308481412</v>
      </c>
      <c r="I21" s="2"/>
      <c r="J21" s="2"/>
    </row>
    <row r="22" spans="2:12" ht="15.75" thickBot="1" x14ac:dyDescent="0.3">
      <c r="B22" s="11">
        <v>0.82699999999999996</v>
      </c>
      <c r="C22" s="12">
        <v>14.5347826086956</v>
      </c>
      <c r="D22" s="12">
        <v>24.543293121739101</v>
      </c>
      <c r="E22" s="12">
        <v>-970.21956521739105</v>
      </c>
      <c r="G22" s="3" t="s">
        <v>6</v>
      </c>
      <c r="H22" s="2">
        <f>1/(1-H15)</f>
        <v>1.0005077423281903</v>
      </c>
      <c r="I22" s="2">
        <f>1/(1-I15)</f>
        <v>1.0117283499151448</v>
      </c>
      <c r="J22" s="2"/>
    </row>
    <row r="23" spans="2:12" x14ac:dyDescent="0.25">
      <c r="B23" s="11">
        <v>0.85</v>
      </c>
      <c r="C23" s="12">
        <v>5.5347826086956502</v>
      </c>
      <c r="D23" s="12">
        <v>4.5852275217391103</v>
      </c>
      <c r="E23" s="12">
        <v>1595.7304347826</v>
      </c>
    </row>
    <row r="24" spans="2:12" x14ac:dyDescent="0.25">
      <c r="B24" s="11">
        <v>0.83899999999999997</v>
      </c>
      <c r="C24" s="12">
        <v>-1.8652173913043399</v>
      </c>
      <c r="D24" s="12">
        <v>-4.3732223782608797</v>
      </c>
      <c r="E24" s="12">
        <v>-27.279565217391699</v>
      </c>
    </row>
    <row r="25" spans="2:12" x14ac:dyDescent="0.25">
      <c r="B25" s="11">
        <v>0.79500000000000004</v>
      </c>
      <c r="C25" s="12">
        <v>2.33478260869565</v>
      </c>
      <c r="D25" s="12">
        <v>3.7914408217391098</v>
      </c>
      <c r="E25" s="12">
        <v>3291.5204347826002</v>
      </c>
    </row>
    <row r="26" spans="2:12" x14ac:dyDescent="0.25">
      <c r="B26" s="11">
        <v>0.73499999999999999</v>
      </c>
      <c r="C26" s="12">
        <v>1.4347826086956501</v>
      </c>
      <c r="D26" s="12">
        <v>-7.2081748782608797</v>
      </c>
      <c r="E26" s="12">
        <v>668.58043478260799</v>
      </c>
    </row>
    <row r="27" spans="2:12" x14ac:dyDescent="0.25">
      <c r="B27" s="11">
        <v>0.85899999999999999</v>
      </c>
      <c r="C27" s="12">
        <v>-6.46521739130434</v>
      </c>
      <c r="D27" s="12">
        <v>-7.2081748782608797</v>
      </c>
      <c r="E27" s="12">
        <v>218.90043478260799</v>
      </c>
    </row>
    <row r="28" spans="2:12" x14ac:dyDescent="0.25">
      <c r="B28" s="11">
        <v>0.76300000000000001</v>
      </c>
      <c r="C28" s="12">
        <v>-4.1652173913043402</v>
      </c>
      <c r="D28" s="12">
        <v>-5.6206014782608804</v>
      </c>
      <c r="E28" s="12">
        <v>-416.63956521739101</v>
      </c>
    </row>
    <row r="29" spans="2:12" x14ac:dyDescent="0.25">
      <c r="B29" s="11">
        <v>0.82099999999999995</v>
      </c>
      <c r="C29" s="12">
        <v>-6.0652173913043397</v>
      </c>
      <c r="D29" s="12">
        <v>-4.4866204782608801</v>
      </c>
      <c r="E29" s="12">
        <v>-1212.1795652173901</v>
      </c>
    </row>
    <row r="30" spans="2:12" x14ac:dyDescent="0.25">
      <c r="B30" s="11">
        <v>0.70399999999999996</v>
      </c>
      <c r="C30" s="12">
        <v>-3.6652173913043402</v>
      </c>
      <c r="D30" s="12">
        <v>-8.5689520782608799</v>
      </c>
      <c r="E30" s="12">
        <v>-742.54956521739098</v>
      </c>
    </row>
    <row r="31" spans="2:12" x14ac:dyDescent="0.25">
      <c r="B31" s="11">
        <v>0.74199999999999999</v>
      </c>
      <c r="C31" s="12">
        <v>-10.3652173913043</v>
      </c>
      <c r="D31" s="12">
        <v>-9.8163311782608798</v>
      </c>
      <c r="E31" s="12">
        <v>7.7204347826081996</v>
      </c>
    </row>
    <row r="32" spans="2:12" x14ac:dyDescent="0.25">
      <c r="B32" s="11">
        <v>0.76200000000000001</v>
      </c>
      <c r="C32" s="12">
        <v>-1.2652173913043401</v>
      </c>
      <c r="D32" s="12">
        <v>-10.383321678260801</v>
      </c>
      <c r="E32" s="12">
        <v>-616.65956521739099</v>
      </c>
    </row>
    <row r="33" spans="2:5" x14ac:dyDescent="0.25">
      <c r="B33" s="11">
        <v>0.73099999999999998</v>
      </c>
      <c r="C33" s="12">
        <v>-2.6652173913043402</v>
      </c>
      <c r="D33" s="12">
        <v>-13.7852646782608</v>
      </c>
      <c r="E33" s="12">
        <v>-839.85956521739104</v>
      </c>
    </row>
    <row r="34" spans="2:5" x14ac:dyDescent="0.25">
      <c r="B34" s="11">
        <v>0.8</v>
      </c>
      <c r="C34" s="12">
        <v>-0.26521739130434602</v>
      </c>
      <c r="D34" s="12">
        <v>-7.2081748782608797</v>
      </c>
      <c r="E34" s="12">
        <v>-981.34956521739105</v>
      </c>
    </row>
    <row r="35" spans="2:5" x14ac:dyDescent="0.25">
      <c r="B35" s="11">
        <v>0.79800000000000004</v>
      </c>
      <c r="C35" s="12">
        <v>-9.8652173913043395</v>
      </c>
      <c r="D35" s="12">
        <v>-9.4761368782608795</v>
      </c>
      <c r="E35" s="12">
        <v>-752.57956521739095</v>
      </c>
    </row>
    <row r="36" spans="2:5" x14ac:dyDescent="0.25">
      <c r="B36" s="11">
        <v>0.78900000000000003</v>
      </c>
      <c r="C36" s="12">
        <v>-6.1652173913043402</v>
      </c>
      <c r="D36" s="12">
        <v>-8.5689520782608799</v>
      </c>
      <c r="E36" s="12">
        <v>253.99043478260799</v>
      </c>
    </row>
    <row r="37" spans="2:5" x14ac:dyDescent="0.25">
      <c r="B37" s="11">
        <v>0.95499999999999996</v>
      </c>
      <c r="C37" s="12">
        <v>-4.96521739130434</v>
      </c>
      <c r="D37" s="12">
        <v>-10.836914078260801</v>
      </c>
      <c r="E37" s="12">
        <v>941.27043478260805</v>
      </c>
    </row>
    <row r="38" spans="2:5" x14ac:dyDescent="0.25">
      <c r="B38" s="11">
        <v>0.78200000000000003</v>
      </c>
      <c r="C38" s="12">
        <v>-1.7652173913043401</v>
      </c>
      <c r="D38" s="12">
        <v>-1.76506607826088</v>
      </c>
      <c r="E38" s="12">
        <v>819.08043478260799</v>
      </c>
    </row>
    <row r="39" spans="2:5" x14ac:dyDescent="0.25">
      <c r="B39" s="11">
        <v>0.68100000000000005</v>
      </c>
      <c r="C39" s="12">
        <v>-10.765217391304301</v>
      </c>
      <c r="D39" s="12">
        <v>-19.341771578260801</v>
      </c>
      <c r="E39" s="12">
        <v>2591.5804347826002</v>
      </c>
    </row>
    <row r="40" spans="2:5" x14ac:dyDescent="0.25">
      <c r="B40" s="11">
        <v>0.85</v>
      </c>
      <c r="C40" s="12">
        <v>-1.16521739130434</v>
      </c>
      <c r="D40" s="12">
        <v>2.7708579217391098</v>
      </c>
      <c r="E40" s="12">
        <v>-115.589565217391</v>
      </c>
    </row>
    <row r="41" spans="2:5" x14ac:dyDescent="0.25">
      <c r="B41" s="11">
        <v>0.67</v>
      </c>
      <c r="C41" s="12">
        <v>-11.765217391304301</v>
      </c>
      <c r="D41" s="12">
        <v>-19.0015772782608</v>
      </c>
      <c r="E41" s="12">
        <v>-530.47956521739104</v>
      </c>
    </row>
    <row r="42" spans="2:5" x14ac:dyDescent="0.25">
      <c r="B42" s="11">
        <v>0.64500000000000002</v>
      </c>
      <c r="C42" s="12">
        <v>-2.46521739130434</v>
      </c>
      <c r="D42" s="12">
        <v>-18.547984878260799</v>
      </c>
      <c r="E42" s="12">
        <v>-819.04956521739098</v>
      </c>
    </row>
    <row r="43" spans="2:5" x14ac:dyDescent="0.25">
      <c r="B43" s="11">
        <v>0.69</v>
      </c>
      <c r="C43" s="12">
        <v>-7.7652173913043399</v>
      </c>
      <c r="D43" s="12">
        <v>-16.280022878260802</v>
      </c>
      <c r="E43" s="12">
        <v>-896.69956521739095</v>
      </c>
    </row>
    <row r="44" spans="2:5" x14ac:dyDescent="0.25">
      <c r="B44" s="11">
        <v>0.68</v>
      </c>
      <c r="C44" s="12">
        <v>-5.8652173913043404</v>
      </c>
      <c r="D44" s="12">
        <v>-14.919245678260801</v>
      </c>
      <c r="E44" s="12">
        <v>168.820434782608</v>
      </c>
    </row>
    <row r="45" spans="2:5" x14ac:dyDescent="0.25">
      <c r="B45" s="11">
        <v>0.70899999999999996</v>
      </c>
      <c r="C45" s="12">
        <v>-8.3652173913043395</v>
      </c>
      <c r="D45" s="12">
        <v>-12.1976912782608</v>
      </c>
      <c r="E45" s="12">
        <v>1014.2604347826</v>
      </c>
    </row>
    <row r="46" spans="2:5" x14ac:dyDescent="0.25">
      <c r="B46" s="11">
        <v>0.749</v>
      </c>
      <c r="C46" s="12">
        <v>-8.2652173913043399</v>
      </c>
      <c r="D46" s="12">
        <v>-15.8264304782608</v>
      </c>
      <c r="E46" s="12">
        <v>-1062.6795652173901</v>
      </c>
    </row>
    <row r="47" spans="2:5" x14ac:dyDescent="0.25">
      <c r="B47" s="11">
        <v>0.55800000000000005</v>
      </c>
      <c r="C47" s="12">
        <v>3.33478260869565</v>
      </c>
      <c r="D47" s="12">
        <v>-20.362354478260801</v>
      </c>
      <c r="E47" s="12">
        <v>-501.50956521739101</v>
      </c>
    </row>
    <row r="48" spans="2:5" x14ac:dyDescent="0.25">
      <c r="B48" s="11">
        <v>0.68700000000000006</v>
      </c>
      <c r="C48" s="12">
        <v>-5.6652173913043402</v>
      </c>
      <c r="D48" s="12">
        <v>-20.2489563782608</v>
      </c>
      <c r="E48" s="12">
        <v>2436.2604347826</v>
      </c>
    </row>
    <row r="49" spans="2:5" x14ac:dyDescent="0.25">
      <c r="B49" s="11">
        <v>0.73399999999999999</v>
      </c>
      <c r="C49" s="12">
        <v>-3.2652173913043399</v>
      </c>
      <c r="D49" s="12">
        <v>-4.4866204782608801</v>
      </c>
      <c r="E49" s="12">
        <v>-1111.1295652173901</v>
      </c>
    </row>
    <row r="50" spans="2:5" x14ac:dyDescent="0.25">
      <c r="B50" s="11">
        <v>0.69899999999999995</v>
      </c>
      <c r="C50" s="12">
        <v>-11.265217391304301</v>
      </c>
      <c r="D50" s="12">
        <v>-14.919245678260801</v>
      </c>
      <c r="E50" s="12">
        <v>-1014.31956521739</v>
      </c>
    </row>
    <row r="51" spans="2:5" x14ac:dyDescent="0.25">
      <c r="B51" s="11">
        <v>0.81499999999999995</v>
      </c>
      <c r="C51" s="12">
        <v>12.434782608695601</v>
      </c>
      <c r="D51" s="12">
        <v>9.1211515217391099</v>
      </c>
      <c r="E51" s="12">
        <v>-681.31956521739096</v>
      </c>
    </row>
    <row r="52" spans="2:5" x14ac:dyDescent="0.25">
      <c r="B52" s="11">
        <v>0.80100000000000005</v>
      </c>
      <c r="C52" s="12">
        <v>-2.7652173913043399</v>
      </c>
      <c r="D52" s="12">
        <v>-4.0330280782608803</v>
      </c>
      <c r="E52" s="12">
        <v>-1156.29956521739</v>
      </c>
    </row>
    <row r="53" spans="2:5" x14ac:dyDescent="0.25">
      <c r="B53" s="11">
        <v>0.81499999999999995</v>
      </c>
      <c r="C53" s="12">
        <v>8.0347826086956502</v>
      </c>
      <c r="D53" s="12">
        <v>4.8120237217391102</v>
      </c>
      <c r="E53" s="12">
        <v>-548.92956521739097</v>
      </c>
    </row>
    <row r="54" spans="2:5" x14ac:dyDescent="0.25">
      <c r="B54" s="11">
        <v>0.745</v>
      </c>
      <c r="C54" s="12">
        <v>-0.76521739130434696</v>
      </c>
      <c r="D54" s="12">
        <v>2.8842560217391102</v>
      </c>
      <c r="E54" s="12">
        <v>-3.1795652173918798</v>
      </c>
    </row>
    <row r="55" spans="2:5" x14ac:dyDescent="0.25">
      <c r="B55" s="11">
        <v>0.83599999999999997</v>
      </c>
      <c r="C55" s="12">
        <v>10.834782608695599</v>
      </c>
      <c r="D55" s="12">
        <v>7.7603743217391097</v>
      </c>
      <c r="E55" s="12">
        <v>186.63043478260801</v>
      </c>
    </row>
    <row r="56" spans="2:5" x14ac:dyDescent="0.25">
      <c r="B56" s="11">
        <v>0.76200000000000001</v>
      </c>
      <c r="C56" s="12">
        <v>7.83478260869565</v>
      </c>
      <c r="D56" s="12">
        <v>0.50289592173911701</v>
      </c>
      <c r="E56" s="12">
        <v>-374.779565217391</v>
      </c>
    </row>
    <row r="57" spans="2:5" x14ac:dyDescent="0.25">
      <c r="B57" s="11">
        <v>0.86099999999999999</v>
      </c>
      <c r="C57" s="12">
        <v>18.2347826086956</v>
      </c>
      <c r="D57" s="12">
        <v>39.965434721739101</v>
      </c>
      <c r="E57" s="12">
        <v>-1737.73956521739</v>
      </c>
    </row>
    <row r="58" spans="2:5" x14ac:dyDescent="0.25">
      <c r="B58" s="11">
        <v>1.02</v>
      </c>
      <c r="C58" s="12">
        <v>11.934782608695601</v>
      </c>
      <c r="D58" s="12">
        <v>20.460961521739101</v>
      </c>
      <c r="E58" s="12">
        <v>139.950434782608</v>
      </c>
    </row>
    <row r="59" spans="2:5" x14ac:dyDescent="0.25">
      <c r="B59" s="11">
        <v>0.77600000000000002</v>
      </c>
      <c r="C59" s="12">
        <v>14.434782608695601</v>
      </c>
      <c r="D59" s="12">
        <v>42.233396721739098</v>
      </c>
      <c r="E59" s="12">
        <v>-966.36956521739103</v>
      </c>
    </row>
    <row r="60" spans="2:5" x14ac:dyDescent="0.25">
      <c r="B60" s="11">
        <v>1.008</v>
      </c>
      <c r="C60" s="12">
        <v>10.934782608695601</v>
      </c>
      <c r="D60" s="12">
        <v>18.646591921739098</v>
      </c>
      <c r="E60" s="12">
        <v>4629.0904347825999</v>
      </c>
    </row>
    <row r="61" spans="2:5" x14ac:dyDescent="0.25">
      <c r="B61" s="11">
        <v>1.01</v>
      </c>
      <c r="C61" s="12">
        <v>10.834782608695599</v>
      </c>
      <c r="D61" s="12">
        <v>44.501358721739102</v>
      </c>
      <c r="E61" s="12">
        <v>-857.71956521739105</v>
      </c>
    </row>
    <row r="62" spans="2:5" x14ac:dyDescent="0.25">
      <c r="B62" s="11">
        <v>0.88500000000000001</v>
      </c>
      <c r="C62" s="12">
        <v>-3.7652173913043399</v>
      </c>
      <c r="D62" s="12">
        <v>-2.3320565782608802</v>
      </c>
      <c r="E62" s="12">
        <v>-734.12956521739102</v>
      </c>
    </row>
    <row r="63" spans="2:5" x14ac:dyDescent="0.25">
      <c r="B63" s="11">
        <v>0.77100000000000002</v>
      </c>
      <c r="C63" s="12">
        <v>6.4347826086956497</v>
      </c>
      <c r="D63" s="12">
        <v>2.31726552173911</v>
      </c>
      <c r="E63" s="12">
        <v>684.65043478260804</v>
      </c>
    </row>
    <row r="64" spans="2:5" x14ac:dyDescent="0.25">
      <c r="B64" s="11">
        <v>1.081</v>
      </c>
      <c r="C64" s="12">
        <v>-3.2652173913043399</v>
      </c>
      <c r="D64" s="12">
        <v>5.4924123217391099</v>
      </c>
      <c r="E64" s="12">
        <v>473.30043478260802</v>
      </c>
    </row>
    <row r="65" spans="2:5" x14ac:dyDescent="0.25">
      <c r="B65" s="11">
        <v>1.0269999999999999</v>
      </c>
      <c r="C65" s="12">
        <v>13.934782608695601</v>
      </c>
      <c r="D65" s="12">
        <v>39.511842321739103</v>
      </c>
      <c r="E65" s="12">
        <v>-363.69956521739101</v>
      </c>
    </row>
    <row r="66" spans="2:5" x14ac:dyDescent="0.25">
      <c r="B66" s="11">
        <v>0.80200000000000005</v>
      </c>
      <c r="C66" s="12">
        <v>-0.76521739130434696</v>
      </c>
      <c r="D66" s="12">
        <v>-4.9402128782608798</v>
      </c>
      <c r="E66" s="12">
        <v>-352.78956521739201</v>
      </c>
    </row>
    <row r="67" spans="2:5" x14ac:dyDescent="0.25">
      <c r="B67" s="11">
        <v>0.78300000000000003</v>
      </c>
      <c r="C67" s="12">
        <v>7.2347826086956397</v>
      </c>
      <c r="D67" s="12">
        <v>-0.17749307826088701</v>
      </c>
      <c r="E67" s="12">
        <v>626.12043478260796</v>
      </c>
    </row>
    <row r="68" spans="2:5" x14ac:dyDescent="0.25">
      <c r="B68" s="11">
        <v>0.98</v>
      </c>
      <c r="C68" s="12">
        <v>10.6347826086956</v>
      </c>
      <c r="D68" s="12">
        <v>37.697472721739103</v>
      </c>
      <c r="E68" s="12">
        <v>-1281.0995652173899</v>
      </c>
    </row>
    <row r="69" spans="2:5" x14ac:dyDescent="0.25">
      <c r="B69" s="11">
        <v>0.84799999999999998</v>
      </c>
      <c r="C69" s="12">
        <v>9.7347826086956495</v>
      </c>
      <c r="D69" s="12">
        <v>8.6675591217391101</v>
      </c>
      <c r="E69" s="12">
        <v>209.30043478260799</v>
      </c>
    </row>
    <row r="70" spans="2:5" x14ac:dyDescent="0.25">
      <c r="B70" s="11">
        <v>0.84899999999999998</v>
      </c>
      <c r="C70" s="12">
        <v>5.5347826086956502</v>
      </c>
      <c r="D70" s="12">
        <v>14.1106679217391</v>
      </c>
      <c r="E70" s="12">
        <v>1233.9904347826</v>
      </c>
    </row>
    <row r="71" spans="2:5" x14ac:dyDescent="0.25">
      <c r="B71" s="11">
        <v>0.97299999999999998</v>
      </c>
      <c r="C71" s="12">
        <v>11.334782608695599</v>
      </c>
      <c r="D71" s="12">
        <v>30.4399943217391</v>
      </c>
      <c r="E71" s="12">
        <v>-587.06956521739096</v>
      </c>
    </row>
    <row r="72" spans="2:5" x14ac:dyDescent="0.25">
      <c r="B72" s="11">
        <v>0.86599999999999999</v>
      </c>
      <c r="C72" s="12">
        <v>3.9347826086956501</v>
      </c>
      <c r="D72" s="12">
        <v>15.925037921739101</v>
      </c>
      <c r="E72" s="12">
        <v>-400.11956521739103</v>
      </c>
    </row>
    <row r="73" spans="2:5" x14ac:dyDescent="0.25">
      <c r="B73" s="11">
        <v>0.77600000000000002</v>
      </c>
      <c r="C73" s="12">
        <v>1.33478260869565</v>
      </c>
      <c r="D73" s="12">
        <v>0.50289592173911701</v>
      </c>
      <c r="E73" s="12">
        <v>1086.7204347826</v>
      </c>
    </row>
    <row r="74" spans="2:5" x14ac:dyDescent="0.25">
      <c r="B74" s="11">
        <v>0.84299999999999997</v>
      </c>
      <c r="C74" s="12">
        <v>3.4347826086956501</v>
      </c>
      <c r="D74" s="12">
        <v>14.337464121739099</v>
      </c>
      <c r="E74" s="12">
        <v>-37.769565217392</v>
      </c>
    </row>
    <row r="75" spans="2:5" x14ac:dyDescent="0.25">
      <c r="B75" s="11">
        <v>0.84099999999999997</v>
      </c>
      <c r="C75" s="12">
        <v>-5.5652173913043397</v>
      </c>
      <c r="D75" s="12">
        <v>-5.7339995782608799</v>
      </c>
      <c r="E75" s="12">
        <v>725.81043478260801</v>
      </c>
    </row>
    <row r="76" spans="2:5" x14ac:dyDescent="0.25">
      <c r="B76" s="11">
        <v>0.68700000000000006</v>
      </c>
      <c r="C76" s="12">
        <v>-6.5217391304347602E-2</v>
      </c>
      <c r="D76" s="12">
        <v>-7.5483691782608799</v>
      </c>
      <c r="E76" s="12">
        <v>1653.6004347825999</v>
      </c>
    </row>
    <row r="77" spans="2:5" x14ac:dyDescent="0.25">
      <c r="B77" s="11">
        <v>0.67600000000000005</v>
      </c>
      <c r="C77" s="12">
        <v>-2.1652173913043402</v>
      </c>
      <c r="D77" s="12">
        <v>0.95648832173911502</v>
      </c>
      <c r="E77" s="12">
        <v>-1140.02956521739</v>
      </c>
    </row>
    <row r="78" spans="2:5" x14ac:dyDescent="0.25">
      <c r="B78" s="11">
        <v>0.752</v>
      </c>
      <c r="C78" s="12">
        <v>5.33478260869565</v>
      </c>
      <c r="D78" s="12">
        <v>7.9871705217391096</v>
      </c>
      <c r="E78" s="12">
        <v>-740.32956521739095</v>
      </c>
    </row>
    <row r="79" spans="2:5" x14ac:dyDescent="0.25">
      <c r="B79" s="11">
        <v>0.747</v>
      </c>
      <c r="C79" s="12">
        <v>0.83478260869565002</v>
      </c>
      <c r="D79" s="12">
        <v>-4.8268147782608803</v>
      </c>
      <c r="E79" s="12">
        <v>-99.479565217391595</v>
      </c>
    </row>
    <row r="80" spans="2:5" x14ac:dyDescent="0.25">
      <c r="B80" s="11">
        <v>0.73799999999999999</v>
      </c>
      <c r="C80" s="12">
        <v>0.83478260869565002</v>
      </c>
      <c r="D80" s="12">
        <v>-4.8268147782608803</v>
      </c>
      <c r="E80" s="12">
        <v>213.68043478260799</v>
      </c>
    </row>
    <row r="81" spans="2:5" x14ac:dyDescent="0.25">
      <c r="B81" s="11">
        <v>0.79400000000000004</v>
      </c>
      <c r="C81" s="12">
        <v>-7.5652173913043397</v>
      </c>
      <c r="D81" s="12">
        <v>-20.362354478260801</v>
      </c>
      <c r="E81" s="12">
        <v>444.90043478260799</v>
      </c>
    </row>
    <row r="82" spans="2:5" x14ac:dyDescent="0.25">
      <c r="B82" s="11">
        <v>0.72</v>
      </c>
      <c r="C82" s="12">
        <v>-6.1652173913043402</v>
      </c>
      <c r="D82" s="12">
        <v>-11.0637102782608</v>
      </c>
      <c r="E82" s="12">
        <v>-553.79956521739098</v>
      </c>
    </row>
    <row r="83" spans="2:5" x14ac:dyDescent="0.25">
      <c r="B83" s="11">
        <v>0.83699999999999997</v>
      </c>
      <c r="C83" s="12">
        <v>-3.2652173913043399</v>
      </c>
      <c r="D83" s="12">
        <v>-10.836914078260801</v>
      </c>
      <c r="E83" s="12">
        <v>-58.299565217391702</v>
      </c>
    </row>
    <row r="84" spans="2:5" x14ac:dyDescent="0.25">
      <c r="B84" s="11">
        <v>0.73199999999999998</v>
      </c>
      <c r="C84" s="12">
        <v>-8.3652173913043395</v>
      </c>
      <c r="D84" s="12">
        <v>-11.7440988782608</v>
      </c>
      <c r="E84" s="12">
        <v>-315.66956521739098</v>
      </c>
    </row>
    <row r="85" spans="2:5" x14ac:dyDescent="0.25">
      <c r="B85" s="11">
        <v>0.73799999999999999</v>
      </c>
      <c r="C85" s="12">
        <v>-6.0652173913043397</v>
      </c>
      <c r="D85" s="12">
        <v>-6.1875919782608797</v>
      </c>
      <c r="E85" s="12">
        <v>-1030.0595652173899</v>
      </c>
    </row>
    <row r="86" spans="2:5" x14ac:dyDescent="0.25">
      <c r="B86" s="11">
        <v>0.85599999999999998</v>
      </c>
      <c r="C86" s="12">
        <v>-5.1652173913043402</v>
      </c>
      <c r="D86" s="12">
        <v>-9.4761368782608795</v>
      </c>
      <c r="E86" s="12">
        <v>-559.57956521739095</v>
      </c>
    </row>
    <row r="87" spans="2:5" x14ac:dyDescent="0.25">
      <c r="B87" s="11">
        <v>0.79300000000000004</v>
      </c>
      <c r="C87" s="12">
        <v>0.934782608695652</v>
      </c>
      <c r="D87" s="12">
        <v>-10.383321678260801</v>
      </c>
      <c r="E87" s="12">
        <v>1518.0504347826</v>
      </c>
    </row>
    <row r="88" spans="2:5" x14ac:dyDescent="0.25">
      <c r="B88" s="11">
        <v>0.71</v>
      </c>
      <c r="C88" s="12">
        <v>-6.6652173913043402</v>
      </c>
      <c r="D88" s="12">
        <v>-11.4039045782608</v>
      </c>
      <c r="E88" s="12">
        <v>-148.989565217391</v>
      </c>
    </row>
    <row r="89" spans="2:5" x14ac:dyDescent="0.25">
      <c r="B89" s="11">
        <v>0.77</v>
      </c>
      <c r="C89" s="12">
        <v>-9.3652173913043395</v>
      </c>
      <c r="D89" s="12">
        <v>-13.1048760782608</v>
      </c>
      <c r="E89" s="12">
        <v>-840.59956521739105</v>
      </c>
    </row>
    <row r="90" spans="2:5" x14ac:dyDescent="0.25">
      <c r="B90" s="11">
        <v>0.74</v>
      </c>
      <c r="C90" s="12">
        <v>3.4782608695653701E-2</v>
      </c>
      <c r="D90" s="12">
        <v>-6.1875919782608797</v>
      </c>
      <c r="E90" s="12">
        <v>-335.06956521739102</v>
      </c>
    </row>
    <row r="91" spans="2:5" x14ac:dyDescent="0.25">
      <c r="B91" s="11">
        <v>0.73699999999999999</v>
      </c>
      <c r="C91" s="12">
        <v>-5.1652173913043402</v>
      </c>
      <c r="D91" s="12">
        <v>-11.2905064782608</v>
      </c>
      <c r="E91" s="12">
        <v>-112.019565217392</v>
      </c>
    </row>
    <row r="92" spans="2:5" x14ac:dyDescent="0.25">
      <c r="B92" s="11">
        <v>0.63300000000000001</v>
      </c>
      <c r="C92" s="12">
        <v>-5.3652173913043404</v>
      </c>
      <c r="D92" s="12">
        <v>-10.383321678260801</v>
      </c>
      <c r="E92" s="12">
        <v>-1278.3295652173899</v>
      </c>
    </row>
    <row r="93" spans="2:5" x14ac:dyDescent="0.25">
      <c r="B93" s="11">
        <v>0.621</v>
      </c>
      <c r="C93" s="12">
        <v>-10.4652173913043</v>
      </c>
      <c r="D93" s="12">
        <v>-8.5689520782608799</v>
      </c>
      <c r="E93" s="12">
        <v>267.44043478260801</v>
      </c>
    </row>
    <row r="94" spans="2:5" x14ac:dyDescent="0.25">
      <c r="B94" s="11">
        <v>0.74399999999999999</v>
      </c>
      <c r="C94" s="12">
        <v>2.83478260869565</v>
      </c>
      <c r="D94" s="12">
        <v>-9.9297292782608793</v>
      </c>
      <c r="E94" s="12">
        <v>360.47043478260798</v>
      </c>
    </row>
    <row r="95" spans="2:5" x14ac:dyDescent="0.25">
      <c r="B95" s="11">
        <v>0.622</v>
      </c>
      <c r="C95" s="12">
        <v>-5.6652173913043402</v>
      </c>
      <c r="D95" s="12">
        <v>-19.9087620782608</v>
      </c>
      <c r="E95" s="12">
        <v>-1.3795652173916999</v>
      </c>
    </row>
    <row r="96" spans="2:5" x14ac:dyDescent="0.25">
      <c r="B96" s="11">
        <v>0.73499999999999999</v>
      </c>
      <c r="C96" s="12">
        <v>-2.96521739130434</v>
      </c>
      <c r="D96" s="12">
        <v>-6.3009900782608801</v>
      </c>
      <c r="E96" s="12">
        <v>-195.649565217391</v>
      </c>
    </row>
  </sheetData>
  <mergeCells count="2">
    <mergeCell ref="G10:L10"/>
    <mergeCell ref="G17:L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MulticollinearityExample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StatLab</dc:creator>
  <cp:lastModifiedBy>StatLab</cp:lastModifiedBy>
  <dcterms:created xsi:type="dcterms:W3CDTF">2022-01-13T03:07:43Z</dcterms:created>
  <dcterms:modified xsi:type="dcterms:W3CDTF">2022-01-13T03:58:36Z</dcterms:modified>
</cp:coreProperties>
</file>