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Downloads\"/>
    </mc:Choice>
  </mc:AlternateContent>
  <xr:revisionPtr revIDLastSave="0" documentId="13_ncr:1_{5D3C598C-4E14-4814-BC24-9DC019ADCF0F}" xr6:coauthVersionLast="47" xr6:coauthVersionMax="47" xr10:uidLastSave="{00000000-0000-0000-0000-000000000000}"/>
  <bookViews>
    <workbookView xWindow="-110" yWindow="-110" windowWidth="19420" windowHeight="10300" firstSheet="1" activeTab="3" xr2:uid="{962E0741-1AD1-4431-B18B-DF0FC758BC12}"/>
  </bookViews>
  <sheets>
    <sheet name="Sheet2" sheetId="2" state="hidden" r:id="rId1"/>
    <sheet name="Graphical Representation" sheetId="1" r:id="rId2"/>
    <sheet name="Sheet5" sheetId="5" state="hidden" r:id="rId3"/>
    <sheet name="Breuch-Pagan Test " sheetId="3" r:id="rId4"/>
    <sheet name="Fix Heteroscedisit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0" i="3" l="1"/>
  <c r="V7" i="4"/>
  <c r="V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5" i="4"/>
  <c r="B346" i="4"/>
  <c r="B347" i="4"/>
  <c r="B348" i="4"/>
  <c r="B349" i="4"/>
  <c r="B350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2" i="4"/>
  <c r="M1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2" i="1"/>
</calcChain>
</file>

<file path=xl/sharedStrings.xml><?xml version="1.0" encoding="utf-8"?>
<sst xmlns="http://schemas.openxmlformats.org/spreadsheetml/2006/main" count="183" uniqueCount="50">
  <si>
    <t>Pregnancies</t>
  </si>
  <si>
    <t>BloodPressure</t>
  </si>
  <si>
    <t>SkinThickness</t>
  </si>
  <si>
    <t>Insulin</t>
  </si>
  <si>
    <t>BMI</t>
  </si>
  <si>
    <t>DiabetesPedigreeFunction</t>
  </si>
  <si>
    <t>Age</t>
  </si>
  <si>
    <t>Glucose Level</t>
  </si>
  <si>
    <t>Pridicted Glucose Level</t>
  </si>
  <si>
    <t>Residual^2</t>
  </si>
  <si>
    <t>Residual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</si>
  <si>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</si>
  <si>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</si>
  <si>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</si>
  <si>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</si>
  <si>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</si>
  <si>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</si>
  <si>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</si>
  <si>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</si>
  <si>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</si>
  <si>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</si>
  <si>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</si>
  <si>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</si>
  <si>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</si>
  <si>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</si>
  <si>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</si>
  <si>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</si>
  <si>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</si>
  <si>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</si>
  <si>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</si>
  <si>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</si>
  <si>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</si>
  <si>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</si>
  <si>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</si>
  <si>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</si>
  <si>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</si>
  <si>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Glucose Level</t>
  </si>
  <si>
    <t>Residuals</t>
  </si>
  <si>
    <t>Predicted Residual^2</t>
  </si>
  <si>
    <r>
      <t>n*R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(New)</t>
    </r>
  </si>
  <si>
    <t>Log glucose level</t>
  </si>
  <si>
    <t>Predicted Log glucose level</t>
  </si>
  <si>
    <t>Diabetes Pedigree Function</t>
  </si>
  <si>
    <t xml:space="preserve">H0:Homoscedasticity is present </t>
  </si>
  <si>
    <t>H1:Heteroscedasticity is present</t>
  </si>
  <si>
    <t>n=</t>
  </si>
  <si>
    <t>Chi-Square Test Statistisc =</t>
  </si>
  <si>
    <t>p-value</t>
  </si>
  <si>
    <t>Conclusion: Here p-value is less than alpha=0.05 value so we reject Ho and we say that heteroscedasticity is present in the data.</t>
  </si>
  <si>
    <t>Conclusion: Here p-value is more than alpha=0.05 value so we do not reject Ho and we say that heteroscedasticity is not present in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</si>
</sst>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Border="1"/>
    <xf numFmtId="0" fontId="1" fillId="0" borderId="0" xfId="0" applyFont="1"/>
    <xf numFmtId="0" fontId="1" fillId="0" borderId="3" xfId="0" applyFont="1" applyBorder="1"/>
    <xf numFmtId="0" fontId="0" fillId="0" borderId="3" xfId="0" applyBorder="1"/>
    <xf numFmtId="0" fontId="0" fillId="0" borderId="3" xfId="0" applyFill="1" applyBorder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value</a:t>
            </a:r>
            <a:r>
              <a:rPr lang="en-US" baseline="0"/>
              <a:t> Vs Residual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'Graphical Representation'!$J$1</c:f>
              <c:strCache>
                <c:ptCount val="1"/>
                <c:pt idx="0">
                  <c:v>Residual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'Graphical Representation'!$I$2:$I$769</c:f>
              <c:numCache>
                <c:formatCode>General</c:formatCode>
                <c:ptCount val="768"/>
                <c:pt idx="0">
                  <c:v>121.37146638709675</c:v>
                </c:pt>
                <c:pt idx="1">
                  <c:v>103.40691341632819</c:v>
                </c:pt>
                <c:pt idx="2">
                  <c:v>113.56925679998355</c:v>
                </c:pt>
                <c:pt idx="3">
                  <c:v>108.36803913500738</c:v>
                </c:pt>
                <c:pt idx="4">
                  <c:v>142.30699226218317</c:v>
                </c:pt>
                <c:pt idx="5">
                  <c:v>111.55305508076663</c:v>
                </c:pt>
                <c:pt idx="6">
                  <c:v>109.66799724840411</c:v>
                </c:pt>
                <c:pt idx="7">
                  <c:v>112.87459817291729</c:v>
                </c:pt>
                <c:pt idx="8">
                  <c:v>168.86065577588045</c:v>
                </c:pt>
                <c:pt idx="9">
                  <c:v>109.74502431800931</c:v>
                </c:pt>
                <c:pt idx="10">
                  <c:v>121.69510467413853</c:v>
                </c:pt>
                <c:pt idx="11">
                  <c:v>125.8545652346875</c:v>
                </c:pt>
                <c:pt idx="12">
                  <c:v>138.64742443944772</c:v>
                </c:pt>
                <c:pt idx="13">
                  <c:v>210.98723481873603</c:v>
                </c:pt>
                <c:pt idx="14">
                  <c:v>138.78459677817858</c:v>
                </c:pt>
                <c:pt idx="15">
                  <c:v>112.86776823644848</c:v>
                </c:pt>
                <c:pt idx="16">
                  <c:v>137.37107315581997</c:v>
                </c:pt>
                <c:pt idx="17">
                  <c:v>115.65207797092162</c:v>
                </c:pt>
                <c:pt idx="18">
                  <c:v>118.97652082998115</c:v>
                </c:pt>
                <c:pt idx="19">
                  <c:v>120.77064223574013</c:v>
                </c:pt>
                <c:pt idx="20">
                  <c:v>133.84425604112644</c:v>
                </c:pt>
                <c:pt idx="21">
                  <c:v>133.86934953278535</c:v>
                </c:pt>
                <c:pt idx="22">
                  <c:v>132.12250996455433</c:v>
                </c:pt>
                <c:pt idx="23">
                  <c:v>102.80752818507059</c:v>
                </c:pt>
                <c:pt idx="24">
                  <c:v>139.08529494028903</c:v>
                </c:pt>
                <c:pt idx="25">
                  <c:v>125.68178658254701</c:v>
                </c:pt>
                <c:pt idx="26">
                  <c:v>130.90710318105502</c:v>
                </c:pt>
                <c:pt idx="27">
                  <c:v>114.65405951718273</c:v>
                </c:pt>
                <c:pt idx="28">
                  <c:v>132.43546080363222</c:v>
                </c:pt>
                <c:pt idx="29">
                  <c:v>125.21224028401814</c:v>
                </c:pt>
                <c:pt idx="30">
                  <c:v>132.27258985435938</c:v>
                </c:pt>
                <c:pt idx="31">
                  <c:v>131.47637417574785</c:v>
                </c:pt>
                <c:pt idx="32">
                  <c:v>106.71836137875896</c:v>
                </c:pt>
                <c:pt idx="33">
                  <c:v>107.22324574968353</c:v>
                </c:pt>
                <c:pt idx="34">
                  <c:v>114.9098693662543</c:v>
                </c:pt>
                <c:pt idx="35">
                  <c:v>124.34257857387425</c:v>
                </c:pt>
                <c:pt idx="36">
                  <c:v>122.35838876572399</c:v>
                </c:pt>
                <c:pt idx="37">
                  <c:v>118.29360402588625</c:v>
                </c:pt>
                <c:pt idx="38">
                  <c:v>106.34309617812241</c:v>
                </c:pt>
                <c:pt idx="39">
                  <c:v>149.35859651918096</c:v>
                </c:pt>
                <c:pt idx="40">
                  <c:v>113.5757430987466</c:v>
                </c:pt>
                <c:pt idx="41">
                  <c:v>130.96886926689564</c:v>
                </c:pt>
                <c:pt idx="42">
                  <c:v>116.56856961371108</c:v>
                </c:pt>
                <c:pt idx="43">
                  <c:v>164.02927792756597</c:v>
                </c:pt>
                <c:pt idx="44">
                  <c:v>119.36109574054971</c:v>
                </c:pt>
                <c:pt idx="45">
                  <c:v>117.42813092113256</c:v>
                </c:pt>
                <c:pt idx="46">
                  <c:v>114.78056183570924</c:v>
                </c:pt>
                <c:pt idx="47">
                  <c:v>101.14184036636486</c:v>
                </c:pt>
                <c:pt idx="48">
                  <c:v>112.0921044865371</c:v>
                </c:pt>
                <c:pt idx="49">
                  <c:v>84.066242052454044</c:v>
                </c:pt>
                <c:pt idx="50">
                  <c:v>108.31790544503714</c:v>
                </c:pt>
                <c:pt idx="51">
                  <c:v>106.66143767457773</c:v>
                </c:pt>
                <c:pt idx="52">
                  <c:v>106.2748050235366</c:v>
                </c:pt>
                <c:pt idx="53">
                  <c:v>157.45420190054026</c:v>
                </c:pt>
                <c:pt idx="54">
                  <c:v>149.27211484071069</c:v>
                </c:pt>
                <c:pt idx="55">
                  <c:v>98.832885026340989</c:v>
                </c:pt>
                <c:pt idx="56">
                  <c:v>145.27162973179117</c:v>
                </c:pt>
                <c:pt idx="57">
                  <c:v>124.59481250254319</c:v>
                </c:pt>
                <c:pt idx="58">
                  <c:v>142.01145638918982</c:v>
                </c:pt>
                <c:pt idx="59">
                  <c:v>117.71265194563168</c:v>
                </c:pt>
                <c:pt idx="60">
                  <c:v>81.829585786546048</c:v>
                </c:pt>
                <c:pt idx="61">
                  <c:v>123.31003916397319</c:v>
                </c:pt>
                <c:pt idx="62">
                  <c:v>116.57211755307243</c:v>
                </c:pt>
                <c:pt idx="63">
                  <c:v>110.87644622252596</c:v>
                </c:pt>
                <c:pt idx="64">
                  <c:v>124.6158876694369</c:v>
                </c:pt>
                <c:pt idx="65">
                  <c:v>106.38248397011179</c:v>
                </c:pt>
                <c:pt idx="66">
                  <c:v>116.68142014665609</c:v>
                </c:pt>
                <c:pt idx="67">
                  <c:v>145.02085566142159</c:v>
                </c:pt>
                <c:pt idx="68">
                  <c:v>103.34208315107315</c:v>
                </c:pt>
                <c:pt idx="69">
                  <c:v>113.75202689387851</c:v>
                </c:pt>
                <c:pt idx="70">
                  <c:v>121.56739077579988</c:v>
                </c:pt>
                <c:pt idx="71">
                  <c:v>114.21725652851546</c:v>
                </c:pt>
                <c:pt idx="72">
                  <c:v>136.65604534136213</c:v>
                </c:pt>
                <c:pt idx="73">
                  <c:v>135.57922045871419</c:v>
                </c:pt>
                <c:pt idx="74">
                  <c:v>102.23143691988136</c:v>
                </c:pt>
                <c:pt idx="75">
                  <c:v>96.588935302326504</c:v>
                </c:pt>
                <c:pt idx="76">
                  <c:v>125.501021786777</c:v>
                </c:pt>
                <c:pt idx="77">
                  <c:v>108.59299680970797</c:v>
                </c:pt>
                <c:pt idx="78">
                  <c:v>117.13603506828663</c:v>
                </c:pt>
                <c:pt idx="79">
                  <c:v>99.810360221670194</c:v>
                </c:pt>
                <c:pt idx="80">
                  <c:v>97.040694141600568</c:v>
                </c:pt>
                <c:pt idx="81">
                  <c:v>81.198965043551922</c:v>
                </c:pt>
                <c:pt idx="82">
                  <c:v>120.61715451763001</c:v>
                </c:pt>
                <c:pt idx="83">
                  <c:v>95.584233701494696</c:v>
                </c:pt>
                <c:pt idx="84">
                  <c:v>136.02204661579322</c:v>
                </c:pt>
                <c:pt idx="85">
                  <c:v>120.54830676676966</c:v>
                </c:pt>
                <c:pt idx="86">
                  <c:v>111.62170421957319</c:v>
                </c:pt>
                <c:pt idx="87">
                  <c:v>117.60852709991931</c:v>
                </c:pt>
                <c:pt idx="88">
                  <c:v>128.93230139719776</c:v>
                </c:pt>
                <c:pt idx="89">
                  <c:v>101.12279650180011</c:v>
                </c:pt>
                <c:pt idx="90">
                  <c:v>99.662553632777531</c:v>
                </c:pt>
                <c:pt idx="91">
                  <c:v>133.49628230084764</c:v>
                </c:pt>
                <c:pt idx="92">
                  <c:v>127.35732872624412</c:v>
                </c:pt>
                <c:pt idx="93">
                  <c:v>129.84139391837874</c:v>
                </c:pt>
                <c:pt idx="94">
                  <c:v>109.4052116609499</c:v>
                </c:pt>
                <c:pt idx="95">
                  <c:v>138.37740645208567</c:v>
                </c:pt>
                <c:pt idx="96">
                  <c:v>101.35870335020508</c:v>
                </c:pt>
                <c:pt idx="97">
                  <c:v>102.8234080309539</c:v>
                </c:pt>
                <c:pt idx="98">
                  <c:v>105.12244169545164</c:v>
                </c:pt>
                <c:pt idx="99">
                  <c:v>137.00707737281618</c:v>
                </c:pt>
                <c:pt idx="100">
                  <c:v>129.61595454679511</c:v>
                </c:pt>
                <c:pt idx="101">
                  <c:v>105.4110562026103</c:v>
                </c:pt>
                <c:pt idx="102">
                  <c:v>105.05125115396947</c:v>
                </c:pt>
                <c:pt idx="103">
                  <c:v>106.57666405966127</c:v>
                </c:pt>
                <c:pt idx="104">
                  <c:v>123.91890836127894</c:v>
                </c:pt>
                <c:pt idx="105">
                  <c:v>115.9446467595382</c:v>
                </c:pt>
                <c:pt idx="106">
                  <c:v>110.38015407866773</c:v>
                </c:pt>
                <c:pt idx="107">
                  <c:v>123.06780715404291</c:v>
                </c:pt>
                <c:pt idx="108">
                  <c:v>105.9155520671367</c:v>
                </c:pt>
                <c:pt idx="109">
                  <c:v>112.56231629462286</c:v>
                </c:pt>
                <c:pt idx="110">
                  <c:v>115.72262045147666</c:v>
                </c:pt>
                <c:pt idx="111">
                  <c:v>170.72258945343142</c:v>
                </c:pt>
                <c:pt idx="112">
                  <c:v>103.43869011174634</c:v>
                </c:pt>
                <c:pt idx="113">
                  <c:v>114.93000844793403</c:v>
                </c:pt>
                <c:pt idx="114">
                  <c:v>129.08616817419679</c:v>
                </c:pt>
                <c:pt idx="115">
                  <c:v>139.09434456759294</c:v>
                </c:pt>
                <c:pt idx="116">
                  <c:v>123.13762078071278</c:v>
                </c:pt>
                <c:pt idx="117">
                  <c:v>115.44454526328876</c:v>
                </c:pt>
                <c:pt idx="118">
                  <c:v>101.14316887915882</c:v>
                </c:pt>
                <c:pt idx="119">
                  <c:v>104.27578441665781</c:v>
                </c:pt>
                <c:pt idx="120">
                  <c:v>123.7347557041046</c:v>
                </c:pt>
                <c:pt idx="121">
                  <c:v>100.8295531874388</c:v>
                </c:pt>
                <c:pt idx="122">
                  <c:v>114.16443070310621</c:v>
                </c:pt>
                <c:pt idx="123">
                  <c:v>137.94401667265402</c:v>
                </c:pt>
                <c:pt idx="124">
                  <c:v>113.14535751007493</c:v>
                </c:pt>
                <c:pt idx="125">
                  <c:v>125.4857881754173</c:v>
                </c:pt>
                <c:pt idx="126">
                  <c:v>129.2577015004899</c:v>
                </c:pt>
                <c:pt idx="127">
                  <c:v>109.24831791220304</c:v>
                </c:pt>
                <c:pt idx="128">
                  <c:v>133.25138154255029</c:v>
                </c:pt>
                <c:pt idx="129">
                  <c:v>137.74360507064392</c:v>
                </c:pt>
                <c:pt idx="130">
                  <c:v>129.43750586789949</c:v>
                </c:pt>
                <c:pt idx="131">
                  <c:v>124.00789160271592</c:v>
                </c:pt>
                <c:pt idx="132">
                  <c:v>128.63199584999276</c:v>
                </c:pt>
                <c:pt idx="133">
                  <c:v>118.32111040747542</c:v>
                </c:pt>
                <c:pt idx="134">
                  <c:v>108.39401058544632</c:v>
                </c:pt>
                <c:pt idx="135">
                  <c:v>123.86181360230557</c:v>
                </c:pt>
                <c:pt idx="136">
                  <c:v>107.90723546215459</c:v>
                </c:pt>
                <c:pt idx="137">
                  <c:v>110.42034145379394</c:v>
                </c:pt>
                <c:pt idx="138">
                  <c:v>118.40583577545402</c:v>
                </c:pt>
                <c:pt idx="139">
                  <c:v>141.29781358275275</c:v>
                </c:pt>
                <c:pt idx="140">
                  <c:v>124.8937353347786</c:v>
                </c:pt>
                <c:pt idx="141">
                  <c:v>118.21390167570641</c:v>
                </c:pt>
                <c:pt idx="142">
                  <c:v>108.22921953113932</c:v>
                </c:pt>
                <c:pt idx="143">
                  <c:v>124.58093257600193</c:v>
                </c:pt>
                <c:pt idx="144">
                  <c:v>129.94061373912214</c:v>
                </c:pt>
                <c:pt idx="145">
                  <c:v>80.969242738236119</c:v>
                </c:pt>
                <c:pt idx="146">
                  <c:v>111.67846122937856</c:v>
                </c:pt>
                <c:pt idx="147">
                  <c:v>124.76487933324302</c:v>
                </c:pt>
                <c:pt idx="148">
                  <c:v>140.60206154468605</c:v>
                </c:pt>
                <c:pt idx="149">
                  <c:v>100.79468735425361</c:v>
                </c:pt>
                <c:pt idx="150">
                  <c:v>121.33510257736641</c:v>
                </c:pt>
                <c:pt idx="151">
                  <c:v>114.06363373613151</c:v>
                </c:pt>
                <c:pt idx="152">
                  <c:v>139.35542817093614</c:v>
                </c:pt>
                <c:pt idx="153">
                  <c:v>156.37858504904693</c:v>
                </c:pt>
                <c:pt idx="154">
                  <c:v>136.72563466519989</c:v>
                </c:pt>
                <c:pt idx="155">
                  <c:v>120.98213437383117</c:v>
                </c:pt>
                <c:pt idx="156">
                  <c:v>110.46308865897099</c:v>
                </c:pt>
                <c:pt idx="157">
                  <c:v>115.77711428499211</c:v>
                </c:pt>
                <c:pt idx="158">
                  <c:v>107.9167220756987</c:v>
                </c:pt>
                <c:pt idx="159">
                  <c:v>136.21000890690297</c:v>
                </c:pt>
                <c:pt idx="160">
                  <c:v>107.4483820320803</c:v>
                </c:pt>
                <c:pt idx="161">
                  <c:v>127.25243143268929</c:v>
                </c:pt>
                <c:pt idx="162">
                  <c:v>140.75554951574884</c:v>
                </c:pt>
                <c:pt idx="163">
                  <c:v>101.3119395011492</c:v>
                </c:pt>
                <c:pt idx="164">
                  <c:v>121.45464652902626</c:v>
                </c:pt>
                <c:pt idx="165">
                  <c:v>134.88502748711403</c:v>
                </c:pt>
                <c:pt idx="166">
                  <c:v>102.88108437403244</c:v>
                </c:pt>
                <c:pt idx="167">
                  <c:v>119.86481798381374</c:v>
                </c:pt>
                <c:pt idx="168">
                  <c:v>116.72086201049234</c:v>
                </c:pt>
                <c:pt idx="169">
                  <c:v>119.69463167470504</c:v>
                </c:pt>
                <c:pt idx="170">
                  <c:v>119.8126816231153</c:v>
                </c:pt>
                <c:pt idx="171">
                  <c:v>125.56778048125243</c:v>
                </c:pt>
                <c:pt idx="172">
                  <c:v>101.36872764121105</c:v>
                </c:pt>
                <c:pt idx="173">
                  <c:v>113.04775384468725</c:v>
                </c:pt>
                <c:pt idx="174">
                  <c:v>114.25976685286565</c:v>
                </c:pt>
                <c:pt idx="175">
                  <c:v>123.08393920546447</c:v>
                </c:pt>
                <c:pt idx="176">
                  <c:v>124.98011189664984</c:v>
                </c:pt>
                <c:pt idx="177">
                  <c:v>140.76792350407837</c:v>
                </c:pt>
                <c:pt idx="178">
                  <c:v>137.28884771825602</c:v>
                </c:pt>
                <c:pt idx="179">
                  <c:v>131.52787949254227</c:v>
                </c:pt>
                <c:pt idx="180">
                  <c:v>110.78297686491268</c:v>
                </c:pt>
                <c:pt idx="181">
                  <c:v>119.55633752703586</c:v>
                </c:pt>
                <c:pt idx="182">
                  <c:v>103.33069900672653</c:v>
                </c:pt>
                <c:pt idx="183">
                  <c:v>109.96035705048156</c:v>
                </c:pt>
                <c:pt idx="184">
                  <c:v>119.71893472509488</c:v>
                </c:pt>
                <c:pt idx="185">
                  <c:v>120.15364140913364</c:v>
                </c:pt>
                <c:pt idx="186">
                  <c:v>174.36256135590963</c:v>
                </c:pt>
                <c:pt idx="187">
                  <c:v>118.93359434221929</c:v>
                </c:pt>
                <c:pt idx="188">
                  <c:v>115.43246216008981</c:v>
                </c:pt>
                <c:pt idx="189">
                  <c:v>118.6371622478333</c:v>
                </c:pt>
                <c:pt idx="190">
                  <c:v>102.16395305027893</c:v>
                </c:pt>
                <c:pt idx="191">
                  <c:v>119.4191155643929</c:v>
                </c:pt>
                <c:pt idx="192">
                  <c:v>119.73314888196903</c:v>
                </c:pt>
                <c:pt idx="193">
                  <c:v>135.59079304185943</c:v>
                </c:pt>
                <c:pt idx="194">
                  <c:v>110.14640148608376</c:v>
                </c:pt>
                <c:pt idx="195">
                  <c:v>130.58381633201546</c:v>
                </c:pt>
                <c:pt idx="196">
                  <c:v>103.32573011583344</c:v>
                </c:pt>
                <c:pt idx="197">
                  <c:v>107.54279978682165</c:v>
                </c:pt>
                <c:pt idx="198">
                  <c:v>114.80253319940252</c:v>
                </c:pt>
                <c:pt idx="199">
                  <c:v>136.45030433195956</c:v>
                </c:pt>
                <c:pt idx="200">
                  <c:v>108.82578570733665</c:v>
                </c:pt>
                <c:pt idx="201">
                  <c:v>121.68748826909425</c:v>
                </c:pt>
                <c:pt idx="202">
                  <c:v>110.42065767787244</c:v>
                </c:pt>
                <c:pt idx="203">
                  <c:v>104.54669814538751</c:v>
                </c:pt>
                <c:pt idx="204">
                  <c:v>145.85382255597236</c:v>
                </c:pt>
                <c:pt idx="205">
                  <c:v>100.14387898352766</c:v>
                </c:pt>
                <c:pt idx="206">
                  <c:v>159.21291853489336</c:v>
                </c:pt>
                <c:pt idx="207">
                  <c:v>136.61251785175278</c:v>
                </c:pt>
                <c:pt idx="208">
                  <c:v>110.78471120659107</c:v>
                </c:pt>
                <c:pt idx="209">
                  <c:v>116.83946731250455</c:v>
                </c:pt>
                <c:pt idx="210">
                  <c:v>101.95384314349533</c:v>
                </c:pt>
                <c:pt idx="211">
                  <c:v>104.11193472598282</c:v>
                </c:pt>
                <c:pt idx="212">
                  <c:v>128.35648793911318</c:v>
                </c:pt>
                <c:pt idx="213">
                  <c:v>125.33611434707787</c:v>
                </c:pt>
                <c:pt idx="214">
                  <c:v>129.9334896090879</c:v>
                </c:pt>
                <c:pt idx="215">
                  <c:v>146.27896647549386</c:v>
                </c:pt>
                <c:pt idx="216">
                  <c:v>116.3738657409281</c:v>
                </c:pt>
                <c:pt idx="217">
                  <c:v>119.47470975245091</c:v>
                </c:pt>
                <c:pt idx="218">
                  <c:v>114.50261382811237</c:v>
                </c:pt>
                <c:pt idx="219">
                  <c:v>127.62322505304618</c:v>
                </c:pt>
                <c:pt idx="220">
                  <c:v>155.06030702431426</c:v>
                </c:pt>
                <c:pt idx="221">
                  <c:v>144.04299598825025</c:v>
                </c:pt>
                <c:pt idx="222">
                  <c:v>110.75568962373067</c:v>
                </c:pt>
                <c:pt idx="223">
                  <c:v>144.2248296112362</c:v>
                </c:pt>
                <c:pt idx="224">
                  <c:v>110.22562974118537</c:v>
                </c:pt>
                <c:pt idx="225">
                  <c:v>106.74706950218598</c:v>
                </c:pt>
                <c:pt idx="226">
                  <c:v>116.37654606735047</c:v>
                </c:pt>
                <c:pt idx="227">
                  <c:v>104.87352482134217</c:v>
                </c:pt>
                <c:pt idx="228">
                  <c:v>195.3488203231127</c:v>
                </c:pt>
                <c:pt idx="229">
                  <c:v>116.769123754617</c:v>
                </c:pt>
                <c:pt idx="230">
                  <c:v>123.78228434750507</c:v>
                </c:pt>
                <c:pt idx="231">
                  <c:v>162.8559378034935</c:v>
                </c:pt>
                <c:pt idx="232">
                  <c:v>104.19974556294521</c:v>
                </c:pt>
                <c:pt idx="233">
                  <c:v>118.70048979346221</c:v>
                </c:pt>
                <c:pt idx="234">
                  <c:v>105.3180732664578</c:v>
                </c:pt>
                <c:pt idx="235">
                  <c:v>124.03425315887932</c:v>
                </c:pt>
                <c:pt idx="236">
                  <c:v>148.35410859761572</c:v>
                </c:pt>
                <c:pt idx="237">
                  <c:v>115.78129836873465</c:v>
                </c:pt>
                <c:pt idx="238">
                  <c:v>114.64108409405506</c:v>
                </c:pt>
                <c:pt idx="239">
                  <c:v>106.46714872209284</c:v>
                </c:pt>
                <c:pt idx="240">
                  <c:v>99.43197256123031</c:v>
                </c:pt>
                <c:pt idx="241">
                  <c:v>111.37275719958893</c:v>
                </c:pt>
                <c:pt idx="242">
                  <c:v>106.14205819516819</c:v>
                </c:pt>
                <c:pt idx="243">
                  <c:v>130.37838878824891</c:v>
                </c:pt>
                <c:pt idx="244">
                  <c:v>128.92743160475146</c:v>
                </c:pt>
                <c:pt idx="245">
                  <c:v>129.4986074276319</c:v>
                </c:pt>
                <c:pt idx="246">
                  <c:v>123.08695686852172</c:v>
                </c:pt>
                <c:pt idx="247">
                  <c:v>186.61771358614322</c:v>
                </c:pt>
                <c:pt idx="248">
                  <c:v>151.3162642068219</c:v>
                </c:pt>
                <c:pt idx="249">
                  <c:v>104.30022861150435</c:v>
                </c:pt>
                <c:pt idx="250">
                  <c:v>123.32336308489556</c:v>
                </c:pt>
                <c:pt idx="251">
                  <c:v>112.46582117767758</c:v>
                </c:pt>
                <c:pt idx="252">
                  <c:v>108.17461204883973</c:v>
                </c:pt>
                <c:pt idx="253">
                  <c:v>104.80273156985645</c:v>
                </c:pt>
                <c:pt idx="254">
                  <c:v>149.8222728340962</c:v>
                </c:pt>
                <c:pt idx="255">
                  <c:v>101.27352969805695</c:v>
                </c:pt>
                <c:pt idx="256">
                  <c:v>102.7638349145257</c:v>
                </c:pt>
                <c:pt idx="257">
                  <c:v>102.01378353932576</c:v>
                </c:pt>
                <c:pt idx="258">
                  <c:v>141.18918620770017</c:v>
                </c:pt>
                <c:pt idx="259">
                  <c:v>144.36344440137262</c:v>
                </c:pt>
                <c:pt idx="260">
                  <c:v>126.24010200066647</c:v>
                </c:pt>
                <c:pt idx="261">
                  <c:v>111.155418577254</c:v>
                </c:pt>
                <c:pt idx="262">
                  <c:v>104.11936902552782</c:v>
                </c:pt>
                <c:pt idx="263">
                  <c:v>133.23097096038342</c:v>
                </c:pt>
                <c:pt idx="264">
                  <c:v>118.83984319945168</c:v>
                </c:pt>
                <c:pt idx="265">
                  <c:v>131.68710375462823</c:v>
                </c:pt>
                <c:pt idx="266">
                  <c:v>115.50141177951745</c:v>
                </c:pt>
                <c:pt idx="267">
                  <c:v>109.25482757110501</c:v>
                </c:pt>
                <c:pt idx="268">
                  <c:v>102.75838691585344</c:v>
                </c:pt>
                <c:pt idx="269">
                  <c:v>106.57526817824748</c:v>
                </c:pt>
                <c:pt idx="270">
                  <c:v>126.39445114217746</c:v>
                </c:pt>
                <c:pt idx="271">
                  <c:v>98.898206167902416</c:v>
                </c:pt>
                <c:pt idx="272">
                  <c:v>116.55196163092808</c:v>
                </c:pt>
                <c:pt idx="273">
                  <c:v>100.69740245094506</c:v>
                </c:pt>
                <c:pt idx="274">
                  <c:v>132.70829184714552</c:v>
                </c:pt>
                <c:pt idx="275">
                  <c:v>110.40212992936361</c:v>
                </c:pt>
                <c:pt idx="276">
                  <c:v>103.29848939449901</c:v>
                </c:pt>
                <c:pt idx="277">
                  <c:v>113.25778380000216</c:v>
                </c:pt>
                <c:pt idx="278">
                  <c:v>131.87959958477558</c:v>
                </c:pt>
                <c:pt idx="279">
                  <c:v>134.03434151783921</c:v>
                </c:pt>
                <c:pt idx="280">
                  <c:v>119.75652733889871</c:v>
                </c:pt>
                <c:pt idx="281">
                  <c:v>128.92144577498465</c:v>
                </c:pt>
                <c:pt idx="282">
                  <c:v>133.21588943286417</c:v>
                </c:pt>
                <c:pt idx="283">
                  <c:v>126.85472726993649</c:v>
                </c:pt>
                <c:pt idx="284">
                  <c:v>127.40899936017121</c:v>
                </c:pt>
                <c:pt idx="285">
                  <c:v>133.21263433335392</c:v>
                </c:pt>
                <c:pt idx="286">
                  <c:v>167.35731154586105</c:v>
                </c:pt>
                <c:pt idx="287">
                  <c:v>139.42195275236796</c:v>
                </c:pt>
                <c:pt idx="288">
                  <c:v>104.17026962626373</c:v>
                </c:pt>
                <c:pt idx="289">
                  <c:v>114.78164879658232</c:v>
                </c:pt>
                <c:pt idx="290">
                  <c:v>110.70754133424037</c:v>
                </c:pt>
                <c:pt idx="291">
                  <c:v>116.36481046945507</c:v>
                </c:pt>
                <c:pt idx="292">
                  <c:v>137.96331705020566</c:v>
                </c:pt>
                <c:pt idx="293">
                  <c:v>123.85830018729457</c:v>
                </c:pt>
                <c:pt idx="294">
                  <c:v>129.7204950119168</c:v>
                </c:pt>
                <c:pt idx="295">
                  <c:v>121.70594585446253</c:v>
                </c:pt>
                <c:pt idx="296">
                  <c:v>136.58144996184231</c:v>
                </c:pt>
                <c:pt idx="297">
                  <c:v>125.83830551091857</c:v>
                </c:pt>
                <c:pt idx="298">
                  <c:v>142.40534766740006</c:v>
                </c:pt>
                <c:pt idx="299">
                  <c:v>132.19250625382026</c:v>
                </c:pt>
                <c:pt idx="300">
                  <c:v>115.1328088072611</c:v>
                </c:pt>
                <c:pt idx="301">
                  <c:v>115.46153206686945</c:v>
                </c:pt>
                <c:pt idx="302">
                  <c:v>113.22427739538982</c:v>
                </c:pt>
                <c:pt idx="303">
                  <c:v>132.47689067716976</c:v>
                </c:pt>
                <c:pt idx="304">
                  <c:v>112.67866247834219</c:v>
                </c:pt>
                <c:pt idx="305">
                  <c:v>119.7217340960101</c:v>
                </c:pt>
                <c:pt idx="306">
                  <c:v>128.68678191119992</c:v>
                </c:pt>
                <c:pt idx="307">
                  <c:v>114.25571377538576</c:v>
                </c:pt>
                <c:pt idx="308">
                  <c:v>130.540173174963</c:v>
                </c:pt>
                <c:pt idx="309">
                  <c:v>131.92954538920253</c:v>
                </c:pt>
                <c:pt idx="310">
                  <c:v>109.27969203184223</c:v>
                </c:pt>
                <c:pt idx="311">
                  <c:v>121.22571466969933</c:v>
                </c:pt>
                <c:pt idx="312">
                  <c:v>115.61990589741932</c:v>
                </c:pt>
                <c:pt idx="313">
                  <c:v>117.33687966217443</c:v>
                </c:pt>
                <c:pt idx="314">
                  <c:v>123.6946128691115</c:v>
                </c:pt>
                <c:pt idx="315">
                  <c:v>117.56413857756155</c:v>
                </c:pt>
                <c:pt idx="316">
                  <c:v>110.40670674030694</c:v>
                </c:pt>
                <c:pt idx="317">
                  <c:v>115.37595330991084</c:v>
                </c:pt>
                <c:pt idx="318">
                  <c:v>119.67228130275561</c:v>
                </c:pt>
                <c:pt idx="319">
                  <c:v>128.57426124070111</c:v>
                </c:pt>
                <c:pt idx="320">
                  <c:v>133.84315169507909</c:v>
                </c:pt>
                <c:pt idx="321">
                  <c:v>102.65795866742616</c:v>
                </c:pt>
                <c:pt idx="322">
                  <c:v>109.85023655958508</c:v>
                </c:pt>
                <c:pt idx="323">
                  <c:v>117.6648778345108</c:v>
                </c:pt>
                <c:pt idx="324">
                  <c:v>102.18625148264665</c:v>
                </c:pt>
                <c:pt idx="325">
                  <c:v>116.67427542074145</c:v>
                </c:pt>
                <c:pt idx="326">
                  <c:v>125.82483354748084</c:v>
                </c:pt>
                <c:pt idx="327">
                  <c:v>123.205787318476</c:v>
                </c:pt>
                <c:pt idx="328">
                  <c:v>122.18780516974878</c:v>
                </c:pt>
                <c:pt idx="329">
                  <c:v>115.38777577845057</c:v>
                </c:pt>
                <c:pt idx="330">
                  <c:v>121.74063206604822</c:v>
                </c:pt>
                <c:pt idx="331">
                  <c:v>112.01241433037301</c:v>
                </c:pt>
                <c:pt idx="332">
                  <c:v>127.02467708877744</c:v>
                </c:pt>
                <c:pt idx="333">
                  <c:v>119.51445088386239</c:v>
                </c:pt>
                <c:pt idx="334">
                  <c:v>104.08329500059462</c:v>
                </c:pt>
                <c:pt idx="335">
                  <c:v>137.16474432000629</c:v>
                </c:pt>
                <c:pt idx="336">
                  <c:v>125.87930669273612</c:v>
                </c:pt>
                <c:pt idx="337">
                  <c:v>125.82532191470409</c:v>
                </c:pt>
                <c:pt idx="338">
                  <c:v>130.64534705410489</c:v>
                </c:pt>
                <c:pt idx="339">
                  <c:v>131.01939369637867</c:v>
                </c:pt>
                <c:pt idx="340">
                  <c:v>114.01699166615039</c:v>
                </c:pt>
                <c:pt idx="341">
                  <c:v>118.71102723022166</c:v>
                </c:pt>
                <c:pt idx="342">
                  <c:v>100.02574842415359</c:v>
                </c:pt>
                <c:pt idx="343">
                  <c:v>121.71905507082371</c:v>
                </c:pt>
                <c:pt idx="344">
                  <c:v>139.20886713379483</c:v>
                </c:pt>
                <c:pt idx="345">
                  <c:v>134.40251348590658</c:v>
                </c:pt>
                <c:pt idx="346">
                  <c:v>111.37056414723575</c:v>
                </c:pt>
                <c:pt idx="347">
                  <c:v>100.07193902786847</c:v>
                </c:pt>
                <c:pt idx="348">
                  <c:v>106.74002316492722</c:v>
                </c:pt>
                <c:pt idx="349">
                  <c:v>118.2644939404809</c:v>
                </c:pt>
                <c:pt idx="350">
                  <c:v>123.95135318756589</c:v>
                </c:pt>
                <c:pt idx="351">
                  <c:v>116.71824856275066</c:v>
                </c:pt>
                <c:pt idx="352">
                  <c:v>119.82855898059339</c:v>
                </c:pt>
                <c:pt idx="353">
                  <c:v>110.50936766638929</c:v>
                </c:pt>
                <c:pt idx="354">
                  <c:v>120.99927035431689</c:v>
                </c:pt>
                <c:pt idx="355">
                  <c:v>129.26846242713418</c:v>
                </c:pt>
                <c:pt idx="356">
                  <c:v>122.33998077775857</c:v>
                </c:pt>
                <c:pt idx="357">
                  <c:v>118.90168690678618</c:v>
                </c:pt>
                <c:pt idx="358">
                  <c:v>124.03183306342306</c:v>
                </c:pt>
                <c:pt idx="359">
                  <c:v>136.23375812800097</c:v>
                </c:pt>
                <c:pt idx="360">
                  <c:v>138.44722391661799</c:v>
                </c:pt>
                <c:pt idx="361">
                  <c:v>135.75565142801398</c:v>
                </c:pt>
                <c:pt idx="362">
                  <c:v>135.01196045044932</c:v>
                </c:pt>
                <c:pt idx="363">
                  <c:v>147.34258969991711</c:v>
                </c:pt>
                <c:pt idx="364">
                  <c:v>140.71805342726066</c:v>
                </c:pt>
                <c:pt idx="365">
                  <c:v>117.31785772585411</c:v>
                </c:pt>
                <c:pt idx="366">
                  <c:v>113.38204260314468</c:v>
                </c:pt>
                <c:pt idx="367">
                  <c:v>95.939364057874144</c:v>
                </c:pt>
                <c:pt idx="368">
                  <c:v>110.48590408163489</c:v>
                </c:pt>
                <c:pt idx="369">
                  <c:v>133.27580722176509</c:v>
                </c:pt>
                <c:pt idx="370">
                  <c:v>161.27976888711135</c:v>
                </c:pt>
                <c:pt idx="371">
                  <c:v>96.461997701777861</c:v>
                </c:pt>
                <c:pt idx="372">
                  <c:v>113.85471978570835</c:v>
                </c:pt>
                <c:pt idx="373">
                  <c:v>110.23384053017017</c:v>
                </c:pt>
                <c:pt idx="374">
                  <c:v>121.8855865502472</c:v>
                </c:pt>
                <c:pt idx="375">
                  <c:v>161.14521900569605</c:v>
                </c:pt>
                <c:pt idx="376">
                  <c:v>110.40200933977994</c:v>
                </c:pt>
                <c:pt idx="377">
                  <c:v>110.99235876035544</c:v>
                </c:pt>
                <c:pt idx="378">
                  <c:v>130.1200833844471</c:v>
                </c:pt>
                <c:pt idx="379">
                  <c:v>129.03895103858932</c:v>
                </c:pt>
                <c:pt idx="380">
                  <c:v>113.33514902374645</c:v>
                </c:pt>
                <c:pt idx="381">
                  <c:v>94.342155554445625</c:v>
                </c:pt>
                <c:pt idx="382">
                  <c:v>124.70456447897831</c:v>
                </c:pt>
                <c:pt idx="383">
                  <c:v>113.52674682796324</c:v>
                </c:pt>
                <c:pt idx="384">
                  <c:v>109.99257710571842</c:v>
                </c:pt>
                <c:pt idx="385">
                  <c:v>104.27317189937736</c:v>
                </c:pt>
                <c:pt idx="386">
                  <c:v>113.01226201108655</c:v>
                </c:pt>
                <c:pt idx="387">
                  <c:v>124.71681044336066</c:v>
                </c:pt>
                <c:pt idx="388">
                  <c:v>156.51377505510882</c:v>
                </c:pt>
                <c:pt idx="389">
                  <c:v>119.40186303661902</c:v>
                </c:pt>
                <c:pt idx="390">
                  <c:v>134.83757102147814</c:v>
                </c:pt>
                <c:pt idx="391">
                  <c:v>125.71621701548621</c:v>
                </c:pt>
                <c:pt idx="392">
                  <c:v>141.59073444801098</c:v>
                </c:pt>
                <c:pt idx="393">
                  <c:v>119.63036853618152</c:v>
                </c:pt>
                <c:pt idx="394">
                  <c:v>121.69906312954177</c:v>
                </c:pt>
                <c:pt idx="395">
                  <c:v>137.05115438937952</c:v>
                </c:pt>
                <c:pt idx="396">
                  <c:v>120.19025087828116</c:v>
                </c:pt>
                <c:pt idx="397">
                  <c:v>98.662168080470337</c:v>
                </c:pt>
                <c:pt idx="398">
                  <c:v>105.73992696501095</c:v>
                </c:pt>
                <c:pt idx="399">
                  <c:v>104.79746515397699</c:v>
                </c:pt>
                <c:pt idx="400">
                  <c:v>115.98831133076598</c:v>
                </c:pt>
                <c:pt idx="401">
                  <c:v>125.46682634863143</c:v>
                </c:pt>
                <c:pt idx="402">
                  <c:v>118.20723138750745</c:v>
                </c:pt>
                <c:pt idx="403">
                  <c:v>113.87543909659279</c:v>
                </c:pt>
                <c:pt idx="404">
                  <c:v>123.01086976136673</c:v>
                </c:pt>
                <c:pt idx="405">
                  <c:v>127.25215423563363</c:v>
                </c:pt>
                <c:pt idx="406">
                  <c:v>125.25955854710111</c:v>
                </c:pt>
                <c:pt idx="407">
                  <c:v>105.26840433775817</c:v>
                </c:pt>
                <c:pt idx="408">
                  <c:v>124.01530308242356</c:v>
                </c:pt>
                <c:pt idx="409">
                  <c:v>167.17494051832242</c:v>
                </c:pt>
                <c:pt idx="410">
                  <c:v>108.97181286664585</c:v>
                </c:pt>
                <c:pt idx="411">
                  <c:v>124.27579241829639</c:v>
                </c:pt>
                <c:pt idx="412">
                  <c:v>148.4479287393406</c:v>
                </c:pt>
                <c:pt idx="413">
                  <c:v>105.08334478658195</c:v>
                </c:pt>
                <c:pt idx="414">
                  <c:v>118.40785008666634</c:v>
                </c:pt>
                <c:pt idx="415">
                  <c:v>151.50808028235298</c:v>
                </c:pt>
                <c:pt idx="416">
                  <c:v>105.56308989243591</c:v>
                </c:pt>
                <c:pt idx="417">
                  <c:v>117.78368998363626</c:v>
                </c:pt>
                <c:pt idx="418">
                  <c:v>106.08102176323192</c:v>
                </c:pt>
                <c:pt idx="419">
                  <c:v>112.02011844176955</c:v>
                </c:pt>
                <c:pt idx="420">
                  <c:v>129.80753471049331</c:v>
                </c:pt>
                <c:pt idx="421">
                  <c:v>109.34262969714123</c:v>
                </c:pt>
                <c:pt idx="422">
                  <c:v>110.33040149804916</c:v>
                </c:pt>
                <c:pt idx="423">
                  <c:v>102.80627346304635</c:v>
                </c:pt>
                <c:pt idx="424">
                  <c:v>141.25571600792659</c:v>
                </c:pt>
                <c:pt idx="425">
                  <c:v>136.16765396021722</c:v>
                </c:pt>
                <c:pt idx="426">
                  <c:v>83.989624140428731</c:v>
                </c:pt>
                <c:pt idx="427">
                  <c:v>131.01749259835313</c:v>
                </c:pt>
                <c:pt idx="428">
                  <c:v>121.05070419115567</c:v>
                </c:pt>
                <c:pt idx="429">
                  <c:v>137.25085161508466</c:v>
                </c:pt>
                <c:pt idx="430">
                  <c:v>98.538661170402108</c:v>
                </c:pt>
                <c:pt idx="431">
                  <c:v>125.60210309503834</c:v>
                </c:pt>
                <c:pt idx="432">
                  <c:v>113.86768784538009</c:v>
                </c:pt>
                <c:pt idx="433">
                  <c:v>110.58633986566826</c:v>
                </c:pt>
                <c:pt idx="434">
                  <c:v>117.18777696339626</c:v>
                </c:pt>
                <c:pt idx="435">
                  <c:v>118.06102482009794</c:v>
                </c:pt>
                <c:pt idx="436">
                  <c:v>117.92851549635873</c:v>
                </c:pt>
                <c:pt idx="437">
                  <c:v>115.03051815007404</c:v>
                </c:pt>
                <c:pt idx="438">
                  <c:v>94.322940372959877</c:v>
                </c:pt>
                <c:pt idx="439">
                  <c:v>124.96332834888486</c:v>
                </c:pt>
                <c:pt idx="440">
                  <c:v>120.10667888039262</c:v>
                </c:pt>
                <c:pt idx="441">
                  <c:v>109.81172367601883</c:v>
                </c:pt>
                <c:pt idx="442">
                  <c:v>115.84036089663661</c:v>
                </c:pt>
                <c:pt idx="443">
                  <c:v>121.82433108219126</c:v>
                </c:pt>
                <c:pt idx="444">
                  <c:v>110.84957609255056</c:v>
                </c:pt>
                <c:pt idx="445">
                  <c:v>128.03702977988502</c:v>
                </c:pt>
                <c:pt idx="446">
                  <c:v>115.57076454166318</c:v>
                </c:pt>
                <c:pt idx="447">
                  <c:v>112.29347219258766</c:v>
                </c:pt>
                <c:pt idx="448">
                  <c:v>107.41357014147135</c:v>
                </c:pt>
                <c:pt idx="449">
                  <c:v>113.19812592402171</c:v>
                </c:pt>
                <c:pt idx="450">
                  <c:v>109.35086011274716</c:v>
                </c:pt>
                <c:pt idx="451">
                  <c:v>111.20917685964419</c:v>
                </c:pt>
                <c:pt idx="452">
                  <c:v>129.88265360130032</c:v>
                </c:pt>
                <c:pt idx="453">
                  <c:v>132.77861474406782</c:v>
                </c:pt>
                <c:pt idx="454">
                  <c:v>118.32489069158169</c:v>
                </c:pt>
                <c:pt idx="455">
                  <c:v>112.44931284731652</c:v>
                </c:pt>
                <c:pt idx="456">
                  <c:v>134.46010363086589</c:v>
                </c:pt>
                <c:pt idx="457">
                  <c:v>109.51719955884568</c:v>
                </c:pt>
                <c:pt idx="458">
                  <c:v>147.92439373312243</c:v>
                </c:pt>
                <c:pt idx="459">
                  <c:v>141.55646908200785</c:v>
                </c:pt>
                <c:pt idx="460">
                  <c:v>121.29546899113662</c:v>
                </c:pt>
                <c:pt idx="461">
                  <c:v>106.40284650683469</c:v>
                </c:pt>
                <c:pt idx="462">
                  <c:v>119.2717303175191</c:v>
                </c:pt>
                <c:pt idx="463">
                  <c:v>108.18315070117526</c:v>
                </c:pt>
                <c:pt idx="464">
                  <c:v>120.09460609365638</c:v>
                </c:pt>
                <c:pt idx="465">
                  <c:v>109.12982854890247</c:v>
                </c:pt>
                <c:pt idx="466">
                  <c:v>106.91058110201267</c:v>
                </c:pt>
                <c:pt idx="467">
                  <c:v>116.27023191841351</c:v>
                </c:pt>
                <c:pt idx="468">
                  <c:v>114.89705314192588</c:v>
                </c:pt>
                <c:pt idx="469">
                  <c:v>128.03714561771125</c:v>
                </c:pt>
                <c:pt idx="470">
                  <c:v>111.56120387509925</c:v>
                </c:pt>
                <c:pt idx="471">
                  <c:v>98.621251010919593</c:v>
                </c:pt>
                <c:pt idx="472">
                  <c:v>106.78165504948353</c:v>
                </c:pt>
                <c:pt idx="473">
                  <c:v>128.97972315401319</c:v>
                </c:pt>
                <c:pt idx="474">
                  <c:v>108.92450707058637</c:v>
                </c:pt>
                <c:pt idx="475">
                  <c:v>123.11163739188441</c:v>
                </c:pt>
                <c:pt idx="476">
                  <c:v>124.60011560742807</c:v>
                </c:pt>
                <c:pt idx="477">
                  <c:v>118.14988265059796</c:v>
                </c:pt>
                <c:pt idx="478">
                  <c:v>112.35031283417975</c:v>
                </c:pt>
                <c:pt idx="479">
                  <c:v>126.44405503326013</c:v>
                </c:pt>
                <c:pt idx="480">
                  <c:v>145.64202644907786</c:v>
                </c:pt>
                <c:pt idx="481">
                  <c:v>106.4040400502066</c:v>
                </c:pt>
                <c:pt idx="482">
                  <c:v>108.96691976152158</c:v>
                </c:pt>
                <c:pt idx="483">
                  <c:v>119.15586058830675</c:v>
                </c:pt>
                <c:pt idx="484">
                  <c:v>123.38647911277181</c:v>
                </c:pt>
                <c:pt idx="485">
                  <c:v>131.61369042522409</c:v>
                </c:pt>
                <c:pt idx="486">
                  <c:v>152.64054232578036</c:v>
                </c:pt>
                <c:pt idx="487">
                  <c:v>167.26887440644364</c:v>
                </c:pt>
                <c:pt idx="488">
                  <c:v>104.96873291433879</c:v>
                </c:pt>
                <c:pt idx="489">
                  <c:v>138.61045381826992</c:v>
                </c:pt>
                <c:pt idx="490">
                  <c:v>115.25372159626356</c:v>
                </c:pt>
                <c:pt idx="491">
                  <c:v>116.7146003349237</c:v>
                </c:pt>
                <c:pt idx="492">
                  <c:v>105.35667300250512</c:v>
                </c:pt>
                <c:pt idx="493">
                  <c:v>135.56700453832082</c:v>
                </c:pt>
                <c:pt idx="494">
                  <c:v>81.712646326338842</c:v>
                </c:pt>
                <c:pt idx="495">
                  <c:v>136.24220853437157</c:v>
                </c:pt>
                <c:pt idx="496">
                  <c:v>112.00775449188056</c:v>
                </c:pt>
                <c:pt idx="497">
                  <c:v>116.19432970401179</c:v>
                </c:pt>
                <c:pt idx="498">
                  <c:v>130.44625969668064</c:v>
                </c:pt>
                <c:pt idx="499">
                  <c:v>132.92154871770541</c:v>
                </c:pt>
                <c:pt idx="500">
                  <c:v>107.88004461048932</c:v>
                </c:pt>
                <c:pt idx="501">
                  <c:v>108.42896245210427</c:v>
                </c:pt>
                <c:pt idx="502">
                  <c:v>117.96171194523359</c:v>
                </c:pt>
                <c:pt idx="503">
                  <c:v>126.81908227744617</c:v>
                </c:pt>
                <c:pt idx="504">
                  <c:v>114.14439837492128</c:v>
                </c:pt>
                <c:pt idx="505">
                  <c:v>123.73883396584891</c:v>
                </c:pt>
                <c:pt idx="506">
                  <c:v>124.84985924343663</c:v>
                </c:pt>
                <c:pt idx="507">
                  <c:v>119.27538600020313</c:v>
                </c:pt>
                <c:pt idx="508">
                  <c:v>112.28280147194749</c:v>
                </c:pt>
                <c:pt idx="509">
                  <c:v>134.81237662284127</c:v>
                </c:pt>
                <c:pt idx="510">
                  <c:v>115.47038295449295</c:v>
                </c:pt>
                <c:pt idx="511">
                  <c:v>117.44088329871396</c:v>
                </c:pt>
                <c:pt idx="512">
                  <c:v>128.37906803743201</c:v>
                </c:pt>
                <c:pt idx="513">
                  <c:v>108.69580706444236</c:v>
                </c:pt>
                <c:pt idx="514">
                  <c:v>108.15657148325467</c:v>
                </c:pt>
                <c:pt idx="515">
                  <c:v>119.32329717469069</c:v>
                </c:pt>
                <c:pt idx="516">
                  <c:v>139.95128096230994</c:v>
                </c:pt>
                <c:pt idx="517">
                  <c:v>135.71584717056751</c:v>
                </c:pt>
                <c:pt idx="518">
                  <c:v>123.41123438958664</c:v>
                </c:pt>
                <c:pt idx="519">
                  <c:v>160.41128200225592</c:v>
                </c:pt>
                <c:pt idx="520">
                  <c:v>103.26689454538086</c:v>
                </c:pt>
                <c:pt idx="521">
                  <c:v>117.66550294837678</c:v>
                </c:pt>
                <c:pt idx="522">
                  <c:v>84.565166851063694</c:v>
                </c:pt>
                <c:pt idx="523">
                  <c:v>130.48863556597331</c:v>
                </c:pt>
                <c:pt idx="524">
                  <c:v>110.62910004725798</c:v>
                </c:pt>
                <c:pt idx="525">
                  <c:v>97.314673560010021</c:v>
                </c:pt>
                <c:pt idx="526">
                  <c:v>101.7650560366676</c:v>
                </c:pt>
                <c:pt idx="527">
                  <c:v>113.03165782963704</c:v>
                </c:pt>
                <c:pt idx="528">
                  <c:v>119.81026745081577</c:v>
                </c:pt>
                <c:pt idx="529">
                  <c:v>113.42232296165585</c:v>
                </c:pt>
                <c:pt idx="530">
                  <c:v>116.27843711951374</c:v>
                </c:pt>
                <c:pt idx="531">
                  <c:v>125.37117934804434</c:v>
                </c:pt>
                <c:pt idx="532">
                  <c:v>115.56409095581871</c:v>
                </c:pt>
                <c:pt idx="533">
                  <c:v>112.12091330684495</c:v>
                </c:pt>
                <c:pt idx="534">
                  <c:v>114.19390399538284</c:v>
                </c:pt>
                <c:pt idx="535">
                  <c:v>107.90998722902725</c:v>
                </c:pt>
                <c:pt idx="536">
                  <c:v>125.67909968346157</c:v>
                </c:pt>
                <c:pt idx="537">
                  <c:v>134.59939744359829</c:v>
                </c:pt>
                <c:pt idx="538">
                  <c:v>127.73199100234102</c:v>
                </c:pt>
                <c:pt idx="539">
                  <c:v>126.1300477641885</c:v>
                </c:pt>
                <c:pt idx="540">
                  <c:v>141.61063204145529</c:v>
                </c:pt>
                <c:pt idx="541">
                  <c:v>127.39413377100306</c:v>
                </c:pt>
                <c:pt idx="542">
                  <c:v>129.61784797150924</c:v>
                </c:pt>
                <c:pt idx="543">
                  <c:v>117.4912454633301</c:v>
                </c:pt>
                <c:pt idx="544">
                  <c:v>114.73317192547221</c:v>
                </c:pt>
                <c:pt idx="545">
                  <c:v>136.35591557414091</c:v>
                </c:pt>
                <c:pt idx="546">
                  <c:v>157.07517192702474</c:v>
                </c:pt>
                <c:pt idx="547">
                  <c:v>124.81187408904351</c:v>
                </c:pt>
                <c:pt idx="548">
                  <c:v>123.42862274604386</c:v>
                </c:pt>
                <c:pt idx="549">
                  <c:v>113.37175770802023</c:v>
                </c:pt>
                <c:pt idx="550">
                  <c:v>97.240437474713133</c:v>
                </c:pt>
                <c:pt idx="551">
                  <c:v>115.60217472564341</c:v>
                </c:pt>
                <c:pt idx="552">
                  <c:v>137.76299466154751</c:v>
                </c:pt>
                <c:pt idx="553">
                  <c:v>106.9814253524881</c:v>
                </c:pt>
                <c:pt idx="554">
                  <c:v>123.37757523645286</c:v>
                </c:pt>
                <c:pt idx="555">
                  <c:v>126.1525552030691</c:v>
                </c:pt>
                <c:pt idx="556">
                  <c:v>107.15337052217045</c:v>
                </c:pt>
                <c:pt idx="557">
                  <c:v>131.81517956995589</c:v>
                </c:pt>
                <c:pt idx="558">
                  <c:v>120.84183861810807</c:v>
                </c:pt>
                <c:pt idx="559">
                  <c:v>119.13446106393518</c:v>
                </c:pt>
                <c:pt idx="560">
                  <c:v>132.88539734847205</c:v>
                </c:pt>
                <c:pt idx="561">
                  <c:v>139.92367307377492</c:v>
                </c:pt>
                <c:pt idx="562">
                  <c:v>113.66480949034487</c:v>
                </c:pt>
                <c:pt idx="563">
                  <c:v>113.84212773718761</c:v>
                </c:pt>
                <c:pt idx="564">
                  <c:v>117.37141160090751</c:v>
                </c:pt>
                <c:pt idx="565">
                  <c:v>112.80633724575425</c:v>
                </c:pt>
                <c:pt idx="566">
                  <c:v>108.23769554267058</c:v>
                </c:pt>
                <c:pt idx="567">
                  <c:v>127.12926454444377</c:v>
                </c:pt>
                <c:pt idx="568">
                  <c:v>123.97997571158484</c:v>
                </c:pt>
                <c:pt idx="569">
                  <c:v>125.72569489653571</c:v>
                </c:pt>
                <c:pt idx="570">
                  <c:v>122.57529700041417</c:v>
                </c:pt>
                <c:pt idx="571">
                  <c:v>105.2820016037366</c:v>
                </c:pt>
                <c:pt idx="572">
                  <c:v>103.58452590772178</c:v>
                </c:pt>
                <c:pt idx="573">
                  <c:v>118.41769855937679</c:v>
                </c:pt>
                <c:pt idx="574">
                  <c:v>138.5122702577612</c:v>
                </c:pt>
                <c:pt idx="575">
                  <c:v>104.53746207435711</c:v>
                </c:pt>
                <c:pt idx="576">
                  <c:v>121.77958293061644</c:v>
                </c:pt>
                <c:pt idx="577">
                  <c:v>122.07685959316113</c:v>
                </c:pt>
                <c:pt idx="578">
                  <c:v>116.62730677516059</c:v>
                </c:pt>
                <c:pt idx="579">
                  <c:v>107.84381533230597</c:v>
                </c:pt>
                <c:pt idx="580">
                  <c:v>104.64983900214392</c:v>
                </c:pt>
                <c:pt idx="581">
                  <c:v>99.252405869603578</c:v>
                </c:pt>
                <c:pt idx="582">
                  <c:v>128.25327348058642</c:v>
                </c:pt>
                <c:pt idx="583">
                  <c:v>129.37236009922771</c:v>
                </c:pt>
                <c:pt idx="584">
                  <c:v>183.72633253179887</c:v>
                </c:pt>
                <c:pt idx="585">
                  <c:v>100.25639069725253</c:v>
                </c:pt>
                <c:pt idx="586">
                  <c:v>124.79036215390207</c:v>
                </c:pt>
                <c:pt idx="587">
                  <c:v>109.73424122072493</c:v>
                </c:pt>
                <c:pt idx="588">
                  <c:v>144.91792607853105</c:v>
                </c:pt>
                <c:pt idx="589">
                  <c:v>100.36403536606062</c:v>
                </c:pt>
                <c:pt idx="590">
                  <c:v>129.39499893728251</c:v>
                </c:pt>
                <c:pt idx="591">
                  <c:v>115.32926986404837</c:v>
                </c:pt>
                <c:pt idx="592">
                  <c:v>128.76123020200293</c:v>
                </c:pt>
                <c:pt idx="593">
                  <c:v>122.44843462965767</c:v>
                </c:pt>
                <c:pt idx="594">
                  <c:v>131.4843932530874</c:v>
                </c:pt>
                <c:pt idx="595">
                  <c:v>128.40571405419982</c:v>
                </c:pt>
                <c:pt idx="596">
                  <c:v>136.45931629746497</c:v>
                </c:pt>
                <c:pt idx="597">
                  <c:v>102.08152011089085</c:v>
                </c:pt>
                <c:pt idx="598">
                  <c:v>124.16905424277391</c:v>
                </c:pt>
                <c:pt idx="599">
                  <c:v>111.68153708568083</c:v>
                </c:pt>
                <c:pt idx="600">
                  <c:v>104.45794547644827</c:v>
                </c:pt>
                <c:pt idx="601">
                  <c:v>103.64398392910054</c:v>
                </c:pt>
                <c:pt idx="602">
                  <c:v>100.29714772160234</c:v>
                </c:pt>
                <c:pt idx="603">
                  <c:v>140.70843293877633</c:v>
                </c:pt>
                <c:pt idx="604">
                  <c:v>112.35358510759576</c:v>
                </c:pt>
                <c:pt idx="605">
                  <c:v>103.46362286502332</c:v>
                </c:pt>
                <c:pt idx="606">
                  <c:v>139.31771366628431</c:v>
                </c:pt>
                <c:pt idx="607">
                  <c:v>100.21217305773347</c:v>
                </c:pt>
                <c:pt idx="608">
                  <c:v>136.54292646065724</c:v>
                </c:pt>
                <c:pt idx="609">
                  <c:v>118.30365215908968</c:v>
                </c:pt>
                <c:pt idx="610">
                  <c:v>119.57073009438061</c:v>
                </c:pt>
                <c:pt idx="611">
                  <c:v>134.278742121222</c:v>
                </c:pt>
                <c:pt idx="612">
                  <c:v>150.47411708942568</c:v>
                </c:pt>
                <c:pt idx="613">
                  <c:v>109.54527581451978</c:v>
                </c:pt>
                <c:pt idx="614">
                  <c:v>140.71684053583928</c:v>
                </c:pt>
                <c:pt idx="615">
                  <c:v>109.54734121862317</c:v>
                </c:pt>
                <c:pt idx="616">
                  <c:v>115.20068576251728</c:v>
                </c:pt>
                <c:pt idx="617">
                  <c:v>99.408133407656237</c:v>
                </c:pt>
                <c:pt idx="618">
                  <c:v>126.01081829471448</c:v>
                </c:pt>
                <c:pt idx="619">
                  <c:v>106.92753812329148</c:v>
                </c:pt>
                <c:pt idx="620">
                  <c:v>122.8522956787817</c:v>
                </c:pt>
                <c:pt idx="621">
                  <c:v>111.9458862810404</c:v>
                </c:pt>
                <c:pt idx="622">
                  <c:v>142.05447097596135</c:v>
                </c:pt>
                <c:pt idx="623">
                  <c:v>122.05377049737065</c:v>
                </c:pt>
                <c:pt idx="624">
                  <c:v>108.49858172174356</c:v>
                </c:pt>
                <c:pt idx="625">
                  <c:v>111.64095327059533</c:v>
                </c:pt>
                <c:pt idx="626">
                  <c:v>104.38727232612888</c:v>
                </c:pt>
                <c:pt idx="627">
                  <c:v>112.04600514394153</c:v>
                </c:pt>
                <c:pt idx="628">
                  <c:v>128.04478227941715</c:v>
                </c:pt>
                <c:pt idx="629">
                  <c:v>96.692998798384295</c:v>
                </c:pt>
                <c:pt idx="630">
                  <c:v>118.25604792863707</c:v>
                </c:pt>
                <c:pt idx="631">
                  <c:v>110.25149092920449</c:v>
                </c:pt>
                <c:pt idx="632">
                  <c:v>107.22612170745819</c:v>
                </c:pt>
                <c:pt idx="633">
                  <c:v>120.30328621041257</c:v>
                </c:pt>
                <c:pt idx="634">
                  <c:v>111.66281734269796</c:v>
                </c:pt>
                <c:pt idx="635">
                  <c:v>122.91550437207457</c:v>
                </c:pt>
                <c:pt idx="636">
                  <c:v>125.26550491591324</c:v>
                </c:pt>
                <c:pt idx="637">
                  <c:v>114.94610590184689</c:v>
                </c:pt>
                <c:pt idx="638">
                  <c:v>127.26042916480623</c:v>
                </c:pt>
                <c:pt idx="639">
                  <c:v>105.73266927432979</c:v>
                </c:pt>
                <c:pt idx="640">
                  <c:v>120.92743313388421</c:v>
                </c:pt>
                <c:pt idx="641">
                  <c:v>114.51426904659139</c:v>
                </c:pt>
                <c:pt idx="642">
                  <c:v>127.71824624294224</c:v>
                </c:pt>
                <c:pt idx="643">
                  <c:v>111.34103015124902</c:v>
                </c:pt>
                <c:pt idx="644">
                  <c:v>119.44653039209102</c:v>
                </c:pt>
                <c:pt idx="645">
                  <c:v>153.81903135635196</c:v>
                </c:pt>
                <c:pt idx="646">
                  <c:v>121.94301096955562</c:v>
                </c:pt>
                <c:pt idx="647">
                  <c:v>119.11666480764981</c:v>
                </c:pt>
                <c:pt idx="648">
                  <c:v>124.11192211432554</c:v>
                </c:pt>
                <c:pt idx="649">
                  <c:v>97.575718455408207</c:v>
                </c:pt>
                <c:pt idx="650">
                  <c:v>106.99987404521171</c:v>
                </c:pt>
                <c:pt idx="651">
                  <c:v>119.19038281693366</c:v>
                </c:pt>
                <c:pt idx="652">
                  <c:v>111.43642514065715</c:v>
                </c:pt>
                <c:pt idx="653">
                  <c:v>110.5445626982051</c:v>
                </c:pt>
                <c:pt idx="654">
                  <c:v>116.16069532608232</c:v>
                </c:pt>
                <c:pt idx="655">
                  <c:v>161.91817042082016</c:v>
                </c:pt>
                <c:pt idx="656">
                  <c:v>99.296395534577016</c:v>
                </c:pt>
                <c:pt idx="657">
                  <c:v>138.93604521703472</c:v>
                </c:pt>
                <c:pt idx="658">
                  <c:v>137.68250994426708</c:v>
                </c:pt>
                <c:pt idx="659">
                  <c:v>120.07504172861339</c:v>
                </c:pt>
                <c:pt idx="660">
                  <c:v>129.48980075136484</c:v>
                </c:pt>
                <c:pt idx="661">
                  <c:v>112.43805234691538</c:v>
                </c:pt>
                <c:pt idx="662">
                  <c:v>138.97045533060086</c:v>
                </c:pt>
                <c:pt idx="663">
                  <c:v>128.33075772019535</c:v>
                </c:pt>
                <c:pt idx="664">
                  <c:v>110.4036975324674</c:v>
                </c:pt>
                <c:pt idx="665">
                  <c:v>113.09176829425006</c:v>
                </c:pt>
                <c:pt idx="666">
                  <c:v>137.24012164509489</c:v>
                </c:pt>
                <c:pt idx="667">
                  <c:v>110.04194607606588</c:v>
                </c:pt>
                <c:pt idx="668">
                  <c:v>134.68942224952548</c:v>
                </c:pt>
                <c:pt idx="669">
                  <c:v>125.51097915970675</c:v>
                </c:pt>
                <c:pt idx="670">
                  <c:v>140.35997524316667</c:v>
                </c:pt>
                <c:pt idx="671">
                  <c:v>103.10767561045306</c:v>
                </c:pt>
                <c:pt idx="672">
                  <c:v>130.25228764267769</c:v>
                </c:pt>
                <c:pt idx="673">
                  <c:v>148.58319452627515</c:v>
                </c:pt>
                <c:pt idx="674">
                  <c:v>146.75096238791795</c:v>
                </c:pt>
                <c:pt idx="675">
                  <c:v>116.75582005306222</c:v>
                </c:pt>
                <c:pt idx="676">
                  <c:v>127.05301967688088</c:v>
                </c:pt>
                <c:pt idx="677">
                  <c:v>114.72119959735822</c:v>
                </c:pt>
                <c:pt idx="678">
                  <c:v>114.00386994512738</c:v>
                </c:pt>
                <c:pt idx="679">
                  <c:v>128.24174534842143</c:v>
                </c:pt>
                <c:pt idx="680">
                  <c:v>99.893221687106319</c:v>
                </c:pt>
                <c:pt idx="681">
                  <c:v>115.82116857905888</c:v>
                </c:pt>
                <c:pt idx="682">
                  <c:v>118.20839241127931</c:v>
                </c:pt>
                <c:pt idx="683">
                  <c:v>117.12147341567872</c:v>
                </c:pt>
                <c:pt idx="684">
                  <c:v>120.84376356197043</c:v>
                </c:pt>
                <c:pt idx="685">
                  <c:v>128.22321343675068</c:v>
                </c:pt>
                <c:pt idx="686">
                  <c:v>104.41082004876796</c:v>
                </c:pt>
                <c:pt idx="687">
                  <c:v>104.54009889209601</c:v>
                </c:pt>
                <c:pt idx="688">
                  <c:v>119.03108712702901</c:v>
                </c:pt>
                <c:pt idx="689">
                  <c:v>141.1399276095336</c:v>
                </c:pt>
                <c:pt idx="690">
                  <c:v>118.11787329467258</c:v>
                </c:pt>
                <c:pt idx="691">
                  <c:v>136.74293298266122</c:v>
                </c:pt>
                <c:pt idx="692">
                  <c:v>119.88445790553892</c:v>
                </c:pt>
                <c:pt idx="693">
                  <c:v>127.00274287979691</c:v>
                </c:pt>
                <c:pt idx="694">
                  <c:v>105.53077832298801</c:v>
                </c:pt>
                <c:pt idx="695">
                  <c:v>164.52783266711327</c:v>
                </c:pt>
                <c:pt idx="696">
                  <c:v>121.93903023192229</c:v>
                </c:pt>
                <c:pt idx="697">
                  <c:v>100.79225715728249</c:v>
                </c:pt>
                <c:pt idx="698">
                  <c:v>132.26668321738765</c:v>
                </c:pt>
                <c:pt idx="699">
                  <c:v>127.25385609201307</c:v>
                </c:pt>
                <c:pt idx="700">
                  <c:v>129.51553850283733</c:v>
                </c:pt>
                <c:pt idx="701">
                  <c:v>117.59002474903338</c:v>
                </c:pt>
                <c:pt idx="702">
                  <c:v>128.29977496034479</c:v>
                </c:pt>
                <c:pt idx="703">
                  <c:v>123.62113252826968</c:v>
                </c:pt>
                <c:pt idx="704">
                  <c:v>114.63787527911748</c:v>
                </c:pt>
                <c:pt idx="705">
                  <c:v>109.21126724739877</c:v>
                </c:pt>
                <c:pt idx="706">
                  <c:v>87.836625009934451</c:v>
                </c:pt>
                <c:pt idx="707">
                  <c:v>137.33908226411842</c:v>
                </c:pt>
                <c:pt idx="708">
                  <c:v>126.81509868894764</c:v>
                </c:pt>
                <c:pt idx="709">
                  <c:v>123.83099842134529</c:v>
                </c:pt>
                <c:pt idx="710">
                  <c:v>146.19867137905052</c:v>
                </c:pt>
                <c:pt idx="711">
                  <c:v>115.9760359472232</c:v>
                </c:pt>
                <c:pt idx="712">
                  <c:v>117.35682919256224</c:v>
                </c:pt>
                <c:pt idx="713">
                  <c:v>128.43888776206597</c:v>
                </c:pt>
                <c:pt idx="714">
                  <c:v>115.14660148274558</c:v>
                </c:pt>
                <c:pt idx="715">
                  <c:v>151.10359479402734</c:v>
                </c:pt>
                <c:pt idx="716">
                  <c:v>128.9230425184889</c:v>
                </c:pt>
                <c:pt idx="717">
                  <c:v>123.08069832963631</c:v>
                </c:pt>
                <c:pt idx="718">
                  <c:v>117.75469888809549</c:v>
                </c:pt>
                <c:pt idx="719">
                  <c:v>125.48504370019833</c:v>
                </c:pt>
                <c:pt idx="720">
                  <c:v>112.07361894256724</c:v>
                </c:pt>
                <c:pt idx="721">
                  <c:v>122.94705205730997</c:v>
                </c:pt>
                <c:pt idx="722">
                  <c:v>125.4187795172496</c:v>
                </c:pt>
                <c:pt idx="723">
                  <c:v>131.10413380829868</c:v>
                </c:pt>
                <c:pt idx="724">
                  <c:v>128.20332907583645</c:v>
                </c:pt>
                <c:pt idx="725">
                  <c:v>114.1415262577419</c:v>
                </c:pt>
                <c:pt idx="726">
                  <c:v>126.50553307360413</c:v>
                </c:pt>
                <c:pt idx="727">
                  <c:v>104.67363515915696</c:v>
                </c:pt>
                <c:pt idx="728">
                  <c:v>105.95843041794188</c:v>
                </c:pt>
                <c:pt idx="729">
                  <c:v>107.67086675534368</c:v>
                </c:pt>
                <c:pt idx="730">
                  <c:v>117.4178851519423</c:v>
                </c:pt>
                <c:pt idx="731">
                  <c:v>109.87526706928577</c:v>
                </c:pt>
                <c:pt idx="732">
                  <c:v>125.16671769667175</c:v>
                </c:pt>
                <c:pt idx="733">
                  <c:v>116.48003517932074</c:v>
                </c:pt>
                <c:pt idx="734">
                  <c:v>126.82919548009879</c:v>
                </c:pt>
                <c:pt idx="735">
                  <c:v>106.40432716463022</c:v>
                </c:pt>
                <c:pt idx="736">
                  <c:v>112.65807438210177</c:v>
                </c:pt>
                <c:pt idx="737">
                  <c:v>118.96718621200415</c:v>
                </c:pt>
                <c:pt idx="738">
                  <c:v>124.82778105796285</c:v>
                </c:pt>
                <c:pt idx="739">
                  <c:v>130.07072087134</c:v>
                </c:pt>
                <c:pt idx="740">
                  <c:v>142.86457682314511</c:v>
                </c:pt>
                <c:pt idx="741">
                  <c:v>114.67167119662231</c:v>
                </c:pt>
                <c:pt idx="742">
                  <c:v>112.96337315349557</c:v>
                </c:pt>
                <c:pt idx="743">
                  <c:v>131.56191185946841</c:v>
                </c:pt>
                <c:pt idx="744">
                  <c:v>137.9120514966832</c:v>
                </c:pt>
                <c:pt idx="745">
                  <c:v>127.62401449174232</c:v>
                </c:pt>
                <c:pt idx="746">
                  <c:v>115.85169901092559</c:v>
                </c:pt>
                <c:pt idx="747">
                  <c:v>125.81512615735554</c:v>
                </c:pt>
                <c:pt idx="748">
                  <c:v>137.17953218421013</c:v>
                </c:pt>
                <c:pt idx="749">
                  <c:v>122.55612516280669</c:v>
                </c:pt>
                <c:pt idx="750">
                  <c:v>116.44981307046464</c:v>
                </c:pt>
                <c:pt idx="751">
                  <c:v>115.13963577612954</c:v>
                </c:pt>
                <c:pt idx="752">
                  <c:v>99.78563324417766</c:v>
                </c:pt>
                <c:pt idx="753">
                  <c:v>159.60785817250405</c:v>
                </c:pt>
                <c:pt idx="754">
                  <c:v>117.62338962361002</c:v>
                </c:pt>
                <c:pt idx="755">
                  <c:v>128.41652733809582</c:v>
                </c:pt>
                <c:pt idx="756">
                  <c:v>110.89650419525871</c:v>
                </c:pt>
                <c:pt idx="757">
                  <c:v>133.70233654456777</c:v>
                </c:pt>
                <c:pt idx="758">
                  <c:v>117.77967172385192</c:v>
                </c:pt>
                <c:pt idx="759">
                  <c:v>144.01619700275523</c:v>
                </c:pt>
                <c:pt idx="760">
                  <c:v>103.68039450941839</c:v>
                </c:pt>
                <c:pt idx="761">
                  <c:v>124.89666535620658</c:v>
                </c:pt>
                <c:pt idx="762">
                  <c:v>110.18551891890971</c:v>
                </c:pt>
                <c:pt idx="763">
                  <c:v>140.61111394937944</c:v>
                </c:pt>
                <c:pt idx="764">
                  <c:v>109.41693823763377</c:v>
                </c:pt>
                <c:pt idx="765">
                  <c:v>115.70694723886096</c:v>
                </c:pt>
                <c:pt idx="766">
                  <c:v>125.61750542246899</c:v>
                </c:pt>
                <c:pt idx="767">
                  <c:v>100.48019750515701</c:v>
                </c:pt>
              </c:numCache>
            </c:numRef>
          </c:xVal>
          <c:yVal>
            <c:numRef>
              <c:f>'Graphical Representation'!$J$2:$J$769</c:f>
              <c:numCache>
                <c:formatCode>General</c:formatCode>
                <c:ptCount val="768"/>
                <c:pt idx="0">
                  <c:v>26.628533612903254</c:v>
                </c:pt>
                <c:pt idx="1">
                  <c:v>-18.406913416328194</c:v>
                </c:pt>
                <c:pt idx="2">
                  <c:v>69.430743200016451</c:v>
                </c:pt>
                <c:pt idx="3">
                  <c:v>-19.368039135007379</c:v>
                </c:pt>
                <c:pt idx="4">
                  <c:v>-5.3069922621831722</c:v>
                </c:pt>
                <c:pt idx="5">
                  <c:v>4.4469449192333741</c:v>
                </c:pt>
                <c:pt idx="6">
                  <c:v>-31.667997248404106</c:v>
                </c:pt>
                <c:pt idx="7">
                  <c:v>2.1254018270827117</c:v>
                </c:pt>
                <c:pt idx="8">
                  <c:v>28.139344224119554</c:v>
                </c:pt>
                <c:pt idx="9">
                  <c:v>15.254975681990686</c:v>
                </c:pt>
                <c:pt idx="10">
                  <c:v>-11.695104674138534</c:v>
                </c:pt>
                <c:pt idx="11">
                  <c:v>42.145434765312501</c:v>
                </c:pt>
                <c:pt idx="12">
                  <c:v>0.35257556055228179</c:v>
                </c:pt>
                <c:pt idx="13">
                  <c:v>-21.987234818736027</c:v>
                </c:pt>
                <c:pt idx="14">
                  <c:v>27.215403221821418</c:v>
                </c:pt>
                <c:pt idx="15">
                  <c:v>-12.867768236448484</c:v>
                </c:pt>
                <c:pt idx="16">
                  <c:v>-19.371073155819971</c:v>
                </c:pt>
                <c:pt idx="17">
                  <c:v>-8.6520779709216242</c:v>
                </c:pt>
                <c:pt idx="18">
                  <c:v>-15.976520829981155</c:v>
                </c:pt>
                <c:pt idx="19">
                  <c:v>-5.7706422357401266</c:v>
                </c:pt>
                <c:pt idx="20">
                  <c:v>-7.8442560411264424</c:v>
                </c:pt>
                <c:pt idx="21">
                  <c:v>-34.86934953278535</c:v>
                </c:pt>
                <c:pt idx="22">
                  <c:v>63.877490035445675</c:v>
                </c:pt>
                <c:pt idx="23">
                  <c:v>16.192471814929405</c:v>
                </c:pt>
                <c:pt idx="24">
                  <c:v>3.9147050597109683</c:v>
                </c:pt>
                <c:pt idx="25">
                  <c:v>-0.68178658254700508</c:v>
                </c:pt>
                <c:pt idx="26">
                  <c:v>16.092896818944979</c:v>
                </c:pt>
                <c:pt idx="27">
                  <c:v>-17.654059517182731</c:v>
                </c:pt>
                <c:pt idx="28">
                  <c:v>12.564539196367775</c:v>
                </c:pt>
                <c:pt idx="29">
                  <c:v>-8.2122402840181365</c:v>
                </c:pt>
                <c:pt idx="30">
                  <c:v>-23.272589854359381</c:v>
                </c:pt>
                <c:pt idx="31">
                  <c:v>26.52362582425215</c:v>
                </c:pt>
                <c:pt idx="32">
                  <c:v>-18.718361378758956</c:v>
                </c:pt>
                <c:pt idx="33">
                  <c:v>-15.223245749683528</c:v>
                </c:pt>
                <c:pt idx="34">
                  <c:v>7.0901306337457015</c:v>
                </c:pt>
                <c:pt idx="35">
                  <c:v>-21.342578573874249</c:v>
                </c:pt>
                <c:pt idx="36">
                  <c:v>15.641611234276013</c:v>
                </c:pt>
                <c:pt idx="37">
                  <c:v>-16.293604025886253</c:v>
                </c:pt>
                <c:pt idx="38">
                  <c:v>-16.343096178122408</c:v>
                </c:pt>
                <c:pt idx="39">
                  <c:v>-38.358596519180963</c:v>
                </c:pt>
                <c:pt idx="40">
                  <c:v>66.424256901253401</c:v>
                </c:pt>
                <c:pt idx="41">
                  <c:v>2.0311307331043622</c:v>
                </c:pt>
                <c:pt idx="42">
                  <c:v>-10.568569613711077</c:v>
                </c:pt>
                <c:pt idx="43">
                  <c:v>6.9707220724340289</c:v>
                </c:pt>
                <c:pt idx="44">
                  <c:v>39.638904259450285</c:v>
                </c:pt>
                <c:pt idx="45">
                  <c:v>62.571869078867437</c:v>
                </c:pt>
                <c:pt idx="46">
                  <c:v>31.219438164290764</c:v>
                </c:pt>
                <c:pt idx="47">
                  <c:v>-30.14184036636486</c:v>
                </c:pt>
                <c:pt idx="48">
                  <c:v>-9.0921044865370959</c:v>
                </c:pt>
                <c:pt idx="49">
                  <c:v>20.933757947545956</c:v>
                </c:pt>
                <c:pt idx="50">
                  <c:v>-5.317905445037141</c:v>
                </c:pt>
                <c:pt idx="51">
                  <c:v>-5.6614376745777264</c:v>
                </c:pt>
                <c:pt idx="52">
                  <c:v>-18.274805023536601</c:v>
                </c:pt>
                <c:pt idx="53">
                  <c:v>18.545798099459745</c:v>
                </c:pt>
                <c:pt idx="54">
                  <c:v>0.72788515928931474</c:v>
                </c:pt>
                <c:pt idx="55">
                  <c:v>-25.832885026340989</c:v>
                </c:pt>
                <c:pt idx="56">
                  <c:v>41.728370268208835</c:v>
                </c:pt>
                <c:pt idx="57">
                  <c:v>-24.594812502543192</c:v>
                </c:pt>
                <c:pt idx="58">
                  <c:v>3.9885436108101828</c:v>
                </c:pt>
                <c:pt idx="59">
                  <c:v>-12.712651945631677</c:v>
                </c:pt>
                <c:pt idx="60">
                  <c:v>2.1704142134539524</c:v>
                </c:pt>
                <c:pt idx="61">
                  <c:v>9.6899608360268132</c:v>
                </c:pt>
                <c:pt idx="62">
                  <c:v>-72.572117553072431</c:v>
                </c:pt>
                <c:pt idx="63">
                  <c:v>30.123553777474044</c:v>
                </c:pt>
                <c:pt idx="64">
                  <c:v>-10.615887669436901</c:v>
                </c:pt>
                <c:pt idx="65">
                  <c:v>-7.3824839701117924</c:v>
                </c:pt>
                <c:pt idx="66">
                  <c:v>-7.6814201466560945</c:v>
                </c:pt>
                <c:pt idx="67">
                  <c:v>-36.020855661421592</c:v>
                </c:pt>
                <c:pt idx="68">
                  <c:v>-8.3420831510731546</c:v>
                </c:pt>
                <c:pt idx="69">
                  <c:v>32.247973106121492</c:v>
                </c:pt>
                <c:pt idx="70">
                  <c:v>-21.567390775799879</c:v>
                </c:pt>
                <c:pt idx="71">
                  <c:v>24.782743471484537</c:v>
                </c:pt>
                <c:pt idx="72">
                  <c:v>-10.65604534136213</c:v>
                </c:pt>
                <c:pt idx="73">
                  <c:v>-6.5792204587141896</c:v>
                </c:pt>
                <c:pt idx="74">
                  <c:v>-23.231436919881361</c:v>
                </c:pt>
                <c:pt idx="75">
                  <c:v>-96.588935302326504</c:v>
                </c:pt>
                <c:pt idx="76">
                  <c:v>-63.501021786777002</c:v>
                </c:pt>
                <c:pt idx="77">
                  <c:v>-13.592996809707969</c:v>
                </c:pt>
                <c:pt idx="78">
                  <c:v>13.863964931713369</c:v>
                </c:pt>
                <c:pt idx="79">
                  <c:v>12.189639778329806</c:v>
                </c:pt>
                <c:pt idx="80">
                  <c:v>15.959305858399432</c:v>
                </c:pt>
                <c:pt idx="81">
                  <c:v>-7.1989650435519223</c:v>
                </c:pt>
                <c:pt idx="82">
                  <c:v>-37.617154517630013</c:v>
                </c:pt>
                <c:pt idx="83">
                  <c:v>5.4157662985053037</c:v>
                </c:pt>
                <c:pt idx="84">
                  <c:v>0.9779533842067849</c:v>
                </c:pt>
                <c:pt idx="85">
                  <c:v>-10.548306766769656</c:v>
                </c:pt>
                <c:pt idx="86">
                  <c:v>-5.6217042195731892</c:v>
                </c:pt>
                <c:pt idx="87">
                  <c:v>-17.608527099919314</c:v>
                </c:pt>
                <c:pt idx="88">
                  <c:v>7.0676986028022384</c:v>
                </c:pt>
                <c:pt idx="89">
                  <c:v>5.87720349819989</c:v>
                </c:pt>
                <c:pt idx="90">
                  <c:v>-19.662553632777531</c:v>
                </c:pt>
                <c:pt idx="91">
                  <c:v>-10.496282300847639</c:v>
                </c:pt>
                <c:pt idx="92">
                  <c:v>-46.35732872624412</c:v>
                </c:pt>
                <c:pt idx="93">
                  <c:v>4.158606081621258</c:v>
                </c:pt>
                <c:pt idx="94">
                  <c:v>32.594788339050098</c:v>
                </c:pt>
                <c:pt idx="95">
                  <c:v>5.6225935479143345</c:v>
                </c:pt>
                <c:pt idx="96">
                  <c:v>-9.3587033502050758</c:v>
                </c:pt>
                <c:pt idx="97">
                  <c:v>-31.8234080309539</c:v>
                </c:pt>
                <c:pt idx="98">
                  <c:v>-12.122441695451641</c:v>
                </c:pt>
                <c:pt idx="99">
                  <c:v>-15.007077372816184</c:v>
                </c:pt>
                <c:pt idx="100">
                  <c:v>33.384045453204891</c:v>
                </c:pt>
                <c:pt idx="101">
                  <c:v>45.588943797389703</c:v>
                </c:pt>
                <c:pt idx="102">
                  <c:v>19.948748846030526</c:v>
                </c:pt>
                <c:pt idx="103">
                  <c:v>-25.576664059661269</c:v>
                </c:pt>
                <c:pt idx="104">
                  <c:v>-38.918908361278937</c:v>
                </c:pt>
                <c:pt idx="105">
                  <c:v>10.055353240461798</c:v>
                </c:pt>
                <c:pt idx="106">
                  <c:v>-14.380154078667729</c:v>
                </c:pt>
                <c:pt idx="107">
                  <c:v>20.93219284595709</c:v>
                </c:pt>
                <c:pt idx="108">
                  <c:v>-22.915552067136701</c:v>
                </c:pt>
                <c:pt idx="109">
                  <c:v>-17.56231629462286</c:v>
                </c:pt>
                <c:pt idx="110">
                  <c:v>55.277379548523342</c:v>
                </c:pt>
                <c:pt idx="111">
                  <c:v>-15.722589453431425</c:v>
                </c:pt>
                <c:pt idx="112">
                  <c:v>-14.43869011174634</c:v>
                </c:pt>
                <c:pt idx="113">
                  <c:v>-38.930008447934028</c:v>
                </c:pt>
                <c:pt idx="114">
                  <c:v>30.913831825803214</c:v>
                </c:pt>
                <c:pt idx="115">
                  <c:v>6.9056554324070589</c:v>
                </c:pt>
                <c:pt idx="116">
                  <c:v>0.86237921928722017</c:v>
                </c:pt>
                <c:pt idx="117">
                  <c:v>-37.444545263288759</c:v>
                </c:pt>
                <c:pt idx="118">
                  <c:v>-4.1431688791588215</c:v>
                </c:pt>
                <c:pt idx="119">
                  <c:v>-5.2757844166578138</c:v>
                </c:pt>
                <c:pt idx="120">
                  <c:v>38.2652442958954</c:v>
                </c:pt>
                <c:pt idx="121">
                  <c:v>10.170446812561195</c:v>
                </c:pt>
                <c:pt idx="122">
                  <c:v>-7.1644307031062056</c:v>
                </c:pt>
                <c:pt idx="123">
                  <c:v>-5.9440166726540156</c:v>
                </c:pt>
                <c:pt idx="124">
                  <c:v>-0.14535751007493047</c:v>
                </c:pt>
                <c:pt idx="125">
                  <c:v>-37.485788175417298</c:v>
                </c:pt>
                <c:pt idx="126">
                  <c:v>-9.257701500489901</c:v>
                </c:pt>
                <c:pt idx="127">
                  <c:v>8.751682087796965</c:v>
                </c:pt>
                <c:pt idx="128">
                  <c:v>-16.251381542550291</c:v>
                </c:pt>
                <c:pt idx="129">
                  <c:v>-32.743605070643923</c:v>
                </c:pt>
                <c:pt idx="130">
                  <c:v>43.562494132100511</c:v>
                </c:pt>
                <c:pt idx="131">
                  <c:v>-2.0078916027159153</c:v>
                </c:pt>
                <c:pt idx="132">
                  <c:v>41.368004150007238</c:v>
                </c:pt>
                <c:pt idx="133">
                  <c:v>-34.321110407475416</c:v>
                </c:pt>
                <c:pt idx="134">
                  <c:v>-12.394010585446324</c:v>
                </c:pt>
                <c:pt idx="135">
                  <c:v>1.138186397694426</c:v>
                </c:pt>
                <c:pt idx="136">
                  <c:v>-7.9072354621545884</c:v>
                </c:pt>
                <c:pt idx="137">
                  <c:v>-17.420341453793938</c:v>
                </c:pt>
                <c:pt idx="138">
                  <c:v>10.594164224545978</c:v>
                </c:pt>
                <c:pt idx="139">
                  <c:v>-36.297813582752752</c:v>
                </c:pt>
                <c:pt idx="140">
                  <c:v>3.1062646652214028</c:v>
                </c:pt>
                <c:pt idx="141">
                  <c:v>-12.21390167570641</c:v>
                </c:pt>
                <c:pt idx="142">
                  <c:v>-0.22921953113932148</c:v>
                </c:pt>
                <c:pt idx="143">
                  <c:v>-16.580932576001928</c:v>
                </c:pt>
                <c:pt idx="144">
                  <c:v>24.059386260877858</c:v>
                </c:pt>
                <c:pt idx="145">
                  <c:v>21.030757261763881</c:v>
                </c:pt>
                <c:pt idx="146">
                  <c:v>-54.678461229378556</c:v>
                </c:pt>
                <c:pt idx="147">
                  <c:v>-18.764879333243016</c:v>
                </c:pt>
                <c:pt idx="148">
                  <c:v>6.3979384553139482</c:v>
                </c:pt>
                <c:pt idx="149">
                  <c:v>-10.794687354253611</c:v>
                </c:pt>
                <c:pt idx="150">
                  <c:v>14.664897422633587</c:v>
                </c:pt>
                <c:pt idx="151">
                  <c:v>-6.3633736131507135E-2</c:v>
                </c:pt>
                <c:pt idx="152">
                  <c:v>16.644571829063864</c:v>
                </c:pt>
                <c:pt idx="153">
                  <c:v>-3.3785850490469329</c:v>
                </c:pt>
                <c:pt idx="154">
                  <c:v>51.274365334800109</c:v>
                </c:pt>
                <c:pt idx="155">
                  <c:v>31.017865626168827</c:v>
                </c:pt>
                <c:pt idx="156">
                  <c:v>-11.463088658970989</c:v>
                </c:pt>
                <c:pt idx="157">
                  <c:v>-6.7771142849921091</c:v>
                </c:pt>
                <c:pt idx="158">
                  <c:v>-19.916722075698701</c:v>
                </c:pt>
                <c:pt idx="159">
                  <c:v>26.789991093097029</c:v>
                </c:pt>
                <c:pt idx="160">
                  <c:v>43.551617967919697</c:v>
                </c:pt>
                <c:pt idx="161">
                  <c:v>-25.252431432689292</c:v>
                </c:pt>
                <c:pt idx="162">
                  <c:v>-26.755549515748839</c:v>
                </c:pt>
                <c:pt idx="163">
                  <c:v>-1.3119395011491974</c:v>
                </c:pt>
                <c:pt idx="164">
                  <c:v>9.5453534709737369</c:v>
                </c:pt>
                <c:pt idx="165">
                  <c:v>-30.88502748711403</c:v>
                </c:pt>
                <c:pt idx="166">
                  <c:v>45.11891562596756</c:v>
                </c:pt>
                <c:pt idx="167">
                  <c:v>0.13518201618626335</c:v>
                </c:pt>
                <c:pt idx="168">
                  <c:v>-6.7208620104923398</c:v>
                </c:pt>
                <c:pt idx="169">
                  <c:v>-8.6946316747050361</c:v>
                </c:pt>
                <c:pt idx="170">
                  <c:v>-17.812681623115296</c:v>
                </c:pt>
                <c:pt idx="171">
                  <c:v>8.4322195187475728</c:v>
                </c:pt>
                <c:pt idx="172">
                  <c:v>-14.368727641211052</c:v>
                </c:pt>
                <c:pt idx="173">
                  <c:v>-34.04775384468725</c:v>
                </c:pt>
                <c:pt idx="174">
                  <c:v>-39.259766852865653</c:v>
                </c:pt>
                <c:pt idx="175">
                  <c:v>55.916060794535525</c:v>
                </c:pt>
                <c:pt idx="176">
                  <c:v>-39.980111896649845</c:v>
                </c:pt>
                <c:pt idx="177">
                  <c:v>-11.767923504078368</c:v>
                </c:pt>
                <c:pt idx="178">
                  <c:v>5.7111522817439777</c:v>
                </c:pt>
                <c:pt idx="179">
                  <c:v>-1.5278794925422687</c:v>
                </c:pt>
                <c:pt idx="180">
                  <c:v>-23.782976864912683</c:v>
                </c:pt>
                <c:pt idx="181">
                  <c:v>-0.55633752703586481</c:v>
                </c:pt>
                <c:pt idx="182">
                  <c:v>-103.33069900672653</c:v>
                </c:pt>
                <c:pt idx="183">
                  <c:v>-36.960357050481562</c:v>
                </c:pt>
                <c:pt idx="184">
                  <c:v>21.281065274905117</c:v>
                </c:pt>
                <c:pt idx="185">
                  <c:v>73.846358590866359</c:v>
                </c:pt>
                <c:pt idx="186">
                  <c:v>6.6374386440903663</c:v>
                </c:pt>
                <c:pt idx="187">
                  <c:v>9.066405657780706</c:v>
                </c:pt>
                <c:pt idx="188">
                  <c:v>-6.4324621600898126</c:v>
                </c:pt>
                <c:pt idx="189">
                  <c:v>20.362837752166698</c:v>
                </c:pt>
                <c:pt idx="190">
                  <c:v>8.8360469497210659</c:v>
                </c:pt>
                <c:pt idx="191">
                  <c:v>3.5808844356071035</c:v>
                </c:pt>
                <c:pt idx="192">
                  <c:v>39.266851118030971</c:v>
                </c:pt>
                <c:pt idx="193">
                  <c:v>-0.5907930418594276</c:v>
                </c:pt>
                <c:pt idx="194">
                  <c:v>-25.146401486083761</c:v>
                </c:pt>
                <c:pt idx="195">
                  <c:v>27.416183667984541</c:v>
                </c:pt>
                <c:pt idx="196">
                  <c:v>1.6742698841665629</c:v>
                </c:pt>
                <c:pt idx="197">
                  <c:v>-0.54279978682164653</c:v>
                </c:pt>
                <c:pt idx="198">
                  <c:v>-5.802533199402518</c:v>
                </c:pt>
                <c:pt idx="199">
                  <c:v>11.549695668040442</c:v>
                </c:pt>
                <c:pt idx="200">
                  <c:v>4.1742142926633505</c:v>
                </c:pt>
                <c:pt idx="201">
                  <c:v>16.312511730905754</c:v>
                </c:pt>
                <c:pt idx="202">
                  <c:v>-2.4206576778724411</c:v>
                </c:pt>
                <c:pt idx="203">
                  <c:v>-5.5466981453875093</c:v>
                </c:pt>
                <c:pt idx="204">
                  <c:v>-42.853822555972357</c:v>
                </c:pt>
                <c:pt idx="205">
                  <c:v>10.856121016472343</c:v>
                </c:pt>
                <c:pt idx="206">
                  <c:v>36.787081465106638</c:v>
                </c:pt>
                <c:pt idx="207">
                  <c:v>25.387482148247216</c:v>
                </c:pt>
                <c:pt idx="208">
                  <c:v>-14.784711206591069</c:v>
                </c:pt>
                <c:pt idx="209">
                  <c:v>67.160532687495447</c:v>
                </c:pt>
                <c:pt idx="210">
                  <c:v>-20.953843143495334</c:v>
                </c:pt>
                <c:pt idx="211">
                  <c:v>42.88806527401718</c:v>
                </c:pt>
                <c:pt idx="212">
                  <c:v>50.64351206088682</c:v>
                </c:pt>
                <c:pt idx="213">
                  <c:v>14.663885652922133</c:v>
                </c:pt>
                <c:pt idx="214">
                  <c:v>-17.9334896090879</c:v>
                </c:pt>
                <c:pt idx="215">
                  <c:v>4.7210335245061401</c:v>
                </c:pt>
                <c:pt idx="216">
                  <c:v>-7.3738657409280961</c:v>
                </c:pt>
                <c:pt idx="217">
                  <c:v>5.5252902475490941</c:v>
                </c:pt>
                <c:pt idx="218">
                  <c:v>-29.502613828112374</c:v>
                </c:pt>
                <c:pt idx="219">
                  <c:v>-15.623225053046184</c:v>
                </c:pt>
                <c:pt idx="220">
                  <c:v>21.939692975685745</c:v>
                </c:pt>
                <c:pt idx="221">
                  <c:v>13.957004011749746</c:v>
                </c:pt>
                <c:pt idx="222">
                  <c:v>8.2443103762693255</c:v>
                </c:pt>
                <c:pt idx="223">
                  <c:v>-2.2248296112362027</c:v>
                </c:pt>
                <c:pt idx="224">
                  <c:v>-10.225629741185372</c:v>
                </c:pt>
                <c:pt idx="225">
                  <c:v>-19.74706950218598</c:v>
                </c:pt>
                <c:pt idx="226">
                  <c:v>-15.376546067350475</c:v>
                </c:pt>
                <c:pt idx="227">
                  <c:v>57.126475178657827</c:v>
                </c:pt>
                <c:pt idx="228">
                  <c:v>1.6511796768872955</c:v>
                </c:pt>
                <c:pt idx="229">
                  <c:v>0.23087624538300133</c:v>
                </c:pt>
                <c:pt idx="230">
                  <c:v>18.217715652494931</c:v>
                </c:pt>
                <c:pt idx="231">
                  <c:v>-28.855937803493504</c:v>
                </c:pt>
                <c:pt idx="232">
                  <c:v>-25.199745562945211</c:v>
                </c:pt>
                <c:pt idx="233">
                  <c:v>3.2995102065377893</c:v>
                </c:pt>
                <c:pt idx="234">
                  <c:v>-31.318073266457802</c:v>
                </c:pt>
                <c:pt idx="235">
                  <c:v>46.965746841120676</c:v>
                </c:pt>
                <c:pt idx="236">
                  <c:v>32.645891402384279</c:v>
                </c:pt>
                <c:pt idx="237">
                  <c:v>63.218701631265347</c:v>
                </c:pt>
                <c:pt idx="238">
                  <c:v>49.35891590594494</c:v>
                </c:pt>
                <c:pt idx="239">
                  <c:v>-2.4671487220928441</c:v>
                </c:pt>
                <c:pt idx="240">
                  <c:v>-8.4319725612303102</c:v>
                </c:pt>
                <c:pt idx="241">
                  <c:v>-20.372757199588932</c:v>
                </c:pt>
                <c:pt idx="242">
                  <c:v>32.85794180483181</c:v>
                </c:pt>
                <c:pt idx="243">
                  <c:v>-11.378388788248913</c:v>
                </c:pt>
                <c:pt idx="244">
                  <c:v>17.072568395248538</c:v>
                </c:pt>
                <c:pt idx="245">
                  <c:v>54.501392572368104</c:v>
                </c:pt>
                <c:pt idx="246">
                  <c:v>-1.0869568685217246</c:v>
                </c:pt>
                <c:pt idx="247">
                  <c:v>-21.617713586143225</c:v>
                </c:pt>
                <c:pt idx="248">
                  <c:v>-27.316264206821899</c:v>
                </c:pt>
                <c:pt idx="249">
                  <c:v>6.6997713884956482</c:v>
                </c:pt>
                <c:pt idx="250">
                  <c:v>-17.323363084895561</c:v>
                </c:pt>
                <c:pt idx="251">
                  <c:v>16.534178822322417</c:v>
                </c:pt>
                <c:pt idx="252">
                  <c:v>-18.174612048839734</c:v>
                </c:pt>
                <c:pt idx="253">
                  <c:v>-18.802731569856448</c:v>
                </c:pt>
                <c:pt idx="254">
                  <c:v>-57.822272834096196</c:v>
                </c:pt>
                <c:pt idx="255">
                  <c:v>11.726470301943053</c:v>
                </c:pt>
                <c:pt idx="256">
                  <c:v>8.2361650854742976</c:v>
                </c:pt>
                <c:pt idx="257">
                  <c:v>11.986216460674243</c:v>
                </c:pt>
                <c:pt idx="258">
                  <c:v>51.810813792299825</c:v>
                </c:pt>
                <c:pt idx="259">
                  <c:v>10.636555598627382</c:v>
                </c:pt>
                <c:pt idx="260">
                  <c:v>64.759897999333532</c:v>
                </c:pt>
                <c:pt idx="261">
                  <c:v>29.844581422746003</c:v>
                </c:pt>
                <c:pt idx="262">
                  <c:v>-9.119369025527817</c:v>
                </c:pt>
                <c:pt idx="263">
                  <c:v>8.7690290396165835</c:v>
                </c:pt>
                <c:pt idx="264">
                  <c:v>4.1601568005483216</c:v>
                </c:pt>
                <c:pt idx="265">
                  <c:v>-35.687103754628225</c:v>
                </c:pt>
                <c:pt idx="266">
                  <c:v>22.498588220482546</c:v>
                </c:pt>
                <c:pt idx="267">
                  <c:v>18.745172428894989</c:v>
                </c:pt>
                <c:pt idx="268">
                  <c:v>-0.75838691585343554</c:v>
                </c:pt>
                <c:pt idx="269">
                  <c:v>39.424731821752516</c:v>
                </c:pt>
                <c:pt idx="270">
                  <c:v>-25.394451142177459</c:v>
                </c:pt>
                <c:pt idx="271">
                  <c:v>9.1017938320975844</c:v>
                </c:pt>
                <c:pt idx="272">
                  <c:v>5.4480383690719236</c:v>
                </c:pt>
                <c:pt idx="273">
                  <c:v>-29.697402450945063</c:v>
                </c:pt>
                <c:pt idx="274">
                  <c:v>-26.708291847145517</c:v>
                </c:pt>
                <c:pt idx="275">
                  <c:v>-10.40212992936361</c:v>
                </c:pt>
                <c:pt idx="276">
                  <c:v>2.7015106055009852</c:v>
                </c:pt>
                <c:pt idx="277">
                  <c:v>-9.2577838000021586</c:v>
                </c:pt>
                <c:pt idx="278">
                  <c:v>-17.879599584775576</c:v>
                </c:pt>
                <c:pt idx="279">
                  <c:v>-26.034341517839209</c:v>
                </c:pt>
                <c:pt idx="280">
                  <c:v>26.243472661101293</c:v>
                </c:pt>
                <c:pt idx="281">
                  <c:v>7.8554225015352586E-2</c:v>
                </c:pt>
                <c:pt idx="282">
                  <c:v>-0.21588943286417361</c:v>
                </c:pt>
                <c:pt idx="283">
                  <c:v>34.14527273006351</c:v>
                </c:pt>
                <c:pt idx="284">
                  <c:v>-19.408999360171208</c:v>
                </c:pt>
                <c:pt idx="285">
                  <c:v>2.7873656666460818</c:v>
                </c:pt>
                <c:pt idx="286">
                  <c:v>-12.357311545861052</c:v>
                </c:pt>
                <c:pt idx="287">
                  <c:v>-20.421952752367957</c:v>
                </c:pt>
                <c:pt idx="288">
                  <c:v>-8.1702696262637318</c:v>
                </c:pt>
                <c:pt idx="289">
                  <c:v>-6.7816487965823171</c:v>
                </c:pt>
                <c:pt idx="290">
                  <c:v>-32.707541334240375</c:v>
                </c:pt>
                <c:pt idx="291">
                  <c:v>-9.3648104694550653</c:v>
                </c:pt>
                <c:pt idx="292">
                  <c:v>-9.9633170502056601</c:v>
                </c:pt>
                <c:pt idx="293">
                  <c:v>4.1416998127054256</c:v>
                </c:pt>
                <c:pt idx="294">
                  <c:v>31.279504988083204</c:v>
                </c:pt>
                <c:pt idx="295">
                  <c:v>29.294054145537473</c:v>
                </c:pt>
                <c:pt idx="296">
                  <c:v>9.4185500381576901</c:v>
                </c:pt>
                <c:pt idx="297">
                  <c:v>0.1616944890814267</c:v>
                </c:pt>
                <c:pt idx="298">
                  <c:v>-42.405347667400065</c:v>
                </c:pt>
                <c:pt idx="299">
                  <c:v>-20.192506253820255</c:v>
                </c:pt>
                <c:pt idx="300">
                  <c:v>51.8671911927389</c:v>
                </c:pt>
                <c:pt idx="301">
                  <c:v>28.538467933130548</c:v>
                </c:pt>
                <c:pt idx="302">
                  <c:v>-36.224277395389819</c:v>
                </c:pt>
                <c:pt idx="303">
                  <c:v>-17.476890677169763</c:v>
                </c:pt>
                <c:pt idx="304">
                  <c:v>37.32133752165781</c:v>
                </c:pt>
                <c:pt idx="305">
                  <c:v>0.27826590398990447</c:v>
                </c:pt>
                <c:pt idx="306">
                  <c:v>32.313218088800085</c:v>
                </c:pt>
                <c:pt idx="307">
                  <c:v>22.744286224614243</c:v>
                </c:pt>
                <c:pt idx="308">
                  <c:v>-2.5401731749630017</c:v>
                </c:pt>
                <c:pt idx="309">
                  <c:v>-7.9295453892025307</c:v>
                </c:pt>
                <c:pt idx="310">
                  <c:v>-29.279692031842231</c:v>
                </c:pt>
                <c:pt idx="311">
                  <c:v>-15.225714669699329</c:v>
                </c:pt>
                <c:pt idx="312">
                  <c:v>39.380094102580685</c:v>
                </c:pt>
                <c:pt idx="313">
                  <c:v>-4.3368796621744252</c:v>
                </c:pt>
                <c:pt idx="314">
                  <c:v>-14.694612869111495</c:v>
                </c:pt>
                <c:pt idx="315">
                  <c:v>-5.5641385775615504</c:v>
                </c:pt>
                <c:pt idx="316">
                  <c:v>-11.406706740306944</c:v>
                </c:pt>
                <c:pt idx="317">
                  <c:v>66.624046690089159</c:v>
                </c:pt>
                <c:pt idx="318">
                  <c:v>-4.6722813027556072</c:v>
                </c:pt>
                <c:pt idx="319">
                  <c:v>65.425738759298895</c:v>
                </c:pt>
                <c:pt idx="320">
                  <c:v>-4.8431516950790865</c:v>
                </c:pt>
                <c:pt idx="321">
                  <c:v>9.3420413325738423</c:v>
                </c:pt>
                <c:pt idx="322">
                  <c:v>14.149763440414915</c:v>
                </c:pt>
                <c:pt idx="323">
                  <c:v>34.335122165489196</c:v>
                </c:pt>
                <c:pt idx="324">
                  <c:v>9.8137485173533463</c:v>
                </c:pt>
                <c:pt idx="325">
                  <c:v>40.325724579258548</c:v>
                </c:pt>
                <c:pt idx="326">
                  <c:v>-3.8248335474808357</c:v>
                </c:pt>
                <c:pt idx="327">
                  <c:v>55.794212681524002</c:v>
                </c:pt>
                <c:pt idx="328">
                  <c:v>-20.187805169748785</c:v>
                </c:pt>
                <c:pt idx="329">
                  <c:v>-10.387775778450575</c:v>
                </c:pt>
                <c:pt idx="330">
                  <c:v>-3.7406320660482208</c:v>
                </c:pt>
                <c:pt idx="331">
                  <c:v>-25.012414330373005</c:v>
                </c:pt>
                <c:pt idx="332">
                  <c:v>52.975322911222563</c:v>
                </c:pt>
                <c:pt idx="333">
                  <c:v>-13.514450883862395</c:v>
                </c:pt>
                <c:pt idx="334">
                  <c:v>-9.0832950005946174</c:v>
                </c:pt>
                <c:pt idx="335">
                  <c:v>27.835255679993708</c:v>
                </c:pt>
                <c:pt idx="336">
                  <c:v>-8.8793066927361224</c:v>
                </c:pt>
                <c:pt idx="337">
                  <c:v>-10.825321914704091</c:v>
                </c:pt>
                <c:pt idx="338">
                  <c:v>21.354652945895111</c:v>
                </c:pt>
                <c:pt idx="339">
                  <c:v>46.980606303621329</c:v>
                </c:pt>
                <c:pt idx="340">
                  <c:v>15.983008333849611</c:v>
                </c:pt>
                <c:pt idx="341">
                  <c:v>-23.71102723022166</c:v>
                </c:pt>
                <c:pt idx="342">
                  <c:v>-100.02574842415359</c:v>
                </c:pt>
                <c:pt idx="343">
                  <c:v>0.280944929176286</c:v>
                </c:pt>
                <c:pt idx="344">
                  <c:v>-44.208867133794826</c:v>
                </c:pt>
                <c:pt idx="345">
                  <c:v>-8.4025134859065815</c:v>
                </c:pt>
                <c:pt idx="346">
                  <c:v>27.629435852764246</c:v>
                </c:pt>
                <c:pt idx="347">
                  <c:v>15.928060972131533</c:v>
                </c:pt>
                <c:pt idx="348">
                  <c:v>-7.7400231649272229</c:v>
                </c:pt>
                <c:pt idx="349">
                  <c:v>-118.2644939404809</c:v>
                </c:pt>
                <c:pt idx="350">
                  <c:v>-31.951353187565886</c:v>
                </c:pt>
                <c:pt idx="351">
                  <c:v>20.281751437249341</c:v>
                </c:pt>
                <c:pt idx="352">
                  <c:v>-58.828558980593385</c:v>
                </c:pt>
                <c:pt idx="353">
                  <c:v>-20.509367666389295</c:v>
                </c:pt>
                <c:pt idx="354">
                  <c:v>-30.999270354316891</c:v>
                </c:pt>
                <c:pt idx="355">
                  <c:v>35.731537572865818</c:v>
                </c:pt>
                <c:pt idx="356">
                  <c:v>2.6600192222414307</c:v>
                </c:pt>
                <c:pt idx="357">
                  <c:v>10.098313093213818</c:v>
                </c:pt>
                <c:pt idx="358">
                  <c:v>-36.031833063423065</c:v>
                </c:pt>
                <c:pt idx="359">
                  <c:v>59.766241871999028</c:v>
                </c:pt>
                <c:pt idx="360">
                  <c:v>50.552776083382014</c:v>
                </c:pt>
                <c:pt idx="361">
                  <c:v>22.244348571986023</c:v>
                </c:pt>
                <c:pt idx="362">
                  <c:v>-32.011960450449322</c:v>
                </c:pt>
                <c:pt idx="363">
                  <c:v>-1.342589699917113</c:v>
                </c:pt>
                <c:pt idx="364">
                  <c:v>6.2819465727393435</c:v>
                </c:pt>
                <c:pt idx="365">
                  <c:v>-18.317857725854111</c:v>
                </c:pt>
                <c:pt idx="366">
                  <c:v>10.617957396855317</c:v>
                </c:pt>
                <c:pt idx="367">
                  <c:v>5.060635942125856</c:v>
                </c:pt>
                <c:pt idx="368">
                  <c:v>-29.485904081634885</c:v>
                </c:pt>
                <c:pt idx="369">
                  <c:v>-0.27580722176509198</c:v>
                </c:pt>
                <c:pt idx="370">
                  <c:v>11.720231112888655</c:v>
                </c:pt>
                <c:pt idx="371">
                  <c:v>21.538002298222139</c:v>
                </c:pt>
                <c:pt idx="372">
                  <c:v>-29.854719785708355</c:v>
                </c:pt>
                <c:pt idx="373">
                  <c:v>-5.2338405301701698</c:v>
                </c:pt>
                <c:pt idx="374">
                  <c:v>0.11441344975280288</c:v>
                </c:pt>
                <c:pt idx="375">
                  <c:v>-21.145219005696049</c:v>
                </c:pt>
                <c:pt idx="376">
                  <c:v>-12.402009339779937</c:v>
                </c:pt>
                <c:pt idx="377">
                  <c:v>-23.992358760355444</c:v>
                </c:pt>
                <c:pt idx="378">
                  <c:v>25.879916615552901</c:v>
                </c:pt>
                <c:pt idx="379">
                  <c:v>-36.038951038589317</c:v>
                </c:pt>
                <c:pt idx="380">
                  <c:v>-6.3351490237464532</c:v>
                </c:pt>
                <c:pt idx="381">
                  <c:v>10.657844445554375</c:v>
                </c:pt>
                <c:pt idx="382">
                  <c:v>-15.704564478978313</c:v>
                </c:pt>
                <c:pt idx="383">
                  <c:v>-23.526746827963237</c:v>
                </c:pt>
                <c:pt idx="384">
                  <c:v>15.007422894281575</c:v>
                </c:pt>
                <c:pt idx="385">
                  <c:v>14.72682810062264</c:v>
                </c:pt>
                <c:pt idx="386">
                  <c:v>2.9877379889134517</c:v>
                </c:pt>
                <c:pt idx="387">
                  <c:v>-19.716810443360657</c:v>
                </c:pt>
                <c:pt idx="388">
                  <c:v>-12.513775055108823</c:v>
                </c:pt>
                <c:pt idx="389">
                  <c:v>-19.401863036619019</c:v>
                </c:pt>
                <c:pt idx="390">
                  <c:v>-34.837571021478141</c:v>
                </c:pt>
                <c:pt idx="391">
                  <c:v>40.283782984513792</c:v>
                </c:pt>
                <c:pt idx="392">
                  <c:v>-10.590734448010977</c:v>
                </c:pt>
                <c:pt idx="393">
                  <c:v>-3.6303685361815212</c:v>
                </c:pt>
                <c:pt idx="394">
                  <c:v>36.30093687045823</c:v>
                </c:pt>
                <c:pt idx="395">
                  <c:v>-10.051154389379519</c:v>
                </c:pt>
                <c:pt idx="396">
                  <c:v>-24.190250878281162</c:v>
                </c:pt>
                <c:pt idx="397">
                  <c:v>32.337831919529663</c:v>
                </c:pt>
                <c:pt idx="398">
                  <c:v>-23.739926965010952</c:v>
                </c:pt>
                <c:pt idx="399">
                  <c:v>88.202534846023013</c:v>
                </c:pt>
                <c:pt idx="400">
                  <c:v>-20.988311330765981</c:v>
                </c:pt>
                <c:pt idx="401">
                  <c:v>11.533173651368571</c:v>
                </c:pt>
                <c:pt idx="402">
                  <c:v>17.792768612492551</c:v>
                </c:pt>
                <c:pt idx="403">
                  <c:v>-41.875439096592785</c:v>
                </c:pt>
                <c:pt idx="404">
                  <c:v>44.989130238633265</c:v>
                </c:pt>
                <c:pt idx="405">
                  <c:v>-4.2521542356336255</c:v>
                </c:pt>
                <c:pt idx="406">
                  <c:v>-10.259558547101108</c:v>
                </c:pt>
                <c:pt idx="407">
                  <c:v>-4.2684043377581702</c:v>
                </c:pt>
                <c:pt idx="408">
                  <c:v>72.984696917576443</c:v>
                </c:pt>
                <c:pt idx="409">
                  <c:v>4.8250594816775845</c:v>
                </c:pt>
                <c:pt idx="410">
                  <c:v>-6.9718128666458483</c:v>
                </c:pt>
                <c:pt idx="411">
                  <c:v>-12.27579241829639</c:v>
                </c:pt>
                <c:pt idx="412">
                  <c:v>-5.4479287393405968</c:v>
                </c:pt>
                <c:pt idx="413">
                  <c:v>37.916655213418053</c:v>
                </c:pt>
                <c:pt idx="414">
                  <c:v>19.592149913333657</c:v>
                </c:pt>
                <c:pt idx="415">
                  <c:v>21.491919717647022</c:v>
                </c:pt>
                <c:pt idx="416">
                  <c:v>-8.5630898924359116</c:v>
                </c:pt>
                <c:pt idx="417">
                  <c:v>26.216310016363735</c:v>
                </c:pt>
                <c:pt idx="418">
                  <c:v>-23.081021763231917</c:v>
                </c:pt>
                <c:pt idx="419">
                  <c:v>16.979881558230446</c:v>
                </c:pt>
                <c:pt idx="420">
                  <c:v>-10.807534710493314</c:v>
                </c:pt>
                <c:pt idx="421">
                  <c:v>-15.342629697141234</c:v>
                </c:pt>
                <c:pt idx="422">
                  <c:v>-8.3304014980491559</c:v>
                </c:pt>
                <c:pt idx="423">
                  <c:v>12.193726536953648</c:v>
                </c:pt>
                <c:pt idx="424">
                  <c:v>9.7442839920734059</c:v>
                </c:pt>
                <c:pt idx="425">
                  <c:v>47.832346039782777</c:v>
                </c:pt>
                <c:pt idx="426">
                  <c:v>10.010375859571269</c:v>
                </c:pt>
                <c:pt idx="427">
                  <c:v>49.98250740164687</c:v>
                </c:pt>
                <c:pt idx="428">
                  <c:v>13.949295808844326</c:v>
                </c:pt>
                <c:pt idx="429">
                  <c:v>-42.250851615084656</c:v>
                </c:pt>
                <c:pt idx="430">
                  <c:v>0.46133882959789219</c:v>
                </c:pt>
                <c:pt idx="431">
                  <c:v>-36.602103095038345</c:v>
                </c:pt>
                <c:pt idx="432">
                  <c:v>-33.86768784538009</c:v>
                </c:pt>
                <c:pt idx="433">
                  <c:v>28.413660134331735</c:v>
                </c:pt>
                <c:pt idx="434">
                  <c:v>-27.18777696339626</c:v>
                </c:pt>
                <c:pt idx="435">
                  <c:v>22.938975179902059</c:v>
                </c:pt>
                <c:pt idx="436">
                  <c:v>22.071484503641273</c:v>
                </c:pt>
                <c:pt idx="437">
                  <c:v>31.969481849925955</c:v>
                </c:pt>
                <c:pt idx="438">
                  <c:v>2.6770596270401228</c:v>
                </c:pt>
                <c:pt idx="439">
                  <c:v>-17.963328348884858</c:v>
                </c:pt>
                <c:pt idx="440">
                  <c:v>68.893321119607378</c:v>
                </c:pt>
                <c:pt idx="441">
                  <c:v>-26.811723676018829</c:v>
                </c:pt>
                <c:pt idx="442">
                  <c:v>1.1596391033633893</c:v>
                </c:pt>
                <c:pt idx="443">
                  <c:v>-13.824331082191264</c:v>
                </c:pt>
                <c:pt idx="444">
                  <c:v>6.1504239074494365</c:v>
                </c:pt>
                <c:pt idx="445">
                  <c:v>51.962970220114983</c:v>
                </c:pt>
                <c:pt idx="446">
                  <c:v>-15.570764541663181</c:v>
                </c:pt>
                <c:pt idx="447">
                  <c:v>-17.293472192587657</c:v>
                </c:pt>
                <c:pt idx="448">
                  <c:v>-3.4135701414713537</c:v>
                </c:pt>
                <c:pt idx="449">
                  <c:v>6.8018740759782901</c:v>
                </c:pt>
                <c:pt idx="450">
                  <c:v>-27.350860112747156</c:v>
                </c:pt>
                <c:pt idx="451">
                  <c:v>22.790823140355812</c:v>
                </c:pt>
                <c:pt idx="452">
                  <c:v>-38.882653601300319</c:v>
                </c:pt>
                <c:pt idx="453">
                  <c:v>-13.778614744067823</c:v>
                </c:pt>
                <c:pt idx="454">
                  <c:v>-18.324890691581686</c:v>
                </c:pt>
                <c:pt idx="455">
                  <c:v>62.55068715268348</c:v>
                </c:pt>
                <c:pt idx="456">
                  <c:v>0.53989636913411232</c:v>
                </c:pt>
                <c:pt idx="457">
                  <c:v>-23.517199558845675</c:v>
                </c:pt>
                <c:pt idx="458">
                  <c:v>7.5606266877571215E-2</c:v>
                </c:pt>
                <c:pt idx="459">
                  <c:v>-7.5564690820078511</c:v>
                </c:pt>
                <c:pt idx="460">
                  <c:v>-1.295468991136616</c:v>
                </c:pt>
                <c:pt idx="461">
                  <c:v>-35.402846506834692</c:v>
                </c:pt>
                <c:pt idx="462">
                  <c:v>-45.271730317519101</c:v>
                </c:pt>
                <c:pt idx="463">
                  <c:v>-20.183150701175265</c:v>
                </c:pt>
                <c:pt idx="464">
                  <c:v>-5.0946060936563811</c:v>
                </c:pt>
                <c:pt idx="465">
                  <c:v>14.870171451097534</c:v>
                </c:pt>
                <c:pt idx="466">
                  <c:v>-32.910581102012671</c:v>
                </c:pt>
                <c:pt idx="467">
                  <c:v>-19.270231918413515</c:v>
                </c:pt>
                <c:pt idx="468">
                  <c:v>5.1029468580741195</c:v>
                </c:pt>
                <c:pt idx="469">
                  <c:v>25.962854382288754</c:v>
                </c:pt>
                <c:pt idx="470">
                  <c:v>32.438796124900747</c:v>
                </c:pt>
                <c:pt idx="471">
                  <c:v>38.378748989080407</c:v>
                </c:pt>
                <c:pt idx="472">
                  <c:v>12.218344950516467</c:v>
                </c:pt>
                <c:pt idx="473">
                  <c:v>7.0202768459868139</c:v>
                </c:pt>
                <c:pt idx="474">
                  <c:v>5.0754929294136275</c:v>
                </c:pt>
                <c:pt idx="475">
                  <c:v>13.888362608115585</c:v>
                </c:pt>
                <c:pt idx="476">
                  <c:v>-19.600115607428066</c:v>
                </c:pt>
                <c:pt idx="477">
                  <c:v>-4.1498826505979594</c:v>
                </c:pt>
                <c:pt idx="478">
                  <c:v>13.649687165820254</c:v>
                </c:pt>
                <c:pt idx="479">
                  <c:v>5.5559449667398724</c:v>
                </c:pt>
                <c:pt idx="480">
                  <c:v>12.357973550922139</c:v>
                </c:pt>
                <c:pt idx="481">
                  <c:v>16.595959949793397</c:v>
                </c:pt>
                <c:pt idx="482">
                  <c:v>-23.966919761521581</c:v>
                </c:pt>
                <c:pt idx="483">
                  <c:v>-35.155860588306751</c:v>
                </c:pt>
                <c:pt idx="484">
                  <c:v>21.613520887228191</c:v>
                </c:pt>
                <c:pt idx="485">
                  <c:v>3.3863095747759075</c:v>
                </c:pt>
                <c:pt idx="486">
                  <c:v>-13.640542325780359</c:v>
                </c:pt>
                <c:pt idx="487">
                  <c:v>5.7311255935563565</c:v>
                </c:pt>
                <c:pt idx="488">
                  <c:v>-5.9687329143387871</c:v>
                </c:pt>
                <c:pt idx="489">
                  <c:v>55.389546181730083</c:v>
                </c:pt>
                <c:pt idx="490">
                  <c:v>-32.25372159626356</c:v>
                </c:pt>
                <c:pt idx="491">
                  <c:v>-27.714600334923702</c:v>
                </c:pt>
                <c:pt idx="492">
                  <c:v>-6.3566730025051186</c:v>
                </c:pt>
                <c:pt idx="493">
                  <c:v>-10.567004538320816</c:v>
                </c:pt>
                <c:pt idx="494">
                  <c:v>-1.7126463263388416</c:v>
                </c:pt>
                <c:pt idx="495">
                  <c:v>29.757791465628429</c:v>
                </c:pt>
                <c:pt idx="496">
                  <c:v>-2.0077544918805614</c:v>
                </c:pt>
                <c:pt idx="497">
                  <c:v>-35.194329704011793</c:v>
                </c:pt>
                <c:pt idx="498">
                  <c:v>64.553740303319358</c:v>
                </c:pt>
                <c:pt idx="499">
                  <c:v>21.078451282294594</c:v>
                </c:pt>
                <c:pt idx="500">
                  <c:v>9.1199553895106789</c:v>
                </c:pt>
                <c:pt idx="501">
                  <c:v>-24.428962452104273</c:v>
                </c:pt>
                <c:pt idx="502">
                  <c:v>-117.96171194523359</c:v>
                </c:pt>
                <c:pt idx="503">
                  <c:v>-32.819082277446171</c:v>
                </c:pt>
                <c:pt idx="504">
                  <c:v>-18.14439837492128</c:v>
                </c:pt>
                <c:pt idx="505">
                  <c:v>-48.738833965848912</c:v>
                </c:pt>
                <c:pt idx="506">
                  <c:v>55.150140756563374</c:v>
                </c:pt>
                <c:pt idx="507">
                  <c:v>10.724613999796873</c:v>
                </c:pt>
                <c:pt idx="508">
                  <c:v>-28.282801471947494</c:v>
                </c:pt>
                <c:pt idx="509">
                  <c:v>-14.812376622841271</c:v>
                </c:pt>
                <c:pt idx="510">
                  <c:v>-31.470382954492948</c:v>
                </c:pt>
                <c:pt idx="511">
                  <c:v>21.559116701286044</c:v>
                </c:pt>
                <c:pt idx="512">
                  <c:v>-37.379068037432006</c:v>
                </c:pt>
                <c:pt idx="513">
                  <c:v>-17.695807064442363</c:v>
                </c:pt>
                <c:pt idx="514">
                  <c:v>-9.1565714832546661</c:v>
                </c:pt>
                <c:pt idx="515">
                  <c:v>43.676702825309306</c:v>
                </c:pt>
                <c:pt idx="516">
                  <c:v>5.0487190376900628</c:v>
                </c:pt>
                <c:pt idx="517">
                  <c:v>-10.715847170567514</c:v>
                </c:pt>
                <c:pt idx="518">
                  <c:v>-47.411234389586639</c:v>
                </c:pt>
                <c:pt idx="519">
                  <c:v>-31.411282002255916</c:v>
                </c:pt>
                <c:pt idx="520">
                  <c:v>-35.266894545380865</c:v>
                </c:pt>
                <c:pt idx="521">
                  <c:v>6.3344970516232166</c:v>
                </c:pt>
                <c:pt idx="522">
                  <c:v>29.434833148936306</c:v>
                </c:pt>
                <c:pt idx="523">
                  <c:v>-0.48863556597331126</c:v>
                </c:pt>
                <c:pt idx="524">
                  <c:v>14.370899952742022</c:v>
                </c:pt>
                <c:pt idx="525">
                  <c:v>-10.314673560010021</c:v>
                </c:pt>
                <c:pt idx="526">
                  <c:v>-4.7650560366676018</c:v>
                </c:pt>
                <c:pt idx="527">
                  <c:v>2.9683421703629591</c:v>
                </c:pt>
                <c:pt idx="528">
                  <c:v>-2.8102674508157719</c:v>
                </c:pt>
                <c:pt idx="529">
                  <c:v>-2.4223229616558513</c:v>
                </c:pt>
                <c:pt idx="530">
                  <c:v>5.7215628804862604</c:v>
                </c:pt>
                <c:pt idx="531">
                  <c:v>-18.371179348044336</c:v>
                </c:pt>
                <c:pt idx="532">
                  <c:v>-29.564090955818713</c:v>
                </c:pt>
                <c:pt idx="533">
                  <c:v>-21.120913306844955</c:v>
                </c:pt>
                <c:pt idx="534">
                  <c:v>-37.19390399538284</c:v>
                </c:pt>
                <c:pt idx="535">
                  <c:v>24.090012770972749</c:v>
                </c:pt>
                <c:pt idx="536">
                  <c:v>-20.679099683461573</c:v>
                </c:pt>
                <c:pt idx="537">
                  <c:v>-77.599397443598292</c:v>
                </c:pt>
                <c:pt idx="538">
                  <c:v>-0.73199100234101877</c:v>
                </c:pt>
                <c:pt idx="539">
                  <c:v>2.8699522358114962</c:v>
                </c:pt>
                <c:pt idx="540">
                  <c:v>-41.61063204145529</c:v>
                </c:pt>
                <c:pt idx="541">
                  <c:v>0.60586622899694476</c:v>
                </c:pt>
                <c:pt idx="542">
                  <c:v>-39.617847971509235</c:v>
                </c:pt>
                <c:pt idx="543">
                  <c:v>-33.491245463330102</c:v>
                </c:pt>
                <c:pt idx="544">
                  <c:v>-26.733171925472206</c:v>
                </c:pt>
                <c:pt idx="545">
                  <c:v>49.644084425859091</c:v>
                </c:pt>
                <c:pt idx="546">
                  <c:v>29.924828072975259</c:v>
                </c:pt>
                <c:pt idx="547">
                  <c:v>6.1881259109564866</c:v>
                </c:pt>
                <c:pt idx="548">
                  <c:v>40.571377253956143</c:v>
                </c:pt>
                <c:pt idx="549">
                  <c:v>75.628242291979774</c:v>
                </c:pt>
                <c:pt idx="550">
                  <c:v>18.759562525286867</c:v>
                </c:pt>
                <c:pt idx="551">
                  <c:v>-31.602174725643408</c:v>
                </c:pt>
                <c:pt idx="552">
                  <c:v>-23.762994661547509</c:v>
                </c:pt>
                <c:pt idx="553">
                  <c:v>-18.981425352488102</c:v>
                </c:pt>
                <c:pt idx="554">
                  <c:v>-39.377575236452856</c:v>
                </c:pt>
                <c:pt idx="555">
                  <c:v>-2.1525552030690989</c:v>
                </c:pt>
                <c:pt idx="556">
                  <c:v>-10.153370522170448</c:v>
                </c:pt>
                <c:pt idx="557">
                  <c:v>-21.815179569955887</c:v>
                </c:pt>
                <c:pt idx="558">
                  <c:v>-17.841838618108071</c:v>
                </c:pt>
                <c:pt idx="559">
                  <c:v>-34.134461063935177</c:v>
                </c:pt>
                <c:pt idx="560">
                  <c:v>-7.8853973484720541</c:v>
                </c:pt>
                <c:pt idx="561">
                  <c:v>58.076326926225079</c:v>
                </c:pt>
                <c:pt idx="562">
                  <c:v>-26.664809490344865</c:v>
                </c:pt>
                <c:pt idx="563">
                  <c:v>-14.84212773718761</c:v>
                </c:pt>
                <c:pt idx="564">
                  <c:v>-26.371411600907507</c:v>
                </c:pt>
                <c:pt idx="565">
                  <c:v>-17.80633724575425</c:v>
                </c:pt>
                <c:pt idx="566">
                  <c:v>-9.2376955426705791</c:v>
                </c:pt>
                <c:pt idx="567">
                  <c:v>-35.129264544443771</c:v>
                </c:pt>
                <c:pt idx="568">
                  <c:v>30.020024288415158</c:v>
                </c:pt>
                <c:pt idx="569">
                  <c:v>-4.725694896535714</c:v>
                </c:pt>
                <c:pt idx="570">
                  <c:v>-44.575297000414167</c:v>
                </c:pt>
                <c:pt idx="571">
                  <c:v>24.717998396263397</c:v>
                </c:pt>
                <c:pt idx="572">
                  <c:v>7.4154740922782167</c:v>
                </c:pt>
                <c:pt idx="573">
                  <c:v>-20.417698559376788</c:v>
                </c:pt>
                <c:pt idx="574">
                  <c:v>4.4877297422387983</c:v>
                </c:pt>
                <c:pt idx="575">
                  <c:v>14.462537925642891</c:v>
                </c:pt>
                <c:pt idx="576">
                  <c:v>-13.779582930616442</c:v>
                </c:pt>
                <c:pt idx="577">
                  <c:v>-4.0768595931611316</c:v>
                </c:pt>
                <c:pt idx="578">
                  <c:v>16.372693224839409</c:v>
                </c:pt>
                <c:pt idx="579">
                  <c:v>89.156184667694035</c:v>
                </c:pt>
                <c:pt idx="580">
                  <c:v>46.350160997856079</c:v>
                </c:pt>
                <c:pt idx="581">
                  <c:v>9.747594130396422</c:v>
                </c:pt>
                <c:pt idx="582">
                  <c:v>-7.2532734805864152</c:v>
                </c:pt>
                <c:pt idx="583">
                  <c:v>-29.372360099227706</c:v>
                </c:pt>
                <c:pt idx="584">
                  <c:v>-59.726332531798874</c:v>
                </c:pt>
                <c:pt idx="585">
                  <c:v>-7.2563906972525274</c:v>
                </c:pt>
                <c:pt idx="586">
                  <c:v>18.209637846097934</c:v>
                </c:pt>
                <c:pt idx="587">
                  <c:v>-6.7342412207249254</c:v>
                </c:pt>
                <c:pt idx="588">
                  <c:v>31.082073921468947</c:v>
                </c:pt>
                <c:pt idx="589">
                  <c:v>-27.364035366060619</c:v>
                </c:pt>
                <c:pt idx="590">
                  <c:v>-18.394998937282509</c:v>
                </c:pt>
                <c:pt idx="591">
                  <c:v>-3.3292698640483707</c:v>
                </c:pt>
                <c:pt idx="592">
                  <c:v>3.2387697979970653</c:v>
                </c:pt>
                <c:pt idx="593">
                  <c:v>-40.448434629657669</c:v>
                </c:pt>
                <c:pt idx="594">
                  <c:v>-8.4843932530874042</c:v>
                </c:pt>
                <c:pt idx="595">
                  <c:v>59.594285945800181</c:v>
                </c:pt>
                <c:pt idx="596">
                  <c:v>-69.459316297464966</c:v>
                </c:pt>
                <c:pt idx="597">
                  <c:v>-13.08152011089085</c:v>
                </c:pt>
                <c:pt idx="598">
                  <c:v>48.83094575722609</c:v>
                </c:pt>
                <c:pt idx="599">
                  <c:v>-2.68153708568083</c:v>
                </c:pt>
                <c:pt idx="600">
                  <c:v>3.5420545235517267</c:v>
                </c:pt>
                <c:pt idx="601">
                  <c:v>-7.6439839291005427</c:v>
                </c:pt>
                <c:pt idx="602">
                  <c:v>23.702852278397657</c:v>
                </c:pt>
                <c:pt idx="603">
                  <c:v>9.2915670612236738</c:v>
                </c:pt>
                <c:pt idx="604">
                  <c:v>70.646414892404238</c:v>
                </c:pt>
                <c:pt idx="605">
                  <c:v>20.536377134976675</c:v>
                </c:pt>
                <c:pt idx="606">
                  <c:v>41.682286333715695</c:v>
                </c:pt>
                <c:pt idx="607">
                  <c:v>-8.212173057733466</c:v>
                </c:pt>
                <c:pt idx="608">
                  <c:v>15.457073539342758</c:v>
                </c:pt>
                <c:pt idx="609">
                  <c:v>-7.3036521590896797</c:v>
                </c:pt>
                <c:pt idx="610">
                  <c:v>-13.570730094380608</c:v>
                </c:pt>
                <c:pt idx="611">
                  <c:v>39.721257878778005</c:v>
                </c:pt>
                <c:pt idx="612">
                  <c:v>17.525882910574325</c:v>
                </c:pt>
                <c:pt idx="613">
                  <c:v>-4.5452758145197834</c:v>
                </c:pt>
                <c:pt idx="614">
                  <c:v>-2.7168405358392818</c:v>
                </c:pt>
                <c:pt idx="615">
                  <c:v>-3.5473412186231741</c:v>
                </c:pt>
                <c:pt idx="616">
                  <c:v>1.7993142374827187</c:v>
                </c:pt>
                <c:pt idx="617">
                  <c:v>-31.408133407656237</c:v>
                </c:pt>
                <c:pt idx="618">
                  <c:v>-14.010818294714483</c:v>
                </c:pt>
                <c:pt idx="619">
                  <c:v>12.072461876708516</c:v>
                </c:pt>
                <c:pt idx="620">
                  <c:v>-10.852295678781701</c:v>
                </c:pt>
                <c:pt idx="621">
                  <c:v>-19.945886281040401</c:v>
                </c:pt>
                <c:pt idx="622">
                  <c:v>40.945529024038649</c:v>
                </c:pt>
                <c:pt idx="623">
                  <c:v>-28.05377049737065</c:v>
                </c:pt>
                <c:pt idx="624">
                  <c:v>-0.49858172174356241</c:v>
                </c:pt>
                <c:pt idx="625">
                  <c:v>-21.640953270595332</c:v>
                </c:pt>
                <c:pt idx="626">
                  <c:v>20.61272767387112</c:v>
                </c:pt>
                <c:pt idx="627">
                  <c:v>19.953994856058472</c:v>
                </c:pt>
                <c:pt idx="628">
                  <c:v>-4.4782279417148629E-2</c:v>
                </c:pt>
                <c:pt idx="629">
                  <c:v>-2.6929987983842949</c:v>
                </c:pt>
                <c:pt idx="630">
                  <c:v>-4.2560479286370736</c:v>
                </c:pt>
                <c:pt idx="631">
                  <c:v>-8.2514909292044933</c:v>
                </c:pt>
                <c:pt idx="632">
                  <c:v>3.7738782925418093</c:v>
                </c:pt>
                <c:pt idx="633">
                  <c:v>7.6967137895874345</c:v>
                </c:pt>
                <c:pt idx="634">
                  <c:v>-19.662817342697963</c:v>
                </c:pt>
                <c:pt idx="635">
                  <c:v>-18.915504372074565</c:v>
                </c:pt>
                <c:pt idx="636">
                  <c:v>-21.26550491591324</c:v>
                </c:pt>
                <c:pt idx="637">
                  <c:v>-20.946105901846892</c:v>
                </c:pt>
                <c:pt idx="638">
                  <c:v>-30.260429164806226</c:v>
                </c:pt>
                <c:pt idx="639">
                  <c:v>-5.732669274329794</c:v>
                </c:pt>
                <c:pt idx="640">
                  <c:v>-18.927433133884207</c:v>
                </c:pt>
                <c:pt idx="641">
                  <c:v>13.485730953408606</c:v>
                </c:pt>
                <c:pt idx="642">
                  <c:v>19.281753757057757</c:v>
                </c:pt>
                <c:pt idx="643">
                  <c:v>-21.341030151249015</c:v>
                </c:pt>
                <c:pt idx="644">
                  <c:v>-16.44653039209102</c:v>
                </c:pt>
                <c:pt idx="645">
                  <c:v>3.1809686436480433</c:v>
                </c:pt>
                <c:pt idx="646">
                  <c:v>45.056989030444385</c:v>
                </c:pt>
                <c:pt idx="647">
                  <c:v>59.883335192350188</c:v>
                </c:pt>
                <c:pt idx="648">
                  <c:v>11.888077885674463</c:v>
                </c:pt>
                <c:pt idx="649">
                  <c:v>9.4242815445917927</c:v>
                </c:pt>
                <c:pt idx="650">
                  <c:v>-15.999874045211712</c:v>
                </c:pt>
                <c:pt idx="651">
                  <c:v>-2.1903828169336634</c:v>
                </c:pt>
                <c:pt idx="652">
                  <c:v>11.56357485934285</c:v>
                </c:pt>
                <c:pt idx="653">
                  <c:v>9.4554373017949018</c:v>
                </c:pt>
                <c:pt idx="654">
                  <c:v>-10.160695326082319</c:v>
                </c:pt>
                <c:pt idx="655">
                  <c:v>-6.9181704208201609</c:v>
                </c:pt>
                <c:pt idx="656">
                  <c:v>1.703604465422984</c:v>
                </c:pt>
                <c:pt idx="657">
                  <c:v>-18.936045217034717</c:v>
                </c:pt>
                <c:pt idx="658">
                  <c:v>-10.682509944267082</c:v>
                </c:pt>
                <c:pt idx="659">
                  <c:v>-40.075041728613385</c:v>
                </c:pt>
                <c:pt idx="660">
                  <c:v>32.510199248635161</c:v>
                </c:pt>
                <c:pt idx="661">
                  <c:v>86.561947653084616</c:v>
                </c:pt>
                <c:pt idx="662">
                  <c:v>28.029544669399144</c:v>
                </c:pt>
                <c:pt idx="663">
                  <c:v>16.669242279804649</c:v>
                </c:pt>
                <c:pt idx="664">
                  <c:v>4.5963024675325954</c:v>
                </c:pt>
                <c:pt idx="665">
                  <c:v>-1.0917682942500591</c:v>
                </c:pt>
                <c:pt idx="666">
                  <c:v>7.759878354905112</c:v>
                </c:pt>
                <c:pt idx="667">
                  <c:v>0.95805392393411637</c:v>
                </c:pt>
                <c:pt idx="668">
                  <c:v>-36.689422249525478</c:v>
                </c:pt>
                <c:pt idx="669">
                  <c:v>28.48902084029325</c:v>
                </c:pt>
                <c:pt idx="670">
                  <c:v>24.640024756833327</c:v>
                </c:pt>
                <c:pt idx="671">
                  <c:v>-4.1076756104530574</c:v>
                </c:pt>
                <c:pt idx="672">
                  <c:v>-62.252287642677686</c:v>
                </c:pt>
                <c:pt idx="673">
                  <c:v>-25.58319452627515</c:v>
                </c:pt>
                <c:pt idx="674">
                  <c:v>-55.750962387917951</c:v>
                </c:pt>
                <c:pt idx="675">
                  <c:v>78.244179946937777</c:v>
                </c:pt>
                <c:pt idx="676">
                  <c:v>28.946980323119121</c:v>
                </c:pt>
                <c:pt idx="677">
                  <c:v>-21.721199597358222</c:v>
                </c:pt>
                <c:pt idx="678">
                  <c:v>6.9961300548726228</c:v>
                </c:pt>
                <c:pt idx="679">
                  <c:v>-27.241745348421432</c:v>
                </c:pt>
                <c:pt idx="680">
                  <c:v>-43.893221687106319</c:v>
                </c:pt>
                <c:pt idx="681">
                  <c:v>46.178831420941123</c:v>
                </c:pt>
                <c:pt idx="682">
                  <c:v>-23.208392411279306</c:v>
                </c:pt>
                <c:pt idx="683">
                  <c:v>7.8785265843212784</c:v>
                </c:pt>
                <c:pt idx="684">
                  <c:v>15.156236438029566</c:v>
                </c:pt>
                <c:pt idx="685">
                  <c:v>0.77678656324931694</c:v>
                </c:pt>
                <c:pt idx="686">
                  <c:v>25.58917995123204</c:v>
                </c:pt>
                <c:pt idx="687">
                  <c:v>2.4599011079039883</c:v>
                </c:pt>
                <c:pt idx="688">
                  <c:v>20.968912872970989</c:v>
                </c:pt>
                <c:pt idx="689">
                  <c:v>2.8600723904663994</c:v>
                </c:pt>
                <c:pt idx="690">
                  <c:v>-11.117873294672577</c:v>
                </c:pt>
                <c:pt idx="691">
                  <c:v>21.257067017338784</c:v>
                </c:pt>
                <c:pt idx="692">
                  <c:v>1.1155420944610768</c:v>
                </c:pt>
                <c:pt idx="693">
                  <c:v>1.9972571202030878</c:v>
                </c:pt>
                <c:pt idx="694">
                  <c:v>-15.530778322988013</c:v>
                </c:pt>
                <c:pt idx="695">
                  <c:v>-22.527832667113273</c:v>
                </c:pt>
                <c:pt idx="696">
                  <c:v>47.060969768077712</c:v>
                </c:pt>
                <c:pt idx="697">
                  <c:v>-1.7922571572824921</c:v>
                </c:pt>
                <c:pt idx="698">
                  <c:v>-5.2666832173876514</c:v>
                </c:pt>
                <c:pt idx="699">
                  <c:v>-9.2538560920130664</c:v>
                </c:pt>
                <c:pt idx="700">
                  <c:v>-7.5155385028373303</c:v>
                </c:pt>
                <c:pt idx="701">
                  <c:v>7.4099752509666246</c:v>
                </c:pt>
                <c:pt idx="702">
                  <c:v>39.700225039655209</c:v>
                </c:pt>
                <c:pt idx="703">
                  <c:v>5.3788674717303167</c:v>
                </c:pt>
                <c:pt idx="704">
                  <c:v>-4.6378752791174804</c:v>
                </c:pt>
                <c:pt idx="705">
                  <c:v>-29.211267247398766</c:v>
                </c:pt>
                <c:pt idx="706">
                  <c:v>27.163374990065549</c:v>
                </c:pt>
                <c:pt idx="707">
                  <c:v>-10.339082264118417</c:v>
                </c:pt>
                <c:pt idx="708">
                  <c:v>37.184901311052357</c:v>
                </c:pt>
                <c:pt idx="709">
                  <c:v>-30.830998421345285</c:v>
                </c:pt>
                <c:pt idx="710">
                  <c:v>11.801328620949477</c:v>
                </c:pt>
                <c:pt idx="711">
                  <c:v>10.023964052776805</c:v>
                </c:pt>
                <c:pt idx="712">
                  <c:v>11.643170807437755</c:v>
                </c:pt>
                <c:pt idx="713">
                  <c:v>5.5611122379340259</c:v>
                </c:pt>
                <c:pt idx="714">
                  <c:v>-13.146601482745581</c:v>
                </c:pt>
                <c:pt idx="715">
                  <c:v>35.896405205972655</c:v>
                </c:pt>
                <c:pt idx="716">
                  <c:v>44.076957481511101</c:v>
                </c:pt>
                <c:pt idx="717">
                  <c:v>-29.080698329636306</c:v>
                </c:pt>
                <c:pt idx="718">
                  <c:v>-9.7546988880954899</c:v>
                </c:pt>
                <c:pt idx="719">
                  <c:v>-28.485043700198332</c:v>
                </c:pt>
                <c:pt idx="720">
                  <c:v>-29.073618942567236</c:v>
                </c:pt>
                <c:pt idx="721">
                  <c:v>-8.9470520573099748</c:v>
                </c:pt>
                <c:pt idx="722">
                  <c:v>23.581220482750396</c:v>
                </c:pt>
                <c:pt idx="723">
                  <c:v>-14.104133808298684</c:v>
                </c:pt>
                <c:pt idx="724">
                  <c:v>-17.20332907583645</c:v>
                </c:pt>
                <c:pt idx="725">
                  <c:v>-2.1415262577419014</c:v>
                </c:pt>
                <c:pt idx="726">
                  <c:v>-10.505533073604127</c:v>
                </c:pt>
                <c:pt idx="727">
                  <c:v>36.326364840843041</c:v>
                </c:pt>
                <c:pt idx="728">
                  <c:v>69.041569582058116</c:v>
                </c:pt>
                <c:pt idx="729">
                  <c:v>-15.670866755343681</c:v>
                </c:pt>
                <c:pt idx="730">
                  <c:v>12.582114848057699</c:v>
                </c:pt>
                <c:pt idx="731">
                  <c:v>10.124732930714231</c:v>
                </c:pt>
                <c:pt idx="732">
                  <c:v>48.833282303328247</c:v>
                </c:pt>
                <c:pt idx="733">
                  <c:v>-10.480035179320737</c:v>
                </c:pt>
                <c:pt idx="734">
                  <c:v>-21.82919548009879</c:v>
                </c:pt>
                <c:pt idx="735">
                  <c:v>-11.404327164630217</c:v>
                </c:pt>
                <c:pt idx="736">
                  <c:v>13.341925617898227</c:v>
                </c:pt>
                <c:pt idx="737">
                  <c:v>-53.967186212004151</c:v>
                </c:pt>
                <c:pt idx="738">
                  <c:v>-25.827781057962852</c:v>
                </c:pt>
                <c:pt idx="739">
                  <c:v>-28.070720871340001</c:v>
                </c:pt>
                <c:pt idx="740">
                  <c:v>-22.864576823145114</c:v>
                </c:pt>
                <c:pt idx="741">
                  <c:v>-12.671671196622313</c:v>
                </c:pt>
                <c:pt idx="742">
                  <c:v>-3.9633731534955672</c:v>
                </c:pt>
                <c:pt idx="743">
                  <c:v>8.4380881405315904</c:v>
                </c:pt>
                <c:pt idx="744">
                  <c:v>15.087948503316795</c:v>
                </c:pt>
                <c:pt idx="745">
                  <c:v>-27.624014491742315</c:v>
                </c:pt>
                <c:pt idx="746">
                  <c:v>31.148300989074414</c:v>
                </c:pt>
                <c:pt idx="747">
                  <c:v>-44.815126157355536</c:v>
                </c:pt>
                <c:pt idx="748">
                  <c:v>49.820467815789868</c:v>
                </c:pt>
                <c:pt idx="749">
                  <c:v>39.443874837193306</c:v>
                </c:pt>
                <c:pt idx="750">
                  <c:v>19.550186929535357</c:v>
                </c:pt>
                <c:pt idx="751">
                  <c:v>5.8603642238704623</c:v>
                </c:pt>
                <c:pt idx="752">
                  <c:v>8.2143667558223399</c:v>
                </c:pt>
                <c:pt idx="753">
                  <c:v>21.392141827495948</c:v>
                </c:pt>
                <c:pt idx="754">
                  <c:v>36.376610376389976</c:v>
                </c:pt>
                <c:pt idx="755">
                  <c:v>-0.41652733809581832</c:v>
                </c:pt>
                <c:pt idx="756">
                  <c:v>26.103495804741286</c:v>
                </c:pt>
                <c:pt idx="757">
                  <c:v>-10.702336544567771</c:v>
                </c:pt>
                <c:pt idx="758">
                  <c:v>-11.779671723851919</c:v>
                </c:pt>
                <c:pt idx="759">
                  <c:v>45.983802997244766</c:v>
                </c:pt>
                <c:pt idx="760">
                  <c:v>-15.680394509418392</c:v>
                </c:pt>
                <c:pt idx="761">
                  <c:v>45.103334643793417</c:v>
                </c:pt>
                <c:pt idx="762">
                  <c:v>-21.185518918909708</c:v>
                </c:pt>
                <c:pt idx="763">
                  <c:v>-39.611113949379444</c:v>
                </c:pt>
                <c:pt idx="764">
                  <c:v>12.583061762366228</c:v>
                </c:pt>
                <c:pt idx="765">
                  <c:v>5.2930527611390374</c:v>
                </c:pt>
                <c:pt idx="766">
                  <c:v>0.38249457753100558</c:v>
                </c:pt>
                <c:pt idx="767">
                  <c:v>-7.4801975051570082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F-41D2-8B6A-6E70670D2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23120"/>
        <c:axId val="498323536"/>
      </c:scatterChart>
      <c:valAx>
        <c:axId val="49832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323536"/>
        <c:crosses val="autoZero"/>
        <c:crossBetween val="midCat"/>
      </c:valAx>
      <c:valAx>
        <c:axId val="4983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32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21</xdr:col>
      <xdr:colOff>525780</xdr:colOff>
      <xdr:row>20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79ADE6-F4ED-4F2B-8701-218AA0D62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578F-B735-4963-9C9F-BB646E27C292}">
  <dimension ref="A1:I798"/>
  <sheetViews>
    <sheetView topLeftCell="A22" workbookViewId="0">
      <selection activeCell="D22" sqref="D22"/>
    </sheetView>
  </sheetViews>
  <sheetFormatPr defaultRowHeight="14.5" x14ac:dyDescent="0.35"/>
  <cols>
    <col min="1" max="1" width="22.453125" bestFit="1" customWidth="1"/>
    <col min="2" max="2" width="20.81640625" bestFit="1" customWidth="1"/>
    <col min="3" max="3" width="13.453125" bestFit="1" customWidth="1"/>
    <col min="4" max="4" width="12.6328125" bestFit="1" customWidth="1"/>
    <col min="5" max="5" width="12" bestFit="1" customWidth="1"/>
    <col min="6" max="9" width="12.6328125" bestFit="1" customWidth="1"/>
  </cols>
  <sheetData>
    <row r="1" spans="1:9" x14ac:dyDescent="0.35">
      <c r="A1" t="s">
        <v>11</v>
      </c>
    </row>
    <row r="2" spans="1:9" ht="15" thickBot="1" x14ac:dyDescent="0.4"/>
    <row r="3" spans="1:9" x14ac:dyDescent="0.35">
      <c r="A3" s="4" t="s">
        <v>12</v>
      </c>
      <c r="B3" s="4"/>
    </row>
    <row r="4" spans="1:9" x14ac:dyDescent="0.35">
      <c r="A4" s="1" t="s">
        <v>13</v>
      </c>
      <c r="B4" s="1">
        <v>0.47974392982157804</v>
      </c>
    </row>
    <row r="5" spans="1:9" x14ac:dyDescent="0.35">
      <c r="A5" s="1" t="s">
        <v>14</v>
      </c>
      <c r="B5" s="1">
        <v>0.23015423820065117</v>
      </c>
    </row>
    <row r="6" spans="1:9" x14ac:dyDescent="0.35">
      <c r="A6" s="1" t="s">
        <v>15</v>
      </c>
      <c r="B6" s="1">
        <v>0.22306355355249929</v>
      </c>
    </row>
    <row r="7" spans="1:9" x14ac:dyDescent="0.35">
      <c r="A7" s="1" t="s">
        <v>16</v>
      </c>
      <c r="B7" s="1">
        <v>28.181944089467326</v>
      </c>
    </row>
    <row r="8" spans="1:9" ht="15" thickBot="1" x14ac:dyDescent="0.4">
      <c r="A8" s="2" t="s">
        <v>17</v>
      </c>
      <c r="B8" s="2">
        <v>768</v>
      </c>
    </row>
    <row r="10" spans="1:9" ht="15" thickBot="1" x14ac:dyDescent="0.4">
      <c r="A10" t="s">
        <v>18</v>
      </c>
    </row>
    <row r="11" spans="1:9" x14ac:dyDescent="0.35">
      <c r="A11" s="3"/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</row>
    <row r="12" spans="1:9" x14ac:dyDescent="0.35">
      <c r="A12" s="1" t="s">
        <v>19</v>
      </c>
      <c r="B12" s="1">
        <v>7</v>
      </c>
      <c r="C12" s="1">
        <v>180455.75780823454</v>
      </c>
      <c r="D12" s="1">
        <v>25779.393972604936</v>
      </c>
      <c r="E12" s="1">
        <v>32.458676365002098</v>
      </c>
      <c r="F12" s="1">
        <v>1.5166450938005029E-39</v>
      </c>
    </row>
    <row r="13" spans="1:9" x14ac:dyDescent="0.35">
      <c r="A13" s="1" t="s">
        <v>10</v>
      </c>
      <c r="B13" s="1">
        <v>760</v>
      </c>
      <c r="C13" s="1">
        <v>603608.69922301546</v>
      </c>
      <c r="D13" s="1">
        <v>794.22197266186242</v>
      </c>
      <c r="E13" s="1"/>
      <c r="F13" s="1"/>
    </row>
    <row r="14" spans="1:9" ht="15" thickBot="1" x14ac:dyDescent="0.4">
      <c r="A14" s="2" t="s">
        <v>20</v>
      </c>
      <c r="B14" s="2">
        <v>767</v>
      </c>
      <c r="C14" s="2">
        <v>784064.45703125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27</v>
      </c>
      <c r="C16" s="3" t="s">
        <v>16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 x14ac:dyDescent="0.35">
      <c r="A17" s="1" t="s">
        <v>21</v>
      </c>
      <c r="B17" s="1">
        <v>66.241156069326351</v>
      </c>
      <c r="C17" s="1">
        <v>5.5193124661762143</v>
      </c>
      <c r="D17" s="1">
        <v>12.001704283870396</v>
      </c>
      <c r="E17" s="1">
        <v>1.6405088781547338E-30</v>
      </c>
      <c r="F17" s="1">
        <v>55.406247378938808</v>
      </c>
      <c r="G17" s="1">
        <v>77.076064759713901</v>
      </c>
      <c r="H17" s="1">
        <v>55.406247378938808</v>
      </c>
      <c r="I17" s="1">
        <v>77.076064759713901</v>
      </c>
    </row>
    <row r="18" spans="1:9" x14ac:dyDescent="0.35">
      <c r="A18" s="1" t="s">
        <v>0</v>
      </c>
      <c r="B18" s="1">
        <v>5.8911769309963426E-2</v>
      </c>
      <c r="C18" s="1">
        <v>0.36123561096708129</v>
      </c>
      <c r="D18" s="1">
        <v>0.16308405794281433</v>
      </c>
      <c r="E18" s="1">
        <v>0.87049560570157924</v>
      </c>
      <c r="F18" s="1">
        <v>-0.65022634970946502</v>
      </c>
      <c r="G18" s="1">
        <v>0.76804988832939192</v>
      </c>
      <c r="H18" s="1">
        <v>-0.65022634970946502</v>
      </c>
      <c r="I18" s="1">
        <v>0.76804988832939192</v>
      </c>
    </row>
    <row r="19" spans="1:9" x14ac:dyDescent="0.35">
      <c r="A19" s="1" t="s">
        <v>1</v>
      </c>
      <c r="B19" s="1">
        <v>7.003275512302673E-2</v>
      </c>
      <c r="C19" s="1">
        <v>5.7097372164920397E-2</v>
      </c>
      <c r="D19" s="1">
        <v>1.2265495322752105</v>
      </c>
      <c r="E19" s="1">
        <v>0.22037180824513652</v>
      </c>
      <c r="F19" s="1">
        <v>-4.205454155734871E-2</v>
      </c>
      <c r="G19" s="1">
        <v>0.18212005180340218</v>
      </c>
      <c r="H19" s="1">
        <v>-4.205454155734871E-2</v>
      </c>
      <c r="I19" s="1">
        <v>0.18212005180340218</v>
      </c>
    </row>
    <row r="20" spans="1:9" x14ac:dyDescent="0.35">
      <c r="A20" s="1" t="s">
        <v>2</v>
      </c>
      <c r="B20" s="1">
        <v>-0.33424910143348563</v>
      </c>
      <c r="C20" s="1">
        <v>7.737554361761953E-2</v>
      </c>
      <c r="D20" s="1">
        <v>-4.319828796102601</v>
      </c>
      <c r="E20" s="1">
        <v>1.7687215997350477E-5</v>
      </c>
      <c r="F20" s="1">
        <v>-0.48614427952019051</v>
      </c>
      <c r="G20" s="1">
        <v>-0.18235392334678074</v>
      </c>
      <c r="H20" s="1">
        <v>-0.48614427952019051</v>
      </c>
      <c r="I20" s="1">
        <v>-0.18235392334678074</v>
      </c>
    </row>
    <row r="21" spans="1:9" x14ac:dyDescent="0.35">
      <c r="A21" s="1" t="s">
        <v>3</v>
      </c>
      <c r="B21" s="1">
        <v>0.10047853204004893</v>
      </c>
      <c r="C21" s="1">
        <v>9.9003181407777297E-3</v>
      </c>
      <c r="D21" s="1">
        <v>10.149020527552031</v>
      </c>
      <c r="E21" s="1">
        <v>8.7786176830180407E-23</v>
      </c>
      <c r="F21" s="1">
        <v>8.1043313664846087E-2</v>
      </c>
      <c r="G21" s="1">
        <v>0.11991375041525178</v>
      </c>
      <c r="H21" s="1">
        <v>8.1043313664846087E-2</v>
      </c>
      <c r="I21" s="1">
        <v>0.11991375041525178</v>
      </c>
    </row>
    <row r="22" spans="1:9" x14ac:dyDescent="0.35">
      <c r="A22" s="1" t="s">
        <v>4</v>
      </c>
      <c r="B22" s="1">
        <v>0.75029451690789661</v>
      </c>
      <c r="C22" s="1">
        <v>0.14447436618812445</v>
      </c>
      <c r="D22" s="1">
        <v>5.1932708666872802</v>
      </c>
      <c r="E22" s="1">
        <v>2.6556921538736429E-7</v>
      </c>
      <c r="F22" s="1">
        <v>0.46667829199892169</v>
      </c>
      <c r="G22" s="1">
        <v>1.0339107418168716</v>
      </c>
      <c r="H22" s="1">
        <v>0.46667829199892169</v>
      </c>
      <c r="I22" s="1">
        <v>1.0339107418168716</v>
      </c>
    </row>
    <row r="23" spans="1:9" x14ac:dyDescent="0.35">
      <c r="A23" s="1" t="s">
        <v>5</v>
      </c>
      <c r="B23" s="1">
        <v>6.3162432427357036</v>
      </c>
      <c r="C23" s="1">
        <v>3.1643122500493619</v>
      </c>
      <c r="D23" s="1">
        <v>1.9960872201019899</v>
      </c>
      <c r="E23" s="1">
        <v>4.6280820941070416E-2</v>
      </c>
      <c r="F23" s="1">
        <v>0.10441260128040852</v>
      </c>
      <c r="G23" s="1">
        <v>12.528073884190999</v>
      </c>
      <c r="H23" s="1">
        <v>0.10441260128040852</v>
      </c>
      <c r="I23" s="1">
        <v>12.528073884190999</v>
      </c>
    </row>
    <row r="24" spans="1:9" ht="15" thickBot="1" x14ac:dyDescent="0.4">
      <c r="A24" s="2" t="s">
        <v>6</v>
      </c>
      <c r="B24" s="2">
        <v>0.6452603920384814</v>
      </c>
      <c r="C24" s="2">
        <v>0.10651037602975882</v>
      </c>
      <c r="D24" s="2">
        <v>6.0581927892001497</v>
      </c>
      <c r="E24" s="2">
        <v>2.1646362068465E-9</v>
      </c>
      <c r="F24" s="2">
        <v>0.43617090744534104</v>
      </c>
      <c r="G24" s="2">
        <v>0.85434987663162176</v>
      </c>
      <c r="H24" s="2">
        <v>0.43617090744534104</v>
      </c>
      <c r="I24" s="2">
        <v>0.85434987663162176</v>
      </c>
    </row>
    <row r="28" spans="1:9" x14ac:dyDescent="0.35">
      <c r="A28" t="s">
        <v>34</v>
      </c>
    </row>
    <row r="29" spans="1:9" ht="15" thickBot="1" x14ac:dyDescent="0.4"/>
    <row r="30" spans="1:9" x14ac:dyDescent="0.35">
      <c r="A30" s="3" t="s">
        <v>35</v>
      </c>
      <c r="B30" s="3" t="s">
        <v>36</v>
      </c>
      <c r="C30" s="3" t="s">
        <v>37</v>
      </c>
    </row>
    <row r="31" spans="1:9" x14ac:dyDescent="0.35">
      <c r="A31" s="1">
        <v>1</v>
      </c>
      <c r="B31" s="1">
        <v>121.37146638709675</v>
      </c>
      <c r="C31" s="1">
        <v>26.628533612903254</v>
      </c>
    </row>
    <row r="32" spans="1:9" x14ac:dyDescent="0.35">
      <c r="A32" s="1">
        <v>2</v>
      </c>
      <c r="B32" s="1">
        <v>103.40691341632819</v>
      </c>
      <c r="C32" s="1">
        <v>-18.406913416328194</v>
      </c>
    </row>
    <row r="33" spans="1:3" x14ac:dyDescent="0.35">
      <c r="A33" s="1">
        <v>3</v>
      </c>
      <c r="B33" s="1">
        <v>113.56925679998355</v>
      </c>
      <c r="C33" s="1">
        <v>69.430743200016451</v>
      </c>
    </row>
    <row r="34" spans="1:3" x14ac:dyDescent="0.35">
      <c r="A34" s="1">
        <v>4</v>
      </c>
      <c r="B34" s="1">
        <v>108.36803913500738</v>
      </c>
      <c r="C34" s="1">
        <v>-19.368039135007379</v>
      </c>
    </row>
    <row r="35" spans="1:3" x14ac:dyDescent="0.35">
      <c r="A35" s="1">
        <v>5</v>
      </c>
      <c r="B35" s="1">
        <v>142.30699226218317</v>
      </c>
      <c r="C35" s="1">
        <v>-5.3069922621831722</v>
      </c>
    </row>
    <row r="36" spans="1:3" x14ac:dyDescent="0.35">
      <c r="A36" s="1">
        <v>6</v>
      </c>
      <c r="B36" s="1">
        <v>111.55305508076663</v>
      </c>
      <c r="C36" s="1">
        <v>4.4469449192333741</v>
      </c>
    </row>
    <row r="37" spans="1:3" x14ac:dyDescent="0.35">
      <c r="A37" s="1">
        <v>7</v>
      </c>
      <c r="B37" s="1">
        <v>109.66799724840411</v>
      </c>
      <c r="C37" s="1">
        <v>-31.667997248404106</v>
      </c>
    </row>
    <row r="38" spans="1:3" x14ac:dyDescent="0.35">
      <c r="A38" s="1">
        <v>8</v>
      </c>
      <c r="B38" s="1">
        <v>112.87459817291729</v>
      </c>
      <c r="C38" s="1">
        <v>2.1254018270827117</v>
      </c>
    </row>
    <row r="39" spans="1:3" x14ac:dyDescent="0.35">
      <c r="A39" s="1">
        <v>9</v>
      </c>
      <c r="B39" s="1">
        <v>168.86065577588045</v>
      </c>
      <c r="C39" s="1">
        <v>28.139344224119554</v>
      </c>
    </row>
    <row r="40" spans="1:3" x14ac:dyDescent="0.35">
      <c r="A40" s="1">
        <v>10</v>
      </c>
      <c r="B40" s="1">
        <v>109.74502431800931</v>
      </c>
      <c r="C40" s="1">
        <v>15.254975681990686</v>
      </c>
    </row>
    <row r="41" spans="1:3" x14ac:dyDescent="0.35">
      <c r="A41" s="1">
        <v>11</v>
      </c>
      <c r="B41" s="1">
        <v>121.69510467413853</v>
      </c>
      <c r="C41" s="1">
        <v>-11.695104674138534</v>
      </c>
    </row>
    <row r="42" spans="1:3" x14ac:dyDescent="0.35">
      <c r="A42" s="1">
        <v>12</v>
      </c>
      <c r="B42" s="1">
        <v>125.8545652346875</v>
      </c>
      <c r="C42" s="1">
        <v>42.145434765312501</v>
      </c>
    </row>
    <row r="43" spans="1:3" x14ac:dyDescent="0.35">
      <c r="A43" s="1">
        <v>13</v>
      </c>
      <c r="B43" s="1">
        <v>138.64742443944772</v>
      </c>
      <c r="C43" s="1">
        <v>0.35257556055228179</v>
      </c>
    </row>
    <row r="44" spans="1:3" x14ac:dyDescent="0.35">
      <c r="A44" s="1">
        <v>14</v>
      </c>
      <c r="B44" s="1">
        <v>210.98723481873603</v>
      </c>
      <c r="C44" s="1">
        <v>-21.987234818736027</v>
      </c>
    </row>
    <row r="45" spans="1:3" x14ac:dyDescent="0.35">
      <c r="A45" s="1">
        <v>15</v>
      </c>
      <c r="B45" s="1">
        <v>138.78459677817858</v>
      </c>
      <c r="C45" s="1">
        <v>27.215403221821418</v>
      </c>
    </row>
    <row r="46" spans="1:3" x14ac:dyDescent="0.35">
      <c r="A46" s="1">
        <v>16</v>
      </c>
      <c r="B46" s="1">
        <v>112.86776823644848</v>
      </c>
      <c r="C46" s="1">
        <v>-12.867768236448484</v>
      </c>
    </row>
    <row r="47" spans="1:3" x14ac:dyDescent="0.35">
      <c r="A47" s="1">
        <v>17</v>
      </c>
      <c r="B47" s="1">
        <v>137.37107315581997</v>
      </c>
      <c r="C47" s="1">
        <v>-19.371073155819971</v>
      </c>
    </row>
    <row r="48" spans="1:3" x14ac:dyDescent="0.35">
      <c r="A48" s="1">
        <v>18</v>
      </c>
      <c r="B48" s="1">
        <v>115.65207797092162</v>
      </c>
      <c r="C48" s="1">
        <v>-8.6520779709216242</v>
      </c>
    </row>
    <row r="49" spans="1:3" x14ac:dyDescent="0.35">
      <c r="A49" s="1">
        <v>19</v>
      </c>
      <c r="B49" s="1">
        <v>118.97652082998115</v>
      </c>
      <c r="C49" s="1">
        <v>-15.976520829981155</v>
      </c>
    </row>
    <row r="50" spans="1:3" x14ac:dyDescent="0.35">
      <c r="A50" s="1">
        <v>20</v>
      </c>
      <c r="B50" s="1">
        <v>120.77064223574013</v>
      </c>
      <c r="C50" s="1">
        <v>-5.7706422357401266</v>
      </c>
    </row>
    <row r="51" spans="1:3" x14ac:dyDescent="0.35">
      <c r="A51" s="1">
        <v>21</v>
      </c>
      <c r="B51" s="1">
        <v>133.84425604112644</v>
      </c>
      <c r="C51" s="1">
        <v>-7.8442560411264424</v>
      </c>
    </row>
    <row r="52" spans="1:3" x14ac:dyDescent="0.35">
      <c r="A52" s="1">
        <v>22</v>
      </c>
      <c r="B52" s="1">
        <v>133.86934953278535</v>
      </c>
      <c r="C52" s="1">
        <v>-34.86934953278535</v>
      </c>
    </row>
    <row r="53" spans="1:3" x14ac:dyDescent="0.35">
      <c r="A53" s="1">
        <v>23</v>
      </c>
      <c r="B53" s="1">
        <v>132.12250996455433</v>
      </c>
      <c r="C53" s="1">
        <v>63.877490035445675</v>
      </c>
    </row>
    <row r="54" spans="1:3" x14ac:dyDescent="0.35">
      <c r="A54" s="1">
        <v>24</v>
      </c>
      <c r="B54" s="1">
        <v>102.80752818507059</v>
      </c>
      <c r="C54" s="1">
        <v>16.192471814929405</v>
      </c>
    </row>
    <row r="55" spans="1:3" x14ac:dyDescent="0.35">
      <c r="A55" s="1">
        <v>25</v>
      </c>
      <c r="B55" s="1">
        <v>139.08529494028903</v>
      </c>
      <c r="C55" s="1">
        <v>3.9147050597109683</v>
      </c>
    </row>
    <row r="56" spans="1:3" x14ac:dyDescent="0.35">
      <c r="A56" s="1">
        <v>26</v>
      </c>
      <c r="B56" s="1">
        <v>125.68178658254701</v>
      </c>
      <c r="C56" s="1">
        <v>-0.68178658254700508</v>
      </c>
    </row>
    <row r="57" spans="1:3" x14ac:dyDescent="0.35">
      <c r="A57" s="1">
        <v>27</v>
      </c>
      <c r="B57" s="1">
        <v>130.90710318105502</v>
      </c>
      <c r="C57" s="1">
        <v>16.092896818944979</v>
      </c>
    </row>
    <row r="58" spans="1:3" x14ac:dyDescent="0.35">
      <c r="A58" s="1">
        <v>28</v>
      </c>
      <c r="B58" s="1">
        <v>114.65405951718273</v>
      </c>
      <c r="C58" s="1">
        <v>-17.654059517182731</v>
      </c>
    </row>
    <row r="59" spans="1:3" x14ac:dyDescent="0.35">
      <c r="A59" s="1">
        <v>29</v>
      </c>
      <c r="B59" s="1">
        <v>132.43546080363222</v>
      </c>
      <c r="C59" s="1">
        <v>12.564539196367775</v>
      </c>
    </row>
    <row r="60" spans="1:3" x14ac:dyDescent="0.35">
      <c r="A60" s="1">
        <v>30</v>
      </c>
      <c r="B60" s="1">
        <v>125.21224028401814</v>
      </c>
      <c r="C60" s="1">
        <v>-8.2122402840181365</v>
      </c>
    </row>
    <row r="61" spans="1:3" x14ac:dyDescent="0.35">
      <c r="A61" s="1">
        <v>31</v>
      </c>
      <c r="B61" s="1">
        <v>132.27258985435938</v>
      </c>
      <c r="C61" s="1">
        <v>-23.272589854359381</v>
      </c>
    </row>
    <row r="62" spans="1:3" x14ac:dyDescent="0.35">
      <c r="A62" s="1">
        <v>32</v>
      </c>
      <c r="B62" s="1">
        <v>131.47637417574785</v>
      </c>
      <c r="C62" s="1">
        <v>26.52362582425215</v>
      </c>
    </row>
    <row r="63" spans="1:3" x14ac:dyDescent="0.35">
      <c r="A63" s="1">
        <v>33</v>
      </c>
      <c r="B63" s="1">
        <v>106.71836137875896</v>
      </c>
      <c r="C63" s="1">
        <v>-18.718361378758956</v>
      </c>
    </row>
    <row r="64" spans="1:3" x14ac:dyDescent="0.35">
      <c r="A64" s="1">
        <v>34</v>
      </c>
      <c r="B64" s="1">
        <v>107.22324574968353</v>
      </c>
      <c r="C64" s="1">
        <v>-15.223245749683528</v>
      </c>
    </row>
    <row r="65" spans="1:3" x14ac:dyDescent="0.35">
      <c r="A65" s="1">
        <v>35</v>
      </c>
      <c r="B65" s="1">
        <v>114.9098693662543</v>
      </c>
      <c r="C65" s="1">
        <v>7.0901306337457015</v>
      </c>
    </row>
    <row r="66" spans="1:3" x14ac:dyDescent="0.35">
      <c r="A66" s="1">
        <v>36</v>
      </c>
      <c r="B66" s="1">
        <v>124.34257857387425</v>
      </c>
      <c r="C66" s="1">
        <v>-21.342578573874249</v>
      </c>
    </row>
    <row r="67" spans="1:3" x14ac:dyDescent="0.35">
      <c r="A67" s="1">
        <v>37</v>
      </c>
      <c r="B67" s="1">
        <v>122.35838876572399</v>
      </c>
      <c r="C67" s="1">
        <v>15.641611234276013</v>
      </c>
    </row>
    <row r="68" spans="1:3" x14ac:dyDescent="0.35">
      <c r="A68" s="1">
        <v>38</v>
      </c>
      <c r="B68" s="1">
        <v>118.29360402588625</v>
      </c>
      <c r="C68" s="1">
        <v>-16.293604025886253</v>
      </c>
    </row>
    <row r="69" spans="1:3" x14ac:dyDescent="0.35">
      <c r="A69" s="1">
        <v>39</v>
      </c>
      <c r="B69" s="1">
        <v>106.34309617812241</v>
      </c>
      <c r="C69" s="1">
        <v>-16.343096178122408</v>
      </c>
    </row>
    <row r="70" spans="1:3" x14ac:dyDescent="0.35">
      <c r="A70" s="1">
        <v>40</v>
      </c>
      <c r="B70" s="1">
        <v>149.35859651918096</v>
      </c>
      <c r="C70" s="1">
        <v>-38.358596519180963</v>
      </c>
    </row>
    <row r="71" spans="1:3" x14ac:dyDescent="0.35">
      <c r="A71" s="1">
        <v>41</v>
      </c>
      <c r="B71" s="1">
        <v>113.5757430987466</v>
      </c>
      <c r="C71" s="1">
        <v>66.424256901253401</v>
      </c>
    </row>
    <row r="72" spans="1:3" x14ac:dyDescent="0.35">
      <c r="A72" s="1">
        <v>42</v>
      </c>
      <c r="B72" s="1">
        <v>130.96886926689564</v>
      </c>
      <c r="C72" s="1">
        <v>2.0311307331043622</v>
      </c>
    </row>
    <row r="73" spans="1:3" x14ac:dyDescent="0.35">
      <c r="A73" s="1">
        <v>43</v>
      </c>
      <c r="B73" s="1">
        <v>116.56856961371108</v>
      </c>
      <c r="C73" s="1">
        <v>-10.568569613711077</v>
      </c>
    </row>
    <row r="74" spans="1:3" x14ac:dyDescent="0.35">
      <c r="A74" s="1">
        <v>44</v>
      </c>
      <c r="B74" s="1">
        <v>164.02927792756597</v>
      </c>
      <c r="C74" s="1">
        <v>6.9707220724340289</v>
      </c>
    </row>
    <row r="75" spans="1:3" x14ac:dyDescent="0.35">
      <c r="A75" s="1">
        <v>45</v>
      </c>
      <c r="B75" s="1">
        <v>119.36109574054971</v>
      </c>
      <c r="C75" s="1">
        <v>39.638904259450285</v>
      </c>
    </row>
    <row r="76" spans="1:3" x14ac:dyDescent="0.35">
      <c r="A76" s="1">
        <v>46</v>
      </c>
      <c r="B76" s="1">
        <v>117.42813092113256</v>
      </c>
      <c r="C76" s="1">
        <v>62.571869078867437</v>
      </c>
    </row>
    <row r="77" spans="1:3" x14ac:dyDescent="0.35">
      <c r="A77" s="1">
        <v>47</v>
      </c>
      <c r="B77" s="1">
        <v>114.78056183570924</v>
      </c>
      <c r="C77" s="1">
        <v>31.219438164290764</v>
      </c>
    </row>
    <row r="78" spans="1:3" x14ac:dyDescent="0.35">
      <c r="A78" s="1">
        <v>48</v>
      </c>
      <c r="B78" s="1">
        <v>101.14184036636486</v>
      </c>
      <c r="C78" s="1">
        <v>-30.14184036636486</v>
      </c>
    </row>
    <row r="79" spans="1:3" x14ac:dyDescent="0.35">
      <c r="A79" s="1">
        <v>49</v>
      </c>
      <c r="B79" s="1">
        <v>112.0921044865371</v>
      </c>
      <c r="C79" s="1">
        <v>-9.0921044865370959</v>
      </c>
    </row>
    <row r="80" spans="1:3" x14ac:dyDescent="0.35">
      <c r="A80" s="1">
        <v>50</v>
      </c>
      <c r="B80" s="1">
        <v>84.066242052454044</v>
      </c>
      <c r="C80" s="1">
        <v>20.933757947545956</v>
      </c>
    </row>
    <row r="81" spans="1:3" x14ac:dyDescent="0.35">
      <c r="A81" s="1">
        <v>51</v>
      </c>
      <c r="B81" s="1">
        <v>108.31790544503714</v>
      </c>
      <c r="C81" s="1">
        <v>-5.317905445037141</v>
      </c>
    </row>
    <row r="82" spans="1:3" x14ac:dyDescent="0.35">
      <c r="A82" s="1">
        <v>52</v>
      </c>
      <c r="B82" s="1">
        <v>106.66143767457773</v>
      </c>
      <c r="C82" s="1">
        <v>-5.6614376745777264</v>
      </c>
    </row>
    <row r="83" spans="1:3" x14ac:dyDescent="0.35">
      <c r="A83" s="1">
        <v>53</v>
      </c>
      <c r="B83" s="1">
        <v>106.2748050235366</v>
      </c>
      <c r="C83" s="1">
        <v>-18.274805023536601</v>
      </c>
    </row>
    <row r="84" spans="1:3" x14ac:dyDescent="0.35">
      <c r="A84" s="1">
        <v>54</v>
      </c>
      <c r="B84" s="1">
        <v>157.45420190054026</v>
      </c>
      <c r="C84" s="1">
        <v>18.545798099459745</v>
      </c>
    </row>
    <row r="85" spans="1:3" x14ac:dyDescent="0.35">
      <c r="A85" s="1">
        <v>55</v>
      </c>
      <c r="B85" s="1">
        <v>149.27211484071069</v>
      </c>
      <c r="C85" s="1">
        <v>0.72788515928931474</v>
      </c>
    </row>
    <row r="86" spans="1:3" x14ac:dyDescent="0.35">
      <c r="A86" s="1">
        <v>56</v>
      </c>
      <c r="B86" s="1">
        <v>98.832885026340989</v>
      </c>
      <c r="C86" s="1">
        <v>-25.832885026340989</v>
      </c>
    </row>
    <row r="87" spans="1:3" x14ac:dyDescent="0.35">
      <c r="A87" s="1">
        <v>57</v>
      </c>
      <c r="B87" s="1">
        <v>145.27162973179117</v>
      </c>
      <c r="C87" s="1">
        <v>41.728370268208835</v>
      </c>
    </row>
    <row r="88" spans="1:3" x14ac:dyDescent="0.35">
      <c r="A88" s="1">
        <v>58</v>
      </c>
      <c r="B88" s="1">
        <v>124.59481250254319</v>
      </c>
      <c r="C88" s="1">
        <v>-24.594812502543192</v>
      </c>
    </row>
    <row r="89" spans="1:3" x14ac:dyDescent="0.35">
      <c r="A89" s="1">
        <v>59</v>
      </c>
      <c r="B89" s="1">
        <v>142.01145638918982</v>
      </c>
      <c r="C89" s="1">
        <v>3.9885436108101828</v>
      </c>
    </row>
    <row r="90" spans="1:3" x14ac:dyDescent="0.35">
      <c r="A90" s="1">
        <v>60</v>
      </c>
      <c r="B90" s="1">
        <v>117.71265194563168</v>
      </c>
      <c r="C90" s="1">
        <v>-12.712651945631677</v>
      </c>
    </row>
    <row r="91" spans="1:3" x14ac:dyDescent="0.35">
      <c r="A91" s="1">
        <v>61</v>
      </c>
      <c r="B91" s="1">
        <v>81.829585786546048</v>
      </c>
      <c r="C91" s="1">
        <v>2.1704142134539524</v>
      </c>
    </row>
    <row r="92" spans="1:3" x14ac:dyDescent="0.35">
      <c r="A92" s="1">
        <v>62</v>
      </c>
      <c r="B92" s="1">
        <v>123.31003916397319</v>
      </c>
      <c r="C92" s="1">
        <v>9.6899608360268132</v>
      </c>
    </row>
    <row r="93" spans="1:3" x14ac:dyDescent="0.35">
      <c r="A93" s="1">
        <v>63</v>
      </c>
      <c r="B93" s="1">
        <v>116.57211755307243</v>
      </c>
      <c r="C93" s="1">
        <v>-72.572117553072431</v>
      </c>
    </row>
    <row r="94" spans="1:3" x14ac:dyDescent="0.35">
      <c r="A94" s="1">
        <v>64</v>
      </c>
      <c r="B94" s="1">
        <v>110.87644622252596</v>
      </c>
      <c r="C94" s="1">
        <v>30.123553777474044</v>
      </c>
    </row>
    <row r="95" spans="1:3" x14ac:dyDescent="0.35">
      <c r="A95" s="1">
        <v>65</v>
      </c>
      <c r="B95" s="1">
        <v>124.6158876694369</v>
      </c>
      <c r="C95" s="1">
        <v>-10.615887669436901</v>
      </c>
    </row>
    <row r="96" spans="1:3" x14ac:dyDescent="0.35">
      <c r="A96" s="1">
        <v>66</v>
      </c>
      <c r="B96" s="1">
        <v>106.38248397011179</v>
      </c>
      <c r="C96" s="1">
        <v>-7.3824839701117924</v>
      </c>
    </row>
    <row r="97" spans="1:3" x14ac:dyDescent="0.35">
      <c r="A97" s="1">
        <v>67</v>
      </c>
      <c r="B97" s="1">
        <v>116.68142014665609</v>
      </c>
      <c r="C97" s="1">
        <v>-7.6814201466560945</v>
      </c>
    </row>
    <row r="98" spans="1:3" x14ac:dyDescent="0.35">
      <c r="A98" s="1">
        <v>68</v>
      </c>
      <c r="B98" s="1">
        <v>145.02085566142159</v>
      </c>
      <c r="C98" s="1">
        <v>-36.020855661421592</v>
      </c>
    </row>
    <row r="99" spans="1:3" x14ac:dyDescent="0.35">
      <c r="A99" s="1">
        <v>69</v>
      </c>
      <c r="B99" s="1">
        <v>103.34208315107315</v>
      </c>
      <c r="C99" s="1">
        <v>-8.3420831510731546</v>
      </c>
    </row>
    <row r="100" spans="1:3" x14ac:dyDescent="0.35">
      <c r="A100" s="1">
        <v>70</v>
      </c>
      <c r="B100" s="1">
        <v>113.75202689387851</v>
      </c>
      <c r="C100" s="1">
        <v>32.247973106121492</v>
      </c>
    </row>
    <row r="101" spans="1:3" x14ac:dyDescent="0.35">
      <c r="A101" s="1">
        <v>71</v>
      </c>
      <c r="B101" s="1">
        <v>121.56739077579988</v>
      </c>
      <c r="C101" s="1">
        <v>-21.567390775799879</v>
      </c>
    </row>
    <row r="102" spans="1:3" x14ac:dyDescent="0.35">
      <c r="A102" s="1">
        <v>72</v>
      </c>
      <c r="B102" s="1">
        <v>114.21725652851546</v>
      </c>
      <c r="C102" s="1">
        <v>24.782743471484537</v>
      </c>
    </row>
    <row r="103" spans="1:3" x14ac:dyDescent="0.35">
      <c r="A103" s="1">
        <v>73</v>
      </c>
      <c r="B103" s="1">
        <v>136.65604534136213</v>
      </c>
      <c r="C103" s="1">
        <v>-10.65604534136213</v>
      </c>
    </row>
    <row r="104" spans="1:3" x14ac:dyDescent="0.35">
      <c r="A104" s="1">
        <v>74</v>
      </c>
      <c r="B104" s="1">
        <v>135.57922045871419</v>
      </c>
      <c r="C104" s="1">
        <v>-6.5792204587141896</v>
      </c>
    </row>
    <row r="105" spans="1:3" x14ac:dyDescent="0.35">
      <c r="A105" s="1">
        <v>75</v>
      </c>
      <c r="B105" s="1">
        <v>102.23143691988136</v>
      </c>
      <c r="C105" s="1">
        <v>-23.231436919881361</v>
      </c>
    </row>
    <row r="106" spans="1:3" x14ac:dyDescent="0.35">
      <c r="A106" s="1">
        <v>76</v>
      </c>
      <c r="B106" s="1">
        <v>96.588935302326504</v>
      </c>
      <c r="C106" s="1">
        <v>-96.588935302326504</v>
      </c>
    </row>
    <row r="107" spans="1:3" x14ac:dyDescent="0.35">
      <c r="A107" s="1">
        <v>77</v>
      </c>
      <c r="B107" s="1">
        <v>125.501021786777</v>
      </c>
      <c r="C107" s="1">
        <v>-63.501021786777002</v>
      </c>
    </row>
    <row r="108" spans="1:3" x14ac:dyDescent="0.35">
      <c r="A108" s="1">
        <v>78</v>
      </c>
      <c r="B108" s="1">
        <v>108.59299680970797</v>
      </c>
      <c r="C108" s="1">
        <v>-13.592996809707969</v>
      </c>
    </row>
    <row r="109" spans="1:3" x14ac:dyDescent="0.35">
      <c r="A109" s="1">
        <v>79</v>
      </c>
      <c r="B109" s="1">
        <v>117.13603506828663</v>
      </c>
      <c r="C109" s="1">
        <v>13.863964931713369</v>
      </c>
    </row>
    <row r="110" spans="1:3" x14ac:dyDescent="0.35">
      <c r="A110" s="1">
        <v>80</v>
      </c>
      <c r="B110" s="1">
        <v>99.810360221670194</v>
      </c>
      <c r="C110" s="1">
        <v>12.189639778329806</v>
      </c>
    </row>
    <row r="111" spans="1:3" x14ac:dyDescent="0.35">
      <c r="A111" s="1">
        <v>81</v>
      </c>
      <c r="B111" s="1">
        <v>97.040694141600568</v>
      </c>
      <c r="C111" s="1">
        <v>15.959305858399432</v>
      </c>
    </row>
    <row r="112" spans="1:3" x14ac:dyDescent="0.35">
      <c r="A112" s="1">
        <v>82</v>
      </c>
      <c r="B112" s="1">
        <v>81.198965043551922</v>
      </c>
      <c r="C112" s="1">
        <v>-7.1989650435519223</v>
      </c>
    </row>
    <row r="113" spans="1:3" x14ac:dyDescent="0.35">
      <c r="A113" s="1">
        <v>83</v>
      </c>
      <c r="B113" s="1">
        <v>120.61715451763001</v>
      </c>
      <c r="C113" s="1">
        <v>-37.617154517630013</v>
      </c>
    </row>
    <row r="114" spans="1:3" x14ac:dyDescent="0.35">
      <c r="A114" s="1">
        <v>84</v>
      </c>
      <c r="B114" s="1">
        <v>95.584233701494696</v>
      </c>
      <c r="C114" s="1">
        <v>5.4157662985053037</v>
      </c>
    </row>
    <row r="115" spans="1:3" x14ac:dyDescent="0.35">
      <c r="A115" s="1">
        <v>85</v>
      </c>
      <c r="B115" s="1">
        <v>136.02204661579322</v>
      </c>
      <c r="C115" s="1">
        <v>0.9779533842067849</v>
      </c>
    </row>
    <row r="116" spans="1:3" x14ac:dyDescent="0.35">
      <c r="A116" s="1">
        <v>86</v>
      </c>
      <c r="B116" s="1">
        <v>120.54830676676966</v>
      </c>
      <c r="C116" s="1">
        <v>-10.548306766769656</v>
      </c>
    </row>
    <row r="117" spans="1:3" x14ac:dyDescent="0.35">
      <c r="A117" s="1">
        <v>87</v>
      </c>
      <c r="B117" s="1">
        <v>111.62170421957319</v>
      </c>
      <c r="C117" s="1">
        <v>-5.6217042195731892</v>
      </c>
    </row>
    <row r="118" spans="1:3" x14ac:dyDescent="0.35">
      <c r="A118" s="1">
        <v>88</v>
      </c>
      <c r="B118" s="1">
        <v>117.60852709991931</v>
      </c>
      <c r="C118" s="1">
        <v>-17.608527099919314</v>
      </c>
    </row>
    <row r="119" spans="1:3" x14ac:dyDescent="0.35">
      <c r="A119" s="1">
        <v>89</v>
      </c>
      <c r="B119" s="1">
        <v>128.93230139719776</v>
      </c>
      <c r="C119" s="1">
        <v>7.0676986028022384</v>
      </c>
    </row>
    <row r="120" spans="1:3" x14ac:dyDescent="0.35">
      <c r="A120" s="1">
        <v>90</v>
      </c>
      <c r="B120" s="1">
        <v>101.12279650180011</v>
      </c>
      <c r="C120" s="1">
        <v>5.87720349819989</v>
      </c>
    </row>
    <row r="121" spans="1:3" x14ac:dyDescent="0.35">
      <c r="A121" s="1">
        <v>91</v>
      </c>
      <c r="B121" s="1">
        <v>99.662553632777531</v>
      </c>
      <c r="C121" s="1">
        <v>-19.662553632777531</v>
      </c>
    </row>
    <row r="122" spans="1:3" x14ac:dyDescent="0.35">
      <c r="A122" s="1">
        <v>92</v>
      </c>
      <c r="B122" s="1">
        <v>133.49628230084764</v>
      </c>
      <c r="C122" s="1">
        <v>-10.496282300847639</v>
      </c>
    </row>
    <row r="123" spans="1:3" x14ac:dyDescent="0.35">
      <c r="A123" s="1">
        <v>93</v>
      </c>
      <c r="B123" s="1">
        <v>127.35732872624412</v>
      </c>
      <c r="C123" s="1">
        <v>-46.35732872624412</v>
      </c>
    </row>
    <row r="124" spans="1:3" x14ac:dyDescent="0.35">
      <c r="A124" s="1">
        <v>94</v>
      </c>
      <c r="B124" s="1">
        <v>129.84139391837874</v>
      </c>
      <c r="C124" s="1">
        <v>4.158606081621258</v>
      </c>
    </row>
    <row r="125" spans="1:3" x14ac:dyDescent="0.35">
      <c r="A125" s="1">
        <v>95</v>
      </c>
      <c r="B125" s="1">
        <v>109.4052116609499</v>
      </c>
      <c r="C125" s="1">
        <v>32.594788339050098</v>
      </c>
    </row>
    <row r="126" spans="1:3" x14ac:dyDescent="0.35">
      <c r="A126" s="1">
        <v>96</v>
      </c>
      <c r="B126" s="1">
        <v>138.37740645208567</v>
      </c>
      <c r="C126" s="1">
        <v>5.6225935479143345</v>
      </c>
    </row>
    <row r="127" spans="1:3" x14ac:dyDescent="0.35">
      <c r="A127" s="1">
        <v>97</v>
      </c>
      <c r="B127" s="1">
        <v>101.35870335020508</v>
      </c>
      <c r="C127" s="1">
        <v>-9.3587033502050758</v>
      </c>
    </row>
    <row r="128" spans="1:3" x14ac:dyDescent="0.35">
      <c r="A128" s="1">
        <v>98</v>
      </c>
      <c r="B128" s="1">
        <v>102.8234080309539</v>
      </c>
      <c r="C128" s="1">
        <v>-31.8234080309539</v>
      </c>
    </row>
    <row r="129" spans="1:3" x14ac:dyDescent="0.35">
      <c r="A129" s="1">
        <v>99</v>
      </c>
      <c r="B129" s="1">
        <v>105.12244169545164</v>
      </c>
      <c r="C129" s="1">
        <v>-12.122441695451641</v>
      </c>
    </row>
    <row r="130" spans="1:3" x14ac:dyDescent="0.35">
      <c r="A130" s="1">
        <v>100</v>
      </c>
      <c r="B130" s="1">
        <v>137.00707737281618</v>
      </c>
      <c r="C130" s="1">
        <v>-15.007077372816184</v>
      </c>
    </row>
    <row r="131" spans="1:3" x14ac:dyDescent="0.35">
      <c r="A131" s="1">
        <v>101</v>
      </c>
      <c r="B131" s="1">
        <v>129.61595454679511</v>
      </c>
      <c r="C131" s="1">
        <v>33.384045453204891</v>
      </c>
    </row>
    <row r="132" spans="1:3" x14ac:dyDescent="0.35">
      <c r="A132" s="1">
        <v>102</v>
      </c>
      <c r="B132" s="1">
        <v>105.4110562026103</v>
      </c>
      <c r="C132" s="1">
        <v>45.588943797389703</v>
      </c>
    </row>
    <row r="133" spans="1:3" x14ac:dyDescent="0.35">
      <c r="A133" s="1">
        <v>103</v>
      </c>
      <c r="B133" s="1">
        <v>105.05125115396947</v>
      </c>
      <c r="C133" s="1">
        <v>19.948748846030526</v>
      </c>
    </row>
    <row r="134" spans="1:3" x14ac:dyDescent="0.35">
      <c r="A134" s="1">
        <v>104</v>
      </c>
      <c r="B134" s="1">
        <v>106.57666405966127</v>
      </c>
      <c r="C134" s="1">
        <v>-25.576664059661269</v>
      </c>
    </row>
    <row r="135" spans="1:3" x14ac:dyDescent="0.35">
      <c r="A135" s="1">
        <v>105</v>
      </c>
      <c r="B135" s="1">
        <v>123.91890836127894</v>
      </c>
      <c r="C135" s="1">
        <v>-38.918908361278937</v>
      </c>
    </row>
    <row r="136" spans="1:3" x14ac:dyDescent="0.35">
      <c r="A136" s="1">
        <v>106</v>
      </c>
      <c r="B136" s="1">
        <v>115.9446467595382</v>
      </c>
      <c r="C136" s="1">
        <v>10.055353240461798</v>
      </c>
    </row>
    <row r="137" spans="1:3" x14ac:dyDescent="0.35">
      <c r="A137" s="1">
        <v>107</v>
      </c>
      <c r="B137" s="1">
        <v>110.38015407866773</v>
      </c>
      <c r="C137" s="1">
        <v>-14.380154078667729</v>
      </c>
    </row>
    <row r="138" spans="1:3" x14ac:dyDescent="0.35">
      <c r="A138" s="1">
        <v>108</v>
      </c>
      <c r="B138" s="1">
        <v>123.06780715404291</v>
      </c>
      <c r="C138" s="1">
        <v>20.93219284595709</v>
      </c>
    </row>
    <row r="139" spans="1:3" x14ac:dyDescent="0.35">
      <c r="A139" s="1">
        <v>109</v>
      </c>
      <c r="B139" s="1">
        <v>105.9155520671367</v>
      </c>
      <c r="C139" s="1">
        <v>-22.915552067136701</v>
      </c>
    </row>
    <row r="140" spans="1:3" x14ac:dyDescent="0.35">
      <c r="A140" s="1">
        <v>110</v>
      </c>
      <c r="B140" s="1">
        <v>112.56231629462286</v>
      </c>
      <c r="C140" s="1">
        <v>-17.56231629462286</v>
      </c>
    </row>
    <row r="141" spans="1:3" x14ac:dyDescent="0.35">
      <c r="A141" s="1">
        <v>111</v>
      </c>
      <c r="B141" s="1">
        <v>115.72262045147666</v>
      </c>
      <c r="C141" s="1">
        <v>55.277379548523342</v>
      </c>
    </row>
    <row r="142" spans="1:3" x14ac:dyDescent="0.35">
      <c r="A142" s="1">
        <v>112</v>
      </c>
      <c r="B142" s="1">
        <v>170.72258945343142</v>
      </c>
      <c r="C142" s="1">
        <v>-15.722589453431425</v>
      </c>
    </row>
    <row r="143" spans="1:3" x14ac:dyDescent="0.35">
      <c r="A143" s="1">
        <v>113</v>
      </c>
      <c r="B143" s="1">
        <v>103.43869011174634</v>
      </c>
      <c r="C143" s="1">
        <v>-14.43869011174634</v>
      </c>
    </row>
    <row r="144" spans="1:3" x14ac:dyDescent="0.35">
      <c r="A144" s="1">
        <v>114</v>
      </c>
      <c r="B144" s="1">
        <v>114.93000844793403</v>
      </c>
      <c r="C144" s="1">
        <v>-38.930008447934028</v>
      </c>
    </row>
    <row r="145" spans="1:3" x14ac:dyDescent="0.35">
      <c r="A145" s="1">
        <v>115</v>
      </c>
      <c r="B145" s="1">
        <v>129.08616817419679</v>
      </c>
      <c r="C145" s="1">
        <v>30.913831825803214</v>
      </c>
    </row>
    <row r="146" spans="1:3" x14ac:dyDescent="0.35">
      <c r="A146" s="1">
        <v>116</v>
      </c>
      <c r="B146" s="1">
        <v>139.09434456759294</v>
      </c>
      <c r="C146" s="1">
        <v>6.9056554324070589</v>
      </c>
    </row>
    <row r="147" spans="1:3" x14ac:dyDescent="0.35">
      <c r="A147" s="1">
        <v>117</v>
      </c>
      <c r="B147" s="1">
        <v>123.13762078071278</v>
      </c>
      <c r="C147" s="1">
        <v>0.86237921928722017</v>
      </c>
    </row>
    <row r="148" spans="1:3" x14ac:dyDescent="0.35">
      <c r="A148" s="1">
        <v>118</v>
      </c>
      <c r="B148" s="1">
        <v>115.44454526328876</v>
      </c>
      <c r="C148" s="1">
        <v>-37.444545263288759</v>
      </c>
    </row>
    <row r="149" spans="1:3" x14ac:dyDescent="0.35">
      <c r="A149" s="1">
        <v>119</v>
      </c>
      <c r="B149" s="1">
        <v>101.14316887915882</v>
      </c>
      <c r="C149" s="1">
        <v>-4.1431688791588215</v>
      </c>
    </row>
    <row r="150" spans="1:3" x14ac:dyDescent="0.35">
      <c r="A150" s="1">
        <v>120</v>
      </c>
      <c r="B150" s="1">
        <v>104.27578441665781</v>
      </c>
      <c r="C150" s="1">
        <v>-5.2757844166578138</v>
      </c>
    </row>
    <row r="151" spans="1:3" x14ac:dyDescent="0.35">
      <c r="A151" s="1">
        <v>121</v>
      </c>
      <c r="B151" s="1">
        <v>123.7347557041046</v>
      </c>
      <c r="C151" s="1">
        <v>38.2652442958954</v>
      </c>
    </row>
    <row r="152" spans="1:3" x14ac:dyDescent="0.35">
      <c r="A152" s="1">
        <v>122</v>
      </c>
      <c r="B152" s="1">
        <v>100.8295531874388</v>
      </c>
      <c r="C152" s="1">
        <v>10.170446812561195</v>
      </c>
    </row>
    <row r="153" spans="1:3" x14ac:dyDescent="0.35">
      <c r="A153" s="1">
        <v>123</v>
      </c>
      <c r="B153" s="1">
        <v>114.16443070310621</v>
      </c>
      <c r="C153" s="1">
        <v>-7.1644307031062056</v>
      </c>
    </row>
    <row r="154" spans="1:3" x14ac:dyDescent="0.35">
      <c r="A154" s="1">
        <v>124</v>
      </c>
      <c r="B154" s="1">
        <v>137.94401667265402</v>
      </c>
      <c r="C154" s="1">
        <v>-5.9440166726540156</v>
      </c>
    </row>
    <row r="155" spans="1:3" x14ac:dyDescent="0.35">
      <c r="A155" s="1">
        <v>125</v>
      </c>
      <c r="B155" s="1">
        <v>113.14535751007493</v>
      </c>
      <c r="C155" s="1">
        <v>-0.14535751007493047</v>
      </c>
    </row>
    <row r="156" spans="1:3" x14ac:dyDescent="0.35">
      <c r="A156" s="1">
        <v>126</v>
      </c>
      <c r="B156" s="1">
        <v>125.4857881754173</v>
      </c>
      <c r="C156" s="1">
        <v>-37.485788175417298</v>
      </c>
    </row>
    <row r="157" spans="1:3" x14ac:dyDescent="0.35">
      <c r="A157" s="1">
        <v>127</v>
      </c>
      <c r="B157" s="1">
        <v>129.2577015004899</v>
      </c>
      <c r="C157" s="1">
        <v>-9.257701500489901</v>
      </c>
    </row>
    <row r="158" spans="1:3" x14ac:dyDescent="0.35">
      <c r="A158" s="1">
        <v>128</v>
      </c>
      <c r="B158" s="1">
        <v>109.24831791220304</v>
      </c>
      <c r="C158" s="1">
        <v>8.751682087796965</v>
      </c>
    </row>
    <row r="159" spans="1:3" x14ac:dyDescent="0.35">
      <c r="A159" s="1">
        <v>129</v>
      </c>
      <c r="B159" s="1">
        <v>133.25138154255029</v>
      </c>
      <c r="C159" s="1">
        <v>-16.251381542550291</v>
      </c>
    </row>
    <row r="160" spans="1:3" x14ac:dyDescent="0.35">
      <c r="A160" s="1">
        <v>130</v>
      </c>
      <c r="B160" s="1">
        <v>137.74360507064392</v>
      </c>
      <c r="C160" s="1">
        <v>-32.743605070643923</v>
      </c>
    </row>
    <row r="161" spans="1:3" x14ac:dyDescent="0.35">
      <c r="A161" s="1">
        <v>131</v>
      </c>
      <c r="B161" s="1">
        <v>129.43750586789949</v>
      </c>
      <c r="C161" s="1">
        <v>43.562494132100511</v>
      </c>
    </row>
    <row r="162" spans="1:3" x14ac:dyDescent="0.35">
      <c r="A162" s="1">
        <v>132</v>
      </c>
      <c r="B162" s="1">
        <v>124.00789160271592</v>
      </c>
      <c r="C162" s="1">
        <v>-2.0078916027159153</v>
      </c>
    </row>
    <row r="163" spans="1:3" x14ac:dyDescent="0.35">
      <c r="A163" s="1">
        <v>133</v>
      </c>
      <c r="B163" s="1">
        <v>128.63199584999276</v>
      </c>
      <c r="C163" s="1">
        <v>41.368004150007238</v>
      </c>
    </row>
    <row r="164" spans="1:3" x14ac:dyDescent="0.35">
      <c r="A164" s="1">
        <v>134</v>
      </c>
      <c r="B164" s="1">
        <v>118.32111040747542</v>
      </c>
      <c r="C164" s="1">
        <v>-34.321110407475416</v>
      </c>
    </row>
    <row r="165" spans="1:3" x14ac:dyDescent="0.35">
      <c r="A165" s="1">
        <v>135</v>
      </c>
      <c r="B165" s="1">
        <v>108.39401058544632</v>
      </c>
      <c r="C165" s="1">
        <v>-12.394010585446324</v>
      </c>
    </row>
    <row r="166" spans="1:3" x14ac:dyDescent="0.35">
      <c r="A166" s="1">
        <v>136</v>
      </c>
      <c r="B166" s="1">
        <v>123.86181360230557</v>
      </c>
      <c r="C166" s="1">
        <v>1.138186397694426</v>
      </c>
    </row>
    <row r="167" spans="1:3" x14ac:dyDescent="0.35">
      <c r="A167" s="1">
        <v>137</v>
      </c>
      <c r="B167" s="1">
        <v>107.90723546215459</v>
      </c>
      <c r="C167" s="1">
        <v>-7.9072354621545884</v>
      </c>
    </row>
    <row r="168" spans="1:3" x14ac:dyDescent="0.35">
      <c r="A168" s="1">
        <v>138</v>
      </c>
      <c r="B168" s="1">
        <v>110.42034145379394</v>
      </c>
      <c r="C168" s="1">
        <v>-17.420341453793938</v>
      </c>
    </row>
    <row r="169" spans="1:3" x14ac:dyDescent="0.35">
      <c r="A169" s="1">
        <v>139</v>
      </c>
      <c r="B169" s="1">
        <v>118.40583577545402</v>
      </c>
      <c r="C169" s="1">
        <v>10.594164224545978</v>
      </c>
    </row>
    <row r="170" spans="1:3" x14ac:dyDescent="0.35">
      <c r="A170" s="1">
        <v>140</v>
      </c>
      <c r="B170" s="1">
        <v>141.29781358275275</v>
      </c>
      <c r="C170" s="1">
        <v>-36.297813582752752</v>
      </c>
    </row>
    <row r="171" spans="1:3" x14ac:dyDescent="0.35">
      <c r="A171" s="1">
        <v>141</v>
      </c>
      <c r="B171" s="1">
        <v>124.8937353347786</v>
      </c>
      <c r="C171" s="1">
        <v>3.1062646652214028</v>
      </c>
    </row>
    <row r="172" spans="1:3" x14ac:dyDescent="0.35">
      <c r="A172" s="1">
        <v>142</v>
      </c>
      <c r="B172" s="1">
        <v>118.21390167570641</v>
      </c>
      <c r="C172" s="1">
        <v>-12.21390167570641</v>
      </c>
    </row>
    <row r="173" spans="1:3" x14ac:dyDescent="0.35">
      <c r="A173" s="1">
        <v>143</v>
      </c>
      <c r="B173" s="1">
        <v>108.22921953113932</v>
      </c>
      <c r="C173" s="1">
        <v>-0.22921953113932148</v>
      </c>
    </row>
    <row r="174" spans="1:3" x14ac:dyDescent="0.35">
      <c r="A174" s="1">
        <v>144</v>
      </c>
      <c r="B174" s="1">
        <v>124.58093257600193</v>
      </c>
      <c r="C174" s="1">
        <v>-16.580932576001928</v>
      </c>
    </row>
    <row r="175" spans="1:3" x14ac:dyDescent="0.35">
      <c r="A175" s="1">
        <v>145</v>
      </c>
      <c r="B175" s="1">
        <v>129.94061373912214</v>
      </c>
      <c r="C175" s="1">
        <v>24.059386260877858</v>
      </c>
    </row>
    <row r="176" spans="1:3" x14ac:dyDescent="0.35">
      <c r="A176" s="1">
        <v>146</v>
      </c>
      <c r="B176" s="1">
        <v>80.969242738236119</v>
      </c>
      <c r="C176" s="1">
        <v>21.030757261763881</v>
      </c>
    </row>
    <row r="177" spans="1:3" x14ac:dyDescent="0.35">
      <c r="A177" s="1">
        <v>147</v>
      </c>
      <c r="B177" s="1">
        <v>111.67846122937856</v>
      </c>
      <c r="C177" s="1">
        <v>-54.678461229378556</v>
      </c>
    </row>
    <row r="178" spans="1:3" x14ac:dyDescent="0.35">
      <c r="A178" s="1">
        <v>148</v>
      </c>
      <c r="B178" s="1">
        <v>124.76487933324302</v>
      </c>
      <c r="C178" s="1">
        <v>-18.764879333243016</v>
      </c>
    </row>
    <row r="179" spans="1:3" x14ac:dyDescent="0.35">
      <c r="A179" s="1">
        <v>149</v>
      </c>
      <c r="B179" s="1">
        <v>140.60206154468605</v>
      </c>
      <c r="C179" s="1">
        <v>6.3979384553139482</v>
      </c>
    </row>
    <row r="180" spans="1:3" x14ac:dyDescent="0.35">
      <c r="A180" s="1">
        <v>150</v>
      </c>
      <c r="B180" s="1">
        <v>100.79468735425361</v>
      </c>
      <c r="C180" s="1">
        <v>-10.794687354253611</v>
      </c>
    </row>
    <row r="181" spans="1:3" x14ac:dyDescent="0.35">
      <c r="A181" s="1">
        <v>151</v>
      </c>
      <c r="B181" s="1">
        <v>121.33510257736641</v>
      </c>
      <c r="C181" s="1">
        <v>14.664897422633587</v>
      </c>
    </row>
    <row r="182" spans="1:3" x14ac:dyDescent="0.35">
      <c r="A182" s="1">
        <v>152</v>
      </c>
      <c r="B182" s="1">
        <v>114.06363373613151</v>
      </c>
      <c r="C182" s="1">
        <v>-6.3633736131507135E-2</v>
      </c>
    </row>
    <row r="183" spans="1:3" x14ac:dyDescent="0.35">
      <c r="A183" s="1">
        <v>153</v>
      </c>
      <c r="B183" s="1">
        <v>139.35542817093614</v>
      </c>
      <c r="C183" s="1">
        <v>16.644571829063864</v>
      </c>
    </row>
    <row r="184" spans="1:3" x14ac:dyDescent="0.35">
      <c r="A184" s="1">
        <v>154</v>
      </c>
      <c r="B184" s="1">
        <v>156.37858504904693</v>
      </c>
      <c r="C184" s="1">
        <v>-3.3785850490469329</v>
      </c>
    </row>
    <row r="185" spans="1:3" x14ac:dyDescent="0.35">
      <c r="A185" s="1">
        <v>155</v>
      </c>
      <c r="B185" s="1">
        <v>136.72563466519989</v>
      </c>
      <c r="C185" s="1">
        <v>51.274365334800109</v>
      </c>
    </row>
    <row r="186" spans="1:3" x14ac:dyDescent="0.35">
      <c r="A186" s="1">
        <v>156</v>
      </c>
      <c r="B186" s="1">
        <v>120.98213437383117</v>
      </c>
      <c r="C186" s="1">
        <v>31.017865626168827</v>
      </c>
    </row>
    <row r="187" spans="1:3" x14ac:dyDescent="0.35">
      <c r="A187" s="1">
        <v>157</v>
      </c>
      <c r="B187" s="1">
        <v>110.46308865897099</v>
      </c>
      <c r="C187" s="1">
        <v>-11.463088658970989</v>
      </c>
    </row>
    <row r="188" spans="1:3" x14ac:dyDescent="0.35">
      <c r="A188" s="1">
        <v>158</v>
      </c>
      <c r="B188" s="1">
        <v>115.77711428499211</v>
      </c>
      <c r="C188" s="1">
        <v>-6.7771142849921091</v>
      </c>
    </row>
    <row r="189" spans="1:3" x14ac:dyDescent="0.35">
      <c r="A189" s="1">
        <v>159</v>
      </c>
      <c r="B189" s="1">
        <v>107.9167220756987</v>
      </c>
      <c r="C189" s="1">
        <v>-19.916722075698701</v>
      </c>
    </row>
    <row r="190" spans="1:3" x14ac:dyDescent="0.35">
      <c r="A190" s="1">
        <v>160</v>
      </c>
      <c r="B190" s="1">
        <v>136.21000890690297</v>
      </c>
      <c r="C190" s="1">
        <v>26.789991093097029</v>
      </c>
    </row>
    <row r="191" spans="1:3" x14ac:dyDescent="0.35">
      <c r="A191" s="1">
        <v>161</v>
      </c>
      <c r="B191" s="1">
        <v>107.4483820320803</v>
      </c>
      <c r="C191" s="1">
        <v>43.551617967919697</v>
      </c>
    </row>
    <row r="192" spans="1:3" x14ac:dyDescent="0.35">
      <c r="A192" s="1">
        <v>162</v>
      </c>
      <c r="B192" s="1">
        <v>127.25243143268929</v>
      </c>
      <c r="C192" s="1">
        <v>-25.252431432689292</v>
      </c>
    </row>
    <row r="193" spans="1:3" x14ac:dyDescent="0.35">
      <c r="A193" s="1">
        <v>163</v>
      </c>
      <c r="B193" s="1">
        <v>140.75554951574884</v>
      </c>
      <c r="C193" s="1">
        <v>-26.755549515748839</v>
      </c>
    </row>
    <row r="194" spans="1:3" x14ac:dyDescent="0.35">
      <c r="A194" s="1">
        <v>164</v>
      </c>
      <c r="B194" s="1">
        <v>101.3119395011492</v>
      </c>
      <c r="C194" s="1">
        <v>-1.3119395011491974</v>
      </c>
    </row>
    <row r="195" spans="1:3" x14ac:dyDescent="0.35">
      <c r="A195" s="1">
        <v>165</v>
      </c>
      <c r="B195" s="1">
        <v>121.45464652902626</v>
      </c>
      <c r="C195" s="1">
        <v>9.5453534709737369</v>
      </c>
    </row>
    <row r="196" spans="1:3" x14ac:dyDescent="0.35">
      <c r="A196" s="1">
        <v>166</v>
      </c>
      <c r="B196" s="1">
        <v>134.88502748711403</v>
      </c>
      <c r="C196" s="1">
        <v>-30.88502748711403</v>
      </c>
    </row>
    <row r="197" spans="1:3" x14ac:dyDescent="0.35">
      <c r="A197" s="1">
        <v>167</v>
      </c>
      <c r="B197" s="1">
        <v>102.88108437403244</v>
      </c>
      <c r="C197" s="1">
        <v>45.11891562596756</v>
      </c>
    </row>
    <row r="198" spans="1:3" x14ac:dyDescent="0.35">
      <c r="A198" s="1">
        <v>168</v>
      </c>
      <c r="B198" s="1">
        <v>119.86481798381374</v>
      </c>
      <c r="C198" s="1">
        <v>0.13518201618626335</v>
      </c>
    </row>
    <row r="199" spans="1:3" x14ac:dyDescent="0.35">
      <c r="A199" s="1">
        <v>169</v>
      </c>
      <c r="B199" s="1">
        <v>116.72086201049234</v>
      </c>
      <c r="C199" s="1">
        <v>-6.7208620104923398</v>
      </c>
    </row>
    <row r="200" spans="1:3" x14ac:dyDescent="0.35">
      <c r="A200" s="1">
        <v>170</v>
      </c>
      <c r="B200" s="1">
        <v>119.69463167470504</v>
      </c>
      <c r="C200" s="1">
        <v>-8.6946316747050361</v>
      </c>
    </row>
    <row r="201" spans="1:3" x14ac:dyDescent="0.35">
      <c r="A201" s="1">
        <v>171</v>
      </c>
      <c r="B201" s="1">
        <v>119.8126816231153</v>
      </c>
      <c r="C201" s="1">
        <v>-17.812681623115296</v>
      </c>
    </row>
    <row r="202" spans="1:3" x14ac:dyDescent="0.35">
      <c r="A202" s="1">
        <v>172</v>
      </c>
      <c r="B202" s="1">
        <v>125.56778048125243</v>
      </c>
      <c r="C202" s="1">
        <v>8.4322195187475728</v>
      </c>
    </row>
    <row r="203" spans="1:3" x14ac:dyDescent="0.35">
      <c r="A203" s="1">
        <v>173</v>
      </c>
      <c r="B203" s="1">
        <v>101.36872764121105</v>
      </c>
      <c r="C203" s="1">
        <v>-14.368727641211052</v>
      </c>
    </row>
    <row r="204" spans="1:3" x14ac:dyDescent="0.35">
      <c r="A204" s="1">
        <v>174</v>
      </c>
      <c r="B204" s="1">
        <v>113.04775384468725</v>
      </c>
      <c r="C204" s="1">
        <v>-34.04775384468725</v>
      </c>
    </row>
    <row r="205" spans="1:3" x14ac:dyDescent="0.35">
      <c r="A205" s="1">
        <v>175</v>
      </c>
      <c r="B205" s="1">
        <v>114.25976685286565</v>
      </c>
      <c r="C205" s="1">
        <v>-39.259766852865653</v>
      </c>
    </row>
    <row r="206" spans="1:3" x14ac:dyDescent="0.35">
      <c r="A206" s="1">
        <v>176</v>
      </c>
      <c r="B206" s="1">
        <v>123.08393920546447</v>
      </c>
      <c r="C206" s="1">
        <v>55.916060794535525</v>
      </c>
    </row>
    <row r="207" spans="1:3" x14ac:dyDescent="0.35">
      <c r="A207" s="1">
        <v>177</v>
      </c>
      <c r="B207" s="1">
        <v>124.98011189664984</v>
      </c>
      <c r="C207" s="1">
        <v>-39.980111896649845</v>
      </c>
    </row>
    <row r="208" spans="1:3" x14ac:dyDescent="0.35">
      <c r="A208" s="1">
        <v>178</v>
      </c>
      <c r="B208" s="1">
        <v>140.76792350407837</v>
      </c>
      <c r="C208" s="1">
        <v>-11.767923504078368</v>
      </c>
    </row>
    <row r="209" spans="1:3" x14ac:dyDescent="0.35">
      <c r="A209" s="1">
        <v>179</v>
      </c>
      <c r="B209" s="1">
        <v>137.28884771825602</v>
      </c>
      <c r="C209" s="1">
        <v>5.7111522817439777</v>
      </c>
    </row>
    <row r="210" spans="1:3" x14ac:dyDescent="0.35">
      <c r="A210" s="1">
        <v>180</v>
      </c>
      <c r="B210" s="1">
        <v>131.52787949254227</v>
      </c>
      <c r="C210" s="1">
        <v>-1.5278794925422687</v>
      </c>
    </row>
    <row r="211" spans="1:3" x14ac:dyDescent="0.35">
      <c r="A211" s="1">
        <v>181</v>
      </c>
      <c r="B211" s="1">
        <v>110.78297686491268</v>
      </c>
      <c r="C211" s="1">
        <v>-23.782976864912683</v>
      </c>
    </row>
    <row r="212" spans="1:3" x14ac:dyDescent="0.35">
      <c r="A212" s="1">
        <v>182</v>
      </c>
      <c r="B212" s="1">
        <v>119.55633752703586</v>
      </c>
      <c r="C212" s="1">
        <v>-0.55633752703586481</v>
      </c>
    </row>
    <row r="213" spans="1:3" x14ac:dyDescent="0.35">
      <c r="A213" s="1">
        <v>183</v>
      </c>
      <c r="B213" s="1">
        <v>103.33069900672653</v>
      </c>
      <c r="C213" s="1">
        <v>-103.33069900672653</v>
      </c>
    </row>
    <row r="214" spans="1:3" x14ac:dyDescent="0.35">
      <c r="A214" s="1">
        <v>184</v>
      </c>
      <c r="B214" s="1">
        <v>109.96035705048156</v>
      </c>
      <c r="C214" s="1">
        <v>-36.960357050481562</v>
      </c>
    </row>
    <row r="215" spans="1:3" x14ac:dyDescent="0.35">
      <c r="A215" s="1">
        <v>185</v>
      </c>
      <c r="B215" s="1">
        <v>119.71893472509488</v>
      </c>
      <c r="C215" s="1">
        <v>21.281065274905117</v>
      </c>
    </row>
    <row r="216" spans="1:3" x14ac:dyDescent="0.35">
      <c r="A216" s="1">
        <v>186</v>
      </c>
      <c r="B216" s="1">
        <v>120.15364140913364</v>
      </c>
      <c r="C216" s="1">
        <v>73.846358590866359</v>
      </c>
    </row>
    <row r="217" spans="1:3" x14ac:dyDescent="0.35">
      <c r="A217" s="1">
        <v>187</v>
      </c>
      <c r="B217" s="1">
        <v>174.36256135590963</v>
      </c>
      <c r="C217" s="1">
        <v>6.6374386440903663</v>
      </c>
    </row>
    <row r="218" spans="1:3" x14ac:dyDescent="0.35">
      <c r="A218" s="1">
        <v>188</v>
      </c>
      <c r="B218" s="1">
        <v>118.93359434221929</v>
      </c>
      <c r="C218" s="1">
        <v>9.066405657780706</v>
      </c>
    </row>
    <row r="219" spans="1:3" x14ac:dyDescent="0.35">
      <c r="A219" s="1">
        <v>189</v>
      </c>
      <c r="B219" s="1">
        <v>115.43246216008981</v>
      </c>
      <c r="C219" s="1">
        <v>-6.4324621600898126</v>
      </c>
    </row>
    <row r="220" spans="1:3" x14ac:dyDescent="0.35">
      <c r="A220" s="1">
        <v>190</v>
      </c>
      <c r="B220" s="1">
        <v>118.6371622478333</v>
      </c>
      <c r="C220" s="1">
        <v>20.362837752166698</v>
      </c>
    </row>
    <row r="221" spans="1:3" x14ac:dyDescent="0.35">
      <c r="A221" s="1">
        <v>191</v>
      </c>
      <c r="B221" s="1">
        <v>102.16395305027893</v>
      </c>
      <c r="C221" s="1">
        <v>8.8360469497210659</v>
      </c>
    </row>
    <row r="222" spans="1:3" x14ac:dyDescent="0.35">
      <c r="A222" s="1">
        <v>192</v>
      </c>
      <c r="B222" s="1">
        <v>119.4191155643929</v>
      </c>
      <c r="C222" s="1">
        <v>3.5808844356071035</v>
      </c>
    </row>
    <row r="223" spans="1:3" x14ac:dyDescent="0.35">
      <c r="A223" s="1">
        <v>193</v>
      </c>
      <c r="B223" s="1">
        <v>119.73314888196903</v>
      </c>
      <c r="C223" s="1">
        <v>39.266851118030971</v>
      </c>
    </row>
    <row r="224" spans="1:3" x14ac:dyDescent="0.35">
      <c r="A224" s="1">
        <v>194</v>
      </c>
      <c r="B224" s="1">
        <v>135.59079304185943</v>
      </c>
      <c r="C224" s="1">
        <v>-0.5907930418594276</v>
      </c>
    </row>
    <row r="225" spans="1:3" x14ac:dyDescent="0.35">
      <c r="A225" s="1">
        <v>195</v>
      </c>
      <c r="B225" s="1">
        <v>110.14640148608376</v>
      </c>
      <c r="C225" s="1">
        <v>-25.146401486083761</v>
      </c>
    </row>
    <row r="226" spans="1:3" x14ac:dyDescent="0.35">
      <c r="A226" s="1">
        <v>196</v>
      </c>
      <c r="B226" s="1">
        <v>130.58381633201546</v>
      </c>
      <c r="C226" s="1">
        <v>27.416183667984541</v>
      </c>
    </row>
    <row r="227" spans="1:3" x14ac:dyDescent="0.35">
      <c r="A227" s="1">
        <v>197</v>
      </c>
      <c r="B227" s="1">
        <v>103.32573011583344</v>
      </c>
      <c r="C227" s="1">
        <v>1.6742698841665629</v>
      </c>
    </row>
    <row r="228" spans="1:3" x14ac:dyDescent="0.35">
      <c r="A228" s="1">
        <v>198</v>
      </c>
      <c r="B228" s="1">
        <v>107.54279978682165</v>
      </c>
      <c r="C228" s="1">
        <v>-0.54279978682164653</v>
      </c>
    </row>
    <row r="229" spans="1:3" x14ac:dyDescent="0.35">
      <c r="A229" s="1">
        <v>199</v>
      </c>
      <c r="B229" s="1">
        <v>114.80253319940252</v>
      </c>
      <c r="C229" s="1">
        <v>-5.802533199402518</v>
      </c>
    </row>
    <row r="230" spans="1:3" x14ac:dyDescent="0.35">
      <c r="A230" s="1">
        <v>200</v>
      </c>
      <c r="B230" s="1">
        <v>136.45030433195956</v>
      </c>
      <c r="C230" s="1">
        <v>11.549695668040442</v>
      </c>
    </row>
    <row r="231" spans="1:3" x14ac:dyDescent="0.35">
      <c r="A231" s="1">
        <v>201</v>
      </c>
      <c r="B231" s="1">
        <v>108.82578570733665</v>
      </c>
      <c r="C231" s="1">
        <v>4.1742142926633505</v>
      </c>
    </row>
    <row r="232" spans="1:3" x14ac:dyDescent="0.35">
      <c r="A232" s="1">
        <v>202</v>
      </c>
      <c r="B232" s="1">
        <v>121.68748826909425</v>
      </c>
      <c r="C232" s="1">
        <v>16.312511730905754</v>
      </c>
    </row>
    <row r="233" spans="1:3" x14ac:dyDescent="0.35">
      <c r="A233" s="1">
        <v>203</v>
      </c>
      <c r="B233" s="1">
        <v>110.42065767787244</v>
      </c>
      <c r="C233" s="1">
        <v>-2.4206576778724411</v>
      </c>
    </row>
    <row r="234" spans="1:3" x14ac:dyDescent="0.35">
      <c r="A234" s="1">
        <v>204</v>
      </c>
      <c r="B234" s="1">
        <v>104.54669814538751</v>
      </c>
      <c r="C234" s="1">
        <v>-5.5466981453875093</v>
      </c>
    </row>
    <row r="235" spans="1:3" x14ac:dyDescent="0.35">
      <c r="A235" s="1">
        <v>205</v>
      </c>
      <c r="B235" s="1">
        <v>145.85382255597236</v>
      </c>
      <c r="C235" s="1">
        <v>-42.853822555972357</v>
      </c>
    </row>
    <row r="236" spans="1:3" x14ac:dyDescent="0.35">
      <c r="A236" s="1">
        <v>206</v>
      </c>
      <c r="B236" s="1">
        <v>100.14387898352766</v>
      </c>
      <c r="C236" s="1">
        <v>10.856121016472343</v>
      </c>
    </row>
    <row r="237" spans="1:3" x14ac:dyDescent="0.35">
      <c r="A237" s="1">
        <v>207</v>
      </c>
      <c r="B237" s="1">
        <v>159.21291853489336</v>
      </c>
      <c r="C237" s="1">
        <v>36.787081465106638</v>
      </c>
    </row>
    <row r="238" spans="1:3" x14ac:dyDescent="0.35">
      <c r="A238" s="1">
        <v>208</v>
      </c>
      <c r="B238" s="1">
        <v>136.61251785175278</v>
      </c>
      <c r="C238" s="1">
        <v>25.387482148247216</v>
      </c>
    </row>
    <row r="239" spans="1:3" x14ac:dyDescent="0.35">
      <c r="A239" s="1">
        <v>209</v>
      </c>
      <c r="B239" s="1">
        <v>110.78471120659107</v>
      </c>
      <c r="C239" s="1">
        <v>-14.784711206591069</v>
      </c>
    </row>
    <row r="240" spans="1:3" x14ac:dyDescent="0.35">
      <c r="A240" s="1">
        <v>210</v>
      </c>
      <c r="B240" s="1">
        <v>116.83946731250455</v>
      </c>
      <c r="C240" s="1">
        <v>67.160532687495447</v>
      </c>
    </row>
    <row r="241" spans="1:3" x14ac:dyDescent="0.35">
      <c r="A241" s="1">
        <v>211</v>
      </c>
      <c r="B241" s="1">
        <v>101.95384314349533</v>
      </c>
      <c r="C241" s="1">
        <v>-20.953843143495334</v>
      </c>
    </row>
    <row r="242" spans="1:3" x14ac:dyDescent="0.35">
      <c r="A242" s="1">
        <v>212</v>
      </c>
      <c r="B242" s="1">
        <v>104.11193472598282</v>
      </c>
      <c r="C242" s="1">
        <v>42.88806527401718</v>
      </c>
    </row>
    <row r="243" spans="1:3" x14ac:dyDescent="0.35">
      <c r="A243" s="1">
        <v>213</v>
      </c>
      <c r="B243" s="1">
        <v>128.35648793911318</v>
      </c>
      <c r="C243" s="1">
        <v>50.64351206088682</v>
      </c>
    </row>
    <row r="244" spans="1:3" x14ac:dyDescent="0.35">
      <c r="A244" s="1">
        <v>214</v>
      </c>
      <c r="B244" s="1">
        <v>125.33611434707787</v>
      </c>
      <c r="C244" s="1">
        <v>14.663885652922133</v>
      </c>
    </row>
    <row r="245" spans="1:3" x14ac:dyDescent="0.35">
      <c r="A245" s="1">
        <v>215</v>
      </c>
      <c r="B245" s="1">
        <v>129.9334896090879</v>
      </c>
      <c r="C245" s="1">
        <v>-17.9334896090879</v>
      </c>
    </row>
    <row r="246" spans="1:3" x14ac:dyDescent="0.35">
      <c r="A246" s="1">
        <v>216</v>
      </c>
      <c r="B246" s="1">
        <v>146.27896647549386</v>
      </c>
      <c r="C246" s="1">
        <v>4.7210335245061401</v>
      </c>
    </row>
    <row r="247" spans="1:3" x14ac:dyDescent="0.35">
      <c r="A247" s="1">
        <v>217</v>
      </c>
      <c r="B247" s="1">
        <v>116.3738657409281</v>
      </c>
      <c r="C247" s="1">
        <v>-7.3738657409280961</v>
      </c>
    </row>
    <row r="248" spans="1:3" x14ac:dyDescent="0.35">
      <c r="A248" s="1">
        <v>218</v>
      </c>
      <c r="B248" s="1">
        <v>119.47470975245091</v>
      </c>
      <c r="C248" s="1">
        <v>5.5252902475490941</v>
      </c>
    </row>
    <row r="249" spans="1:3" x14ac:dyDescent="0.35">
      <c r="A249" s="1">
        <v>219</v>
      </c>
      <c r="B249" s="1">
        <v>114.50261382811237</v>
      </c>
      <c r="C249" s="1">
        <v>-29.502613828112374</v>
      </c>
    </row>
    <row r="250" spans="1:3" x14ac:dyDescent="0.35">
      <c r="A250" s="1">
        <v>220</v>
      </c>
      <c r="B250" s="1">
        <v>127.62322505304618</v>
      </c>
      <c r="C250" s="1">
        <v>-15.623225053046184</v>
      </c>
    </row>
    <row r="251" spans="1:3" x14ac:dyDescent="0.35">
      <c r="A251" s="1">
        <v>221</v>
      </c>
      <c r="B251" s="1">
        <v>155.06030702431426</v>
      </c>
      <c r="C251" s="1">
        <v>21.939692975685745</v>
      </c>
    </row>
    <row r="252" spans="1:3" x14ac:dyDescent="0.35">
      <c r="A252" s="1">
        <v>222</v>
      </c>
      <c r="B252" s="1">
        <v>144.04299598825025</v>
      </c>
      <c r="C252" s="1">
        <v>13.957004011749746</v>
      </c>
    </row>
    <row r="253" spans="1:3" x14ac:dyDescent="0.35">
      <c r="A253" s="1">
        <v>223</v>
      </c>
      <c r="B253" s="1">
        <v>110.75568962373067</v>
      </c>
      <c r="C253" s="1">
        <v>8.2443103762693255</v>
      </c>
    </row>
    <row r="254" spans="1:3" x14ac:dyDescent="0.35">
      <c r="A254" s="1">
        <v>224</v>
      </c>
      <c r="B254" s="1">
        <v>144.2248296112362</v>
      </c>
      <c r="C254" s="1">
        <v>-2.2248296112362027</v>
      </c>
    </row>
    <row r="255" spans="1:3" x14ac:dyDescent="0.35">
      <c r="A255" s="1">
        <v>225</v>
      </c>
      <c r="B255" s="1">
        <v>110.22562974118537</v>
      </c>
      <c r="C255" s="1">
        <v>-10.225629741185372</v>
      </c>
    </row>
    <row r="256" spans="1:3" x14ac:dyDescent="0.35">
      <c r="A256" s="1">
        <v>226</v>
      </c>
      <c r="B256" s="1">
        <v>106.74706950218598</v>
      </c>
      <c r="C256" s="1">
        <v>-19.74706950218598</v>
      </c>
    </row>
    <row r="257" spans="1:3" x14ac:dyDescent="0.35">
      <c r="A257" s="1">
        <v>227</v>
      </c>
      <c r="B257" s="1">
        <v>116.37654606735047</v>
      </c>
      <c r="C257" s="1">
        <v>-15.376546067350475</v>
      </c>
    </row>
    <row r="258" spans="1:3" x14ac:dyDescent="0.35">
      <c r="A258" s="1">
        <v>228</v>
      </c>
      <c r="B258" s="1">
        <v>104.87352482134217</v>
      </c>
      <c r="C258" s="1">
        <v>57.126475178657827</v>
      </c>
    </row>
    <row r="259" spans="1:3" x14ac:dyDescent="0.35">
      <c r="A259" s="1">
        <v>229</v>
      </c>
      <c r="B259" s="1">
        <v>195.3488203231127</v>
      </c>
      <c r="C259" s="1">
        <v>1.6511796768872955</v>
      </c>
    </row>
    <row r="260" spans="1:3" x14ac:dyDescent="0.35">
      <c r="A260" s="1">
        <v>230</v>
      </c>
      <c r="B260" s="1">
        <v>116.769123754617</v>
      </c>
      <c r="C260" s="1">
        <v>0.23087624538300133</v>
      </c>
    </row>
    <row r="261" spans="1:3" x14ac:dyDescent="0.35">
      <c r="A261" s="1">
        <v>231</v>
      </c>
      <c r="B261" s="1">
        <v>123.78228434750507</v>
      </c>
      <c r="C261" s="1">
        <v>18.217715652494931</v>
      </c>
    </row>
    <row r="262" spans="1:3" x14ac:dyDescent="0.35">
      <c r="A262" s="1">
        <v>232</v>
      </c>
      <c r="B262" s="1">
        <v>162.8559378034935</v>
      </c>
      <c r="C262" s="1">
        <v>-28.855937803493504</v>
      </c>
    </row>
    <row r="263" spans="1:3" x14ac:dyDescent="0.35">
      <c r="A263" s="1">
        <v>233</v>
      </c>
      <c r="B263" s="1">
        <v>104.19974556294521</v>
      </c>
      <c r="C263" s="1">
        <v>-25.199745562945211</v>
      </c>
    </row>
    <row r="264" spans="1:3" x14ac:dyDescent="0.35">
      <c r="A264" s="1">
        <v>234</v>
      </c>
      <c r="B264" s="1">
        <v>118.70048979346221</v>
      </c>
      <c r="C264" s="1">
        <v>3.2995102065377893</v>
      </c>
    </row>
    <row r="265" spans="1:3" x14ac:dyDescent="0.35">
      <c r="A265" s="1">
        <v>235</v>
      </c>
      <c r="B265" s="1">
        <v>105.3180732664578</v>
      </c>
      <c r="C265" s="1">
        <v>-31.318073266457802</v>
      </c>
    </row>
    <row r="266" spans="1:3" x14ac:dyDescent="0.35">
      <c r="A266" s="1">
        <v>236</v>
      </c>
      <c r="B266" s="1">
        <v>124.03425315887932</v>
      </c>
      <c r="C266" s="1">
        <v>46.965746841120676</v>
      </c>
    </row>
    <row r="267" spans="1:3" x14ac:dyDescent="0.35">
      <c r="A267" s="1">
        <v>237</v>
      </c>
      <c r="B267" s="1">
        <v>148.35410859761572</v>
      </c>
      <c r="C267" s="1">
        <v>32.645891402384279</v>
      </c>
    </row>
    <row r="268" spans="1:3" x14ac:dyDescent="0.35">
      <c r="A268" s="1">
        <v>238</v>
      </c>
      <c r="B268" s="1">
        <v>115.78129836873465</v>
      </c>
      <c r="C268" s="1">
        <v>63.218701631265347</v>
      </c>
    </row>
    <row r="269" spans="1:3" x14ac:dyDescent="0.35">
      <c r="A269" s="1">
        <v>239</v>
      </c>
      <c r="B269" s="1">
        <v>114.64108409405506</v>
      </c>
      <c r="C269" s="1">
        <v>49.35891590594494</v>
      </c>
    </row>
    <row r="270" spans="1:3" x14ac:dyDescent="0.35">
      <c r="A270" s="1">
        <v>240</v>
      </c>
      <c r="B270" s="1">
        <v>106.46714872209284</v>
      </c>
      <c r="C270" s="1">
        <v>-2.4671487220928441</v>
      </c>
    </row>
    <row r="271" spans="1:3" x14ac:dyDescent="0.35">
      <c r="A271" s="1">
        <v>241</v>
      </c>
      <c r="B271" s="1">
        <v>99.43197256123031</v>
      </c>
      <c r="C271" s="1">
        <v>-8.4319725612303102</v>
      </c>
    </row>
    <row r="272" spans="1:3" x14ac:dyDescent="0.35">
      <c r="A272" s="1">
        <v>242</v>
      </c>
      <c r="B272" s="1">
        <v>111.37275719958893</v>
      </c>
      <c r="C272" s="1">
        <v>-20.372757199588932</v>
      </c>
    </row>
    <row r="273" spans="1:3" x14ac:dyDescent="0.35">
      <c r="A273" s="1">
        <v>243</v>
      </c>
      <c r="B273" s="1">
        <v>106.14205819516819</v>
      </c>
      <c r="C273" s="1">
        <v>32.85794180483181</v>
      </c>
    </row>
    <row r="274" spans="1:3" x14ac:dyDescent="0.35">
      <c r="A274" s="1">
        <v>244</v>
      </c>
      <c r="B274" s="1">
        <v>130.37838878824891</v>
      </c>
      <c r="C274" s="1">
        <v>-11.378388788248913</v>
      </c>
    </row>
    <row r="275" spans="1:3" x14ac:dyDescent="0.35">
      <c r="A275" s="1">
        <v>245</v>
      </c>
      <c r="B275" s="1">
        <v>128.92743160475146</v>
      </c>
      <c r="C275" s="1">
        <v>17.072568395248538</v>
      </c>
    </row>
    <row r="276" spans="1:3" x14ac:dyDescent="0.35">
      <c r="A276" s="1">
        <v>246</v>
      </c>
      <c r="B276" s="1">
        <v>129.4986074276319</v>
      </c>
      <c r="C276" s="1">
        <v>54.501392572368104</v>
      </c>
    </row>
    <row r="277" spans="1:3" x14ac:dyDescent="0.35">
      <c r="A277" s="1">
        <v>247</v>
      </c>
      <c r="B277" s="1">
        <v>123.08695686852172</v>
      </c>
      <c r="C277" s="1">
        <v>-1.0869568685217246</v>
      </c>
    </row>
    <row r="278" spans="1:3" x14ac:dyDescent="0.35">
      <c r="A278" s="1">
        <v>248</v>
      </c>
      <c r="B278" s="1">
        <v>186.61771358614322</v>
      </c>
      <c r="C278" s="1">
        <v>-21.617713586143225</v>
      </c>
    </row>
    <row r="279" spans="1:3" x14ac:dyDescent="0.35">
      <c r="A279" s="1">
        <v>249</v>
      </c>
      <c r="B279" s="1">
        <v>151.3162642068219</v>
      </c>
      <c r="C279" s="1">
        <v>-27.316264206821899</v>
      </c>
    </row>
    <row r="280" spans="1:3" x14ac:dyDescent="0.35">
      <c r="A280" s="1">
        <v>250</v>
      </c>
      <c r="B280" s="1">
        <v>104.30022861150435</v>
      </c>
      <c r="C280" s="1">
        <v>6.6997713884956482</v>
      </c>
    </row>
    <row r="281" spans="1:3" x14ac:dyDescent="0.35">
      <c r="A281" s="1">
        <v>251</v>
      </c>
      <c r="B281" s="1">
        <v>123.32336308489556</v>
      </c>
      <c r="C281" s="1">
        <v>-17.323363084895561</v>
      </c>
    </row>
    <row r="282" spans="1:3" x14ac:dyDescent="0.35">
      <c r="A282" s="1">
        <v>252</v>
      </c>
      <c r="B282" s="1">
        <v>112.46582117767758</v>
      </c>
      <c r="C282" s="1">
        <v>16.534178822322417</v>
      </c>
    </row>
    <row r="283" spans="1:3" x14ac:dyDescent="0.35">
      <c r="A283" s="1">
        <v>253</v>
      </c>
      <c r="B283" s="1">
        <v>108.17461204883973</v>
      </c>
      <c r="C283" s="1">
        <v>-18.174612048839734</v>
      </c>
    </row>
    <row r="284" spans="1:3" x14ac:dyDescent="0.35">
      <c r="A284" s="1">
        <v>254</v>
      </c>
      <c r="B284" s="1">
        <v>104.80273156985645</v>
      </c>
      <c r="C284" s="1">
        <v>-18.802731569856448</v>
      </c>
    </row>
    <row r="285" spans="1:3" x14ac:dyDescent="0.35">
      <c r="A285" s="1">
        <v>255</v>
      </c>
      <c r="B285" s="1">
        <v>149.8222728340962</v>
      </c>
      <c r="C285" s="1">
        <v>-57.822272834096196</v>
      </c>
    </row>
    <row r="286" spans="1:3" x14ac:dyDescent="0.35">
      <c r="A286" s="1">
        <v>256</v>
      </c>
      <c r="B286" s="1">
        <v>101.27352969805695</v>
      </c>
      <c r="C286" s="1">
        <v>11.726470301943053</v>
      </c>
    </row>
    <row r="287" spans="1:3" x14ac:dyDescent="0.35">
      <c r="A287" s="1">
        <v>257</v>
      </c>
      <c r="B287" s="1">
        <v>102.7638349145257</v>
      </c>
      <c r="C287" s="1">
        <v>8.2361650854742976</v>
      </c>
    </row>
    <row r="288" spans="1:3" x14ac:dyDescent="0.35">
      <c r="A288" s="1">
        <v>258</v>
      </c>
      <c r="B288" s="1">
        <v>102.01378353932576</v>
      </c>
      <c r="C288" s="1">
        <v>11.986216460674243</v>
      </c>
    </row>
    <row r="289" spans="1:3" x14ac:dyDescent="0.35">
      <c r="A289" s="1">
        <v>259</v>
      </c>
      <c r="B289" s="1">
        <v>141.18918620770017</v>
      </c>
      <c r="C289" s="1">
        <v>51.810813792299825</v>
      </c>
    </row>
    <row r="290" spans="1:3" x14ac:dyDescent="0.35">
      <c r="A290" s="1">
        <v>260</v>
      </c>
      <c r="B290" s="1">
        <v>144.36344440137262</v>
      </c>
      <c r="C290" s="1">
        <v>10.636555598627382</v>
      </c>
    </row>
    <row r="291" spans="1:3" x14ac:dyDescent="0.35">
      <c r="A291" s="1">
        <v>261</v>
      </c>
      <c r="B291" s="1">
        <v>126.24010200066647</v>
      </c>
      <c r="C291" s="1">
        <v>64.759897999333532</v>
      </c>
    </row>
    <row r="292" spans="1:3" x14ac:dyDescent="0.35">
      <c r="A292" s="1">
        <v>262</v>
      </c>
      <c r="B292" s="1">
        <v>111.155418577254</v>
      </c>
      <c r="C292" s="1">
        <v>29.844581422746003</v>
      </c>
    </row>
    <row r="293" spans="1:3" x14ac:dyDescent="0.35">
      <c r="A293" s="1">
        <v>263</v>
      </c>
      <c r="B293" s="1">
        <v>104.11936902552782</v>
      </c>
      <c r="C293" s="1">
        <v>-9.119369025527817</v>
      </c>
    </row>
    <row r="294" spans="1:3" x14ac:dyDescent="0.35">
      <c r="A294" s="1">
        <v>264</v>
      </c>
      <c r="B294" s="1">
        <v>133.23097096038342</v>
      </c>
      <c r="C294" s="1">
        <v>8.7690290396165835</v>
      </c>
    </row>
    <row r="295" spans="1:3" x14ac:dyDescent="0.35">
      <c r="A295" s="1">
        <v>265</v>
      </c>
      <c r="B295" s="1">
        <v>118.83984319945168</v>
      </c>
      <c r="C295" s="1">
        <v>4.1601568005483216</v>
      </c>
    </row>
    <row r="296" spans="1:3" x14ac:dyDescent="0.35">
      <c r="A296" s="1">
        <v>266</v>
      </c>
      <c r="B296" s="1">
        <v>131.68710375462823</v>
      </c>
      <c r="C296" s="1">
        <v>-35.687103754628225</v>
      </c>
    </row>
    <row r="297" spans="1:3" x14ac:dyDescent="0.35">
      <c r="A297" s="1">
        <v>267</v>
      </c>
      <c r="B297" s="1">
        <v>115.50141177951745</v>
      </c>
      <c r="C297" s="1">
        <v>22.498588220482546</v>
      </c>
    </row>
    <row r="298" spans="1:3" x14ac:dyDescent="0.35">
      <c r="A298" s="1">
        <v>268</v>
      </c>
      <c r="B298" s="1">
        <v>109.25482757110501</v>
      </c>
      <c r="C298" s="1">
        <v>18.745172428894989</v>
      </c>
    </row>
    <row r="299" spans="1:3" x14ac:dyDescent="0.35">
      <c r="A299" s="1">
        <v>269</v>
      </c>
      <c r="B299" s="1">
        <v>102.75838691585344</v>
      </c>
      <c r="C299" s="1">
        <v>-0.75838691585343554</v>
      </c>
    </row>
    <row r="300" spans="1:3" x14ac:dyDescent="0.35">
      <c r="A300" s="1">
        <v>270</v>
      </c>
      <c r="B300" s="1">
        <v>106.57526817824748</v>
      </c>
      <c r="C300" s="1">
        <v>39.424731821752516</v>
      </c>
    </row>
    <row r="301" spans="1:3" x14ac:dyDescent="0.35">
      <c r="A301" s="1">
        <v>271</v>
      </c>
      <c r="B301" s="1">
        <v>126.39445114217746</v>
      </c>
      <c r="C301" s="1">
        <v>-25.394451142177459</v>
      </c>
    </row>
    <row r="302" spans="1:3" x14ac:dyDescent="0.35">
      <c r="A302" s="1">
        <v>272</v>
      </c>
      <c r="B302" s="1">
        <v>98.898206167902416</v>
      </c>
      <c r="C302" s="1">
        <v>9.1017938320975844</v>
      </c>
    </row>
    <row r="303" spans="1:3" x14ac:dyDescent="0.35">
      <c r="A303" s="1">
        <v>273</v>
      </c>
      <c r="B303" s="1">
        <v>116.55196163092808</v>
      </c>
      <c r="C303" s="1">
        <v>5.4480383690719236</v>
      </c>
    </row>
    <row r="304" spans="1:3" x14ac:dyDescent="0.35">
      <c r="A304" s="1">
        <v>274</v>
      </c>
      <c r="B304" s="1">
        <v>100.69740245094506</v>
      </c>
      <c r="C304" s="1">
        <v>-29.697402450945063</v>
      </c>
    </row>
    <row r="305" spans="1:3" x14ac:dyDescent="0.35">
      <c r="A305" s="1">
        <v>275</v>
      </c>
      <c r="B305" s="1">
        <v>132.70829184714552</v>
      </c>
      <c r="C305" s="1">
        <v>-26.708291847145517</v>
      </c>
    </row>
    <row r="306" spans="1:3" x14ac:dyDescent="0.35">
      <c r="A306" s="1">
        <v>276</v>
      </c>
      <c r="B306" s="1">
        <v>110.40212992936361</v>
      </c>
      <c r="C306" s="1">
        <v>-10.40212992936361</v>
      </c>
    </row>
    <row r="307" spans="1:3" x14ac:dyDescent="0.35">
      <c r="A307" s="1">
        <v>277</v>
      </c>
      <c r="B307" s="1">
        <v>103.29848939449901</v>
      </c>
      <c r="C307" s="1">
        <v>2.7015106055009852</v>
      </c>
    </row>
    <row r="308" spans="1:3" x14ac:dyDescent="0.35">
      <c r="A308" s="1">
        <v>278</v>
      </c>
      <c r="B308" s="1">
        <v>113.25778380000216</v>
      </c>
      <c r="C308" s="1">
        <v>-9.2577838000021586</v>
      </c>
    </row>
    <row r="309" spans="1:3" x14ac:dyDescent="0.35">
      <c r="A309" s="1">
        <v>279</v>
      </c>
      <c r="B309" s="1">
        <v>131.87959958477558</v>
      </c>
      <c r="C309" s="1">
        <v>-17.879599584775576</v>
      </c>
    </row>
    <row r="310" spans="1:3" x14ac:dyDescent="0.35">
      <c r="A310" s="1">
        <v>280</v>
      </c>
      <c r="B310" s="1">
        <v>134.03434151783921</v>
      </c>
      <c r="C310" s="1">
        <v>-26.034341517839209</v>
      </c>
    </row>
    <row r="311" spans="1:3" x14ac:dyDescent="0.35">
      <c r="A311" s="1">
        <v>281</v>
      </c>
      <c r="B311" s="1">
        <v>119.75652733889871</v>
      </c>
      <c r="C311" s="1">
        <v>26.243472661101293</v>
      </c>
    </row>
    <row r="312" spans="1:3" x14ac:dyDescent="0.35">
      <c r="A312" s="1">
        <v>282</v>
      </c>
      <c r="B312" s="1">
        <v>128.92144577498465</v>
      </c>
      <c r="C312" s="1">
        <v>7.8554225015352586E-2</v>
      </c>
    </row>
    <row r="313" spans="1:3" x14ac:dyDescent="0.35">
      <c r="A313" s="1">
        <v>283</v>
      </c>
      <c r="B313" s="1">
        <v>133.21588943286417</v>
      </c>
      <c r="C313" s="1">
        <v>-0.21588943286417361</v>
      </c>
    </row>
    <row r="314" spans="1:3" x14ac:dyDescent="0.35">
      <c r="A314" s="1">
        <v>284</v>
      </c>
      <c r="B314" s="1">
        <v>126.85472726993649</v>
      </c>
      <c r="C314" s="1">
        <v>34.14527273006351</v>
      </c>
    </row>
    <row r="315" spans="1:3" x14ac:dyDescent="0.35">
      <c r="A315" s="1">
        <v>285</v>
      </c>
      <c r="B315" s="1">
        <v>127.40899936017121</v>
      </c>
      <c r="C315" s="1">
        <v>-19.408999360171208</v>
      </c>
    </row>
    <row r="316" spans="1:3" x14ac:dyDescent="0.35">
      <c r="A316" s="1">
        <v>286</v>
      </c>
      <c r="B316" s="1">
        <v>133.21263433335392</v>
      </c>
      <c r="C316" s="1">
        <v>2.7873656666460818</v>
      </c>
    </row>
    <row r="317" spans="1:3" x14ac:dyDescent="0.35">
      <c r="A317" s="1">
        <v>287</v>
      </c>
      <c r="B317" s="1">
        <v>167.35731154586105</v>
      </c>
      <c r="C317" s="1">
        <v>-12.357311545861052</v>
      </c>
    </row>
    <row r="318" spans="1:3" x14ac:dyDescent="0.35">
      <c r="A318" s="1">
        <v>288</v>
      </c>
      <c r="B318" s="1">
        <v>139.42195275236796</v>
      </c>
      <c r="C318" s="1">
        <v>-20.421952752367957</v>
      </c>
    </row>
    <row r="319" spans="1:3" x14ac:dyDescent="0.35">
      <c r="A319" s="1">
        <v>289</v>
      </c>
      <c r="B319" s="1">
        <v>104.17026962626373</v>
      </c>
      <c r="C319" s="1">
        <v>-8.1702696262637318</v>
      </c>
    </row>
    <row r="320" spans="1:3" x14ac:dyDescent="0.35">
      <c r="A320" s="1">
        <v>290</v>
      </c>
      <c r="B320" s="1">
        <v>114.78164879658232</v>
      </c>
      <c r="C320" s="1">
        <v>-6.7816487965823171</v>
      </c>
    </row>
    <row r="321" spans="1:3" x14ac:dyDescent="0.35">
      <c r="A321" s="1">
        <v>291</v>
      </c>
      <c r="B321" s="1">
        <v>110.70754133424037</v>
      </c>
      <c r="C321" s="1">
        <v>-32.707541334240375</v>
      </c>
    </row>
    <row r="322" spans="1:3" x14ac:dyDescent="0.35">
      <c r="A322" s="1">
        <v>292</v>
      </c>
      <c r="B322" s="1">
        <v>116.36481046945507</v>
      </c>
      <c r="C322" s="1">
        <v>-9.3648104694550653</v>
      </c>
    </row>
    <row r="323" spans="1:3" x14ac:dyDescent="0.35">
      <c r="A323" s="1">
        <v>293</v>
      </c>
      <c r="B323" s="1">
        <v>137.96331705020566</v>
      </c>
      <c r="C323" s="1">
        <v>-9.9633170502056601</v>
      </c>
    </row>
    <row r="324" spans="1:3" x14ac:dyDescent="0.35">
      <c r="A324" s="1">
        <v>294</v>
      </c>
      <c r="B324" s="1">
        <v>123.85830018729457</v>
      </c>
      <c r="C324" s="1">
        <v>4.1416998127054256</v>
      </c>
    </row>
    <row r="325" spans="1:3" x14ac:dyDescent="0.35">
      <c r="A325" s="1">
        <v>295</v>
      </c>
      <c r="B325" s="1">
        <v>129.7204950119168</v>
      </c>
      <c r="C325" s="1">
        <v>31.279504988083204</v>
      </c>
    </row>
    <row r="326" spans="1:3" x14ac:dyDescent="0.35">
      <c r="A326" s="1">
        <v>296</v>
      </c>
      <c r="B326" s="1">
        <v>121.70594585446253</v>
      </c>
      <c r="C326" s="1">
        <v>29.294054145537473</v>
      </c>
    </row>
    <row r="327" spans="1:3" x14ac:dyDescent="0.35">
      <c r="A327" s="1">
        <v>297</v>
      </c>
      <c r="B327" s="1">
        <v>136.58144996184231</v>
      </c>
      <c r="C327" s="1">
        <v>9.4185500381576901</v>
      </c>
    </row>
    <row r="328" spans="1:3" x14ac:dyDescent="0.35">
      <c r="A328" s="1">
        <v>298</v>
      </c>
      <c r="B328" s="1">
        <v>125.83830551091857</v>
      </c>
      <c r="C328" s="1">
        <v>0.1616944890814267</v>
      </c>
    </row>
    <row r="329" spans="1:3" x14ac:dyDescent="0.35">
      <c r="A329" s="1">
        <v>299</v>
      </c>
      <c r="B329" s="1">
        <v>142.40534766740006</v>
      </c>
      <c r="C329" s="1">
        <v>-42.405347667400065</v>
      </c>
    </row>
    <row r="330" spans="1:3" x14ac:dyDescent="0.35">
      <c r="A330" s="1">
        <v>300</v>
      </c>
      <c r="B330" s="1">
        <v>132.19250625382026</v>
      </c>
      <c r="C330" s="1">
        <v>-20.192506253820255</v>
      </c>
    </row>
    <row r="331" spans="1:3" x14ac:dyDescent="0.35">
      <c r="A331" s="1">
        <v>301</v>
      </c>
      <c r="B331" s="1">
        <v>115.1328088072611</v>
      </c>
      <c r="C331" s="1">
        <v>51.8671911927389</v>
      </c>
    </row>
    <row r="332" spans="1:3" x14ac:dyDescent="0.35">
      <c r="A332" s="1">
        <v>302</v>
      </c>
      <c r="B332" s="1">
        <v>115.46153206686945</v>
      </c>
      <c r="C332" s="1">
        <v>28.538467933130548</v>
      </c>
    </row>
    <row r="333" spans="1:3" x14ac:dyDescent="0.35">
      <c r="A333" s="1">
        <v>303</v>
      </c>
      <c r="B333" s="1">
        <v>113.22427739538982</v>
      </c>
      <c r="C333" s="1">
        <v>-36.224277395389819</v>
      </c>
    </row>
    <row r="334" spans="1:3" x14ac:dyDescent="0.35">
      <c r="A334" s="1">
        <v>304</v>
      </c>
      <c r="B334" s="1">
        <v>132.47689067716976</v>
      </c>
      <c r="C334" s="1">
        <v>-17.476890677169763</v>
      </c>
    </row>
    <row r="335" spans="1:3" x14ac:dyDescent="0.35">
      <c r="A335" s="1">
        <v>305</v>
      </c>
      <c r="B335" s="1">
        <v>112.67866247834219</v>
      </c>
      <c r="C335" s="1">
        <v>37.32133752165781</v>
      </c>
    </row>
    <row r="336" spans="1:3" x14ac:dyDescent="0.35">
      <c r="A336" s="1">
        <v>306</v>
      </c>
      <c r="B336" s="1">
        <v>119.7217340960101</v>
      </c>
      <c r="C336" s="1">
        <v>0.27826590398990447</v>
      </c>
    </row>
    <row r="337" spans="1:3" x14ac:dyDescent="0.35">
      <c r="A337" s="1">
        <v>307</v>
      </c>
      <c r="B337" s="1">
        <v>128.68678191119992</v>
      </c>
      <c r="C337" s="1">
        <v>32.313218088800085</v>
      </c>
    </row>
    <row r="338" spans="1:3" x14ac:dyDescent="0.35">
      <c r="A338" s="1">
        <v>308</v>
      </c>
      <c r="B338" s="1">
        <v>114.25571377538576</v>
      </c>
      <c r="C338" s="1">
        <v>22.744286224614243</v>
      </c>
    </row>
    <row r="339" spans="1:3" x14ac:dyDescent="0.35">
      <c r="A339" s="1">
        <v>309</v>
      </c>
      <c r="B339" s="1">
        <v>130.540173174963</v>
      </c>
      <c r="C339" s="1">
        <v>-2.5401731749630017</v>
      </c>
    </row>
    <row r="340" spans="1:3" x14ac:dyDescent="0.35">
      <c r="A340" s="1">
        <v>310</v>
      </c>
      <c r="B340" s="1">
        <v>131.92954538920253</v>
      </c>
      <c r="C340" s="1">
        <v>-7.9295453892025307</v>
      </c>
    </row>
    <row r="341" spans="1:3" x14ac:dyDescent="0.35">
      <c r="A341" s="1">
        <v>311</v>
      </c>
      <c r="B341" s="1">
        <v>109.27969203184223</v>
      </c>
      <c r="C341" s="1">
        <v>-29.279692031842231</v>
      </c>
    </row>
    <row r="342" spans="1:3" x14ac:dyDescent="0.35">
      <c r="A342" s="1">
        <v>312</v>
      </c>
      <c r="B342" s="1">
        <v>121.22571466969933</v>
      </c>
      <c r="C342" s="1">
        <v>-15.225714669699329</v>
      </c>
    </row>
    <row r="343" spans="1:3" x14ac:dyDescent="0.35">
      <c r="A343" s="1">
        <v>313</v>
      </c>
      <c r="B343" s="1">
        <v>115.61990589741932</v>
      </c>
      <c r="C343" s="1">
        <v>39.380094102580685</v>
      </c>
    </row>
    <row r="344" spans="1:3" x14ac:dyDescent="0.35">
      <c r="A344" s="1">
        <v>314</v>
      </c>
      <c r="B344" s="1">
        <v>117.33687966217443</v>
      </c>
      <c r="C344" s="1">
        <v>-4.3368796621744252</v>
      </c>
    </row>
    <row r="345" spans="1:3" x14ac:dyDescent="0.35">
      <c r="A345" s="1">
        <v>315</v>
      </c>
      <c r="B345" s="1">
        <v>123.6946128691115</v>
      </c>
      <c r="C345" s="1">
        <v>-14.694612869111495</v>
      </c>
    </row>
    <row r="346" spans="1:3" x14ac:dyDescent="0.35">
      <c r="A346" s="1">
        <v>316</v>
      </c>
      <c r="B346" s="1">
        <v>117.56413857756155</v>
      </c>
      <c r="C346" s="1">
        <v>-5.5641385775615504</v>
      </c>
    </row>
    <row r="347" spans="1:3" x14ac:dyDescent="0.35">
      <c r="A347" s="1">
        <v>317</v>
      </c>
      <c r="B347" s="1">
        <v>110.40670674030694</v>
      </c>
      <c r="C347" s="1">
        <v>-11.406706740306944</v>
      </c>
    </row>
    <row r="348" spans="1:3" x14ac:dyDescent="0.35">
      <c r="A348" s="1">
        <v>318</v>
      </c>
      <c r="B348" s="1">
        <v>115.37595330991084</v>
      </c>
      <c r="C348" s="1">
        <v>66.624046690089159</v>
      </c>
    </row>
    <row r="349" spans="1:3" x14ac:dyDescent="0.35">
      <c r="A349" s="1">
        <v>319</v>
      </c>
      <c r="B349" s="1">
        <v>119.67228130275561</v>
      </c>
      <c r="C349" s="1">
        <v>-4.6722813027556072</v>
      </c>
    </row>
    <row r="350" spans="1:3" x14ac:dyDescent="0.35">
      <c r="A350" s="1">
        <v>320</v>
      </c>
      <c r="B350" s="1">
        <v>128.57426124070111</v>
      </c>
      <c r="C350" s="1">
        <v>65.425738759298895</v>
      </c>
    </row>
    <row r="351" spans="1:3" x14ac:dyDescent="0.35">
      <c r="A351" s="1">
        <v>321</v>
      </c>
      <c r="B351" s="1">
        <v>133.84315169507909</v>
      </c>
      <c r="C351" s="1">
        <v>-4.8431516950790865</v>
      </c>
    </row>
    <row r="352" spans="1:3" x14ac:dyDescent="0.35">
      <c r="A352" s="1">
        <v>322</v>
      </c>
      <c r="B352" s="1">
        <v>102.65795866742616</v>
      </c>
      <c r="C352" s="1">
        <v>9.3420413325738423</v>
      </c>
    </row>
    <row r="353" spans="1:3" x14ac:dyDescent="0.35">
      <c r="A353" s="1">
        <v>323</v>
      </c>
      <c r="B353" s="1">
        <v>109.85023655958508</v>
      </c>
      <c r="C353" s="1">
        <v>14.149763440414915</v>
      </c>
    </row>
    <row r="354" spans="1:3" x14ac:dyDescent="0.35">
      <c r="A354" s="1">
        <v>324</v>
      </c>
      <c r="B354" s="1">
        <v>117.6648778345108</v>
      </c>
      <c r="C354" s="1">
        <v>34.335122165489196</v>
      </c>
    </row>
    <row r="355" spans="1:3" x14ac:dyDescent="0.35">
      <c r="A355" s="1">
        <v>325</v>
      </c>
      <c r="B355" s="1">
        <v>102.18625148264665</v>
      </c>
      <c r="C355" s="1">
        <v>9.8137485173533463</v>
      </c>
    </row>
    <row r="356" spans="1:3" x14ac:dyDescent="0.35">
      <c r="A356" s="1">
        <v>326</v>
      </c>
      <c r="B356" s="1">
        <v>116.67427542074145</v>
      </c>
      <c r="C356" s="1">
        <v>40.325724579258548</v>
      </c>
    </row>
    <row r="357" spans="1:3" x14ac:dyDescent="0.35">
      <c r="A357" s="1">
        <v>327</v>
      </c>
      <c r="B357" s="1">
        <v>125.82483354748084</v>
      </c>
      <c r="C357" s="1">
        <v>-3.8248335474808357</v>
      </c>
    </row>
    <row r="358" spans="1:3" x14ac:dyDescent="0.35">
      <c r="A358" s="1">
        <v>328</v>
      </c>
      <c r="B358" s="1">
        <v>123.205787318476</v>
      </c>
      <c r="C358" s="1">
        <v>55.794212681524002</v>
      </c>
    </row>
    <row r="359" spans="1:3" x14ac:dyDescent="0.35">
      <c r="A359" s="1">
        <v>329</v>
      </c>
      <c r="B359" s="1">
        <v>122.18780516974878</v>
      </c>
      <c r="C359" s="1">
        <v>-20.187805169748785</v>
      </c>
    </row>
    <row r="360" spans="1:3" x14ac:dyDescent="0.35">
      <c r="A360" s="1">
        <v>330</v>
      </c>
      <c r="B360" s="1">
        <v>115.38777577845057</v>
      </c>
      <c r="C360" s="1">
        <v>-10.387775778450575</v>
      </c>
    </row>
    <row r="361" spans="1:3" x14ac:dyDescent="0.35">
      <c r="A361" s="1">
        <v>331</v>
      </c>
      <c r="B361" s="1">
        <v>121.74063206604822</v>
      </c>
      <c r="C361" s="1">
        <v>-3.7406320660482208</v>
      </c>
    </row>
    <row r="362" spans="1:3" x14ac:dyDescent="0.35">
      <c r="A362" s="1">
        <v>332</v>
      </c>
      <c r="B362" s="1">
        <v>112.01241433037301</v>
      </c>
      <c r="C362" s="1">
        <v>-25.012414330373005</v>
      </c>
    </row>
    <row r="363" spans="1:3" x14ac:dyDescent="0.35">
      <c r="A363" s="1">
        <v>333</v>
      </c>
      <c r="B363" s="1">
        <v>127.02467708877744</v>
      </c>
      <c r="C363" s="1">
        <v>52.975322911222563</v>
      </c>
    </row>
    <row r="364" spans="1:3" x14ac:dyDescent="0.35">
      <c r="A364" s="1">
        <v>334</v>
      </c>
      <c r="B364" s="1">
        <v>119.51445088386239</v>
      </c>
      <c r="C364" s="1">
        <v>-13.514450883862395</v>
      </c>
    </row>
    <row r="365" spans="1:3" x14ac:dyDescent="0.35">
      <c r="A365" s="1">
        <v>335</v>
      </c>
      <c r="B365" s="1">
        <v>104.08329500059462</v>
      </c>
      <c r="C365" s="1">
        <v>-9.0832950005946174</v>
      </c>
    </row>
    <row r="366" spans="1:3" x14ac:dyDescent="0.35">
      <c r="A366" s="1">
        <v>336</v>
      </c>
      <c r="B366" s="1">
        <v>137.16474432000629</v>
      </c>
      <c r="C366" s="1">
        <v>27.835255679993708</v>
      </c>
    </row>
    <row r="367" spans="1:3" x14ac:dyDescent="0.35">
      <c r="A367" s="1">
        <v>337</v>
      </c>
      <c r="B367" s="1">
        <v>125.87930669273612</v>
      </c>
      <c r="C367" s="1">
        <v>-8.8793066927361224</v>
      </c>
    </row>
    <row r="368" spans="1:3" x14ac:dyDescent="0.35">
      <c r="A368" s="1">
        <v>338</v>
      </c>
      <c r="B368" s="1">
        <v>125.82532191470409</v>
      </c>
      <c r="C368" s="1">
        <v>-10.825321914704091</v>
      </c>
    </row>
    <row r="369" spans="1:3" x14ac:dyDescent="0.35">
      <c r="A369" s="1">
        <v>339</v>
      </c>
      <c r="B369" s="1">
        <v>130.64534705410489</v>
      </c>
      <c r="C369" s="1">
        <v>21.354652945895111</v>
      </c>
    </row>
    <row r="370" spans="1:3" x14ac:dyDescent="0.35">
      <c r="A370" s="1">
        <v>340</v>
      </c>
      <c r="B370" s="1">
        <v>131.01939369637867</v>
      </c>
      <c r="C370" s="1">
        <v>46.980606303621329</v>
      </c>
    </row>
    <row r="371" spans="1:3" x14ac:dyDescent="0.35">
      <c r="A371" s="1">
        <v>341</v>
      </c>
      <c r="B371" s="1">
        <v>114.01699166615039</v>
      </c>
      <c r="C371" s="1">
        <v>15.983008333849611</v>
      </c>
    </row>
    <row r="372" spans="1:3" x14ac:dyDescent="0.35">
      <c r="A372" s="1">
        <v>342</v>
      </c>
      <c r="B372" s="1">
        <v>118.71102723022166</v>
      </c>
      <c r="C372" s="1">
        <v>-23.71102723022166</v>
      </c>
    </row>
    <row r="373" spans="1:3" x14ac:dyDescent="0.35">
      <c r="A373" s="1">
        <v>343</v>
      </c>
      <c r="B373" s="1">
        <v>100.02574842415359</v>
      </c>
      <c r="C373" s="1">
        <v>-100.02574842415359</v>
      </c>
    </row>
    <row r="374" spans="1:3" x14ac:dyDescent="0.35">
      <c r="A374" s="1">
        <v>344</v>
      </c>
      <c r="B374" s="1">
        <v>121.71905507082371</v>
      </c>
      <c r="C374" s="1">
        <v>0.280944929176286</v>
      </c>
    </row>
    <row r="375" spans="1:3" x14ac:dyDescent="0.35">
      <c r="A375" s="1">
        <v>345</v>
      </c>
      <c r="B375" s="1">
        <v>139.20886713379483</v>
      </c>
      <c r="C375" s="1">
        <v>-44.208867133794826</v>
      </c>
    </row>
    <row r="376" spans="1:3" x14ac:dyDescent="0.35">
      <c r="A376" s="1">
        <v>346</v>
      </c>
      <c r="B376" s="1">
        <v>134.40251348590658</v>
      </c>
      <c r="C376" s="1">
        <v>-8.4025134859065815</v>
      </c>
    </row>
    <row r="377" spans="1:3" x14ac:dyDescent="0.35">
      <c r="A377" s="1">
        <v>347</v>
      </c>
      <c r="B377" s="1">
        <v>111.37056414723575</v>
      </c>
      <c r="C377" s="1">
        <v>27.629435852764246</v>
      </c>
    </row>
    <row r="378" spans="1:3" x14ac:dyDescent="0.35">
      <c r="A378" s="1">
        <v>348</v>
      </c>
      <c r="B378" s="1">
        <v>100.07193902786847</v>
      </c>
      <c r="C378" s="1">
        <v>15.928060972131533</v>
      </c>
    </row>
    <row r="379" spans="1:3" x14ac:dyDescent="0.35">
      <c r="A379" s="1">
        <v>349</v>
      </c>
      <c r="B379" s="1">
        <v>106.74002316492722</v>
      </c>
      <c r="C379" s="1">
        <v>-7.7400231649272229</v>
      </c>
    </row>
    <row r="380" spans="1:3" x14ac:dyDescent="0.35">
      <c r="A380" s="1">
        <v>350</v>
      </c>
      <c r="B380" s="1">
        <v>118.2644939404809</v>
      </c>
      <c r="C380" s="1">
        <v>-118.2644939404809</v>
      </c>
    </row>
    <row r="381" spans="1:3" x14ac:dyDescent="0.35">
      <c r="A381" s="1">
        <v>351</v>
      </c>
      <c r="B381" s="1">
        <v>123.95135318756589</v>
      </c>
      <c r="C381" s="1">
        <v>-31.951353187565886</v>
      </c>
    </row>
    <row r="382" spans="1:3" x14ac:dyDescent="0.35">
      <c r="A382" s="1">
        <v>352</v>
      </c>
      <c r="B382" s="1">
        <v>116.71824856275066</v>
      </c>
      <c r="C382" s="1">
        <v>20.281751437249341</v>
      </c>
    </row>
    <row r="383" spans="1:3" x14ac:dyDescent="0.35">
      <c r="A383" s="1">
        <v>353</v>
      </c>
      <c r="B383" s="1">
        <v>119.82855898059339</v>
      </c>
      <c r="C383" s="1">
        <v>-58.828558980593385</v>
      </c>
    </row>
    <row r="384" spans="1:3" x14ac:dyDescent="0.35">
      <c r="A384" s="1">
        <v>354</v>
      </c>
      <c r="B384" s="1">
        <v>110.50936766638929</v>
      </c>
      <c r="C384" s="1">
        <v>-20.509367666389295</v>
      </c>
    </row>
    <row r="385" spans="1:3" x14ac:dyDescent="0.35">
      <c r="A385" s="1">
        <v>355</v>
      </c>
      <c r="B385" s="1">
        <v>120.99927035431689</v>
      </c>
      <c r="C385" s="1">
        <v>-30.999270354316891</v>
      </c>
    </row>
    <row r="386" spans="1:3" x14ac:dyDescent="0.35">
      <c r="A386" s="1">
        <v>356</v>
      </c>
      <c r="B386" s="1">
        <v>129.26846242713418</v>
      </c>
      <c r="C386" s="1">
        <v>35.731537572865818</v>
      </c>
    </row>
    <row r="387" spans="1:3" x14ac:dyDescent="0.35">
      <c r="A387" s="1">
        <v>357</v>
      </c>
      <c r="B387" s="1">
        <v>122.33998077775857</v>
      </c>
      <c r="C387" s="1">
        <v>2.6600192222414307</v>
      </c>
    </row>
    <row r="388" spans="1:3" x14ac:dyDescent="0.35">
      <c r="A388" s="1">
        <v>358</v>
      </c>
      <c r="B388" s="1">
        <v>118.90168690678618</v>
      </c>
      <c r="C388" s="1">
        <v>10.098313093213818</v>
      </c>
    </row>
    <row r="389" spans="1:3" x14ac:dyDescent="0.35">
      <c r="A389" s="1">
        <v>359</v>
      </c>
      <c r="B389" s="1">
        <v>124.03183306342306</v>
      </c>
      <c r="C389" s="1">
        <v>-36.031833063423065</v>
      </c>
    </row>
    <row r="390" spans="1:3" x14ac:dyDescent="0.35">
      <c r="A390" s="1">
        <v>360</v>
      </c>
      <c r="B390" s="1">
        <v>136.23375812800097</v>
      </c>
      <c r="C390" s="1">
        <v>59.766241871999028</v>
      </c>
    </row>
    <row r="391" spans="1:3" x14ac:dyDescent="0.35">
      <c r="A391" s="1">
        <v>361</v>
      </c>
      <c r="B391" s="1">
        <v>138.44722391661799</v>
      </c>
      <c r="C391" s="1">
        <v>50.552776083382014</v>
      </c>
    </row>
    <row r="392" spans="1:3" x14ac:dyDescent="0.35">
      <c r="A392" s="1">
        <v>362</v>
      </c>
      <c r="B392" s="1">
        <v>135.75565142801398</v>
      </c>
      <c r="C392" s="1">
        <v>22.244348571986023</v>
      </c>
    </row>
    <row r="393" spans="1:3" x14ac:dyDescent="0.35">
      <c r="A393" s="1">
        <v>363</v>
      </c>
      <c r="B393" s="1">
        <v>135.01196045044932</v>
      </c>
      <c r="C393" s="1">
        <v>-32.011960450449322</v>
      </c>
    </row>
    <row r="394" spans="1:3" x14ac:dyDescent="0.35">
      <c r="A394" s="1">
        <v>364</v>
      </c>
      <c r="B394" s="1">
        <v>147.34258969991711</v>
      </c>
      <c r="C394" s="1">
        <v>-1.342589699917113</v>
      </c>
    </row>
    <row r="395" spans="1:3" x14ac:dyDescent="0.35">
      <c r="A395" s="1">
        <v>365</v>
      </c>
      <c r="B395" s="1">
        <v>140.71805342726066</v>
      </c>
      <c r="C395" s="1">
        <v>6.2819465727393435</v>
      </c>
    </row>
    <row r="396" spans="1:3" x14ac:dyDescent="0.35">
      <c r="A396" s="1">
        <v>366</v>
      </c>
      <c r="B396" s="1">
        <v>117.31785772585411</v>
      </c>
      <c r="C396" s="1">
        <v>-18.317857725854111</v>
      </c>
    </row>
    <row r="397" spans="1:3" x14ac:dyDescent="0.35">
      <c r="A397" s="1">
        <v>367</v>
      </c>
      <c r="B397" s="1">
        <v>113.38204260314468</v>
      </c>
      <c r="C397" s="1">
        <v>10.617957396855317</v>
      </c>
    </row>
    <row r="398" spans="1:3" x14ac:dyDescent="0.35">
      <c r="A398" s="1">
        <v>368</v>
      </c>
      <c r="B398" s="1">
        <v>95.939364057874144</v>
      </c>
      <c r="C398" s="1">
        <v>5.060635942125856</v>
      </c>
    </row>
    <row r="399" spans="1:3" x14ac:dyDescent="0.35">
      <c r="A399" s="1">
        <v>369</v>
      </c>
      <c r="B399" s="1">
        <v>110.48590408163489</v>
      </c>
      <c r="C399" s="1">
        <v>-29.485904081634885</v>
      </c>
    </row>
    <row r="400" spans="1:3" x14ac:dyDescent="0.35">
      <c r="A400" s="1">
        <v>370</v>
      </c>
      <c r="B400" s="1">
        <v>133.27580722176509</v>
      </c>
      <c r="C400" s="1">
        <v>-0.27580722176509198</v>
      </c>
    </row>
    <row r="401" spans="1:3" x14ac:dyDescent="0.35">
      <c r="A401" s="1">
        <v>371</v>
      </c>
      <c r="B401" s="1">
        <v>161.27976888711135</v>
      </c>
      <c r="C401" s="1">
        <v>11.720231112888655</v>
      </c>
    </row>
    <row r="402" spans="1:3" x14ac:dyDescent="0.35">
      <c r="A402" s="1">
        <v>372</v>
      </c>
      <c r="B402" s="1">
        <v>96.461997701777861</v>
      </c>
      <c r="C402" s="1">
        <v>21.538002298222139</v>
      </c>
    </row>
    <row r="403" spans="1:3" x14ac:dyDescent="0.35">
      <c r="A403" s="1">
        <v>373</v>
      </c>
      <c r="B403" s="1">
        <v>113.85471978570835</v>
      </c>
      <c r="C403" s="1">
        <v>-29.854719785708355</v>
      </c>
    </row>
    <row r="404" spans="1:3" x14ac:dyDescent="0.35">
      <c r="A404" s="1">
        <v>374</v>
      </c>
      <c r="B404" s="1">
        <v>110.23384053017017</v>
      </c>
      <c r="C404" s="1">
        <v>-5.2338405301701698</v>
      </c>
    </row>
    <row r="405" spans="1:3" x14ac:dyDescent="0.35">
      <c r="A405" s="1">
        <v>375</v>
      </c>
      <c r="B405" s="1">
        <v>121.8855865502472</v>
      </c>
      <c r="C405" s="1">
        <v>0.11441344975280288</v>
      </c>
    </row>
    <row r="406" spans="1:3" x14ac:dyDescent="0.35">
      <c r="A406" s="1">
        <v>376</v>
      </c>
      <c r="B406" s="1">
        <v>161.14521900569605</v>
      </c>
      <c r="C406" s="1">
        <v>-21.145219005696049</v>
      </c>
    </row>
    <row r="407" spans="1:3" x14ac:dyDescent="0.35">
      <c r="A407" s="1">
        <v>377</v>
      </c>
      <c r="B407" s="1">
        <v>110.40200933977994</v>
      </c>
      <c r="C407" s="1">
        <v>-12.402009339779937</v>
      </c>
    </row>
    <row r="408" spans="1:3" x14ac:dyDescent="0.35">
      <c r="A408" s="1">
        <v>378</v>
      </c>
      <c r="B408" s="1">
        <v>110.99235876035544</v>
      </c>
      <c r="C408" s="1">
        <v>-23.992358760355444</v>
      </c>
    </row>
    <row r="409" spans="1:3" x14ac:dyDescent="0.35">
      <c r="A409" s="1">
        <v>379</v>
      </c>
      <c r="B409" s="1">
        <v>130.1200833844471</v>
      </c>
      <c r="C409" s="1">
        <v>25.879916615552901</v>
      </c>
    </row>
    <row r="410" spans="1:3" x14ac:dyDescent="0.35">
      <c r="A410" s="1">
        <v>380</v>
      </c>
      <c r="B410" s="1">
        <v>129.03895103858932</v>
      </c>
      <c r="C410" s="1">
        <v>-36.038951038589317</v>
      </c>
    </row>
    <row r="411" spans="1:3" x14ac:dyDescent="0.35">
      <c r="A411" s="1">
        <v>381</v>
      </c>
      <c r="B411" s="1">
        <v>113.33514902374645</v>
      </c>
      <c r="C411" s="1">
        <v>-6.3351490237464532</v>
      </c>
    </row>
    <row r="412" spans="1:3" x14ac:dyDescent="0.35">
      <c r="A412" s="1">
        <v>382</v>
      </c>
      <c r="B412" s="1">
        <v>94.342155554445625</v>
      </c>
      <c r="C412" s="1">
        <v>10.657844445554375</v>
      </c>
    </row>
    <row r="413" spans="1:3" x14ac:dyDescent="0.35">
      <c r="A413" s="1">
        <v>383</v>
      </c>
      <c r="B413" s="1">
        <v>124.70456447897831</v>
      </c>
      <c r="C413" s="1">
        <v>-15.704564478978313</v>
      </c>
    </row>
    <row r="414" spans="1:3" x14ac:dyDescent="0.35">
      <c r="A414" s="1">
        <v>384</v>
      </c>
      <c r="B414" s="1">
        <v>113.52674682796324</v>
      </c>
      <c r="C414" s="1">
        <v>-23.526746827963237</v>
      </c>
    </row>
    <row r="415" spans="1:3" x14ac:dyDescent="0.35">
      <c r="A415" s="1">
        <v>385</v>
      </c>
      <c r="B415" s="1">
        <v>109.99257710571842</v>
      </c>
      <c r="C415" s="1">
        <v>15.007422894281575</v>
      </c>
    </row>
    <row r="416" spans="1:3" x14ac:dyDescent="0.35">
      <c r="A416" s="1">
        <v>386</v>
      </c>
      <c r="B416" s="1">
        <v>104.27317189937736</v>
      </c>
      <c r="C416" s="1">
        <v>14.72682810062264</v>
      </c>
    </row>
    <row r="417" spans="1:3" x14ac:dyDescent="0.35">
      <c r="A417" s="1">
        <v>387</v>
      </c>
      <c r="B417" s="1">
        <v>113.01226201108655</v>
      </c>
      <c r="C417" s="1">
        <v>2.9877379889134517</v>
      </c>
    </row>
    <row r="418" spans="1:3" x14ac:dyDescent="0.35">
      <c r="A418" s="1">
        <v>388</v>
      </c>
      <c r="B418" s="1">
        <v>124.71681044336066</v>
      </c>
      <c r="C418" s="1">
        <v>-19.716810443360657</v>
      </c>
    </row>
    <row r="419" spans="1:3" x14ac:dyDescent="0.35">
      <c r="A419" s="1">
        <v>389</v>
      </c>
      <c r="B419" s="1">
        <v>156.51377505510882</v>
      </c>
      <c r="C419" s="1">
        <v>-12.513775055108823</v>
      </c>
    </row>
    <row r="420" spans="1:3" x14ac:dyDescent="0.35">
      <c r="A420" s="1">
        <v>390</v>
      </c>
      <c r="B420" s="1">
        <v>119.40186303661902</v>
      </c>
      <c r="C420" s="1">
        <v>-19.401863036619019</v>
      </c>
    </row>
    <row r="421" spans="1:3" x14ac:dyDescent="0.35">
      <c r="A421" s="1">
        <v>391</v>
      </c>
      <c r="B421" s="1">
        <v>134.83757102147814</v>
      </c>
      <c r="C421" s="1">
        <v>-34.837571021478141</v>
      </c>
    </row>
    <row r="422" spans="1:3" x14ac:dyDescent="0.35">
      <c r="A422" s="1">
        <v>392</v>
      </c>
      <c r="B422" s="1">
        <v>125.71621701548621</v>
      </c>
      <c r="C422" s="1">
        <v>40.283782984513792</v>
      </c>
    </row>
    <row r="423" spans="1:3" x14ac:dyDescent="0.35">
      <c r="A423" s="1">
        <v>393</v>
      </c>
      <c r="B423" s="1">
        <v>141.59073444801098</v>
      </c>
      <c r="C423" s="1">
        <v>-10.590734448010977</v>
      </c>
    </row>
    <row r="424" spans="1:3" x14ac:dyDescent="0.35">
      <c r="A424" s="1">
        <v>394</v>
      </c>
      <c r="B424" s="1">
        <v>119.63036853618152</v>
      </c>
      <c r="C424" s="1">
        <v>-3.6303685361815212</v>
      </c>
    </row>
    <row r="425" spans="1:3" x14ac:dyDescent="0.35">
      <c r="A425" s="1">
        <v>395</v>
      </c>
      <c r="B425" s="1">
        <v>121.69906312954177</v>
      </c>
      <c r="C425" s="1">
        <v>36.30093687045823</v>
      </c>
    </row>
    <row r="426" spans="1:3" x14ac:dyDescent="0.35">
      <c r="A426" s="1">
        <v>396</v>
      </c>
      <c r="B426" s="1">
        <v>137.05115438937952</v>
      </c>
      <c r="C426" s="1">
        <v>-10.051154389379519</v>
      </c>
    </row>
    <row r="427" spans="1:3" x14ac:dyDescent="0.35">
      <c r="A427" s="1">
        <v>397</v>
      </c>
      <c r="B427" s="1">
        <v>120.19025087828116</v>
      </c>
      <c r="C427" s="1">
        <v>-24.190250878281162</v>
      </c>
    </row>
    <row r="428" spans="1:3" x14ac:dyDescent="0.35">
      <c r="A428" s="1">
        <v>398</v>
      </c>
      <c r="B428" s="1">
        <v>98.662168080470337</v>
      </c>
      <c r="C428" s="1">
        <v>32.337831919529663</v>
      </c>
    </row>
    <row r="429" spans="1:3" x14ac:dyDescent="0.35">
      <c r="A429" s="1">
        <v>399</v>
      </c>
      <c r="B429" s="1">
        <v>105.73992696501095</v>
      </c>
      <c r="C429" s="1">
        <v>-23.739926965010952</v>
      </c>
    </row>
    <row r="430" spans="1:3" x14ac:dyDescent="0.35">
      <c r="A430" s="1">
        <v>400</v>
      </c>
      <c r="B430" s="1">
        <v>104.79746515397699</v>
      </c>
      <c r="C430" s="1">
        <v>88.202534846023013</v>
      </c>
    </row>
    <row r="431" spans="1:3" x14ac:dyDescent="0.35">
      <c r="A431" s="1">
        <v>401</v>
      </c>
      <c r="B431" s="1">
        <v>115.98831133076598</v>
      </c>
      <c r="C431" s="1">
        <v>-20.988311330765981</v>
      </c>
    </row>
    <row r="432" spans="1:3" x14ac:dyDescent="0.35">
      <c r="A432" s="1">
        <v>402</v>
      </c>
      <c r="B432" s="1">
        <v>125.46682634863143</v>
      </c>
      <c r="C432" s="1">
        <v>11.533173651368571</v>
      </c>
    </row>
    <row r="433" spans="1:3" x14ac:dyDescent="0.35">
      <c r="A433" s="1">
        <v>403</v>
      </c>
      <c r="B433" s="1">
        <v>118.20723138750745</v>
      </c>
      <c r="C433" s="1">
        <v>17.792768612492551</v>
      </c>
    </row>
    <row r="434" spans="1:3" x14ac:dyDescent="0.35">
      <c r="A434" s="1">
        <v>404</v>
      </c>
      <c r="B434" s="1">
        <v>113.87543909659279</v>
      </c>
      <c r="C434" s="1">
        <v>-41.875439096592785</v>
      </c>
    </row>
    <row r="435" spans="1:3" x14ac:dyDescent="0.35">
      <c r="A435" s="1">
        <v>405</v>
      </c>
      <c r="B435" s="1">
        <v>123.01086976136673</v>
      </c>
      <c r="C435" s="1">
        <v>44.989130238633265</v>
      </c>
    </row>
    <row r="436" spans="1:3" x14ac:dyDescent="0.35">
      <c r="A436" s="1">
        <v>406</v>
      </c>
      <c r="B436" s="1">
        <v>127.25215423563363</v>
      </c>
      <c r="C436" s="1">
        <v>-4.2521542356336255</v>
      </c>
    </row>
    <row r="437" spans="1:3" x14ac:dyDescent="0.35">
      <c r="A437" s="1">
        <v>407</v>
      </c>
      <c r="B437" s="1">
        <v>125.25955854710111</v>
      </c>
      <c r="C437" s="1">
        <v>-10.259558547101108</v>
      </c>
    </row>
    <row r="438" spans="1:3" x14ac:dyDescent="0.35">
      <c r="A438" s="1">
        <v>408</v>
      </c>
      <c r="B438" s="1">
        <v>105.26840433775817</v>
      </c>
      <c r="C438" s="1">
        <v>-4.2684043377581702</v>
      </c>
    </row>
    <row r="439" spans="1:3" x14ac:dyDescent="0.35">
      <c r="A439" s="1">
        <v>409</v>
      </c>
      <c r="B439" s="1">
        <v>124.01530308242356</v>
      </c>
      <c r="C439" s="1">
        <v>72.984696917576443</v>
      </c>
    </row>
    <row r="440" spans="1:3" x14ac:dyDescent="0.35">
      <c r="A440" s="1">
        <v>410</v>
      </c>
      <c r="B440" s="1">
        <v>167.17494051832242</v>
      </c>
      <c r="C440" s="1">
        <v>4.8250594816775845</v>
      </c>
    </row>
    <row r="441" spans="1:3" x14ac:dyDescent="0.35">
      <c r="A441" s="1">
        <v>411</v>
      </c>
      <c r="B441" s="1">
        <v>108.97181286664585</v>
      </c>
      <c r="C441" s="1">
        <v>-6.9718128666458483</v>
      </c>
    </row>
    <row r="442" spans="1:3" x14ac:dyDescent="0.35">
      <c r="A442" s="1">
        <v>412</v>
      </c>
      <c r="B442" s="1">
        <v>124.27579241829639</v>
      </c>
      <c r="C442" s="1">
        <v>-12.27579241829639</v>
      </c>
    </row>
    <row r="443" spans="1:3" x14ac:dyDescent="0.35">
      <c r="A443" s="1">
        <v>413</v>
      </c>
      <c r="B443" s="1">
        <v>148.4479287393406</v>
      </c>
      <c r="C443" s="1">
        <v>-5.4479287393405968</v>
      </c>
    </row>
    <row r="444" spans="1:3" x14ac:dyDescent="0.35">
      <c r="A444" s="1">
        <v>414</v>
      </c>
      <c r="B444" s="1">
        <v>105.08334478658195</v>
      </c>
      <c r="C444" s="1">
        <v>37.916655213418053</v>
      </c>
    </row>
    <row r="445" spans="1:3" x14ac:dyDescent="0.35">
      <c r="A445" s="1">
        <v>415</v>
      </c>
      <c r="B445" s="1">
        <v>118.40785008666634</v>
      </c>
      <c r="C445" s="1">
        <v>19.592149913333657</v>
      </c>
    </row>
    <row r="446" spans="1:3" x14ac:dyDescent="0.35">
      <c r="A446" s="1">
        <v>416</v>
      </c>
      <c r="B446" s="1">
        <v>151.50808028235298</v>
      </c>
      <c r="C446" s="1">
        <v>21.491919717647022</v>
      </c>
    </row>
    <row r="447" spans="1:3" x14ac:dyDescent="0.35">
      <c r="A447" s="1">
        <v>417</v>
      </c>
      <c r="B447" s="1">
        <v>105.56308989243591</v>
      </c>
      <c r="C447" s="1">
        <v>-8.5630898924359116</v>
      </c>
    </row>
    <row r="448" spans="1:3" x14ac:dyDescent="0.35">
      <c r="A448" s="1">
        <v>418</v>
      </c>
      <c r="B448" s="1">
        <v>117.78368998363626</v>
      </c>
      <c r="C448" s="1">
        <v>26.216310016363735</v>
      </c>
    </row>
    <row r="449" spans="1:3" x14ac:dyDescent="0.35">
      <c r="A449" s="1">
        <v>419</v>
      </c>
      <c r="B449" s="1">
        <v>106.08102176323192</v>
      </c>
      <c r="C449" s="1">
        <v>-23.081021763231917</v>
      </c>
    </row>
    <row r="450" spans="1:3" x14ac:dyDescent="0.35">
      <c r="A450" s="1">
        <v>420</v>
      </c>
      <c r="B450" s="1">
        <v>112.02011844176955</v>
      </c>
      <c r="C450" s="1">
        <v>16.979881558230446</v>
      </c>
    </row>
    <row r="451" spans="1:3" x14ac:dyDescent="0.35">
      <c r="A451" s="1">
        <v>421</v>
      </c>
      <c r="B451" s="1">
        <v>129.80753471049331</v>
      </c>
      <c r="C451" s="1">
        <v>-10.807534710493314</v>
      </c>
    </row>
    <row r="452" spans="1:3" x14ac:dyDescent="0.35">
      <c r="A452" s="1">
        <v>422</v>
      </c>
      <c r="B452" s="1">
        <v>109.34262969714123</v>
      </c>
      <c r="C452" s="1">
        <v>-15.342629697141234</v>
      </c>
    </row>
    <row r="453" spans="1:3" x14ac:dyDescent="0.35">
      <c r="A453" s="1">
        <v>423</v>
      </c>
      <c r="B453" s="1">
        <v>110.33040149804916</v>
      </c>
      <c r="C453" s="1">
        <v>-8.3304014980491559</v>
      </c>
    </row>
    <row r="454" spans="1:3" x14ac:dyDescent="0.35">
      <c r="A454" s="1">
        <v>424</v>
      </c>
      <c r="B454" s="1">
        <v>102.80627346304635</v>
      </c>
      <c r="C454" s="1">
        <v>12.193726536953648</v>
      </c>
    </row>
    <row r="455" spans="1:3" x14ac:dyDescent="0.35">
      <c r="A455" s="1">
        <v>425</v>
      </c>
      <c r="B455" s="1">
        <v>141.25571600792659</v>
      </c>
      <c r="C455" s="1">
        <v>9.7442839920734059</v>
      </c>
    </row>
    <row r="456" spans="1:3" x14ac:dyDescent="0.35">
      <c r="A456" s="1">
        <v>426</v>
      </c>
      <c r="B456" s="1">
        <v>136.16765396021722</v>
      </c>
      <c r="C456" s="1">
        <v>47.832346039782777</v>
      </c>
    </row>
    <row r="457" spans="1:3" x14ac:dyDescent="0.35">
      <c r="A457" s="1">
        <v>427</v>
      </c>
      <c r="B457" s="1">
        <v>83.989624140428731</v>
      </c>
      <c r="C457" s="1">
        <v>10.010375859571269</v>
      </c>
    </row>
    <row r="458" spans="1:3" x14ac:dyDescent="0.35">
      <c r="A458" s="1">
        <v>428</v>
      </c>
      <c r="B458" s="1">
        <v>131.01749259835313</v>
      </c>
      <c r="C458" s="1">
        <v>49.98250740164687</v>
      </c>
    </row>
    <row r="459" spans="1:3" x14ac:dyDescent="0.35">
      <c r="A459" s="1">
        <v>429</v>
      </c>
      <c r="B459" s="1">
        <v>121.05070419115567</v>
      </c>
      <c r="C459" s="1">
        <v>13.949295808844326</v>
      </c>
    </row>
    <row r="460" spans="1:3" x14ac:dyDescent="0.35">
      <c r="A460" s="1">
        <v>430</v>
      </c>
      <c r="B460" s="1">
        <v>137.25085161508466</v>
      </c>
      <c r="C460" s="1">
        <v>-42.250851615084656</v>
      </c>
    </row>
    <row r="461" spans="1:3" x14ac:dyDescent="0.35">
      <c r="A461" s="1">
        <v>431</v>
      </c>
      <c r="B461" s="1">
        <v>98.538661170402108</v>
      </c>
      <c r="C461" s="1">
        <v>0.46133882959789219</v>
      </c>
    </row>
    <row r="462" spans="1:3" x14ac:dyDescent="0.35">
      <c r="A462" s="1">
        <v>432</v>
      </c>
      <c r="B462" s="1">
        <v>125.60210309503834</v>
      </c>
      <c r="C462" s="1">
        <v>-36.602103095038345</v>
      </c>
    </row>
    <row r="463" spans="1:3" x14ac:dyDescent="0.35">
      <c r="A463" s="1">
        <v>433</v>
      </c>
      <c r="B463" s="1">
        <v>113.86768784538009</v>
      </c>
      <c r="C463" s="1">
        <v>-33.86768784538009</v>
      </c>
    </row>
    <row r="464" spans="1:3" x14ac:dyDescent="0.35">
      <c r="A464" s="1">
        <v>434</v>
      </c>
      <c r="B464" s="1">
        <v>110.58633986566826</v>
      </c>
      <c r="C464" s="1">
        <v>28.413660134331735</v>
      </c>
    </row>
    <row r="465" spans="1:3" x14ac:dyDescent="0.35">
      <c r="A465" s="1">
        <v>435</v>
      </c>
      <c r="B465" s="1">
        <v>117.18777696339626</v>
      </c>
      <c r="C465" s="1">
        <v>-27.18777696339626</v>
      </c>
    </row>
    <row r="466" spans="1:3" x14ac:dyDescent="0.35">
      <c r="A466" s="1">
        <v>436</v>
      </c>
      <c r="B466" s="1">
        <v>118.06102482009794</v>
      </c>
      <c r="C466" s="1">
        <v>22.938975179902059</v>
      </c>
    </row>
    <row r="467" spans="1:3" x14ac:dyDescent="0.35">
      <c r="A467" s="1">
        <v>437</v>
      </c>
      <c r="B467" s="1">
        <v>117.92851549635873</v>
      </c>
      <c r="C467" s="1">
        <v>22.071484503641273</v>
      </c>
    </row>
    <row r="468" spans="1:3" x14ac:dyDescent="0.35">
      <c r="A468" s="1">
        <v>438</v>
      </c>
      <c r="B468" s="1">
        <v>115.03051815007404</v>
      </c>
      <c r="C468" s="1">
        <v>31.969481849925955</v>
      </c>
    </row>
    <row r="469" spans="1:3" x14ac:dyDescent="0.35">
      <c r="A469" s="1">
        <v>439</v>
      </c>
      <c r="B469" s="1">
        <v>94.322940372959877</v>
      </c>
      <c r="C469" s="1">
        <v>2.6770596270401228</v>
      </c>
    </row>
    <row r="470" spans="1:3" x14ac:dyDescent="0.35">
      <c r="A470" s="1">
        <v>440</v>
      </c>
      <c r="B470" s="1">
        <v>124.96332834888486</v>
      </c>
      <c r="C470" s="1">
        <v>-17.963328348884858</v>
      </c>
    </row>
    <row r="471" spans="1:3" x14ac:dyDescent="0.35">
      <c r="A471" s="1">
        <v>441</v>
      </c>
      <c r="B471" s="1">
        <v>120.10667888039262</v>
      </c>
      <c r="C471" s="1">
        <v>68.893321119607378</v>
      </c>
    </row>
    <row r="472" spans="1:3" x14ac:dyDescent="0.35">
      <c r="A472" s="1">
        <v>442</v>
      </c>
      <c r="B472" s="1">
        <v>109.81172367601883</v>
      </c>
      <c r="C472" s="1">
        <v>-26.811723676018829</v>
      </c>
    </row>
    <row r="473" spans="1:3" x14ac:dyDescent="0.35">
      <c r="A473" s="1">
        <v>443</v>
      </c>
      <c r="B473" s="1">
        <v>115.84036089663661</v>
      </c>
      <c r="C473" s="1">
        <v>1.1596391033633893</v>
      </c>
    </row>
    <row r="474" spans="1:3" x14ac:dyDescent="0.35">
      <c r="A474" s="1">
        <v>444</v>
      </c>
      <c r="B474" s="1">
        <v>121.82433108219126</v>
      </c>
      <c r="C474" s="1">
        <v>-13.824331082191264</v>
      </c>
    </row>
    <row r="475" spans="1:3" x14ac:dyDescent="0.35">
      <c r="A475" s="1">
        <v>445</v>
      </c>
      <c r="B475" s="1">
        <v>110.84957609255056</v>
      </c>
      <c r="C475" s="1">
        <v>6.1504239074494365</v>
      </c>
    </row>
    <row r="476" spans="1:3" x14ac:dyDescent="0.35">
      <c r="A476" s="1">
        <v>446</v>
      </c>
      <c r="B476" s="1">
        <v>128.03702977988502</v>
      </c>
      <c r="C476" s="1">
        <v>51.962970220114983</v>
      </c>
    </row>
    <row r="477" spans="1:3" x14ac:dyDescent="0.35">
      <c r="A477" s="1">
        <v>447</v>
      </c>
      <c r="B477" s="1">
        <v>115.57076454166318</v>
      </c>
      <c r="C477" s="1">
        <v>-15.570764541663181</v>
      </c>
    </row>
    <row r="478" spans="1:3" x14ac:dyDescent="0.35">
      <c r="A478" s="1">
        <v>448</v>
      </c>
      <c r="B478" s="1">
        <v>112.29347219258766</v>
      </c>
      <c r="C478" s="1">
        <v>-17.293472192587657</v>
      </c>
    </row>
    <row r="479" spans="1:3" x14ac:dyDescent="0.35">
      <c r="A479" s="1">
        <v>449</v>
      </c>
      <c r="B479" s="1">
        <v>107.41357014147135</v>
      </c>
      <c r="C479" s="1">
        <v>-3.4135701414713537</v>
      </c>
    </row>
    <row r="480" spans="1:3" x14ac:dyDescent="0.35">
      <c r="A480" s="1">
        <v>450</v>
      </c>
      <c r="B480" s="1">
        <v>113.19812592402171</v>
      </c>
      <c r="C480" s="1">
        <v>6.8018740759782901</v>
      </c>
    </row>
    <row r="481" spans="1:3" x14ac:dyDescent="0.35">
      <c r="A481" s="1">
        <v>451</v>
      </c>
      <c r="B481" s="1">
        <v>109.35086011274716</v>
      </c>
      <c r="C481" s="1">
        <v>-27.350860112747156</v>
      </c>
    </row>
    <row r="482" spans="1:3" x14ac:dyDescent="0.35">
      <c r="A482" s="1">
        <v>452</v>
      </c>
      <c r="B482" s="1">
        <v>111.20917685964419</v>
      </c>
      <c r="C482" s="1">
        <v>22.790823140355812</v>
      </c>
    </row>
    <row r="483" spans="1:3" x14ac:dyDescent="0.35">
      <c r="A483" s="1">
        <v>453</v>
      </c>
      <c r="B483" s="1">
        <v>129.88265360130032</v>
      </c>
      <c r="C483" s="1">
        <v>-38.882653601300319</v>
      </c>
    </row>
    <row r="484" spans="1:3" x14ac:dyDescent="0.35">
      <c r="A484" s="1">
        <v>454</v>
      </c>
      <c r="B484" s="1">
        <v>132.77861474406782</v>
      </c>
      <c r="C484" s="1">
        <v>-13.778614744067823</v>
      </c>
    </row>
    <row r="485" spans="1:3" x14ac:dyDescent="0.35">
      <c r="A485" s="1">
        <v>455</v>
      </c>
      <c r="B485" s="1">
        <v>118.32489069158169</v>
      </c>
      <c r="C485" s="1">
        <v>-18.324890691581686</v>
      </c>
    </row>
    <row r="486" spans="1:3" x14ac:dyDescent="0.35">
      <c r="A486" s="1">
        <v>456</v>
      </c>
      <c r="B486" s="1">
        <v>112.44931284731652</v>
      </c>
      <c r="C486" s="1">
        <v>62.55068715268348</v>
      </c>
    </row>
    <row r="487" spans="1:3" x14ac:dyDescent="0.35">
      <c r="A487" s="1">
        <v>457</v>
      </c>
      <c r="B487" s="1">
        <v>134.46010363086589</v>
      </c>
      <c r="C487" s="1">
        <v>0.53989636913411232</v>
      </c>
    </row>
    <row r="488" spans="1:3" x14ac:dyDescent="0.35">
      <c r="A488" s="1">
        <v>458</v>
      </c>
      <c r="B488" s="1">
        <v>109.51719955884568</v>
      </c>
      <c r="C488" s="1">
        <v>-23.517199558845675</v>
      </c>
    </row>
    <row r="489" spans="1:3" x14ac:dyDescent="0.35">
      <c r="A489" s="1">
        <v>459</v>
      </c>
      <c r="B489" s="1">
        <v>147.92439373312243</v>
      </c>
      <c r="C489" s="1">
        <v>7.5606266877571215E-2</v>
      </c>
    </row>
    <row r="490" spans="1:3" x14ac:dyDescent="0.35">
      <c r="A490" s="1">
        <v>460</v>
      </c>
      <c r="B490" s="1">
        <v>141.55646908200785</v>
      </c>
      <c r="C490" s="1">
        <v>-7.5564690820078511</v>
      </c>
    </row>
    <row r="491" spans="1:3" x14ac:dyDescent="0.35">
      <c r="A491" s="1">
        <v>461</v>
      </c>
      <c r="B491" s="1">
        <v>121.29546899113662</v>
      </c>
      <c r="C491" s="1">
        <v>-1.295468991136616</v>
      </c>
    </row>
    <row r="492" spans="1:3" x14ac:dyDescent="0.35">
      <c r="A492" s="1">
        <v>462</v>
      </c>
      <c r="B492" s="1">
        <v>106.40284650683469</v>
      </c>
      <c r="C492" s="1">
        <v>-35.402846506834692</v>
      </c>
    </row>
    <row r="493" spans="1:3" x14ac:dyDescent="0.35">
      <c r="A493" s="1">
        <v>463</v>
      </c>
      <c r="B493" s="1">
        <v>119.2717303175191</v>
      </c>
      <c r="C493" s="1">
        <v>-45.271730317519101</v>
      </c>
    </row>
    <row r="494" spans="1:3" x14ac:dyDescent="0.35">
      <c r="A494" s="1">
        <v>464</v>
      </c>
      <c r="B494" s="1">
        <v>108.18315070117526</v>
      </c>
      <c r="C494" s="1">
        <v>-20.183150701175265</v>
      </c>
    </row>
    <row r="495" spans="1:3" x14ac:dyDescent="0.35">
      <c r="A495" s="1">
        <v>465</v>
      </c>
      <c r="B495" s="1">
        <v>120.09460609365638</v>
      </c>
      <c r="C495" s="1">
        <v>-5.0946060936563811</v>
      </c>
    </row>
    <row r="496" spans="1:3" x14ac:dyDescent="0.35">
      <c r="A496" s="1">
        <v>466</v>
      </c>
      <c r="B496" s="1">
        <v>109.12982854890247</v>
      </c>
      <c r="C496" s="1">
        <v>14.870171451097534</v>
      </c>
    </row>
    <row r="497" spans="1:3" x14ac:dyDescent="0.35">
      <c r="A497" s="1">
        <v>467</v>
      </c>
      <c r="B497" s="1">
        <v>106.91058110201267</v>
      </c>
      <c r="C497" s="1">
        <v>-32.910581102012671</v>
      </c>
    </row>
    <row r="498" spans="1:3" x14ac:dyDescent="0.35">
      <c r="A498" s="1">
        <v>468</v>
      </c>
      <c r="B498" s="1">
        <v>116.27023191841351</v>
      </c>
      <c r="C498" s="1">
        <v>-19.270231918413515</v>
      </c>
    </row>
    <row r="499" spans="1:3" x14ac:dyDescent="0.35">
      <c r="A499" s="1">
        <v>469</v>
      </c>
      <c r="B499" s="1">
        <v>114.89705314192588</v>
      </c>
      <c r="C499" s="1">
        <v>5.1029468580741195</v>
      </c>
    </row>
    <row r="500" spans="1:3" x14ac:dyDescent="0.35">
      <c r="A500" s="1">
        <v>470</v>
      </c>
      <c r="B500" s="1">
        <v>128.03714561771125</v>
      </c>
      <c r="C500" s="1">
        <v>25.962854382288754</v>
      </c>
    </row>
    <row r="501" spans="1:3" x14ac:dyDescent="0.35">
      <c r="A501" s="1">
        <v>471</v>
      </c>
      <c r="B501" s="1">
        <v>111.56120387509925</v>
      </c>
      <c r="C501" s="1">
        <v>32.438796124900747</v>
      </c>
    </row>
    <row r="502" spans="1:3" x14ac:dyDescent="0.35">
      <c r="A502" s="1">
        <v>472</v>
      </c>
      <c r="B502" s="1">
        <v>98.621251010919593</v>
      </c>
      <c r="C502" s="1">
        <v>38.378748989080407</v>
      </c>
    </row>
    <row r="503" spans="1:3" x14ac:dyDescent="0.35">
      <c r="A503" s="1">
        <v>473</v>
      </c>
      <c r="B503" s="1">
        <v>106.78165504948353</v>
      </c>
      <c r="C503" s="1">
        <v>12.218344950516467</v>
      </c>
    </row>
    <row r="504" spans="1:3" x14ac:dyDescent="0.35">
      <c r="A504" s="1">
        <v>474</v>
      </c>
      <c r="B504" s="1">
        <v>128.97972315401319</v>
      </c>
      <c r="C504" s="1">
        <v>7.0202768459868139</v>
      </c>
    </row>
    <row r="505" spans="1:3" x14ac:dyDescent="0.35">
      <c r="A505" s="1">
        <v>475</v>
      </c>
      <c r="B505" s="1">
        <v>108.92450707058637</v>
      </c>
      <c r="C505" s="1">
        <v>5.0754929294136275</v>
      </c>
    </row>
    <row r="506" spans="1:3" x14ac:dyDescent="0.35">
      <c r="A506" s="1">
        <v>476</v>
      </c>
      <c r="B506" s="1">
        <v>123.11163739188441</v>
      </c>
      <c r="C506" s="1">
        <v>13.888362608115585</v>
      </c>
    </row>
    <row r="507" spans="1:3" x14ac:dyDescent="0.35">
      <c r="A507" s="1">
        <v>477</v>
      </c>
      <c r="B507" s="1">
        <v>124.60011560742807</v>
      </c>
      <c r="C507" s="1">
        <v>-19.600115607428066</v>
      </c>
    </row>
    <row r="508" spans="1:3" x14ac:dyDescent="0.35">
      <c r="A508" s="1">
        <v>478</v>
      </c>
      <c r="B508" s="1">
        <v>118.14988265059796</v>
      </c>
      <c r="C508" s="1">
        <v>-4.1498826505979594</v>
      </c>
    </row>
    <row r="509" spans="1:3" x14ac:dyDescent="0.35">
      <c r="A509" s="1">
        <v>479</v>
      </c>
      <c r="B509" s="1">
        <v>112.35031283417975</v>
      </c>
      <c r="C509" s="1">
        <v>13.649687165820254</v>
      </c>
    </row>
    <row r="510" spans="1:3" x14ac:dyDescent="0.35">
      <c r="A510" s="1">
        <v>480</v>
      </c>
      <c r="B510" s="1">
        <v>126.44405503326013</v>
      </c>
      <c r="C510" s="1">
        <v>5.5559449667398724</v>
      </c>
    </row>
    <row r="511" spans="1:3" x14ac:dyDescent="0.35">
      <c r="A511" s="1">
        <v>481</v>
      </c>
      <c r="B511" s="1">
        <v>145.64202644907786</v>
      </c>
      <c r="C511" s="1">
        <v>12.357973550922139</v>
      </c>
    </row>
    <row r="512" spans="1:3" x14ac:dyDescent="0.35">
      <c r="A512" s="1">
        <v>482</v>
      </c>
      <c r="B512" s="1">
        <v>106.4040400502066</v>
      </c>
      <c r="C512" s="1">
        <v>16.595959949793397</v>
      </c>
    </row>
    <row r="513" spans="1:3" x14ac:dyDescent="0.35">
      <c r="A513" s="1">
        <v>483</v>
      </c>
      <c r="B513" s="1">
        <v>108.96691976152158</v>
      </c>
      <c r="C513" s="1">
        <v>-23.966919761521581</v>
      </c>
    </row>
    <row r="514" spans="1:3" x14ac:dyDescent="0.35">
      <c r="A514" s="1">
        <v>484</v>
      </c>
      <c r="B514" s="1">
        <v>119.15586058830675</v>
      </c>
      <c r="C514" s="1">
        <v>-35.155860588306751</v>
      </c>
    </row>
    <row r="515" spans="1:3" x14ac:dyDescent="0.35">
      <c r="A515" s="1">
        <v>485</v>
      </c>
      <c r="B515" s="1">
        <v>123.38647911277181</v>
      </c>
      <c r="C515" s="1">
        <v>21.613520887228191</v>
      </c>
    </row>
    <row r="516" spans="1:3" x14ac:dyDescent="0.35">
      <c r="A516" s="1">
        <v>486</v>
      </c>
      <c r="B516" s="1">
        <v>131.61369042522409</v>
      </c>
      <c r="C516" s="1">
        <v>3.3863095747759075</v>
      </c>
    </row>
    <row r="517" spans="1:3" x14ac:dyDescent="0.35">
      <c r="A517" s="1">
        <v>487</v>
      </c>
      <c r="B517" s="1">
        <v>152.64054232578036</v>
      </c>
      <c r="C517" s="1">
        <v>-13.640542325780359</v>
      </c>
    </row>
    <row r="518" spans="1:3" x14ac:dyDescent="0.35">
      <c r="A518" s="1">
        <v>488</v>
      </c>
      <c r="B518" s="1">
        <v>167.26887440644364</v>
      </c>
      <c r="C518" s="1">
        <v>5.7311255935563565</v>
      </c>
    </row>
    <row r="519" spans="1:3" x14ac:dyDescent="0.35">
      <c r="A519" s="1">
        <v>489</v>
      </c>
      <c r="B519" s="1">
        <v>104.96873291433879</v>
      </c>
      <c r="C519" s="1">
        <v>-5.9687329143387871</v>
      </c>
    </row>
    <row r="520" spans="1:3" x14ac:dyDescent="0.35">
      <c r="A520" s="1">
        <v>490</v>
      </c>
      <c r="B520" s="1">
        <v>138.61045381826992</v>
      </c>
      <c r="C520" s="1">
        <v>55.389546181730083</v>
      </c>
    </row>
    <row r="521" spans="1:3" x14ac:dyDescent="0.35">
      <c r="A521" s="1">
        <v>491</v>
      </c>
      <c r="B521" s="1">
        <v>115.25372159626356</v>
      </c>
      <c r="C521" s="1">
        <v>-32.25372159626356</v>
      </c>
    </row>
    <row r="522" spans="1:3" x14ac:dyDescent="0.35">
      <c r="A522" s="1">
        <v>492</v>
      </c>
      <c r="B522" s="1">
        <v>116.7146003349237</v>
      </c>
      <c r="C522" s="1">
        <v>-27.714600334923702</v>
      </c>
    </row>
    <row r="523" spans="1:3" x14ac:dyDescent="0.35">
      <c r="A523" s="1">
        <v>493</v>
      </c>
      <c r="B523" s="1">
        <v>105.35667300250512</v>
      </c>
      <c r="C523" s="1">
        <v>-6.3566730025051186</v>
      </c>
    </row>
    <row r="524" spans="1:3" x14ac:dyDescent="0.35">
      <c r="A524" s="1">
        <v>494</v>
      </c>
      <c r="B524" s="1">
        <v>135.56700453832082</v>
      </c>
      <c r="C524" s="1">
        <v>-10.567004538320816</v>
      </c>
    </row>
    <row r="525" spans="1:3" x14ac:dyDescent="0.35">
      <c r="A525" s="1">
        <v>495</v>
      </c>
      <c r="B525" s="1">
        <v>81.712646326338842</v>
      </c>
      <c r="C525" s="1">
        <v>-1.7126463263388416</v>
      </c>
    </row>
    <row r="526" spans="1:3" x14ac:dyDescent="0.35">
      <c r="A526" s="1">
        <v>496</v>
      </c>
      <c r="B526" s="1">
        <v>136.24220853437157</v>
      </c>
      <c r="C526" s="1">
        <v>29.757791465628429</v>
      </c>
    </row>
    <row r="527" spans="1:3" x14ac:dyDescent="0.35">
      <c r="A527" s="1">
        <v>497</v>
      </c>
      <c r="B527" s="1">
        <v>112.00775449188056</v>
      </c>
      <c r="C527" s="1">
        <v>-2.0077544918805614</v>
      </c>
    </row>
    <row r="528" spans="1:3" x14ac:dyDescent="0.35">
      <c r="A528" s="1">
        <v>498</v>
      </c>
      <c r="B528" s="1">
        <v>116.19432970401179</v>
      </c>
      <c r="C528" s="1">
        <v>-35.194329704011793</v>
      </c>
    </row>
    <row r="529" spans="1:3" x14ac:dyDescent="0.35">
      <c r="A529" s="1">
        <v>499</v>
      </c>
      <c r="B529" s="1">
        <v>130.44625969668064</v>
      </c>
      <c r="C529" s="1">
        <v>64.553740303319358</v>
      </c>
    </row>
    <row r="530" spans="1:3" x14ac:dyDescent="0.35">
      <c r="A530" s="1">
        <v>500</v>
      </c>
      <c r="B530" s="1">
        <v>132.92154871770541</v>
      </c>
      <c r="C530" s="1">
        <v>21.078451282294594</v>
      </c>
    </row>
    <row r="531" spans="1:3" x14ac:dyDescent="0.35">
      <c r="A531" s="1">
        <v>501</v>
      </c>
      <c r="B531" s="1">
        <v>107.88004461048932</v>
      </c>
      <c r="C531" s="1">
        <v>9.1199553895106789</v>
      </c>
    </row>
    <row r="532" spans="1:3" x14ac:dyDescent="0.35">
      <c r="A532" s="1">
        <v>502</v>
      </c>
      <c r="B532" s="1">
        <v>108.42896245210427</v>
      </c>
      <c r="C532" s="1">
        <v>-24.428962452104273</v>
      </c>
    </row>
    <row r="533" spans="1:3" x14ac:dyDescent="0.35">
      <c r="A533" s="1">
        <v>503</v>
      </c>
      <c r="B533" s="1">
        <v>117.96171194523359</v>
      </c>
      <c r="C533" s="1">
        <v>-117.96171194523359</v>
      </c>
    </row>
    <row r="534" spans="1:3" x14ac:dyDescent="0.35">
      <c r="A534" s="1">
        <v>504</v>
      </c>
      <c r="B534" s="1">
        <v>126.81908227744617</v>
      </c>
      <c r="C534" s="1">
        <v>-32.819082277446171</v>
      </c>
    </row>
    <row r="535" spans="1:3" x14ac:dyDescent="0.35">
      <c r="A535" s="1">
        <v>505</v>
      </c>
      <c r="B535" s="1">
        <v>114.14439837492128</v>
      </c>
      <c r="C535" s="1">
        <v>-18.14439837492128</v>
      </c>
    </row>
    <row r="536" spans="1:3" x14ac:dyDescent="0.35">
      <c r="A536" s="1">
        <v>506</v>
      </c>
      <c r="B536" s="1">
        <v>123.73883396584891</v>
      </c>
      <c r="C536" s="1">
        <v>-48.738833965848912</v>
      </c>
    </row>
    <row r="537" spans="1:3" x14ac:dyDescent="0.35">
      <c r="A537" s="1">
        <v>507</v>
      </c>
      <c r="B537" s="1">
        <v>124.84985924343663</v>
      </c>
      <c r="C537" s="1">
        <v>55.150140756563374</v>
      </c>
    </row>
    <row r="538" spans="1:3" x14ac:dyDescent="0.35">
      <c r="A538" s="1">
        <v>508</v>
      </c>
      <c r="B538" s="1">
        <v>119.27538600020313</v>
      </c>
      <c r="C538" s="1">
        <v>10.724613999796873</v>
      </c>
    </row>
    <row r="539" spans="1:3" x14ac:dyDescent="0.35">
      <c r="A539" s="1">
        <v>509</v>
      </c>
      <c r="B539" s="1">
        <v>112.28280147194749</v>
      </c>
      <c r="C539" s="1">
        <v>-28.282801471947494</v>
      </c>
    </row>
    <row r="540" spans="1:3" x14ac:dyDescent="0.35">
      <c r="A540" s="1">
        <v>510</v>
      </c>
      <c r="B540" s="1">
        <v>134.81237662284127</v>
      </c>
      <c r="C540" s="1">
        <v>-14.812376622841271</v>
      </c>
    </row>
    <row r="541" spans="1:3" x14ac:dyDescent="0.35">
      <c r="A541" s="1">
        <v>511</v>
      </c>
      <c r="B541" s="1">
        <v>115.47038295449295</v>
      </c>
      <c r="C541" s="1">
        <v>-31.470382954492948</v>
      </c>
    </row>
    <row r="542" spans="1:3" x14ac:dyDescent="0.35">
      <c r="A542" s="1">
        <v>512</v>
      </c>
      <c r="B542" s="1">
        <v>117.44088329871396</v>
      </c>
      <c r="C542" s="1">
        <v>21.559116701286044</v>
      </c>
    </row>
    <row r="543" spans="1:3" x14ac:dyDescent="0.35">
      <c r="A543" s="1">
        <v>513</v>
      </c>
      <c r="B543" s="1">
        <v>128.37906803743201</v>
      </c>
      <c r="C543" s="1">
        <v>-37.379068037432006</v>
      </c>
    </row>
    <row r="544" spans="1:3" x14ac:dyDescent="0.35">
      <c r="A544" s="1">
        <v>514</v>
      </c>
      <c r="B544" s="1">
        <v>108.69580706444236</v>
      </c>
      <c r="C544" s="1">
        <v>-17.695807064442363</v>
      </c>
    </row>
    <row r="545" spans="1:3" x14ac:dyDescent="0.35">
      <c r="A545" s="1">
        <v>515</v>
      </c>
      <c r="B545" s="1">
        <v>108.15657148325467</v>
      </c>
      <c r="C545" s="1">
        <v>-9.1565714832546661</v>
      </c>
    </row>
    <row r="546" spans="1:3" x14ac:dyDescent="0.35">
      <c r="A546" s="1">
        <v>516</v>
      </c>
      <c r="B546" s="1">
        <v>119.32329717469069</v>
      </c>
      <c r="C546" s="1">
        <v>43.676702825309306</v>
      </c>
    </row>
    <row r="547" spans="1:3" x14ac:dyDescent="0.35">
      <c r="A547" s="1">
        <v>517</v>
      </c>
      <c r="B547" s="1">
        <v>139.95128096230994</v>
      </c>
      <c r="C547" s="1">
        <v>5.0487190376900628</v>
      </c>
    </row>
    <row r="548" spans="1:3" x14ac:dyDescent="0.35">
      <c r="A548" s="1">
        <v>518</v>
      </c>
      <c r="B548" s="1">
        <v>135.71584717056751</v>
      </c>
      <c r="C548" s="1">
        <v>-10.715847170567514</v>
      </c>
    </row>
    <row r="549" spans="1:3" x14ac:dyDescent="0.35">
      <c r="A549" s="1">
        <v>519</v>
      </c>
      <c r="B549" s="1">
        <v>123.41123438958664</v>
      </c>
      <c r="C549" s="1">
        <v>-47.411234389586639</v>
      </c>
    </row>
    <row r="550" spans="1:3" x14ac:dyDescent="0.35">
      <c r="A550" s="1">
        <v>520</v>
      </c>
      <c r="B550" s="1">
        <v>160.41128200225592</v>
      </c>
      <c r="C550" s="1">
        <v>-31.411282002255916</v>
      </c>
    </row>
    <row r="551" spans="1:3" x14ac:dyDescent="0.35">
      <c r="A551" s="1">
        <v>521</v>
      </c>
      <c r="B551" s="1">
        <v>103.26689454538086</v>
      </c>
      <c r="C551" s="1">
        <v>-35.266894545380865</v>
      </c>
    </row>
    <row r="552" spans="1:3" x14ac:dyDescent="0.35">
      <c r="A552" s="1">
        <v>522</v>
      </c>
      <c r="B552" s="1">
        <v>117.66550294837678</v>
      </c>
      <c r="C552" s="1">
        <v>6.3344970516232166</v>
      </c>
    </row>
    <row r="553" spans="1:3" x14ac:dyDescent="0.35">
      <c r="A553" s="1">
        <v>523</v>
      </c>
      <c r="B553" s="1">
        <v>84.565166851063694</v>
      </c>
      <c r="C553" s="1">
        <v>29.434833148936306</v>
      </c>
    </row>
    <row r="554" spans="1:3" x14ac:dyDescent="0.35">
      <c r="A554" s="1">
        <v>524</v>
      </c>
      <c r="B554" s="1">
        <v>130.48863556597331</v>
      </c>
      <c r="C554" s="1">
        <v>-0.48863556597331126</v>
      </c>
    </row>
    <row r="555" spans="1:3" x14ac:dyDescent="0.35">
      <c r="A555" s="1">
        <v>525</v>
      </c>
      <c r="B555" s="1">
        <v>110.62910004725798</v>
      </c>
      <c r="C555" s="1">
        <v>14.370899952742022</v>
      </c>
    </row>
    <row r="556" spans="1:3" x14ac:dyDescent="0.35">
      <c r="A556" s="1">
        <v>526</v>
      </c>
      <c r="B556" s="1">
        <v>97.314673560010021</v>
      </c>
      <c r="C556" s="1">
        <v>-10.314673560010021</v>
      </c>
    </row>
    <row r="557" spans="1:3" x14ac:dyDescent="0.35">
      <c r="A557" s="1">
        <v>527</v>
      </c>
      <c r="B557" s="1">
        <v>101.7650560366676</v>
      </c>
      <c r="C557" s="1">
        <v>-4.7650560366676018</v>
      </c>
    </row>
    <row r="558" spans="1:3" x14ac:dyDescent="0.35">
      <c r="A558" s="1">
        <v>528</v>
      </c>
      <c r="B558" s="1">
        <v>113.03165782963704</v>
      </c>
      <c r="C558" s="1">
        <v>2.9683421703629591</v>
      </c>
    </row>
    <row r="559" spans="1:3" x14ac:dyDescent="0.35">
      <c r="A559" s="1">
        <v>529</v>
      </c>
      <c r="B559" s="1">
        <v>119.81026745081577</v>
      </c>
      <c r="C559" s="1">
        <v>-2.8102674508157719</v>
      </c>
    </row>
    <row r="560" spans="1:3" x14ac:dyDescent="0.35">
      <c r="A560" s="1">
        <v>530</v>
      </c>
      <c r="B560" s="1">
        <v>113.42232296165585</v>
      </c>
      <c r="C560" s="1">
        <v>-2.4223229616558513</v>
      </c>
    </row>
    <row r="561" spans="1:3" x14ac:dyDescent="0.35">
      <c r="A561" s="1">
        <v>531</v>
      </c>
      <c r="B561" s="1">
        <v>116.27843711951374</v>
      </c>
      <c r="C561" s="1">
        <v>5.7215628804862604</v>
      </c>
    </row>
    <row r="562" spans="1:3" x14ac:dyDescent="0.35">
      <c r="A562" s="1">
        <v>532</v>
      </c>
      <c r="B562" s="1">
        <v>125.37117934804434</v>
      </c>
      <c r="C562" s="1">
        <v>-18.371179348044336</v>
      </c>
    </row>
    <row r="563" spans="1:3" x14ac:dyDescent="0.35">
      <c r="A563" s="1">
        <v>533</v>
      </c>
      <c r="B563" s="1">
        <v>115.56409095581871</v>
      </c>
      <c r="C563" s="1">
        <v>-29.564090955818713</v>
      </c>
    </row>
    <row r="564" spans="1:3" x14ac:dyDescent="0.35">
      <c r="A564" s="1">
        <v>534</v>
      </c>
      <c r="B564" s="1">
        <v>112.12091330684495</v>
      </c>
      <c r="C564" s="1">
        <v>-21.120913306844955</v>
      </c>
    </row>
    <row r="565" spans="1:3" x14ac:dyDescent="0.35">
      <c r="A565" s="1">
        <v>535</v>
      </c>
      <c r="B565" s="1">
        <v>114.19390399538284</v>
      </c>
      <c r="C565" s="1">
        <v>-37.19390399538284</v>
      </c>
    </row>
    <row r="566" spans="1:3" x14ac:dyDescent="0.35">
      <c r="A566" s="1">
        <v>536</v>
      </c>
      <c r="B566" s="1">
        <v>107.90998722902725</v>
      </c>
      <c r="C566" s="1">
        <v>24.090012770972749</v>
      </c>
    </row>
    <row r="567" spans="1:3" x14ac:dyDescent="0.35">
      <c r="A567" s="1">
        <v>537</v>
      </c>
      <c r="B567" s="1">
        <v>125.67909968346157</v>
      </c>
      <c r="C567" s="1">
        <v>-20.679099683461573</v>
      </c>
    </row>
    <row r="568" spans="1:3" x14ac:dyDescent="0.35">
      <c r="A568" s="1">
        <v>538</v>
      </c>
      <c r="B568" s="1">
        <v>134.59939744359829</v>
      </c>
      <c r="C568" s="1">
        <v>-77.599397443598292</v>
      </c>
    </row>
    <row r="569" spans="1:3" x14ac:dyDescent="0.35">
      <c r="A569" s="1">
        <v>539</v>
      </c>
      <c r="B569" s="1">
        <v>127.73199100234102</v>
      </c>
      <c r="C569" s="1">
        <v>-0.73199100234101877</v>
      </c>
    </row>
    <row r="570" spans="1:3" x14ac:dyDescent="0.35">
      <c r="A570" s="1">
        <v>540</v>
      </c>
      <c r="B570" s="1">
        <v>126.1300477641885</v>
      </c>
      <c r="C570" s="1">
        <v>2.8699522358114962</v>
      </c>
    </row>
    <row r="571" spans="1:3" x14ac:dyDescent="0.35">
      <c r="A571" s="1">
        <v>541</v>
      </c>
      <c r="B571" s="1">
        <v>141.61063204145529</v>
      </c>
      <c r="C571" s="1">
        <v>-41.61063204145529</v>
      </c>
    </row>
    <row r="572" spans="1:3" x14ac:dyDescent="0.35">
      <c r="A572" s="1">
        <v>542</v>
      </c>
      <c r="B572" s="1">
        <v>127.39413377100306</v>
      </c>
      <c r="C572" s="1">
        <v>0.60586622899694476</v>
      </c>
    </row>
    <row r="573" spans="1:3" x14ac:dyDescent="0.35">
      <c r="A573" s="1">
        <v>543</v>
      </c>
      <c r="B573" s="1">
        <v>129.61784797150924</v>
      </c>
      <c r="C573" s="1">
        <v>-39.617847971509235</v>
      </c>
    </row>
    <row r="574" spans="1:3" x14ac:dyDescent="0.35">
      <c r="A574" s="1">
        <v>544</v>
      </c>
      <c r="B574" s="1">
        <v>117.4912454633301</v>
      </c>
      <c r="C574" s="1">
        <v>-33.491245463330102</v>
      </c>
    </row>
    <row r="575" spans="1:3" x14ac:dyDescent="0.35">
      <c r="A575" s="1">
        <v>545</v>
      </c>
      <c r="B575" s="1">
        <v>114.73317192547221</v>
      </c>
      <c r="C575" s="1">
        <v>-26.733171925472206</v>
      </c>
    </row>
    <row r="576" spans="1:3" x14ac:dyDescent="0.35">
      <c r="A576" s="1">
        <v>546</v>
      </c>
      <c r="B576" s="1">
        <v>136.35591557414091</v>
      </c>
      <c r="C576" s="1">
        <v>49.644084425859091</v>
      </c>
    </row>
    <row r="577" spans="1:3" x14ac:dyDescent="0.35">
      <c r="A577" s="1">
        <v>547</v>
      </c>
      <c r="B577" s="1">
        <v>157.07517192702474</v>
      </c>
      <c r="C577" s="1">
        <v>29.924828072975259</v>
      </c>
    </row>
    <row r="578" spans="1:3" x14ac:dyDescent="0.35">
      <c r="A578" s="1">
        <v>548</v>
      </c>
      <c r="B578" s="1">
        <v>124.81187408904351</v>
      </c>
      <c r="C578" s="1">
        <v>6.1881259109564866</v>
      </c>
    </row>
    <row r="579" spans="1:3" x14ac:dyDescent="0.35">
      <c r="A579" s="1">
        <v>549</v>
      </c>
      <c r="B579" s="1">
        <v>123.42862274604386</v>
      </c>
      <c r="C579" s="1">
        <v>40.571377253956143</v>
      </c>
    </row>
    <row r="580" spans="1:3" x14ac:dyDescent="0.35">
      <c r="A580" s="1">
        <v>550</v>
      </c>
      <c r="B580" s="1">
        <v>113.37175770802023</v>
      </c>
      <c r="C580" s="1">
        <v>75.628242291979774</v>
      </c>
    </row>
    <row r="581" spans="1:3" x14ac:dyDescent="0.35">
      <c r="A581" s="1">
        <v>551</v>
      </c>
      <c r="B581" s="1">
        <v>97.240437474713133</v>
      </c>
      <c r="C581" s="1">
        <v>18.759562525286867</v>
      </c>
    </row>
    <row r="582" spans="1:3" x14ac:dyDescent="0.35">
      <c r="A582" s="1">
        <v>552</v>
      </c>
      <c r="B582" s="1">
        <v>115.60217472564341</v>
      </c>
      <c r="C582" s="1">
        <v>-31.602174725643408</v>
      </c>
    </row>
    <row r="583" spans="1:3" x14ac:dyDescent="0.35">
      <c r="A583" s="1">
        <v>553</v>
      </c>
      <c r="B583" s="1">
        <v>137.76299466154751</v>
      </c>
      <c r="C583" s="1">
        <v>-23.762994661547509</v>
      </c>
    </row>
    <row r="584" spans="1:3" x14ac:dyDescent="0.35">
      <c r="A584" s="1">
        <v>554</v>
      </c>
      <c r="B584" s="1">
        <v>106.9814253524881</v>
      </c>
      <c r="C584" s="1">
        <v>-18.981425352488102</v>
      </c>
    </row>
    <row r="585" spans="1:3" x14ac:dyDescent="0.35">
      <c r="A585" s="1">
        <v>555</v>
      </c>
      <c r="B585" s="1">
        <v>123.37757523645286</v>
      </c>
      <c r="C585" s="1">
        <v>-39.377575236452856</v>
      </c>
    </row>
    <row r="586" spans="1:3" x14ac:dyDescent="0.35">
      <c r="A586" s="1">
        <v>556</v>
      </c>
      <c r="B586" s="1">
        <v>126.1525552030691</v>
      </c>
      <c r="C586" s="1">
        <v>-2.1525552030690989</v>
      </c>
    </row>
    <row r="587" spans="1:3" x14ac:dyDescent="0.35">
      <c r="A587" s="1">
        <v>557</v>
      </c>
      <c r="B587" s="1">
        <v>107.15337052217045</v>
      </c>
      <c r="C587" s="1">
        <v>-10.153370522170448</v>
      </c>
    </row>
    <row r="588" spans="1:3" x14ac:dyDescent="0.35">
      <c r="A588" s="1">
        <v>558</v>
      </c>
      <c r="B588" s="1">
        <v>131.81517956995589</v>
      </c>
      <c r="C588" s="1">
        <v>-21.815179569955887</v>
      </c>
    </row>
    <row r="589" spans="1:3" x14ac:dyDescent="0.35">
      <c r="A589" s="1">
        <v>559</v>
      </c>
      <c r="B589" s="1">
        <v>120.84183861810807</v>
      </c>
      <c r="C589" s="1">
        <v>-17.841838618108071</v>
      </c>
    </row>
    <row r="590" spans="1:3" x14ac:dyDescent="0.35">
      <c r="A590" s="1">
        <v>560</v>
      </c>
      <c r="B590" s="1">
        <v>119.13446106393518</v>
      </c>
      <c r="C590" s="1">
        <v>-34.134461063935177</v>
      </c>
    </row>
    <row r="591" spans="1:3" x14ac:dyDescent="0.35">
      <c r="A591" s="1">
        <v>561</v>
      </c>
      <c r="B591" s="1">
        <v>132.88539734847205</v>
      </c>
      <c r="C591" s="1">
        <v>-7.8853973484720541</v>
      </c>
    </row>
    <row r="592" spans="1:3" x14ac:dyDescent="0.35">
      <c r="A592" s="1">
        <v>562</v>
      </c>
      <c r="B592" s="1">
        <v>139.92367307377492</v>
      </c>
      <c r="C592" s="1">
        <v>58.076326926225079</v>
      </c>
    </row>
    <row r="593" spans="1:3" x14ac:dyDescent="0.35">
      <c r="A593" s="1">
        <v>563</v>
      </c>
      <c r="B593" s="1">
        <v>113.66480949034487</v>
      </c>
      <c r="C593" s="1">
        <v>-26.664809490344865</v>
      </c>
    </row>
    <row r="594" spans="1:3" x14ac:dyDescent="0.35">
      <c r="A594" s="1">
        <v>564</v>
      </c>
      <c r="B594" s="1">
        <v>113.84212773718761</v>
      </c>
      <c r="C594" s="1">
        <v>-14.84212773718761</v>
      </c>
    </row>
    <row r="595" spans="1:3" x14ac:dyDescent="0.35">
      <c r="A595" s="1">
        <v>565</v>
      </c>
      <c r="B595" s="1">
        <v>117.37141160090751</v>
      </c>
      <c r="C595" s="1">
        <v>-26.371411600907507</v>
      </c>
    </row>
    <row r="596" spans="1:3" x14ac:dyDescent="0.35">
      <c r="A596" s="1">
        <v>566</v>
      </c>
      <c r="B596" s="1">
        <v>112.80633724575425</v>
      </c>
      <c r="C596" s="1">
        <v>-17.80633724575425</v>
      </c>
    </row>
    <row r="597" spans="1:3" x14ac:dyDescent="0.35">
      <c r="A597" s="1">
        <v>567</v>
      </c>
      <c r="B597" s="1">
        <v>108.23769554267058</v>
      </c>
      <c r="C597" s="1">
        <v>-9.2376955426705791</v>
      </c>
    </row>
    <row r="598" spans="1:3" x14ac:dyDescent="0.35">
      <c r="A598" s="1">
        <v>568</v>
      </c>
      <c r="B598" s="1">
        <v>127.12926454444377</v>
      </c>
      <c r="C598" s="1">
        <v>-35.129264544443771</v>
      </c>
    </row>
    <row r="599" spans="1:3" x14ac:dyDescent="0.35">
      <c r="A599" s="1">
        <v>569</v>
      </c>
      <c r="B599" s="1">
        <v>123.97997571158484</v>
      </c>
      <c r="C599" s="1">
        <v>30.020024288415158</v>
      </c>
    </row>
    <row r="600" spans="1:3" x14ac:dyDescent="0.35">
      <c r="A600" s="1">
        <v>570</v>
      </c>
      <c r="B600" s="1">
        <v>125.72569489653571</v>
      </c>
      <c r="C600" s="1">
        <v>-4.725694896535714</v>
      </c>
    </row>
    <row r="601" spans="1:3" x14ac:dyDescent="0.35">
      <c r="A601" s="1">
        <v>571</v>
      </c>
      <c r="B601" s="1">
        <v>122.57529700041417</v>
      </c>
      <c r="C601" s="1">
        <v>-44.575297000414167</v>
      </c>
    </row>
    <row r="602" spans="1:3" x14ac:dyDescent="0.35">
      <c r="A602" s="1">
        <v>572</v>
      </c>
      <c r="B602" s="1">
        <v>105.2820016037366</v>
      </c>
      <c r="C602" s="1">
        <v>24.717998396263397</v>
      </c>
    </row>
    <row r="603" spans="1:3" x14ac:dyDescent="0.35">
      <c r="A603" s="1">
        <v>573</v>
      </c>
      <c r="B603" s="1">
        <v>103.58452590772178</v>
      </c>
      <c r="C603" s="1">
        <v>7.4154740922782167</v>
      </c>
    </row>
    <row r="604" spans="1:3" x14ac:dyDescent="0.35">
      <c r="A604" s="1">
        <v>574</v>
      </c>
      <c r="B604" s="1">
        <v>118.41769855937679</v>
      </c>
      <c r="C604" s="1">
        <v>-20.417698559376788</v>
      </c>
    </row>
    <row r="605" spans="1:3" x14ac:dyDescent="0.35">
      <c r="A605" s="1">
        <v>575</v>
      </c>
      <c r="B605" s="1">
        <v>138.5122702577612</v>
      </c>
      <c r="C605" s="1">
        <v>4.4877297422387983</v>
      </c>
    </row>
    <row r="606" spans="1:3" x14ac:dyDescent="0.35">
      <c r="A606" s="1">
        <v>576</v>
      </c>
      <c r="B606" s="1">
        <v>104.53746207435711</v>
      </c>
      <c r="C606" s="1">
        <v>14.462537925642891</v>
      </c>
    </row>
    <row r="607" spans="1:3" x14ac:dyDescent="0.35">
      <c r="A607" s="1">
        <v>577</v>
      </c>
      <c r="B607" s="1">
        <v>121.77958293061644</v>
      </c>
      <c r="C607" s="1">
        <v>-13.779582930616442</v>
      </c>
    </row>
    <row r="608" spans="1:3" x14ac:dyDescent="0.35">
      <c r="A608" s="1">
        <v>578</v>
      </c>
      <c r="B608" s="1">
        <v>122.07685959316113</v>
      </c>
      <c r="C608" s="1">
        <v>-4.0768595931611316</v>
      </c>
    </row>
    <row r="609" spans="1:3" x14ac:dyDescent="0.35">
      <c r="A609" s="1">
        <v>579</v>
      </c>
      <c r="B609" s="1">
        <v>116.62730677516059</v>
      </c>
      <c r="C609" s="1">
        <v>16.372693224839409</v>
      </c>
    </row>
    <row r="610" spans="1:3" x14ac:dyDescent="0.35">
      <c r="A610" s="1">
        <v>580</v>
      </c>
      <c r="B610" s="1">
        <v>107.84381533230597</v>
      </c>
      <c r="C610" s="1">
        <v>89.156184667694035</v>
      </c>
    </row>
    <row r="611" spans="1:3" x14ac:dyDescent="0.35">
      <c r="A611" s="1">
        <v>581</v>
      </c>
      <c r="B611" s="1">
        <v>104.64983900214392</v>
      </c>
      <c r="C611" s="1">
        <v>46.350160997856079</v>
      </c>
    </row>
    <row r="612" spans="1:3" x14ac:dyDescent="0.35">
      <c r="A612" s="1">
        <v>582</v>
      </c>
      <c r="B612" s="1">
        <v>99.252405869603578</v>
      </c>
      <c r="C612" s="1">
        <v>9.747594130396422</v>
      </c>
    </row>
    <row r="613" spans="1:3" x14ac:dyDescent="0.35">
      <c r="A613" s="1">
        <v>583</v>
      </c>
      <c r="B613" s="1">
        <v>128.25327348058642</v>
      </c>
      <c r="C613" s="1">
        <v>-7.2532734805864152</v>
      </c>
    </row>
    <row r="614" spans="1:3" x14ac:dyDescent="0.35">
      <c r="A614" s="1">
        <v>584</v>
      </c>
      <c r="B614" s="1">
        <v>129.37236009922771</v>
      </c>
      <c r="C614" s="1">
        <v>-29.372360099227706</v>
      </c>
    </row>
    <row r="615" spans="1:3" x14ac:dyDescent="0.35">
      <c r="A615" s="1">
        <v>585</v>
      </c>
      <c r="B615" s="1">
        <v>183.72633253179887</v>
      </c>
      <c r="C615" s="1">
        <v>-59.726332531798874</v>
      </c>
    </row>
    <row r="616" spans="1:3" x14ac:dyDescent="0.35">
      <c r="A616" s="1">
        <v>586</v>
      </c>
      <c r="B616" s="1">
        <v>100.25639069725253</v>
      </c>
      <c r="C616" s="1">
        <v>-7.2563906972525274</v>
      </c>
    </row>
    <row r="617" spans="1:3" x14ac:dyDescent="0.35">
      <c r="A617" s="1">
        <v>587</v>
      </c>
      <c r="B617" s="1">
        <v>124.79036215390207</v>
      </c>
      <c r="C617" s="1">
        <v>18.209637846097934</v>
      </c>
    </row>
    <row r="618" spans="1:3" x14ac:dyDescent="0.35">
      <c r="A618" s="1">
        <v>588</v>
      </c>
      <c r="B618" s="1">
        <v>109.73424122072493</v>
      </c>
      <c r="C618" s="1">
        <v>-6.7342412207249254</v>
      </c>
    </row>
    <row r="619" spans="1:3" x14ac:dyDescent="0.35">
      <c r="A619" s="1">
        <v>589</v>
      </c>
      <c r="B619" s="1">
        <v>144.91792607853105</v>
      </c>
      <c r="C619" s="1">
        <v>31.082073921468947</v>
      </c>
    </row>
    <row r="620" spans="1:3" x14ac:dyDescent="0.35">
      <c r="A620" s="1">
        <v>590</v>
      </c>
      <c r="B620" s="1">
        <v>100.36403536606062</v>
      </c>
      <c r="C620" s="1">
        <v>-27.364035366060619</v>
      </c>
    </row>
    <row r="621" spans="1:3" x14ac:dyDescent="0.35">
      <c r="A621" s="1">
        <v>591</v>
      </c>
      <c r="B621" s="1">
        <v>129.39499893728251</v>
      </c>
      <c r="C621" s="1">
        <v>-18.394998937282509</v>
      </c>
    </row>
    <row r="622" spans="1:3" x14ac:dyDescent="0.35">
      <c r="A622" s="1">
        <v>592</v>
      </c>
      <c r="B622" s="1">
        <v>115.32926986404837</v>
      </c>
      <c r="C622" s="1">
        <v>-3.3292698640483707</v>
      </c>
    </row>
    <row r="623" spans="1:3" x14ac:dyDescent="0.35">
      <c r="A623" s="1">
        <v>593</v>
      </c>
      <c r="B623" s="1">
        <v>128.76123020200293</v>
      </c>
      <c r="C623" s="1">
        <v>3.2387697979970653</v>
      </c>
    </row>
    <row r="624" spans="1:3" x14ac:dyDescent="0.35">
      <c r="A624" s="1">
        <v>594</v>
      </c>
      <c r="B624" s="1">
        <v>122.44843462965767</v>
      </c>
      <c r="C624" s="1">
        <v>-40.448434629657669</v>
      </c>
    </row>
    <row r="625" spans="1:3" x14ac:dyDescent="0.35">
      <c r="A625" s="1">
        <v>595</v>
      </c>
      <c r="B625" s="1">
        <v>131.4843932530874</v>
      </c>
      <c r="C625" s="1">
        <v>-8.4843932530874042</v>
      </c>
    </row>
    <row r="626" spans="1:3" x14ac:dyDescent="0.35">
      <c r="A626" s="1">
        <v>596</v>
      </c>
      <c r="B626" s="1">
        <v>128.40571405419982</v>
      </c>
      <c r="C626" s="1">
        <v>59.594285945800181</v>
      </c>
    </row>
    <row r="627" spans="1:3" x14ac:dyDescent="0.35">
      <c r="A627" s="1">
        <v>597</v>
      </c>
      <c r="B627" s="1">
        <v>136.45931629746497</v>
      </c>
      <c r="C627" s="1">
        <v>-69.459316297464966</v>
      </c>
    </row>
    <row r="628" spans="1:3" x14ac:dyDescent="0.35">
      <c r="A628" s="1">
        <v>598</v>
      </c>
      <c r="B628" s="1">
        <v>102.08152011089085</v>
      </c>
      <c r="C628" s="1">
        <v>-13.08152011089085</v>
      </c>
    </row>
    <row r="629" spans="1:3" x14ac:dyDescent="0.35">
      <c r="A629" s="1">
        <v>599</v>
      </c>
      <c r="B629" s="1">
        <v>124.16905424277391</v>
      </c>
      <c r="C629" s="1">
        <v>48.83094575722609</v>
      </c>
    </row>
    <row r="630" spans="1:3" x14ac:dyDescent="0.35">
      <c r="A630" s="1">
        <v>600</v>
      </c>
      <c r="B630" s="1">
        <v>111.68153708568083</v>
      </c>
      <c r="C630" s="1">
        <v>-2.68153708568083</v>
      </c>
    </row>
    <row r="631" spans="1:3" x14ac:dyDescent="0.35">
      <c r="A631" s="1">
        <v>601</v>
      </c>
      <c r="B631" s="1">
        <v>104.45794547644827</v>
      </c>
      <c r="C631" s="1">
        <v>3.5420545235517267</v>
      </c>
    </row>
    <row r="632" spans="1:3" x14ac:dyDescent="0.35">
      <c r="A632" s="1">
        <v>602</v>
      </c>
      <c r="B632" s="1">
        <v>103.64398392910054</v>
      </c>
      <c r="C632" s="1">
        <v>-7.6439839291005427</v>
      </c>
    </row>
    <row r="633" spans="1:3" x14ac:dyDescent="0.35">
      <c r="A633" s="1">
        <v>603</v>
      </c>
      <c r="B633" s="1">
        <v>100.29714772160234</v>
      </c>
      <c r="C633" s="1">
        <v>23.702852278397657</v>
      </c>
    </row>
    <row r="634" spans="1:3" x14ac:dyDescent="0.35">
      <c r="A634" s="1">
        <v>604</v>
      </c>
      <c r="B634" s="1">
        <v>140.70843293877633</v>
      </c>
      <c r="C634" s="1">
        <v>9.2915670612236738</v>
      </c>
    </row>
    <row r="635" spans="1:3" x14ac:dyDescent="0.35">
      <c r="A635" s="1">
        <v>605</v>
      </c>
      <c r="B635" s="1">
        <v>112.35358510759576</v>
      </c>
      <c r="C635" s="1">
        <v>70.646414892404238</v>
      </c>
    </row>
    <row r="636" spans="1:3" x14ac:dyDescent="0.35">
      <c r="A636" s="1">
        <v>606</v>
      </c>
      <c r="B636" s="1">
        <v>103.46362286502332</v>
      </c>
      <c r="C636" s="1">
        <v>20.536377134976675</v>
      </c>
    </row>
    <row r="637" spans="1:3" x14ac:dyDescent="0.35">
      <c r="A637" s="1">
        <v>607</v>
      </c>
      <c r="B637" s="1">
        <v>139.31771366628431</v>
      </c>
      <c r="C637" s="1">
        <v>41.682286333715695</v>
      </c>
    </row>
    <row r="638" spans="1:3" x14ac:dyDescent="0.35">
      <c r="A638" s="1">
        <v>608</v>
      </c>
      <c r="B638" s="1">
        <v>100.21217305773347</v>
      </c>
      <c r="C638" s="1">
        <v>-8.212173057733466</v>
      </c>
    </row>
    <row r="639" spans="1:3" x14ac:dyDescent="0.35">
      <c r="A639" s="1">
        <v>609</v>
      </c>
      <c r="B639" s="1">
        <v>136.54292646065724</v>
      </c>
      <c r="C639" s="1">
        <v>15.457073539342758</v>
      </c>
    </row>
    <row r="640" spans="1:3" x14ac:dyDescent="0.35">
      <c r="A640" s="1">
        <v>610</v>
      </c>
      <c r="B640" s="1">
        <v>118.30365215908968</v>
      </c>
      <c r="C640" s="1">
        <v>-7.3036521590896797</v>
      </c>
    </row>
    <row r="641" spans="1:3" x14ac:dyDescent="0.35">
      <c r="A641" s="1">
        <v>611</v>
      </c>
      <c r="B641" s="1">
        <v>119.57073009438061</v>
      </c>
      <c r="C641" s="1">
        <v>-13.570730094380608</v>
      </c>
    </row>
    <row r="642" spans="1:3" x14ac:dyDescent="0.35">
      <c r="A642" s="1">
        <v>612</v>
      </c>
      <c r="B642" s="1">
        <v>134.278742121222</v>
      </c>
      <c r="C642" s="1">
        <v>39.721257878778005</v>
      </c>
    </row>
    <row r="643" spans="1:3" x14ac:dyDescent="0.35">
      <c r="A643" s="1">
        <v>613</v>
      </c>
      <c r="B643" s="1">
        <v>150.47411708942568</v>
      </c>
      <c r="C643" s="1">
        <v>17.525882910574325</v>
      </c>
    </row>
    <row r="644" spans="1:3" x14ac:dyDescent="0.35">
      <c r="A644" s="1">
        <v>614</v>
      </c>
      <c r="B644" s="1">
        <v>109.54527581451978</v>
      </c>
      <c r="C644" s="1">
        <v>-4.5452758145197834</v>
      </c>
    </row>
    <row r="645" spans="1:3" x14ac:dyDescent="0.35">
      <c r="A645" s="1">
        <v>615</v>
      </c>
      <c r="B645" s="1">
        <v>140.71684053583928</v>
      </c>
      <c r="C645" s="1">
        <v>-2.7168405358392818</v>
      </c>
    </row>
    <row r="646" spans="1:3" x14ac:dyDescent="0.35">
      <c r="A646" s="1">
        <v>616</v>
      </c>
      <c r="B646" s="1">
        <v>109.54734121862317</v>
      </c>
      <c r="C646" s="1">
        <v>-3.5473412186231741</v>
      </c>
    </row>
    <row r="647" spans="1:3" x14ac:dyDescent="0.35">
      <c r="A647" s="1">
        <v>617</v>
      </c>
      <c r="B647" s="1">
        <v>115.20068576251728</v>
      </c>
      <c r="C647" s="1">
        <v>1.7993142374827187</v>
      </c>
    </row>
    <row r="648" spans="1:3" x14ac:dyDescent="0.35">
      <c r="A648" s="1">
        <v>618</v>
      </c>
      <c r="B648" s="1">
        <v>99.408133407656237</v>
      </c>
      <c r="C648" s="1">
        <v>-31.408133407656237</v>
      </c>
    </row>
    <row r="649" spans="1:3" x14ac:dyDescent="0.35">
      <c r="A649" s="1">
        <v>619</v>
      </c>
      <c r="B649" s="1">
        <v>126.01081829471448</v>
      </c>
      <c r="C649" s="1">
        <v>-14.010818294714483</v>
      </c>
    </row>
    <row r="650" spans="1:3" x14ac:dyDescent="0.35">
      <c r="A650" s="1">
        <v>620</v>
      </c>
      <c r="B650" s="1">
        <v>106.92753812329148</v>
      </c>
      <c r="C650" s="1">
        <v>12.072461876708516</v>
      </c>
    </row>
    <row r="651" spans="1:3" x14ac:dyDescent="0.35">
      <c r="A651" s="1">
        <v>621</v>
      </c>
      <c r="B651" s="1">
        <v>122.8522956787817</v>
      </c>
      <c r="C651" s="1">
        <v>-10.852295678781701</v>
      </c>
    </row>
    <row r="652" spans="1:3" x14ac:dyDescent="0.35">
      <c r="A652" s="1">
        <v>622</v>
      </c>
      <c r="B652" s="1">
        <v>111.9458862810404</v>
      </c>
      <c r="C652" s="1">
        <v>-19.945886281040401</v>
      </c>
    </row>
    <row r="653" spans="1:3" x14ac:dyDescent="0.35">
      <c r="A653" s="1">
        <v>623</v>
      </c>
      <c r="B653" s="1">
        <v>142.05447097596135</v>
      </c>
      <c r="C653" s="1">
        <v>40.945529024038649</v>
      </c>
    </row>
    <row r="654" spans="1:3" x14ac:dyDescent="0.35">
      <c r="A654" s="1">
        <v>624</v>
      </c>
      <c r="B654" s="1">
        <v>122.05377049737065</v>
      </c>
      <c r="C654" s="1">
        <v>-28.05377049737065</v>
      </c>
    </row>
    <row r="655" spans="1:3" x14ac:dyDescent="0.35">
      <c r="A655" s="1">
        <v>625</v>
      </c>
      <c r="B655" s="1">
        <v>108.49858172174356</v>
      </c>
      <c r="C655" s="1">
        <v>-0.49858172174356241</v>
      </c>
    </row>
    <row r="656" spans="1:3" x14ac:dyDescent="0.35">
      <c r="A656" s="1">
        <v>626</v>
      </c>
      <c r="B656" s="1">
        <v>111.64095327059533</v>
      </c>
      <c r="C656" s="1">
        <v>-21.640953270595332</v>
      </c>
    </row>
    <row r="657" spans="1:3" x14ac:dyDescent="0.35">
      <c r="A657" s="1">
        <v>627</v>
      </c>
      <c r="B657" s="1">
        <v>104.38727232612888</v>
      </c>
      <c r="C657" s="1">
        <v>20.61272767387112</v>
      </c>
    </row>
    <row r="658" spans="1:3" x14ac:dyDescent="0.35">
      <c r="A658" s="1">
        <v>628</v>
      </c>
      <c r="B658" s="1">
        <v>112.04600514394153</v>
      </c>
      <c r="C658" s="1">
        <v>19.953994856058472</v>
      </c>
    </row>
    <row r="659" spans="1:3" x14ac:dyDescent="0.35">
      <c r="A659" s="1">
        <v>629</v>
      </c>
      <c r="B659" s="1">
        <v>128.04478227941715</v>
      </c>
      <c r="C659" s="1">
        <v>-4.4782279417148629E-2</v>
      </c>
    </row>
    <row r="660" spans="1:3" x14ac:dyDescent="0.35">
      <c r="A660" s="1">
        <v>630</v>
      </c>
      <c r="B660" s="1">
        <v>96.692998798384295</v>
      </c>
      <c r="C660" s="1">
        <v>-2.6929987983842949</v>
      </c>
    </row>
    <row r="661" spans="1:3" x14ac:dyDescent="0.35">
      <c r="A661" s="1">
        <v>631</v>
      </c>
      <c r="B661" s="1">
        <v>118.25604792863707</v>
      </c>
      <c r="C661" s="1">
        <v>-4.2560479286370736</v>
      </c>
    </row>
    <row r="662" spans="1:3" x14ac:dyDescent="0.35">
      <c r="A662" s="1">
        <v>632</v>
      </c>
      <c r="B662" s="1">
        <v>110.25149092920449</v>
      </c>
      <c r="C662" s="1">
        <v>-8.2514909292044933</v>
      </c>
    </row>
    <row r="663" spans="1:3" x14ac:dyDescent="0.35">
      <c r="A663" s="1">
        <v>633</v>
      </c>
      <c r="B663" s="1">
        <v>107.22612170745819</v>
      </c>
      <c r="C663" s="1">
        <v>3.7738782925418093</v>
      </c>
    </row>
    <row r="664" spans="1:3" x14ac:dyDescent="0.35">
      <c r="A664" s="1">
        <v>634</v>
      </c>
      <c r="B664" s="1">
        <v>120.30328621041257</v>
      </c>
      <c r="C664" s="1">
        <v>7.6967137895874345</v>
      </c>
    </row>
    <row r="665" spans="1:3" x14ac:dyDescent="0.35">
      <c r="A665" s="1">
        <v>635</v>
      </c>
      <c r="B665" s="1">
        <v>111.66281734269796</v>
      </c>
      <c r="C665" s="1">
        <v>-19.662817342697963</v>
      </c>
    </row>
    <row r="666" spans="1:3" x14ac:dyDescent="0.35">
      <c r="A666" s="1">
        <v>636</v>
      </c>
      <c r="B666" s="1">
        <v>122.91550437207457</v>
      </c>
      <c r="C666" s="1">
        <v>-18.915504372074565</v>
      </c>
    </row>
    <row r="667" spans="1:3" x14ac:dyDescent="0.35">
      <c r="A667" s="1">
        <v>637</v>
      </c>
      <c r="B667" s="1">
        <v>125.26550491591324</v>
      </c>
      <c r="C667" s="1">
        <v>-21.26550491591324</v>
      </c>
    </row>
    <row r="668" spans="1:3" x14ac:dyDescent="0.35">
      <c r="A668" s="1">
        <v>638</v>
      </c>
      <c r="B668" s="1">
        <v>114.94610590184689</v>
      </c>
      <c r="C668" s="1">
        <v>-20.946105901846892</v>
      </c>
    </row>
    <row r="669" spans="1:3" x14ac:dyDescent="0.35">
      <c r="A669" s="1">
        <v>639</v>
      </c>
      <c r="B669" s="1">
        <v>127.26042916480623</v>
      </c>
      <c r="C669" s="1">
        <v>-30.260429164806226</v>
      </c>
    </row>
    <row r="670" spans="1:3" x14ac:dyDescent="0.35">
      <c r="A670" s="1">
        <v>640</v>
      </c>
      <c r="B670" s="1">
        <v>105.73266927432979</v>
      </c>
      <c r="C670" s="1">
        <v>-5.732669274329794</v>
      </c>
    </row>
    <row r="671" spans="1:3" x14ac:dyDescent="0.35">
      <c r="A671" s="1">
        <v>641</v>
      </c>
      <c r="B671" s="1">
        <v>120.92743313388421</v>
      </c>
      <c r="C671" s="1">
        <v>-18.927433133884207</v>
      </c>
    </row>
    <row r="672" spans="1:3" x14ac:dyDescent="0.35">
      <c r="A672" s="1">
        <v>642</v>
      </c>
      <c r="B672" s="1">
        <v>114.51426904659139</v>
      </c>
      <c r="C672" s="1">
        <v>13.485730953408606</v>
      </c>
    </row>
    <row r="673" spans="1:3" x14ac:dyDescent="0.35">
      <c r="A673" s="1">
        <v>643</v>
      </c>
      <c r="B673" s="1">
        <v>127.71824624294224</v>
      </c>
      <c r="C673" s="1">
        <v>19.281753757057757</v>
      </c>
    </row>
    <row r="674" spans="1:3" x14ac:dyDescent="0.35">
      <c r="A674" s="1">
        <v>644</v>
      </c>
      <c r="B674" s="1">
        <v>111.34103015124902</v>
      </c>
      <c r="C674" s="1">
        <v>-21.341030151249015</v>
      </c>
    </row>
    <row r="675" spans="1:3" x14ac:dyDescent="0.35">
      <c r="A675" s="1">
        <v>645</v>
      </c>
      <c r="B675" s="1">
        <v>119.44653039209102</v>
      </c>
      <c r="C675" s="1">
        <v>-16.44653039209102</v>
      </c>
    </row>
    <row r="676" spans="1:3" x14ac:dyDescent="0.35">
      <c r="A676" s="1">
        <v>646</v>
      </c>
      <c r="B676" s="1">
        <v>153.81903135635196</v>
      </c>
      <c r="C676" s="1">
        <v>3.1809686436480433</v>
      </c>
    </row>
    <row r="677" spans="1:3" x14ac:dyDescent="0.35">
      <c r="A677" s="1">
        <v>647</v>
      </c>
      <c r="B677" s="1">
        <v>121.94301096955562</v>
      </c>
      <c r="C677" s="1">
        <v>45.056989030444385</v>
      </c>
    </row>
    <row r="678" spans="1:3" x14ac:dyDescent="0.35">
      <c r="A678" s="1">
        <v>648</v>
      </c>
      <c r="B678" s="1">
        <v>119.11666480764981</v>
      </c>
      <c r="C678" s="1">
        <v>59.883335192350188</v>
      </c>
    </row>
    <row r="679" spans="1:3" x14ac:dyDescent="0.35">
      <c r="A679" s="1">
        <v>649</v>
      </c>
      <c r="B679" s="1">
        <v>124.11192211432554</v>
      </c>
      <c r="C679" s="1">
        <v>11.888077885674463</v>
      </c>
    </row>
    <row r="680" spans="1:3" x14ac:dyDescent="0.35">
      <c r="A680" s="1">
        <v>650</v>
      </c>
      <c r="B680" s="1">
        <v>97.575718455408207</v>
      </c>
      <c r="C680" s="1">
        <v>9.4242815445917927</v>
      </c>
    </row>
    <row r="681" spans="1:3" x14ac:dyDescent="0.35">
      <c r="A681" s="1">
        <v>651</v>
      </c>
      <c r="B681" s="1">
        <v>106.99987404521171</v>
      </c>
      <c r="C681" s="1">
        <v>-15.999874045211712</v>
      </c>
    </row>
    <row r="682" spans="1:3" x14ac:dyDescent="0.35">
      <c r="A682" s="1">
        <v>652</v>
      </c>
      <c r="B682" s="1">
        <v>119.19038281693366</v>
      </c>
      <c r="C682" s="1">
        <v>-2.1903828169336634</v>
      </c>
    </row>
    <row r="683" spans="1:3" x14ac:dyDescent="0.35">
      <c r="A683" s="1">
        <v>653</v>
      </c>
      <c r="B683" s="1">
        <v>111.43642514065715</v>
      </c>
      <c r="C683" s="1">
        <v>11.56357485934285</v>
      </c>
    </row>
    <row r="684" spans="1:3" x14ac:dyDescent="0.35">
      <c r="A684" s="1">
        <v>654</v>
      </c>
      <c r="B684" s="1">
        <v>110.5445626982051</v>
      </c>
      <c r="C684" s="1">
        <v>9.4554373017949018</v>
      </c>
    </row>
    <row r="685" spans="1:3" x14ac:dyDescent="0.35">
      <c r="A685" s="1">
        <v>655</v>
      </c>
      <c r="B685" s="1">
        <v>116.16069532608232</v>
      </c>
      <c r="C685" s="1">
        <v>-10.160695326082319</v>
      </c>
    </row>
    <row r="686" spans="1:3" x14ac:dyDescent="0.35">
      <c r="A686" s="1">
        <v>656</v>
      </c>
      <c r="B686" s="1">
        <v>161.91817042082016</v>
      </c>
      <c r="C686" s="1">
        <v>-6.9181704208201609</v>
      </c>
    </row>
    <row r="687" spans="1:3" x14ac:dyDescent="0.35">
      <c r="A687" s="1">
        <v>657</v>
      </c>
      <c r="B687" s="1">
        <v>99.296395534577016</v>
      </c>
      <c r="C687" s="1">
        <v>1.703604465422984</v>
      </c>
    </row>
    <row r="688" spans="1:3" x14ac:dyDescent="0.35">
      <c r="A688" s="1">
        <v>658</v>
      </c>
      <c r="B688" s="1">
        <v>138.93604521703472</v>
      </c>
      <c r="C688" s="1">
        <v>-18.936045217034717</v>
      </c>
    </row>
    <row r="689" spans="1:3" x14ac:dyDescent="0.35">
      <c r="A689" s="1">
        <v>659</v>
      </c>
      <c r="B689" s="1">
        <v>137.68250994426708</v>
      </c>
      <c r="C689" s="1">
        <v>-10.682509944267082</v>
      </c>
    </row>
    <row r="690" spans="1:3" x14ac:dyDescent="0.35">
      <c r="A690" s="1">
        <v>660</v>
      </c>
      <c r="B690" s="1">
        <v>120.07504172861339</v>
      </c>
      <c r="C690" s="1">
        <v>-40.075041728613385</v>
      </c>
    </row>
    <row r="691" spans="1:3" x14ac:dyDescent="0.35">
      <c r="A691" s="1">
        <v>661</v>
      </c>
      <c r="B691" s="1">
        <v>129.48980075136484</v>
      </c>
      <c r="C691" s="1">
        <v>32.510199248635161</v>
      </c>
    </row>
    <row r="692" spans="1:3" x14ac:dyDescent="0.35">
      <c r="A692" s="1">
        <v>662</v>
      </c>
      <c r="B692" s="1">
        <v>112.43805234691538</v>
      </c>
      <c r="C692" s="1">
        <v>86.561947653084616</v>
      </c>
    </row>
    <row r="693" spans="1:3" x14ac:dyDescent="0.35">
      <c r="A693" s="1">
        <v>663</v>
      </c>
      <c r="B693" s="1">
        <v>138.97045533060086</v>
      </c>
      <c r="C693" s="1">
        <v>28.029544669399144</v>
      </c>
    </row>
    <row r="694" spans="1:3" x14ac:dyDescent="0.35">
      <c r="A694" s="1">
        <v>664</v>
      </c>
      <c r="B694" s="1">
        <v>128.33075772019535</v>
      </c>
      <c r="C694" s="1">
        <v>16.669242279804649</v>
      </c>
    </row>
    <row r="695" spans="1:3" x14ac:dyDescent="0.35">
      <c r="A695" s="1">
        <v>665</v>
      </c>
      <c r="B695" s="1">
        <v>110.4036975324674</v>
      </c>
      <c r="C695" s="1">
        <v>4.5963024675325954</v>
      </c>
    </row>
    <row r="696" spans="1:3" x14ac:dyDescent="0.35">
      <c r="A696" s="1">
        <v>666</v>
      </c>
      <c r="B696" s="1">
        <v>113.09176829425006</v>
      </c>
      <c r="C696" s="1">
        <v>-1.0917682942500591</v>
      </c>
    </row>
    <row r="697" spans="1:3" x14ac:dyDescent="0.35">
      <c r="A697" s="1">
        <v>667</v>
      </c>
      <c r="B697" s="1">
        <v>137.24012164509489</v>
      </c>
      <c r="C697" s="1">
        <v>7.759878354905112</v>
      </c>
    </row>
    <row r="698" spans="1:3" x14ac:dyDescent="0.35">
      <c r="A698" s="1">
        <v>668</v>
      </c>
      <c r="B698" s="1">
        <v>110.04194607606588</v>
      </c>
      <c r="C698" s="1">
        <v>0.95805392393411637</v>
      </c>
    </row>
    <row r="699" spans="1:3" x14ac:dyDescent="0.35">
      <c r="A699" s="1">
        <v>669</v>
      </c>
      <c r="B699" s="1">
        <v>134.68942224952548</v>
      </c>
      <c r="C699" s="1">
        <v>-36.689422249525478</v>
      </c>
    </row>
    <row r="700" spans="1:3" x14ac:dyDescent="0.35">
      <c r="A700" s="1">
        <v>670</v>
      </c>
      <c r="B700" s="1">
        <v>125.51097915970675</v>
      </c>
      <c r="C700" s="1">
        <v>28.48902084029325</v>
      </c>
    </row>
    <row r="701" spans="1:3" x14ac:dyDescent="0.35">
      <c r="A701" s="1">
        <v>671</v>
      </c>
      <c r="B701" s="1">
        <v>140.35997524316667</v>
      </c>
      <c r="C701" s="1">
        <v>24.640024756833327</v>
      </c>
    </row>
    <row r="702" spans="1:3" x14ac:dyDescent="0.35">
      <c r="A702" s="1">
        <v>672</v>
      </c>
      <c r="B702" s="1">
        <v>103.10767561045306</v>
      </c>
      <c r="C702" s="1">
        <v>-4.1076756104530574</v>
      </c>
    </row>
    <row r="703" spans="1:3" x14ac:dyDescent="0.35">
      <c r="A703" s="1">
        <v>673</v>
      </c>
      <c r="B703" s="1">
        <v>130.25228764267769</v>
      </c>
      <c r="C703" s="1">
        <v>-62.252287642677686</v>
      </c>
    </row>
    <row r="704" spans="1:3" x14ac:dyDescent="0.35">
      <c r="A704" s="1">
        <v>674</v>
      </c>
      <c r="B704" s="1">
        <v>148.58319452627515</v>
      </c>
      <c r="C704" s="1">
        <v>-25.58319452627515</v>
      </c>
    </row>
    <row r="705" spans="1:3" x14ac:dyDescent="0.35">
      <c r="A705" s="1">
        <v>675</v>
      </c>
      <c r="B705" s="1">
        <v>146.75096238791795</v>
      </c>
      <c r="C705" s="1">
        <v>-55.750962387917951</v>
      </c>
    </row>
    <row r="706" spans="1:3" x14ac:dyDescent="0.35">
      <c r="A706" s="1">
        <v>676</v>
      </c>
      <c r="B706" s="1">
        <v>116.75582005306222</v>
      </c>
      <c r="C706" s="1">
        <v>78.244179946937777</v>
      </c>
    </row>
    <row r="707" spans="1:3" x14ac:dyDescent="0.35">
      <c r="A707" s="1">
        <v>677</v>
      </c>
      <c r="B707" s="1">
        <v>127.05301967688088</v>
      </c>
      <c r="C707" s="1">
        <v>28.946980323119121</v>
      </c>
    </row>
    <row r="708" spans="1:3" x14ac:dyDescent="0.35">
      <c r="A708" s="1">
        <v>678</v>
      </c>
      <c r="B708" s="1">
        <v>114.72119959735822</v>
      </c>
      <c r="C708" s="1">
        <v>-21.721199597358222</v>
      </c>
    </row>
    <row r="709" spans="1:3" x14ac:dyDescent="0.35">
      <c r="A709" s="1">
        <v>679</v>
      </c>
      <c r="B709" s="1">
        <v>114.00386994512738</v>
      </c>
      <c r="C709" s="1">
        <v>6.9961300548726228</v>
      </c>
    </row>
    <row r="710" spans="1:3" x14ac:dyDescent="0.35">
      <c r="A710" s="1">
        <v>680</v>
      </c>
      <c r="B710" s="1">
        <v>128.24174534842143</v>
      </c>
      <c r="C710" s="1">
        <v>-27.241745348421432</v>
      </c>
    </row>
    <row r="711" spans="1:3" x14ac:dyDescent="0.35">
      <c r="A711" s="1">
        <v>681</v>
      </c>
      <c r="B711" s="1">
        <v>99.893221687106319</v>
      </c>
      <c r="C711" s="1">
        <v>-43.893221687106319</v>
      </c>
    </row>
    <row r="712" spans="1:3" x14ac:dyDescent="0.35">
      <c r="A712" s="1">
        <v>682</v>
      </c>
      <c r="B712" s="1">
        <v>115.82116857905888</v>
      </c>
      <c r="C712" s="1">
        <v>46.178831420941123</v>
      </c>
    </row>
    <row r="713" spans="1:3" x14ac:dyDescent="0.35">
      <c r="A713" s="1">
        <v>683</v>
      </c>
      <c r="B713" s="1">
        <v>118.20839241127931</v>
      </c>
      <c r="C713" s="1">
        <v>-23.208392411279306</v>
      </c>
    </row>
    <row r="714" spans="1:3" x14ac:dyDescent="0.35">
      <c r="A714" s="1">
        <v>684</v>
      </c>
      <c r="B714" s="1">
        <v>117.12147341567872</v>
      </c>
      <c r="C714" s="1">
        <v>7.8785265843212784</v>
      </c>
    </row>
    <row r="715" spans="1:3" x14ac:dyDescent="0.35">
      <c r="A715" s="1">
        <v>685</v>
      </c>
      <c r="B715" s="1">
        <v>120.84376356197043</v>
      </c>
      <c r="C715" s="1">
        <v>15.156236438029566</v>
      </c>
    </row>
    <row r="716" spans="1:3" x14ac:dyDescent="0.35">
      <c r="A716" s="1">
        <v>686</v>
      </c>
      <c r="B716" s="1">
        <v>128.22321343675068</v>
      </c>
      <c r="C716" s="1">
        <v>0.77678656324931694</v>
      </c>
    </row>
    <row r="717" spans="1:3" x14ac:dyDescent="0.35">
      <c r="A717" s="1">
        <v>687</v>
      </c>
      <c r="B717" s="1">
        <v>104.41082004876796</v>
      </c>
      <c r="C717" s="1">
        <v>25.58917995123204</v>
      </c>
    </row>
    <row r="718" spans="1:3" x14ac:dyDescent="0.35">
      <c r="A718" s="1">
        <v>688</v>
      </c>
      <c r="B718" s="1">
        <v>104.54009889209601</v>
      </c>
      <c r="C718" s="1">
        <v>2.4599011079039883</v>
      </c>
    </row>
    <row r="719" spans="1:3" x14ac:dyDescent="0.35">
      <c r="A719" s="1">
        <v>689</v>
      </c>
      <c r="B719" s="1">
        <v>119.03108712702901</v>
      </c>
      <c r="C719" s="1">
        <v>20.968912872970989</v>
      </c>
    </row>
    <row r="720" spans="1:3" x14ac:dyDescent="0.35">
      <c r="A720" s="1">
        <v>690</v>
      </c>
      <c r="B720" s="1">
        <v>141.1399276095336</v>
      </c>
      <c r="C720" s="1">
        <v>2.8600723904663994</v>
      </c>
    </row>
    <row r="721" spans="1:3" x14ac:dyDescent="0.35">
      <c r="A721" s="1">
        <v>691</v>
      </c>
      <c r="B721" s="1">
        <v>118.11787329467258</v>
      </c>
      <c r="C721" s="1">
        <v>-11.117873294672577</v>
      </c>
    </row>
    <row r="722" spans="1:3" x14ac:dyDescent="0.35">
      <c r="A722" s="1">
        <v>692</v>
      </c>
      <c r="B722" s="1">
        <v>136.74293298266122</v>
      </c>
      <c r="C722" s="1">
        <v>21.257067017338784</v>
      </c>
    </row>
    <row r="723" spans="1:3" x14ac:dyDescent="0.35">
      <c r="A723" s="1">
        <v>693</v>
      </c>
      <c r="B723" s="1">
        <v>119.88445790553892</v>
      </c>
      <c r="C723" s="1">
        <v>1.1155420944610768</v>
      </c>
    </row>
    <row r="724" spans="1:3" x14ac:dyDescent="0.35">
      <c r="A724" s="1">
        <v>694</v>
      </c>
      <c r="B724" s="1">
        <v>127.00274287979691</v>
      </c>
      <c r="C724" s="1">
        <v>1.9972571202030878</v>
      </c>
    </row>
    <row r="725" spans="1:3" x14ac:dyDescent="0.35">
      <c r="A725" s="1">
        <v>695</v>
      </c>
      <c r="B725" s="1">
        <v>105.53077832298801</v>
      </c>
      <c r="C725" s="1">
        <v>-15.530778322988013</v>
      </c>
    </row>
    <row r="726" spans="1:3" x14ac:dyDescent="0.35">
      <c r="A726" s="1">
        <v>696</v>
      </c>
      <c r="B726" s="1">
        <v>164.52783266711327</v>
      </c>
      <c r="C726" s="1">
        <v>-22.527832667113273</v>
      </c>
    </row>
    <row r="727" spans="1:3" x14ac:dyDescent="0.35">
      <c r="A727" s="1">
        <v>697</v>
      </c>
      <c r="B727" s="1">
        <v>121.93903023192229</v>
      </c>
      <c r="C727" s="1">
        <v>47.060969768077712</v>
      </c>
    </row>
    <row r="728" spans="1:3" x14ac:dyDescent="0.35">
      <c r="A728" s="1">
        <v>698</v>
      </c>
      <c r="B728" s="1">
        <v>100.79225715728249</v>
      </c>
      <c r="C728" s="1">
        <v>-1.7922571572824921</v>
      </c>
    </row>
    <row r="729" spans="1:3" x14ac:dyDescent="0.35">
      <c r="A729" s="1">
        <v>699</v>
      </c>
      <c r="B729" s="1">
        <v>132.26668321738765</v>
      </c>
      <c r="C729" s="1">
        <v>-5.2666832173876514</v>
      </c>
    </row>
    <row r="730" spans="1:3" x14ac:dyDescent="0.35">
      <c r="A730" s="1">
        <v>700</v>
      </c>
      <c r="B730" s="1">
        <v>127.25385609201307</v>
      </c>
      <c r="C730" s="1">
        <v>-9.2538560920130664</v>
      </c>
    </row>
    <row r="731" spans="1:3" x14ac:dyDescent="0.35">
      <c r="A731" s="1">
        <v>701</v>
      </c>
      <c r="B731" s="1">
        <v>129.51553850283733</v>
      </c>
      <c r="C731" s="1">
        <v>-7.5155385028373303</v>
      </c>
    </row>
    <row r="732" spans="1:3" x14ac:dyDescent="0.35">
      <c r="A732" s="1">
        <v>702</v>
      </c>
      <c r="B732" s="1">
        <v>117.59002474903338</v>
      </c>
      <c r="C732" s="1">
        <v>7.4099752509666246</v>
      </c>
    </row>
    <row r="733" spans="1:3" x14ac:dyDescent="0.35">
      <c r="A733" s="1">
        <v>703</v>
      </c>
      <c r="B733" s="1">
        <v>128.29977496034479</v>
      </c>
      <c r="C733" s="1">
        <v>39.700225039655209</v>
      </c>
    </row>
    <row r="734" spans="1:3" x14ac:dyDescent="0.35">
      <c r="A734" s="1">
        <v>704</v>
      </c>
      <c r="B734" s="1">
        <v>123.62113252826968</v>
      </c>
      <c r="C734" s="1">
        <v>5.3788674717303167</v>
      </c>
    </row>
    <row r="735" spans="1:3" x14ac:dyDescent="0.35">
      <c r="A735" s="1">
        <v>705</v>
      </c>
      <c r="B735" s="1">
        <v>114.63787527911748</v>
      </c>
      <c r="C735" s="1">
        <v>-4.6378752791174804</v>
      </c>
    </row>
    <row r="736" spans="1:3" x14ac:dyDescent="0.35">
      <c r="A736" s="1">
        <v>706</v>
      </c>
      <c r="B736" s="1">
        <v>109.21126724739877</v>
      </c>
      <c r="C736" s="1">
        <v>-29.211267247398766</v>
      </c>
    </row>
    <row r="737" spans="1:3" x14ac:dyDescent="0.35">
      <c r="A737" s="1">
        <v>707</v>
      </c>
      <c r="B737" s="1">
        <v>87.836625009934451</v>
      </c>
      <c r="C737" s="1">
        <v>27.163374990065549</v>
      </c>
    </row>
    <row r="738" spans="1:3" x14ac:dyDescent="0.35">
      <c r="A738" s="1">
        <v>708</v>
      </c>
      <c r="B738" s="1">
        <v>137.33908226411842</v>
      </c>
      <c r="C738" s="1">
        <v>-10.339082264118417</v>
      </c>
    </row>
    <row r="739" spans="1:3" x14ac:dyDescent="0.35">
      <c r="A739" s="1">
        <v>709</v>
      </c>
      <c r="B739" s="1">
        <v>126.81509868894764</v>
      </c>
      <c r="C739" s="1">
        <v>37.184901311052357</v>
      </c>
    </row>
    <row r="740" spans="1:3" x14ac:dyDescent="0.35">
      <c r="A740" s="1">
        <v>710</v>
      </c>
      <c r="B740" s="1">
        <v>123.83099842134529</v>
      </c>
      <c r="C740" s="1">
        <v>-30.830998421345285</v>
      </c>
    </row>
    <row r="741" spans="1:3" x14ac:dyDescent="0.35">
      <c r="A741" s="1">
        <v>711</v>
      </c>
      <c r="B741" s="1">
        <v>146.19867137905052</v>
      </c>
      <c r="C741" s="1">
        <v>11.801328620949477</v>
      </c>
    </row>
    <row r="742" spans="1:3" x14ac:dyDescent="0.35">
      <c r="A742" s="1">
        <v>712</v>
      </c>
      <c r="B742" s="1">
        <v>115.9760359472232</v>
      </c>
      <c r="C742" s="1">
        <v>10.023964052776805</v>
      </c>
    </row>
    <row r="743" spans="1:3" x14ac:dyDescent="0.35">
      <c r="A743" s="1">
        <v>713</v>
      </c>
      <c r="B743" s="1">
        <v>117.35682919256224</v>
      </c>
      <c r="C743" s="1">
        <v>11.643170807437755</v>
      </c>
    </row>
    <row r="744" spans="1:3" x14ac:dyDescent="0.35">
      <c r="A744" s="1">
        <v>714</v>
      </c>
      <c r="B744" s="1">
        <v>128.43888776206597</v>
      </c>
      <c r="C744" s="1">
        <v>5.5611122379340259</v>
      </c>
    </row>
    <row r="745" spans="1:3" x14ac:dyDescent="0.35">
      <c r="A745" s="1">
        <v>715</v>
      </c>
      <c r="B745" s="1">
        <v>115.14660148274558</v>
      </c>
      <c r="C745" s="1">
        <v>-13.146601482745581</v>
      </c>
    </row>
    <row r="746" spans="1:3" x14ac:dyDescent="0.35">
      <c r="A746" s="1">
        <v>716</v>
      </c>
      <c r="B746" s="1">
        <v>151.10359479402734</v>
      </c>
      <c r="C746" s="1">
        <v>35.896405205972655</v>
      </c>
    </row>
    <row r="747" spans="1:3" x14ac:dyDescent="0.35">
      <c r="A747" s="1">
        <v>717</v>
      </c>
      <c r="B747" s="1">
        <v>128.9230425184889</v>
      </c>
      <c r="C747" s="1">
        <v>44.076957481511101</v>
      </c>
    </row>
    <row r="748" spans="1:3" x14ac:dyDescent="0.35">
      <c r="A748" s="1">
        <v>718</v>
      </c>
      <c r="B748" s="1">
        <v>123.08069832963631</v>
      </c>
      <c r="C748" s="1">
        <v>-29.080698329636306</v>
      </c>
    </row>
    <row r="749" spans="1:3" x14ac:dyDescent="0.35">
      <c r="A749" s="1">
        <v>719</v>
      </c>
      <c r="B749" s="1">
        <v>117.75469888809549</v>
      </c>
      <c r="C749" s="1">
        <v>-9.7546988880954899</v>
      </c>
    </row>
    <row r="750" spans="1:3" x14ac:dyDescent="0.35">
      <c r="A750" s="1">
        <v>720</v>
      </c>
      <c r="B750" s="1">
        <v>125.48504370019833</v>
      </c>
      <c r="C750" s="1">
        <v>-28.485043700198332</v>
      </c>
    </row>
    <row r="751" spans="1:3" x14ac:dyDescent="0.35">
      <c r="A751" s="1">
        <v>721</v>
      </c>
      <c r="B751" s="1">
        <v>112.07361894256724</v>
      </c>
      <c r="C751" s="1">
        <v>-29.073618942567236</v>
      </c>
    </row>
    <row r="752" spans="1:3" x14ac:dyDescent="0.35">
      <c r="A752" s="1">
        <v>722</v>
      </c>
      <c r="B752" s="1">
        <v>122.94705205730997</v>
      </c>
      <c r="C752" s="1">
        <v>-8.9470520573099748</v>
      </c>
    </row>
    <row r="753" spans="1:3" x14ac:dyDescent="0.35">
      <c r="A753" s="1">
        <v>723</v>
      </c>
      <c r="B753" s="1">
        <v>125.4187795172496</v>
      </c>
      <c r="C753" s="1">
        <v>23.581220482750396</v>
      </c>
    </row>
    <row r="754" spans="1:3" x14ac:dyDescent="0.35">
      <c r="A754" s="1">
        <v>724</v>
      </c>
      <c r="B754" s="1">
        <v>131.10413380829868</v>
      </c>
      <c r="C754" s="1">
        <v>-14.104133808298684</v>
      </c>
    </row>
    <row r="755" spans="1:3" x14ac:dyDescent="0.35">
      <c r="A755" s="1">
        <v>725</v>
      </c>
      <c r="B755" s="1">
        <v>128.20332907583645</v>
      </c>
      <c r="C755" s="1">
        <v>-17.20332907583645</v>
      </c>
    </row>
    <row r="756" spans="1:3" x14ac:dyDescent="0.35">
      <c r="A756" s="1">
        <v>726</v>
      </c>
      <c r="B756" s="1">
        <v>114.1415262577419</v>
      </c>
      <c r="C756" s="1">
        <v>-2.1415262577419014</v>
      </c>
    </row>
    <row r="757" spans="1:3" x14ac:dyDescent="0.35">
      <c r="A757" s="1">
        <v>727</v>
      </c>
      <c r="B757" s="1">
        <v>126.50553307360413</v>
      </c>
      <c r="C757" s="1">
        <v>-10.505533073604127</v>
      </c>
    </row>
    <row r="758" spans="1:3" x14ac:dyDescent="0.35">
      <c r="A758" s="1">
        <v>728</v>
      </c>
      <c r="B758" s="1">
        <v>104.67363515915696</v>
      </c>
      <c r="C758" s="1">
        <v>36.326364840843041</v>
      </c>
    </row>
    <row r="759" spans="1:3" x14ac:dyDescent="0.35">
      <c r="A759" s="1">
        <v>729</v>
      </c>
      <c r="B759" s="1">
        <v>105.95843041794188</v>
      </c>
      <c r="C759" s="1">
        <v>69.041569582058116</v>
      </c>
    </row>
    <row r="760" spans="1:3" x14ac:dyDescent="0.35">
      <c r="A760" s="1">
        <v>730</v>
      </c>
      <c r="B760" s="1">
        <v>107.67086675534368</v>
      </c>
      <c r="C760" s="1">
        <v>-15.670866755343681</v>
      </c>
    </row>
    <row r="761" spans="1:3" x14ac:dyDescent="0.35">
      <c r="A761" s="1">
        <v>731</v>
      </c>
      <c r="B761" s="1">
        <v>117.4178851519423</v>
      </c>
      <c r="C761" s="1">
        <v>12.582114848057699</v>
      </c>
    </row>
    <row r="762" spans="1:3" x14ac:dyDescent="0.35">
      <c r="A762" s="1">
        <v>732</v>
      </c>
      <c r="B762" s="1">
        <v>109.87526706928577</v>
      </c>
      <c r="C762" s="1">
        <v>10.124732930714231</v>
      </c>
    </row>
    <row r="763" spans="1:3" x14ac:dyDescent="0.35">
      <c r="A763" s="1">
        <v>733</v>
      </c>
      <c r="B763" s="1">
        <v>125.16671769667175</v>
      </c>
      <c r="C763" s="1">
        <v>48.833282303328247</v>
      </c>
    </row>
    <row r="764" spans="1:3" x14ac:dyDescent="0.35">
      <c r="A764" s="1">
        <v>734</v>
      </c>
      <c r="B764" s="1">
        <v>116.48003517932074</v>
      </c>
      <c r="C764" s="1">
        <v>-10.480035179320737</v>
      </c>
    </row>
    <row r="765" spans="1:3" x14ac:dyDescent="0.35">
      <c r="A765" s="1">
        <v>735</v>
      </c>
      <c r="B765" s="1">
        <v>126.82919548009879</v>
      </c>
      <c r="C765" s="1">
        <v>-21.82919548009879</v>
      </c>
    </row>
    <row r="766" spans="1:3" x14ac:dyDescent="0.35">
      <c r="A766" s="1">
        <v>736</v>
      </c>
      <c r="B766" s="1">
        <v>106.40432716463022</v>
      </c>
      <c r="C766" s="1">
        <v>-11.404327164630217</v>
      </c>
    </row>
    <row r="767" spans="1:3" x14ac:dyDescent="0.35">
      <c r="A767" s="1">
        <v>737</v>
      </c>
      <c r="B767" s="1">
        <v>112.65807438210177</v>
      </c>
      <c r="C767" s="1">
        <v>13.341925617898227</v>
      </c>
    </row>
    <row r="768" spans="1:3" x14ac:dyDescent="0.35">
      <c r="A768" s="1">
        <v>738</v>
      </c>
      <c r="B768" s="1">
        <v>118.96718621200415</v>
      </c>
      <c r="C768" s="1">
        <v>-53.967186212004151</v>
      </c>
    </row>
    <row r="769" spans="1:3" x14ac:dyDescent="0.35">
      <c r="A769" s="1">
        <v>739</v>
      </c>
      <c r="B769" s="1">
        <v>124.82778105796285</v>
      </c>
      <c r="C769" s="1">
        <v>-25.827781057962852</v>
      </c>
    </row>
    <row r="770" spans="1:3" x14ac:dyDescent="0.35">
      <c r="A770" s="1">
        <v>740</v>
      </c>
      <c r="B770" s="1">
        <v>130.07072087134</v>
      </c>
      <c r="C770" s="1">
        <v>-28.070720871340001</v>
      </c>
    </row>
    <row r="771" spans="1:3" x14ac:dyDescent="0.35">
      <c r="A771" s="1">
        <v>741</v>
      </c>
      <c r="B771" s="1">
        <v>142.86457682314511</v>
      </c>
      <c r="C771" s="1">
        <v>-22.864576823145114</v>
      </c>
    </row>
    <row r="772" spans="1:3" x14ac:dyDescent="0.35">
      <c r="A772" s="1">
        <v>742</v>
      </c>
      <c r="B772" s="1">
        <v>114.67167119662231</v>
      </c>
      <c r="C772" s="1">
        <v>-12.671671196622313</v>
      </c>
    </row>
    <row r="773" spans="1:3" x14ac:dyDescent="0.35">
      <c r="A773" s="1">
        <v>743</v>
      </c>
      <c r="B773" s="1">
        <v>112.96337315349557</v>
      </c>
      <c r="C773" s="1">
        <v>-3.9633731534955672</v>
      </c>
    </row>
    <row r="774" spans="1:3" x14ac:dyDescent="0.35">
      <c r="A774" s="1">
        <v>744</v>
      </c>
      <c r="B774" s="1">
        <v>131.56191185946841</v>
      </c>
      <c r="C774" s="1">
        <v>8.4380881405315904</v>
      </c>
    </row>
    <row r="775" spans="1:3" x14ac:dyDescent="0.35">
      <c r="A775" s="1">
        <v>745</v>
      </c>
      <c r="B775" s="1">
        <v>137.9120514966832</v>
      </c>
      <c r="C775" s="1">
        <v>15.087948503316795</v>
      </c>
    </row>
    <row r="776" spans="1:3" x14ac:dyDescent="0.35">
      <c r="A776" s="1">
        <v>746</v>
      </c>
      <c r="B776" s="1">
        <v>127.62401449174232</v>
      </c>
      <c r="C776" s="1">
        <v>-27.624014491742315</v>
      </c>
    </row>
    <row r="777" spans="1:3" x14ac:dyDescent="0.35">
      <c r="A777" s="1">
        <v>747</v>
      </c>
      <c r="B777" s="1">
        <v>115.85169901092559</v>
      </c>
      <c r="C777" s="1">
        <v>31.148300989074414</v>
      </c>
    </row>
    <row r="778" spans="1:3" x14ac:dyDescent="0.35">
      <c r="A778" s="1">
        <v>748</v>
      </c>
      <c r="B778" s="1">
        <v>125.81512615735554</v>
      </c>
      <c r="C778" s="1">
        <v>-44.815126157355536</v>
      </c>
    </row>
    <row r="779" spans="1:3" x14ac:dyDescent="0.35">
      <c r="A779" s="1">
        <v>749</v>
      </c>
      <c r="B779" s="1">
        <v>137.17953218421013</v>
      </c>
      <c r="C779" s="1">
        <v>49.820467815789868</v>
      </c>
    </row>
    <row r="780" spans="1:3" x14ac:dyDescent="0.35">
      <c r="A780" s="1">
        <v>750</v>
      </c>
      <c r="B780" s="1">
        <v>122.55612516280669</v>
      </c>
      <c r="C780" s="1">
        <v>39.443874837193306</v>
      </c>
    </row>
    <row r="781" spans="1:3" x14ac:dyDescent="0.35">
      <c r="A781" s="1">
        <v>751</v>
      </c>
      <c r="B781" s="1">
        <v>116.44981307046464</v>
      </c>
      <c r="C781" s="1">
        <v>19.550186929535357</v>
      </c>
    </row>
    <row r="782" spans="1:3" x14ac:dyDescent="0.35">
      <c r="A782" s="1">
        <v>752</v>
      </c>
      <c r="B782" s="1">
        <v>115.13963577612954</v>
      </c>
      <c r="C782" s="1">
        <v>5.8603642238704623</v>
      </c>
    </row>
    <row r="783" spans="1:3" x14ac:dyDescent="0.35">
      <c r="A783" s="1">
        <v>753</v>
      </c>
      <c r="B783" s="1">
        <v>99.78563324417766</v>
      </c>
      <c r="C783" s="1">
        <v>8.2143667558223399</v>
      </c>
    </row>
    <row r="784" spans="1:3" x14ac:dyDescent="0.35">
      <c r="A784" s="1">
        <v>754</v>
      </c>
      <c r="B784" s="1">
        <v>159.60785817250405</v>
      </c>
      <c r="C784" s="1">
        <v>21.392141827495948</v>
      </c>
    </row>
    <row r="785" spans="1:3" x14ac:dyDescent="0.35">
      <c r="A785" s="1">
        <v>755</v>
      </c>
      <c r="B785" s="1">
        <v>117.62338962361002</v>
      </c>
      <c r="C785" s="1">
        <v>36.376610376389976</v>
      </c>
    </row>
    <row r="786" spans="1:3" x14ac:dyDescent="0.35">
      <c r="A786" s="1">
        <v>756</v>
      </c>
      <c r="B786" s="1">
        <v>128.41652733809582</v>
      </c>
      <c r="C786" s="1">
        <v>-0.41652733809581832</v>
      </c>
    </row>
    <row r="787" spans="1:3" x14ac:dyDescent="0.35">
      <c r="A787" s="1">
        <v>757</v>
      </c>
      <c r="B787" s="1">
        <v>110.89650419525871</v>
      </c>
      <c r="C787" s="1">
        <v>26.103495804741286</v>
      </c>
    </row>
    <row r="788" spans="1:3" x14ac:dyDescent="0.35">
      <c r="A788" s="1">
        <v>758</v>
      </c>
      <c r="B788" s="1">
        <v>133.70233654456777</v>
      </c>
      <c r="C788" s="1">
        <v>-10.702336544567771</v>
      </c>
    </row>
    <row r="789" spans="1:3" x14ac:dyDescent="0.35">
      <c r="A789" s="1">
        <v>759</v>
      </c>
      <c r="B789" s="1">
        <v>117.77967172385192</v>
      </c>
      <c r="C789" s="1">
        <v>-11.779671723851919</v>
      </c>
    </row>
    <row r="790" spans="1:3" x14ac:dyDescent="0.35">
      <c r="A790" s="1">
        <v>760</v>
      </c>
      <c r="B790" s="1">
        <v>144.01619700275523</v>
      </c>
      <c r="C790" s="1">
        <v>45.983802997244766</v>
      </c>
    </row>
    <row r="791" spans="1:3" x14ac:dyDescent="0.35">
      <c r="A791" s="1">
        <v>761</v>
      </c>
      <c r="B791" s="1">
        <v>103.68039450941839</v>
      </c>
      <c r="C791" s="1">
        <v>-15.680394509418392</v>
      </c>
    </row>
    <row r="792" spans="1:3" x14ac:dyDescent="0.35">
      <c r="A792" s="1">
        <v>762</v>
      </c>
      <c r="B792" s="1">
        <v>124.89666535620658</v>
      </c>
      <c r="C792" s="1">
        <v>45.103334643793417</v>
      </c>
    </row>
    <row r="793" spans="1:3" x14ac:dyDescent="0.35">
      <c r="A793" s="1">
        <v>763</v>
      </c>
      <c r="B793" s="1">
        <v>110.18551891890971</v>
      </c>
      <c r="C793" s="1">
        <v>-21.185518918909708</v>
      </c>
    </row>
    <row r="794" spans="1:3" x14ac:dyDescent="0.35">
      <c r="A794" s="1">
        <v>764</v>
      </c>
      <c r="B794" s="1">
        <v>140.61111394937944</v>
      </c>
      <c r="C794" s="1">
        <v>-39.611113949379444</v>
      </c>
    </row>
    <row r="795" spans="1:3" x14ac:dyDescent="0.35">
      <c r="A795" s="1">
        <v>765</v>
      </c>
      <c r="B795" s="1">
        <v>109.41693823763377</v>
      </c>
      <c r="C795" s="1">
        <v>12.583061762366228</v>
      </c>
    </row>
    <row r="796" spans="1:3" x14ac:dyDescent="0.35">
      <c r="A796" s="1">
        <v>766</v>
      </c>
      <c r="B796" s="1">
        <v>115.70694723886096</v>
      </c>
      <c r="C796" s="1">
        <v>5.2930527611390374</v>
      </c>
    </row>
    <row r="797" spans="1:3" x14ac:dyDescent="0.35">
      <c r="A797" s="1">
        <v>767</v>
      </c>
      <c r="B797" s="1">
        <v>125.61750542246899</v>
      </c>
      <c r="C797" s="1">
        <v>0.38249457753100558</v>
      </c>
    </row>
    <row r="798" spans="1:3" ht="15" thickBot="1" x14ac:dyDescent="0.4">
      <c r="A798" s="2">
        <v>768</v>
      </c>
      <c r="B798" s="2">
        <v>100.48019750515701</v>
      </c>
      <c r="C798" s="2">
        <v>-7.4801975051570082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A7F5-5CDC-4D49-AFB3-06D7F36FD6CB}">
  <dimension ref="A1:K770"/>
  <sheetViews>
    <sheetView workbookViewId="0">
      <selection activeCell="D21" sqref="D21"/>
    </sheetView>
  </sheetViews>
  <sheetFormatPr defaultRowHeight="14.5" x14ac:dyDescent="0.35"/>
  <cols>
    <col min="1" max="1" width="12.08984375" bestFit="1" customWidth="1"/>
    <col min="2" max="2" width="10.6328125" bestFit="1" customWidth="1"/>
    <col min="3" max="4" width="12.6328125" bestFit="1" customWidth="1"/>
    <col min="7" max="7" width="22.453125" bestFit="1" customWidth="1"/>
    <col min="9" max="9" width="19.90625" bestFit="1" customWidth="1"/>
    <col min="10" max="11" width="9.81640625" bestFit="1" customWidth="1"/>
  </cols>
  <sheetData>
    <row r="1" spans="1:11" s="6" customFormat="1" x14ac:dyDescent="0.35">
      <c r="A1" s="7" t="s">
        <v>7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8</v>
      </c>
      <c r="J1" s="7" t="s">
        <v>10</v>
      </c>
      <c r="K1" s="7" t="s">
        <v>9</v>
      </c>
    </row>
    <row r="2" spans="1:11" x14ac:dyDescent="0.35">
      <c r="A2" s="8">
        <v>148</v>
      </c>
      <c r="B2" s="8">
        <v>6</v>
      </c>
      <c r="C2" s="8">
        <v>72</v>
      </c>
      <c r="D2" s="8">
        <v>35</v>
      </c>
      <c r="E2" s="8">
        <v>0</v>
      </c>
      <c r="F2" s="8">
        <v>33.6</v>
      </c>
      <c r="G2" s="8">
        <v>0.627</v>
      </c>
      <c r="H2" s="8">
        <v>50</v>
      </c>
      <c r="I2" s="9">
        <v>121.37146638709675</v>
      </c>
      <c r="J2" s="9">
        <v>26.628533612903254</v>
      </c>
      <c r="K2" s="8">
        <f>J2*J2</f>
        <v>709.07880237351844</v>
      </c>
    </row>
    <row r="3" spans="1:11" x14ac:dyDescent="0.35">
      <c r="A3" s="8">
        <v>85</v>
      </c>
      <c r="B3" s="8">
        <v>1</v>
      </c>
      <c r="C3" s="8">
        <v>66</v>
      </c>
      <c r="D3" s="8">
        <v>29</v>
      </c>
      <c r="E3" s="8">
        <v>0</v>
      </c>
      <c r="F3" s="8">
        <v>26.6</v>
      </c>
      <c r="G3" s="8">
        <v>0.35099999999999998</v>
      </c>
      <c r="H3" s="8">
        <v>31</v>
      </c>
      <c r="I3" s="9">
        <v>103.40691341632819</v>
      </c>
      <c r="J3" s="9">
        <v>-18.406913416328194</v>
      </c>
      <c r="K3" s="8">
        <f t="shared" ref="K3:K66" si="0">J3*J3</f>
        <v>338.81446151620287</v>
      </c>
    </row>
    <row r="4" spans="1:11" x14ac:dyDescent="0.35">
      <c r="A4" s="8">
        <v>183</v>
      </c>
      <c r="B4" s="8">
        <v>8</v>
      </c>
      <c r="C4" s="8">
        <v>64</v>
      </c>
      <c r="D4" s="8">
        <v>0</v>
      </c>
      <c r="E4" s="8">
        <v>0</v>
      </c>
      <c r="F4" s="8">
        <v>23.3</v>
      </c>
      <c r="G4" s="8">
        <v>0.67200000000000004</v>
      </c>
      <c r="H4" s="8">
        <v>32</v>
      </c>
      <c r="I4" s="9">
        <v>113.56925679998355</v>
      </c>
      <c r="J4" s="9">
        <v>69.430743200016451</v>
      </c>
      <c r="K4" s="8">
        <f t="shared" si="0"/>
        <v>4820.6281013066309</v>
      </c>
    </row>
    <row r="5" spans="1:11" x14ac:dyDescent="0.35">
      <c r="A5" s="8">
        <v>89</v>
      </c>
      <c r="B5" s="8">
        <v>1</v>
      </c>
      <c r="C5" s="8">
        <v>66</v>
      </c>
      <c r="D5" s="8">
        <v>23</v>
      </c>
      <c r="E5" s="8">
        <v>94</v>
      </c>
      <c r="F5" s="8">
        <v>28.1</v>
      </c>
      <c r="G5" s="8">
        <v>0.16700000000000001</v>
      </c>
      <c r="H5" s="8">
        <v>21</v>
      </c>
      <c r="I5" s="9">
        <v>108.36803913500738</v>
      </c>
      <c r="J5" s="9">
        <v>-19.368039135007379</v>
      </c>
      <c r="K5" s="8">
        <f t="shared" si="0"/>
        <v>375.12093993517738</v>
      </c>
    </row>
    <row r="6" spans="1:11" x14ac:dyDescent="0.35">
      <c r="A6" s="8">
        <v>137</v>
      </c>
      <c r="B6" s="8">
        <v>0</v>
      </c>
      <c r="C6" s="8">
        <v>40</v>
      </c>
      <c r="D6" s="8">
        <v>35</v>
      </c>
      <c r="E6" s="8">
        <v>168</v>
      </c>
      <c r="F6" s="8">
        <v>43.1</v>
      </c>
      <c r="G6" s="8">
        <v>2.2879999999999998</v>
      </c>
      <c r="H6" s="8">
        <v>33</v>
      </c>
      <c r="I6" s="9">
        <v>142.30699226218317</v>
      </c>
      <c r="J6" s="9">
        <v>-5.3069922621831722</v>
      </c>
      <c r="K6" s="8">
        <f t="shared" si="0"/>
        <v>28.164166870872062</v>
      </c>
    </row>
    <row r="7" spans="1:11" x14ac:dyDescent="0.35">
      <c r="A7" s="8">
        <v>116</v>
      </c>
      <c r="B7" s="8">
        <v>5</v>
      </c>
      <c r="C7" s="8">
        <v>74</v>
      </c>
      <c r="D7" s="8">
        <v>0</v>
      </c>
      <c r="E7" s="8">
        <v>0</v>
      </c>
      <c r="F7" s="8">
        <v>25.6</v>
      </c>
      <c r="G7" s="8">
        <v>0.20100000000000001</v>
      </c>
      <c r="H7" s="8">
        <v>30</v>
      </c>
      <c r="I7" s="9">
        <v>111.55305508076663</v>
      </c>
      <c r="J7" s="9">
        <v>4.4469449192333741</v>
      </c>
      <c r="K7" s="8">
        <f t="shared" si="0"/>
        <v>19.77531911469552</v>
      </c>
    </row>
    <row r="8" spans="1:11" x14ac:dyDescent="0.35">
      <c r="A8" s="8">
        <v>78</v>
      </c>
      <c r="B8" s="8">
        <v>3</v>
      </c>
      <c r="C8" s="8">
        <v>50</v>
      </c>
      <c r="D8" s="8">
        <v>32</v>
      </c>
      <c r="E8" s="8">
        <v>88</v>
      </c>
      <c r="F8" s="8">
        <v>31</v>
      </c>
      <c r="G8" s="8">
        <v>0.248</v>
      </c>
      <c r="H8" s="8">
        <v>26</v>
      </c>
      <c r="I8" s="9">
        <v>109.66799724840411</v>
      </c>
      <c r="J8" s="9">
        <v>-31.667997248404106</v>
      </c>
      <c r="K8" s="8">
        <f t="shared" si="0"/>
        <v>1002.86204972493</v>
      </c>
    </row>
    <row r="9" spans="1:11" x14ac:dyDescent="0.35">
      <c r="A9" s="8">
        <v>115</v>
      </c>
      <c r="B9" s="8">
        <v>10</v>
      </c>
      <c r="C9" s="8">
        <v>0</v>
      </c>
      <c r="D9" s="8">
        <v>0</v>
      </c>
      <c r="E9" s="8">
        <v>0</v>
      </c>
      <c r="F9" s="8">
        <v>35.299999999999997</v>
      </c>
      <c r="G9" s="8">
        <v>0.13400000000000001</v>
      </c>
      <c r="H9" s="8">
        <v>29</v>
      </c>
      <c r="I9" s="9">
        <v>112.87459817291729</v>
      </c>
      <c r="J9" s="9">
        <v>2.1254018270827117</v>
      </c>
      <c r="K9" s="8">
        <f t="shared" si="0"/>
        <v>4.517332926566529</v>
      </c>
    </row>
    <row r="10" spans="1:11" x14ac:dyDescent="0.35">
      <c r="A10" s="8">
        <v>197</v>
      </c>
      <c r="B10" s="8">
        <v>2</v>
      </c>
      <c r="C10" s="8">
        <v>70</v>
      </c>
      <c r="D10" s="8">
        <v>45</v>
      </c>
      <c r="E10" s="8">
        <v>543</v>
      </c>
      <c r="F10" s="8">
        <v>30.5</v>
      </c>
      <c r="G10" s="8">
        <v>0.158</v>
      </c>
      <c r="H10" s="8">
        <v>53</v>
      </c>
      <c r="I10" s="9">
        <v>168.86065577588045</v>
      </c>
      <c r="J10" s="9">
        <v>28.139344224119554</v>
      </c>
      <c r="K10" s="8">
        <f t="shared" si="0"/>
        <v>791.82269336349054</v>
      </c>
    </row>
    <row r="11" spans="1:11" x14ac:dyDescent="0.35">
      <c r="A11" s="8">
        <v>125</v>
      </c>
      <c r="B11" s="8">
        <v>8</v>
      </c>
      <c r="C11" s="8">
        <v>96</v>
      </c>
      <c r="D11" s="8">
        <v>0</v>
      </c>
      <c r="E11" s="8">
        <v>0</v>
      </c>
      <c r="F11" s="8">
        <v>0</v>
      </c>
      <c r="G11" s="8">
        <v>0.23200000000000001</v>
      </c>
      <c r="H11" s="8">
        <v>54</v>
      </c>
      <c r="I11" s="9">
        <v>109.74502431800931</v>
      </c>
      <c r="J11" s="9">
        <v>15.254975681990686</v>
      </c>
      <c r="K11" s="8">
        <f t="shared" si="0"/>
        <v>232.71428305812719</v>
      </c>
    </row>
    <row r="12" spans="1:11" x14ac:dyDescent="0.35">
      <c r="A12" s="8">
        <v>110</v>
      </c>
      <c r="B12" s="8">
        <v>4</v>
      </c>
      <c r="C12" s="8">
        <v>92</v>
      </c>
      <c r="D12" s="8">
        <v>0</v>
      </c>
      <c r="E12" s="8">
        <v>0</v>
      </c>
      <c r="F12" s="8">
        <v>37.6</v>
      </c>
      <c r="G12" s="8">
        <v>0.191</v>
      </c>
      <c r="H12" s="8">
        <v>30</v>
      </c>
      <c r="I12" s="9">
        <v>121.69510467413853</v>
      </c>
      <c r="J12" s="9">
        <v>-11.695104674138534</v>
      </c>
      <c r="K12" s="8">
        <f t="shared" si="0"/>
        <v>136.77547333905699</v>
      </c>
    </row>
    <row r="13" spans="1:11" x14ac:dyDescent="0.35">
      <c r="A13" s="8">
        <v>168</v>
      </c>
      <c r="B13" s="8">
        <v>10</v>
      </c>
      <c r="C13" s="8">
        <v>74</v>
      </c>
      <c r="D13" s="8">
        <v>0</v>
      </c>
      <c r="E13" s="8">
        <v>0</v>
      </c>
      <c r="F13" s="8">
        <v>38</v>
      </c>
      <c r="G13" s="8">
        <v>0.53700000000000003</v>
      </c>
      <c r="H13" s="8">
        <v>34</v>
      </c>
      <c r="I13" s="9">
        <v>125.8545652346875</v>
      </c>
      <c r="J13" s="9">
        <v>42.145434765312501</v>
      </c>
      <c r="K13" s="8">
        <f t="shared" si="0"/>
        <v>1776.2376715572116</v>
      </c>
    </row>
    <row r="14" spans="1:11" x14ac:dyDescent="0.35">
      <c r="A14" s="8">
        <v>139</v>
      </c>
      <c r="B14" s="8">
        <v>10</v>
      </c>
      <c r="C14" s="8">
        <v>80</v>
      </c>
      <c r="D14" s="8">
        <v>0</v>
      </c>
      <c r="E14" s="8">
        <v>0</v>
      </c>
      <c r="F14" s="8">
        <v>27.1</v>
      </c>
      <c r="G14" s="8">
        <v>1.4410000000000001</v>
      </c>
      <c r="H14" s="8">
        <v>57</v>
      </c>
      <c r="I14" s="9">
        <v>138.64742443944772</v>
      </c>
      <c r="J14" s="9">
        <v>0.35257556055228179</v>
      </c>
      <c r="K14" s="8">
        <f t="shared" si="0"/>
        <v>0.12430952589875573</v>
      </c>
    </row>
    <row r="15" spans="1:11" x14ac:dyDescent="0.35">
      <c r="A15" s="8">
        <v>189</v>
      </c>
      <c r="B15" s="8">
        <v>1</v>
      </c>
      <c r="C15" s="8">
        <v>60</v>
      </c>
      <c r="D15" s="8">
        <v>23</v>
      </c>
      <c r="E15" s="8">
        <v>846</v>
      </c>
      <c r="F15" s="8">
        <v>30.1</v>
      </c>
      <c r="G15" s="8">
        <v>0.39800000000000002</v>
      </c>
      <c r="H15" s="8">
        <v>59</v>
      </c>
      <c r="I15" s="9">
        <v>210.98723481873603</v>
      </c>
      <c r="J15" s="9">
        <v>-21.987234818736027</v>
      </c>
      <c r="K15" s="8">
        <f t="shared" si="0"/>
        <v>483.43849497423793</v>
      </c>
    </row>
    <row r="16" spans="1:11" x14ac:dyDescent="0.35">
      <c r="A16" s="8">
        <v>166</v>
      </c>
      <c r="B16" s="8">
        <v>5</v>
      </c>
      <c r="C16" s="8">
        <v>72</v>
      </c>
      <c r="D16" s="8">
        <v>19</v>
      </c>
      <c r="E16" s="8">
        <v>175</v>
      </c>
      <c r="F16" s="8">
        <v>25.8</v>
      </c>
      <c r="G16" s="8">
        <v>0.58699999999999997</v>
      </c>
      <c r="H16" s="8">
        <v>51</v>
      </c>
      <c r="I16" s="9">
        <v>138.78459677817858</v>
      </c>
      <c r="J16" s="9">
        <v>27.215403221821418</v>
      </c>
      <c r="K16" s="8">
        <f t="shared" si="0"/>
        <v>740.67817252632767</v>
      </c>
    </row>
    <row r="17" spans="1:11" x14ac:dyDescent="0.35">
      <c r="A17" s="8">
        <v>100</v>
      </c>
      <c r="B17" s="8">
        <v>7</v>
      </c>
      <c r="C17" s="8">
        <v>0</v>
      </c>
      <c r="D17" s="8">
        <v>0</v>
      </c>
      <c r="E17" s="8">
        <v>0</v>
      </c>
      <c r="F17" s="8">
        <v>30</v>
      </c>
      <c r="G17" s="8">
        <v>0.48399999999999999</v>
      </c>
      <c r="H17" s="8">
        <v>32</v>
      </c>
      <c r="I17" s="9">
        <v>112.86776823644848</v>
      </c>
      <c r="J17" s="9">
        <v>-12.867768236448484</v>
      </c>
      <c r="K17" s="8">
        <f t="shared" si="0"/>
        <v>165.57945938695252</v>
      </c>
    </row>
    <row r="18" spans="1:11" x14ac:dyDescent="0.35">
      <c r="A18" s="8">
        <v>118</v>
      </c>
      <c r="B18" s="8">
        <v>0</v>
      </c>
      <c r="C18" s="8">
        <v>84</v>
      </c>
      <c r="D18" s="8">
        <v>47</v>
      </c>
      <c r="E18" s="8">
        <v>230</v>
      </c>
      <c r="F18" s="8">
        <v>45.8</v>
      </c>
      <c r="G18" s="8">
        <v>0.55100000000000005</v>
      </c>
      <c r="H18" s="8">
        <v>31</v>
      </c>
      <c r="I18" s="9">
        <v>137.37107315581997</v>
      </c>
      <c r="J18" s="9">
        <v>-19.371073155819971</v>
      </c>
      <c r="K18" s="8">
        <f t="shared" si="0"/>
        <v>375.2384752081291</v>
      </c>
    </row>
    <row r="19" spans="1:11" x14ac:dyDescent="0.35">
      <c r="A19" s="8">
        <v>107</v>
      </c>
      <c r="B19" s="8">
        <v>7</v>
      </c>
      <c r="C19" s="8">
        <v>74</v>
      </c>
      <c r="D19" s="8">
        <v>0</v>
      </c>
      <c r="E19" s="8">
        <v>0</v>
      </c>
      <c r="F19" s="8">
        <v>29.6</v>
      </c>
      <c r="G19" s="8">
        <v>0.254</v>
      </c>
      <c r="H19" s="8">
        <v>31</v>
      </c>
      <c r="I19" s="9">
        <v>115.65207797092162</v>
      </c>
      <c r="J19" s="9">
        <v>-8.6520779709216242</v>
      </c>
      <c r="K19" s="8">
        <f t="shared" si="0"/>
        <v>74.858453214907257</v>
      </c>
    </row>
    <row r="20" spans="1:11" x14ac:dyDescent="0.35">
      <c r="A20" s="8">
        <v>103</v>
      </c>
      <c r="B20" s="8">
        <v>1</v>
      </c>
      <c r="C20" s="8">
        <v>30</v>
      </c>
      <c r="D20" s="8">
        <v>38</v>
      </c>
      <c r="E20" s="8">
        <v>83</v>
      </c>
      <c r="F20" s="8">
        <v>43.3</v>
      </c>
      <c r="G20" s="8">
        <v>0.183</v>
      </c>
      <c r="H20" s="8">
        <v>33</v>
      </c>
      <c r="I20" s="9">
        <v>118.97652082998115</v>
      </c>
      <c r="J20" s="9">
        <v>-15.976520829981155</v>
      </c>
      <c r="K20" s="8">
        <f t="shared" si="0"/>
        <v>255.24921783082172</v>
      </c>
    </row>
    <row r="21" spans="1:11" x14ac:dyDescent="0.35">
      <c r="A21" s="8">
        <v>115</v>
      </c>
      <c r="B21" s="8">
        <v>1</v>
      </c>
      <c r="C21" s="8">
        <v>70</v>
      </c>
      <c r="D21" s="8">
        <v>30</v>
      </c>
      <c r="E21" s="8">
        <v>96</v>
      </c>
      <c r="F21" s="8">
        <v>34.6</v>
      </c>
      <c r="G21" s="8">
        <v>0.52900000000000003</v>
      </c>
      <c r="H21" s="8">
        <v>32</v>
      </c>
      <c r="I21" s="9">
        <v>120.77064223574013</v>
      </c>
      <c r="J21" s="9">
        <v>-5.7706422357401266</v>
      </c>
      <c r="K21" s="8">
        <f t="shared" si="0"/>
        <v>33.300311812907808</v>
      </c>
    </row>
    <row r="22" spans="1:11" x14ac:dyDescent="0.35">
      <c r="A22" s="8">
        <v>126</v>
      </c>
      <c r="B22" s="8">
        <v>3</v>
      </c>
      <c r="C22" s="8">
        <v>88</v>
      </c>
      <c r="D22" s="8">
        <v>41</v>
      </c>
      <c r="E22" s="8">
        <v>235</v>
      </c>
      <c r="F22" s="8">
        <v>39.299999999999997</v>
      </c>
      <c r="G22" s="8">
        <v>0.70399999999999996</v>
      </c>
      <c r="H22" s="8">
        <v>27</v>
      </c>
      <c r="I22" s="9">
        <v>133.84425604112644</v>
      </c>
      <c r="J22" s="9">
        <v>-7.8442560411264424</v>
      </c>
      <c r="K22" s="8">
        <f t="shared" si="0"/>
        <v>61.532352838748686</v>
      </c>
    </row>
    <row r="23" spans="1:11" x14ac:dyDescent="0.35">
      <c r="A23" s="8">
        <v>99</v>
      </c>
      <c r="B23" s="8">
        <v>8</v>
      </c>
      <c r="C23" s="8">
        <v>84</v>
      </c>
      <c r="D23" s="8">
        <v>0</v>
      </c>
      <c r="E23" s="8">
        <v>0</v>
      </c>
      <c r="F23" s="8">
        <v>35.4</v>
      </c>
      <c r="G23" s="8">
        <v>0.38800000000000001</v>
      </c>
      <c r="H23" s="8">
        <v>50</v>
      </c>
      <c r="I23" s="9">
        <v>133.86934953278535</v>
      </c>
      <c r="J23" s="9">
        <v>-34.86934953278535</v>
      </c>
      <c r="K23" s="8">
        <f t="shared" si="0"/>
        <v>1215.8715368395578</v>
      </c>
    </row>
    <row r="24" spans="1:11" x14ac:dyDescent="0.35">
      <c r="A24" s="8">
        <v>196</v>
      </c>
      <c r="B24" s="8">
        <v>7</v>
      </c>
      <c r="C24" s="8">
        <v>90</v>
      </c>
      <c r="D24" s="8">
        <v>0</v>
      </c>
      <c r="E24" s="8">
        <v>0</v>
      </c>
      <c r="F24" s="8">
        <v>39.799999999999997</v>
      </c>
      <c r="G24" s="8">
        <v>0.45100000000000001</v>
      </c>
      <c r="H24" s="8">
        <v>41</v>
      </c>
      <c r="I24" s="9">
        <v>132.12250996455433</v>
      </c>
      <c r="J24" s="9">
        <v>63.877490035445675</v>
      </c>
      <c r="K24" s="8">
        <f t="shared" si="0"/>
        <v>4080.3337332284614</v>
      </c>
    </row>
    <row r="25" spans="1:11" x14ac:dyDescent="0.35">
      <c r="A25" s="8">
        <v>119</v>
      </c>
      <c r="B25" s="8">
        <v>9</v>
      </c>
      <c r="C25" s="8">
        <v>80</v>
      </c>
      <c r="D25" s="8">
        <v>35</v>
      </c>
      <c r="E25" s="8">
        <v>0</v>
      </c>
      <c r="F25" s="8">
        <v>29</v>
      </c>
      <c r="G25" s="8">
        <v>0.26300000000000001</v>
      </c>
      <c r="H25" s="8">
        <v>29</v>
      </c>
      <c r="I25" s="9">
        <v>102.80752818507059</v>
      </c>
      <c r="J25" s="9">
        <v>16.192471814929405</v>
      </c>
      <c r="K25" s="8">
        <f t="shared" si="0"/>
        <v>262.19614347728316</v>
      </c>
    </row>
    <row r="26" spans="1:11" x14ac:dyDescent="0.35">
      <c r="A26" s="8">
        <v>143</v>
      </c>
      <c r="B26" s="8">
        <v>11</v>
      </c>
      <c r="C26" s="8">
        <v>94</v>
      </c>
      <c r="D26" s="8">
        <v>33</v>
      </c>
      <c r="E26" s="8">
        <v>146</v>
      </c>
      <c r="F26" s="8">
        <v>36.6</v>
      </c>
      <c r="G26" s="8">
        <v>0.254</v>
      </c>
      <c r="H26" s="8">
        <v>51</v>
      </c>
      <c r="I26" s="9">
        <v>139.08529494028903</v>
      </c>
      <c r="J26" s="9">
        <v>3.9147050597109683</v>
      </c>
      <c r="K26" s="8">
        <f t="shared" si="0"/>
        <v>15.324915704526656</v>
      </c>
    </row>
    <row r="27" spans="1:11" x14ac:dyDescent="0.35">
      <c r="A27" s="8">
        <v>125</v>
      </c>
      <c r="B27" s="8">
        <v>10</v>
      </c>
      <c r="C27" s="8">
        <v>70</v>
      </c>
      <c r="D27" s="8">
        <v>26</v>
      </c>
      <c r="E27" s="8">
        <v>115</v>
      </c>
      <c r="F27" s="8">
        <v>31.1</v>
      </c>
      <c r="G27" s="8">
        <v>0.20499999999999999</v>
      </c>
      <c r="H27" s="8">
        <v>41</v>
      </c>
      <c r="I27" s="9">
        <v>125.68178658254701</v>
      </c>
      <c r="J27" s="9">
        <v>-0.68178658254700508</v>
      </c>
      <c r="K27" s="8">
        <f t="shared" si="0"/>
        <v>0.46483294414112419</v>
      </c>
    </row>
    <row r="28" spans="1:11" x14ac:dyDescent="0.35">
      <c r="A28" s="8">
        <v>147</v>
      </c>
      <c r="B28" s="8">
        <v>7</v>
      </c>
      <c r="C28" s="8">
        <v>76</v>
      </c>
      <c r="D28" s="8">
        <v>0</v>
      </c>
      <c r="E28" s="8">
        <v>0</v>
      </c>
      <c r="F28" s="8">
        <v>39.4</v>
      </c>
      <c r="G28" s="8">
        <v>0.25700000000000001</v>
      </c>
      <c r="H28" s="8">
        <v>43</v>
      </c>
      <c r="I28" s="9">
        <v>130.90710318105502</v>
      </c>
      <c r="J28" s="9">
        <v>16.092896818944979</v>
      </c>
      <c r="K28" s="8">
        <f t="shared" si="0"/>
        <v>258.98132802520945</v>
      </c>
    </row>
    <row r="29" spans="1:11" x14ac:dyDescent="0.35">
      <c r="A29" s="8">
        <v>97</v>
      </c>
      <c r="B29" s="8">
        <v>1</v>
      </c>
      <c r="C29" s="8">
        <v>66</v>
      </c>
      <c r="D29" s="8">
        <v>15</v>
      </c>
      <c r="E29" s="8">
        <v>140</v>
      </c>
      <c r="F29" s="8">
        <v>23.2</v>
      </c>
      <c r="G29" s="8">
        <v>0.48699999999999999</v>
      </c>
      <c r="H29" s="8">
        <v>22</v>
      </c>
      <c r="I29" s="9">
        <v>114.65405951718273</v>
      </c>
      <c r="J29" s="9">
        <v>-17.654059517182731</v>
      </c>
      <c r="K29" s="8">
        <f t="shared" si="0"/>
        <v>311.66581743623016</v>
      </c>
    </row>
    <row r="30" spans="1:11" x14ac:dyDescent="0.35">
      <c r="A30" s="8">
        <v>145</v>
      </c>
      <c r="B30" s="8">
        <v>13</v>
      </c>
      <c r="C30" s="8">
        <v>82</v>
      </c>
      <c r="D30" s="8">
        <v>19</v>
      </c>
      <c r="E30" s="8">
        <v>110</v>
      </c>
      <c r="F30" s="8">
        <v>22.2</v>
      </c>
      <c r="G30" s="8">
        <v>0.245</v>
      </c>
      <c r="H30" s="8">
        <v>57</v>
      </c>
      <c r="I30" s="9">
        <v>132.43546080363222</v>
      </c>
      <c r="J30" s="9">
        <v>12.564539196367775</v>
      </c>
      <c r="K30" s="8">
        <f t="shared" si="0"/>
        <v>157.86764521706218</v>
      </c>
    </row>
    <row r="31" spans="1:11" x14ac:dyDescent="0.35">
      <c r="A31" s="8">
        <v>117</v>
      </c>
      <c r="B31" s="8">
        <v>5</v>
      </c>
      <c r="C31" s="8">
        <v>92</v>
      </c>
      <c r="D31" s="8">
        <v>0</v>
      </c>
      <c r="E31" s="8">
        <v>0</v>
      </c>
      <c r="F31" s="8">
        <v>34.1</v>
      </c>
      <c r="G31" s="8">
        <v>0.33700000000000002</v>
      </c>
      <c r="H31" s="8">
        <v>38</v>
      </c>
      <c r="I31" s="9">
        <v>125.21224028401814</v>
      </c>
      <c r="J31" s="9">
        <v>-8.2122402840181365</v>
      </c>
      <c r="K31" s="8">
        <f t="shared" si="0"/>
        <v>67.440890482450286</v>
      </c>
    </row>
    <row r="32" spans="1:11" x14ac:dyDescent="0.35">
      <c r="A32" s="8">
        <v>109</v>
      </c>
      <c r="B32" s="8">
        <v>5</v>
      </c>
      <c r="C32" s="8">
        <v>75</v>
      </c>
      <c r="D32" s="8">
        <v>26</v>
      </c>
      <c r="E32" s="8">
        <v>0</v>
      </c>
      <c r="F32" s="8">
        <v>36</v>
      </c>
      <c r="G32" s="8">
        <v>0.54600000000000004</v>
      </c>
      <c r="H32" s="8">
        <v>60</v>
      </c>
      <c r="I32" s="9">
        <v>132.27258985435938</v>
      </c>
      <c r="J32" s="9">
        <v>-23.272589854359381</v>
      </c>
      <c r="K32" s="8">
        <f t="shared" si="0"/>
        <v>541.61343852923119</v>
      </c>
    </row>
    <row r="33" spans="1:11" x14ac:dyDescent="0.35">
      <c r="A33" s="8">
        <v>158</v>
      </c>
      <c r="B33" s="8">
        <v>3</v>
      </c>
      <c r="C33" s="8">
        <v>76</v>
      </c>
      <c r="D33" s="8">
        <v>36</v>
      </c>
      <c r="E33" s="8">
        <v>245</v>
      </c>
      <c r="F33" s="8">
        <v>31.6</v>
      </c>
      <c r="G33" s="8">
        <v>0.85099999999999998</v>
      </c>
      <c r="H33" s="8">
        <v>28</v>
      </c>
      <c r="I33" s="9">
        <v>131.47637417574785</v>
      </c>
      <c r="J33" s="9">
        <v>26.52362582425215</v>
      </c>
      <c r="K33" s="8">
        <f t="shared" si="0"/>
        <v>703.50272686493554</v>
      </c>
    </row>
    <row r="34" spans="1:11" x14ac:dyDescent="0.35">
      <c r="A34" s="8">
        <v>88</v>
      </c>
      <c r="B34" s="8">
        <v>3</v>
      </c>
      <c r="C34" s="8">
        <v>58</v>
      </c>
      <c r="D34" s="8">
        <v>11</v>
      </c>
      <c r="E34" s="8">
        <v>54</v>
      </c>
      <c r="F34" s="8">
        <v>24.8</v>
      </c>
      <c r="G34" s="8">
        <v>0.26700000000000002</v>
      </c>
      <c r="H34" s="8">
        <v>22</v>
      </c>
      <c r="I34" s="9">
        <v>106.71836137875896</v>
      </c>
      <c r="J34" s="9">
        <v>-18.718361378758956</v>
      </c>
      <c r="K34" s="8">
        <f t="shared" si="0"/>
        <v>350.37705270581489</v>
      </c>
    </row>
    <row r="35" spans="1:11" x14ac:dyDescent="0.35">
      <c r="A35" s="8">
        <v>92</v>
      </c>
      <c r="B35" s="8">
        <v>6</v>
      </c>
      <c r="C35" s="8">
        <v>92</v>
      </c>
      <c r="D35" s="8">
        <v>0</v>
      </c>
      <c r="E35" s="8">
        <v>0</v>
      </c>
      <c r="F35" s="8">
        <v>19.899999999999999</v>
      </c>
      <c r="G35" s="8">
        <v>0.188</v>
      </c>
      <c r="H35" s="8">
        <v>28</v>
      </c>
      <c r="I35" s="9">
        <v>107.22324574968353</v>
      </c>
      <c r="J35" s="9">
        <v>-15.223245749683528</v>
      </c>
      <c r="K35" s="8">
        <f t="shared" si="0"/>
        <v>231.74721115525759</v>
      </c>
    </row>
    <row r="36" spans="1:11" x14ac:dyDescent="0.35">
      <c r="A36" s="8">
        <v>122</v>
      </c>
      <c r="B36" s="8">
        <v>10</v>
      </c>
      <c r="C36" s="8">
        <v>78</v>
      </c>
      <c r="D36" s="8">
        <v>31</v>
      </c>
      <c r="E36" s="8">
        <v>0</v>
      </c>
      <c r="F36" s="8">
        <v>27.6</v>
      </c>
      <c r="G36" s="8">
        <v>0.51200000000000001</v>
      </c>
      <c r="H36" s="8">
        <v>45</v>
      </c>
      <c r="I36" s="9">
        <v>114.9098693662543</v>
      </c>
      <c r="J36" s="9">
        <v>7.0901306337457015</v>
      </c>
      <c r="K36" s="8">
        <f t="shared" si="0"/>
        <v>50.269952403579225</v>
      </c>
    </row>
    <row r="37" spans="1:11" x14ac:dyDescent="0.35">
      <c r="A37" s="8">
        <v>103</v>
      </c>
      <c r="B37" s="8">
        <v>4</v>
      </c>
      <c r="C37" s="8">
        <v>60</v>
      </c>
      <c r="D37" s="8">
        <v>33</v>
      </c>
      <c r="E37" s="8">
        <v>192</v>
      </c>
      <c r="F37" s="8">
        <v>24</v>
      </c>
      <c r="G37" s="8">
        <v>0.96599999999999997</v>
      </c>
      <c r="H37" s="8">
        <v>33</v>
      </c>
      <c r="I37" s="9">
        <v>124.34257857387425</v>
      </c>
      <c r="J37" s="9">
        <v>-21.342578573874249</v>
      </c>
      <c r="K37" s="8">
        <f t="shared" si="0"/>
        <v>455.50566018199618</v>
      </c>
    </row>
    <row r="38" spans="1:11" x14ac:dyDescent="0.35">
      <c r="A38" s="8">
        <v>138</v>
      </c>
      <c r="B38" s="8">
        <v>11</v>
      </c>
      <c r="C38" s="8">
        <v>76</v>
      </c>
      <c r="D38" s="8">
        <v>0</v>
      </c>
      <c r="E38" s="8">
        <v>0</v>
      </c>
      <c r="F38" s="8">
        <v>33.200000000000003</v>
      </c>
      <c r="G38" s="8">
        <v>0.42</v>
      </c>
      <c r="H38" s="8">
        <v>35</v>
      </c>
      <c r="I38" s="9">
        <v>122.35838876572399</v>
      </c>
      <c r="J38" s="9">
        <v>15.641611234276013</v>
      </c>
      <c r="K38" s="8">
        <f t="shared" si="0"/>
        <v>244.66000200422957</v>
      </c>
    </row>
    <row r="39" spans="1:11" x14ac:dyDescent="0.35">
      <c r="A39" s="8">
        <v>102</v>
      </c>
      <c r="B39" s="8">
        <v>9</v>
      </c>
      <c r="C39" s="8">
        <v>76</v>
      </c>
      <c r="D39" s="8">
        <v>37</v>
      </c>
      <c r="E39" s="8">
        <v>0</v>
      </c>
      <c r="F39" s="8">
        <v>32.9</v>
      </c>
      <c r="G39" s="8">
        <v>0.66500000000000004</v>
      </c>
      <c r="H39" s="8">
        <v>46</v>
      </c>
      <c r="I39" s="9">
        <v>118.29360402588625</v>
      </c>
      <c r="J39" s="9">
        <v>-16.293604025886253</v>
      </c>
      <c r="K39" s="8">
        <f t="shared" si="0"/>
        <v>265.4815321523767</v>
      </c>
    </row>
    <row r="40" spans="1:11" x14ac:dyDescent="0.35">
      <c r="A40" s="8">
        <v>90</v>
      </c>
      <c r="B40" s="8">
        <v>2</v>
      </c>
      <c r="C40" s="8">
        <v>68</v>
      </c>
      <c r="D40" s="8">
        <v>42</v>
      </c>
      <c r="E40" s="8">
        <v>0</v>
      </c>
      <c r="F40" s="8">
        <v>38.200000000000003</v>
      </c>
      <c r="G40" s="8">
        <v>0.503</v>
      </c>
      <c r="H40" s="8">
        <v>27</v>
      </c>
      <c r="I40" s="9">
        <v>106.34309617812241</v>
      </c>
      <c r="J40" s="9">
        <v>-16.343096178122408</v>
      </c>
      <c r="K40" s="8">
        <f t="shared" si="0"/>
        <v>267.09679268735925</v>
      </c>
    </row>
    <row r="41" spans="1:11" x14ac:dyDescent="0.35">
      <c r="A41" s="8">
        <v>111</v>
      </c>
      <c r="B41" s="8">
        <v>4</v>
      </c>
      <c r="C41" s="8">
        <v>72</v>
      </c>
      <c r="D41" s="8">
        <v>47</v>
      </c>
      <c r="E41" s="8">
        <v>207</v>
      </c>
      <c r="F41" s="8">
        <v>37.1</v>
      </c>
      <c r="G41" s="8">
        <v>1.39</v>
      </c>
      <c r="H41" s="8">
        <v>56</v>
      </c>
      <c r="I41" s="9">
        <v>149.35859651918096</v>
      </c>
      <c r="J41" s="9">
        <v>-38.358596519180963</v>
      </c>
      <c r="K41" s="8">
        <f t="shared" si="0"/>
        <v>1471.381926921322</v>
      </c>
    </row>
    <row r="42" spans="1:11" x14ac:dyDescent="0.35">
      <c r="A42" s="8">
        <v>180</v>
      </c>
      <c r="B42" s="8">
        <v>3</v>
      </c>
      <c r="C42" s="8">
        <v>64</v>
      </c>
      <c r="D42" s="8">
        <v>25</v>
      </c>
      <c r="E42" s="8">
        <v>70</v>
      </c>
      <c r="F42" s="8">
        <v>34</v>
      </c>
      <c r="G42" s="8">
        <v>0.27100000000000002</v>
      </c>
      <c r="H42" s="8">
        <v>26</v>
      </c>
      <c r="I42" s="9">
        <v>113.5757430987466</v>
      </c>
      <c r="J42" s="9">
        <v>66.424256901253401</v>
      </c>
      <c r="K42" s="8">
        <f t="shared" si="0"/>
        <v>4412.1819048837096</v>
      </c>
    </row>
    <row r="43" spans="1:11" x14ac:dyDescent="0.35">
      <c r="A43" s="8">
        <v>133</v>
      </c>
      <c r="B43" s="8">
        <v>7</v>
      </c>
      <c r="C43" s="8">
        <v>84</v>
      </c>
      <c r="D43" s="8">
        <v>0</v>
      </c>
      <c r="E43" s="8">
        <v>0</v>
      </c>
      <c r="F43" s="8">
        <v>40.200000000000003</v>
      </c>
      <c r="G43" s="8">
        <v>0.69599999999999995</v>
      </c>
      <c r="H43" s="8">
        <v>37</v>
      </c>
      <c r="I43" s="9">
        <v>130.96886926689564</v>
      </c>
      <c r="J43" s="9">
        <v>2.0311307331043622</v>
      </c>
      <c r="K43" s="8">
        <f t="shared" si="0"/>
        <v>4.1254920549610636</v>
      </c>
    </row>
    <row r="44" spans="1:11" x14ac:dyDescent="0.35">
      <c r="A44" s="8">
        <v>106</v>
      </c>
      <c r="B44" s="8">
        <v>7</v>
      </c>
      <c r="C44" s="8">
        <v>92</v>
      </c>
      <c r="D44" s="8">
        <v>18</v>
      </c>
      <c r="E44" s="8">
        <v>0</v>
      </c>
      <c r="F44" s="8">
        <v>22.7</v>
      </c>
      <c r="G44" s="8">
        <v>0.23499999999999999</v>
      </c>
      <c r="H44" s="8">
        <v>48</v>
      </c>
      <c r="I44" s="9">
        <v>116.56856961371108</v>
      </c>
      <c r="J44" s="9">
        <v>-10.568569613711077</v>
      </c>
      <c r="K44" s="8">
        <f t="shared" si="0"/>
        <v>111.6946636798571</v>
      </c>
    </row>
    <row r="45" spans="1:11" x14ac:dyDescent="0.35">
      <c r="A45" s="8">
        <v>171</v>
      </c>
      <c r="B45" s="8">
        <v>9</v>
      </c>
      <c r="C45" s="8">
        <v>110</v>
      </c>
      <c r="D45" s="8">
        <v>24</v>
      </c>
      <c r="E45" s="8">
        <v>240</v>
      </c>
      <c r="F45" s="8">
        <v>45.4</v>
      </c>
      <c r="G45" s="8">
        <v>0.72099999999999997</v>
      </c>
      <c r="H45" s="8">
        <v>54</v>
      </c>
      <c r="I45" s="9">
        <v>164.02927792756597</v>
      </c>
      <c r="J45" s="9">
        <v>6.9707220724340289</v>
      </c>
      <c r="K45" s="8">
        <f t="shared" si="0"/>
        <v>48.59096621111896</v>
      </c>
    </row>
    <row r="46" spans="1:11" x14ac:dyDescent="0.35">
      <c r="A46" s="8">
        <v>159</v>
      </c>
      <c r="B46" s="8">
        <v>7</v>
      </c>
      <c r="C46" s="8">
        <v>64</v>
      </c>
      <c r="D46" s="8">
        <v>0</v>
      </c>
      <c r="E46" s="8">
        <v>0</v>
      </c>
      <c r="F46" s="8">
        <v>27.4</v>
      </c>
      <c r="G46" s="8">
        <v>0.29399999999999998</v>
      </c>
      <c r="H46" s="8">
        <v>40</v>
      </c>
      <c r="I46" s="9">
        <v>119.36109574054971</v>
      </c>
      <c r="J46" s="9">
        <v>39.638904259450285</v>
      </c>
      <c r="K46" s="8">
        <f t="shared" si="0"/>
        <v>1571.2427308898659</v>
      </c>
    </row>
    <row r="47" spans="1:11" x14ac:dyDescent="0.35">
      <c r="A47" s="8">
        <v>180</v>
      </c>
      <c r="B47" s="8">
        <v>0</v>
      </c>
      <c r="C47" s="8">
        <v>66</v>
      </c>
      <c r="D47" s="8">
        <v>39</v>
      </c>
      <c r="E47" s="8">
        <v>0</v>
      </c>
      <c r="F47" s="8">
        <v>42</v>
      </c>
      <c r="G47" s="8">
        <v>1.893</v>
      </c>
      <c r="H47" s="8">
        <v>25</v>
      </c>
      <c r="I47" s="9">
        <v>117.42813092113256</v>
      </c>
      <c r="J47" s="9">
        <v>62.571869078867437</v>
      </c>
      <c r="K47" s="8">
        <f t="shared" si="0"/>
        <v>3915.2388000229266</v>
      </c>
    </row>
    <row r="48" spans="1:11" x14ac:dyDescent="0.35">
      <c r="A48" s="8">
        <v>146</v>
      </c>
      <c r="B48" s="8">
        <v>1</v>
      </c>
      <c r="C48" s="8">
        <v>56</v>
      </c>
      <c r="D48" s="8">
        <v>0</v>
      </c>
      <c r="E48" s="8">
        <v>0</v>
      </c>
      <c r="F48" s="8">
        <v>29.7</v>
      </c>
      <c r="G48" s="8">
        <v>0.56399999999999995</v>
      </c>
      <c r="H48" s="8">
        <v>29</v>
      </c>
      <c r="I48" s="9">
        <v>114.78056183570924</v>
      </c>
      <c r="J48" s="9">
        <v>31.219438164290764</v>
      </c>
      <c r="K48" s="8">
        <f t="shared" si="0"/>
        <v>974.65331929397473</v>
      </c>
    </row>
    <row r="49" spans="1:11" x14ac:dyDescent="0.35">
      <c r="A49" s="8">
        <v>71</v>
      </c>
      <c r="B49" s="8">
        <v>2</v>
      </c>
      <c r="C49" s="8">
        <v>70</v>
      </c>
      <c r="D49" s="8">
        <v>27</v>
      </c>
      <c r="E49" s="8">
        <v>0</v>
      </c>
      <c r="F49" s="8">
        <v>28</v>
      </c>
      <c r="G49" s="8">
        <v>0.58599999999999997</v>
      </c>
      <c r="H49" s="8">
        <v>22</v>
      </c>
      <c r="I49" s="9">
        <v>101.14184036636486</v>
      </c>
      <c r="J49" s="9">
        <v>-30.14184036636486</v>
      </c>
      <c r="K49" s="8">
        <f t="shared" si="0"/>
        <v>908.53054067142216</v>
      </c>
    </row>
    <row r="50" spans="1:11" x14ac:dyDescent="0.35">
      <c r="A50" s="8">
        <v>103</v>
      </c>
      <c r="B50" s="8">
        <v>7</v>
      </c>
      <c r="C50" s="8">
        <v>66</v>
      </c>
      <c r="D50" s="8">
        <v>32</v>
      </c>
      <c r="E50" s="8">
        <v>0</v>
      </c>
      <c r="F50" s="8">
        <v>39.1</v>
      </c>
      <c r="G50" s="8">
        <v>0.34399999999999997</v>
      </c>
      <c r="H50" s="8">
        <v>31</v>
      </c>
      <c r="I50" s="9">
        <v>112.0921044865371</v>
      </c>
      <c r="J50" s="9">
        <v>-9.0921044865370959</v>
      </c>
      <c r="K50" s="8">
        <f t="shared" si="0"/>
        <v>82.666363994107982</v>
      </c>
    </row>
    <row r="51" spans="1:11" x14ac:dyDescent="0.35">
      <c r="A51" s="8">
        <v>105</v>
      </c>
      <c r="B51" s="8">
        <v>7</v>
      </c>
      <c r="C51" s="8">
        <v>0</v>
      </c>
      <c r="D51" s="8">
        <v>0</v>
      </c>
      <c r="E51" s="8">
        <v>0</v>
      </c>
      <c r="F51" s="8">
        <v>0</v>
      </c>
      <c r="G51" s="8">
        <v>0.30499999999999999</v>
      </c>
      <c r="H51" s="8">
        <v>24</v>
      </c>
      <c r="I51" s="9">
        <v>84.066242052454044</v>
      </c>
      <c r="J51" s="9">
        <v>20.933757947545956</v>
      </c>
      <c r="K51" s="8">
        <f t="shared" si="0"/>
        <v>438.22222180644349</v>
      </c>
    </row>
    <row r="52" spans="1:11" x14ac:dyDescent="0.35">
      <c r="A52" s="8">
        <v>103</v>
      </c>
      <c r="B52" s="8">
        <v>1</v>
      </c>
      <c r="C52" s="8">
        <v>80</v>
      </c>
      <c r="D52" s="8">
        <v>11</v>
      </c>
      <c r="E52" s="8">
        <v>82</v>
      </c>
      <c r="F52" s="8">
        <v>19.399999999999999</v>
      </c>
      <c r="G52" s="8">
        <v>0.49099999999999999</v>
      </c>
      <c r="H52" s="8">
        <v>22</v>
      </c>
      <c r="I52" s="9">
        <v>108.31790544503714</v>
      </c>
      <c r="J52" s="9">
        <v>-5.317905445037141</v>
      </c>
      <c r="K52" s="8">
        <f t="shared" si="0"/>
        <v>28.280118322355673</v>
      </c>
    </row>
    <row r="53" spans="1:11" x14ac:dyDescent="0.35">
      <c r="A53" s="8">
        <v>101</v>
      </c>
      <c r="B53" s="8">
        <v>1</v>
      </c>
      <c r="C53" s="8">
        <v>50</v>
      </c>
      <c r="D53" s="8">
        <v>15</v>
      </c>
      <c r="E53" s="8">
        <v>36</v>
      </c>
      <c r="F53" s="8">
        <v>24.2</v>
      </c>
      <c r="G53" s="8">
        <v>0.52600000000000002</v>
      </c>
      <c r="H53" s="8">
        <v>26</v>
      </c>
      <c r="I53" s="9">
        <v>106.66143767457773</v>
      </c>
      <c r="J53" s="9">
        <v>-5.6614376745777264</v>
      </c>
      <c r="K53" s="8">
        <f t="shared" si="0"/>
        <v>32.051876543128053</v>
      </c>
    </row>
    <row r="54" spans="1:11" x14ac:dyDescent="0.35">
      <c r="A54" s="8">
        <v>88</v>
      </c>
      <c r="B54" s="8">
        <v>5</v>
      </c>
      <c r="C54" s="8">
        <v>66</v>
      </c>
      <c r="D54" s="8">
        <v>21</v>
      </c>
      <c r="E54" s="8">
        <v>23</v>
      </c>
      <c r="F54" s="8">
        <v>24.4</v>
      </c>
      <c r="G54" s="8">
        <v>0.34200000000000003</v>
      </c>
      <c r="H54" s="8">
        <v>30</v>
      </c>
      <c r="I54" s="9">
        <v>106.2748050235366</v>
      </c>
      <c r="J54" s="9">
        <v>-18.274805023536601</v>
      </c>
      <c r="K54" s="8">
        <f t="shared" si="0"/>
        <v>333.96849864827857</v>
      </c>
    </row>
    <row r="55" spans="1:11" x14ac:dyDescent="0.35">
      <c r="A55" s="8">
        <v>176</v>
      </c>
      <c r="B55" s="8">
        <v>8</v>
      </c>
      <c r="C55" s="8">
        <v>90</v>
      </c>
      <c r="D55" s="8">
        <v>34</v>
      </c>
      <c r="E55" s="8">
        <v>300</v>
      </c>
      <c r="F55" s="8">
        <v>33.700000000000003</v>
      </c>
      <c r="G55" s="8">
        <v>0.46700000000000003</v>
      </c>
      <c r="H55" s="8">
        <v>58</v>
      </c>
      <c r="I55" s="9">
        <v>157.45420190054026</v>
      </c>
      <c r="J55" s="9">
        <v>18.545798099459745</v>
      </c>
      <c r="K55" s="8">
        <f t="shared" si="0"/>
        <v>343.94662714592471</v>
      </c>
    </row>
    <row r="56" spans="1:11" x14ac:dyDescent="0.35">
      <c r="A56" s="8">
        <v>150</v>
      </c>
      <c r="B56" s="8">
        <v>7</v>
      </c>
      <c r="C56" s="8">
        <v>66</v>
      </c>
      <c r="D56" s="8">
        <v>42</v>
      </c>
      <c r="E56" s="8">
        <v>342</v>
      </c>
      <c r="F56" s="8">
        <v>34.700000000000003</v>
      </c>
      <c r="G56" s="8">
        <v>0.71799999999999997</v>
      </c>
      <c r="H56" s="8">
        <v>42</v>
      </c>
      <c r="I56" s="9">
        <v>149.27211484071069</v>
      </c>
      <c r="J56" s="9">
        <v>0.72788515928931474</v>
      </c>
      <c r="K56" s="8">
        <f t="shared" si="0"/>
        <v>0.52981680511363105</v>
      </c>
    </row>
    <row r="57" spans="1:11" x14ac:dyDescent="0.35">
      <c r="A57" s="8">
        <v>73</v>
      </c>
      <c r="B57" s="8">
        <v>1</v>
      </c>
      <c r="C57" s="8">
        <v>50</v>
      </c>
      <c r="D57" s="8">
        <v>10</v>
      </c>
      <c r="E57" s="8">
        <v>0</v>
      </c>
      <c r="F57" s="8">
        <v>23</v>
      </c>
      <c r="G57" s="8">
        <v>0.248</v>
      </c>
      <c r="H57" s="8">
        <v>21</v>
      </c>
      <c r="I57" s="9">
        <v>98.832885026340989</v>
      </c>
      <c r="J57" s="9">
        <v>-25.832885026340989</v>
      </c>
      <c r="K57" s="8">
        <f t="shared" si="0"/>
        <v>667.33794878415245</v>
      </c>
    </row>
    <row r="58" spans="1:11" x14ac:dyDescent="0.35">
      <c r="A58" s="8">
        <v>187</v>
      </c>
      <c r="B58" s="8">
        <v>7</v>
      </c>
      <c r="C58" s="8">
        <v>68</v>
      </c>
      <c r="D58" s="8">
        <v>39</v>
      </c>
      <c r="E58" s="8">
        <v>304</v>
      </c>
      <c r="F58" s="8">
        <v>37.700000000000003</v>
      </c>
      <c r="G58" s="8">
        <v>0.254</v>
      </c>
      <c r="H58" s="8">
        <v>41</v>
      </c>
      <c r="I58" s="9">
        <v>145.27162973179117</v>
      </c>
      <c r="J58" s="9">
        <v>41.728370268208835</v>
      </c>
      <c r="K58" s="8">
        <f t="shared" si="0"/>
        <v>1741.2568852407351</v>
      </c>
    </row>
    <row r="59" spans="1:11" x14ac:dyDescent="0.35">
      <c r="A59" s="8">
        <v>100</v>
      </c>
      <c r="B59" s="8">
        <v>0</v>
      </c>
      <c r="C59" s="8">
        <v>88</v>
      </c>
      <c r="D59" s="8">
        <v>60</v>
      </c>
      <c r="E59" s="8">
        <v>110</v>
      </c>
      <c r="F59" s="8">
        <v>46.8</v>
      </c>
      <c r="G59" s="8">
        <v>0.96199999999999997</v>
      </c>
      <c r="H59" s="8">
        <v>31</v>
      </c>
      <c r="I59" s="9">
        <v>124.59481250254319</v>
      </c>
      <c r="J59" s="9">
        <v>-24.594812502543192</v>
      </c>
      <c r="K59" s="8">
        <f t="shared" si="0"/>
        <v>604.90480203525487</v>
      </c>
    </row>
    <row r="60" spans="1:11" x14ac:dyDescent="0.35">
      <c r="A60" s="8">
        <v>146</v>
      </c>
      <c r="B60" s="8">
        <v>0</v>
      </c>
      <c r="C60" s="8">
        <v>82</v>
      </c>
      <c r="D60" s="8">
        <v>0</v>
      </c>
      <c r="E60" s="8">
        <v>0</v>
      </c>
      <c r="F60" s="8">
        <v>40.5</v>
      </c>
      <c r="G60" s="8">
        <v>1.7809999999999999</v>
      </c>
      <c r="H60" s="8">
        <v>44</v>
      </c>
      <c r="I60" s="9">
        <v>142.01145638918982</v>
      </c>
      <c r="J60" s="9">
        <v>3.9885436108101828</v>
      </c>
      <c r="K60" s="8">
        <f t="shared" si="0"/>
        <v>15.908480135334731</v>
      </c>
    </row>
    <row r="61" spans="1:11" x14ac:dyDescent="0.35">
      <c r="A61" s="8">
        <v>105</v>
      </c>
      <c r="B61" s="8">
        <v>0</v>
      </c>
      <c r="C61" s="8">
        <v>64</v>
      </c>
      <c r="D61" s="8">
        <v>41</v>
      </c>
      <c r="E61" s="8">
        <v>142</v>
      </c>
      <c r="F61" s="8">
        <v>41.5</v>
      </c>
      <c r="G61" s="8">
        <v>0.17299999999999999</v>
      </c>
      <c r="H61" s="8">
        <v>22</v>
      </c>
      <c r="I61" s="9">
        <v>117.71265194563168</v>
      </c>
      <c r="J61" s="9">
        <v>-12.712651945631677</v>
      </c>
      <c r="K61" s="8">
        <f t="shared" si="0"/>
        <v>161.61151949077288</v>
      </c>
    </row>
    <row r="62" spans="1:11" x14ac:dyDescent="0.35">
      <c r="A62" s="8">
        <v>84</v>
      </c>
      <c r="B62" s="8">
        <v>2</v>
      </c>
      <c r="C62" s="8">
        <v>0</v>
      </c>
      <c r="D62" s="8">
        <v>0</v>
      </c>
      <c r="E62" s="8">
        <v>0</v>
      </c>
      <c r="F62" s="8">
        <v>0</v>
      </c>
      <c r="G62" s="8">
        <v>0.30399999999999999</v>
      </c>
      <c r="H62" s="8">
        <v>21</v>
      </c>
      <c r="I62" s="9">
        <v>81.829585786546048</v>
      </c>
      <c r="J62" s="9">
        <v>2.1704142134539524</v>
      </c>
      <c r="K62" s="8">
        <f t="shared" si="0"/>
        <v>4.7106978579629386</v>
      </c>
    </row>
    <row r="63" spans="1:11" x14ac:dyDescent="0.35">
      <c r="A63" s="8">
        <v>133</v>
      </c>
      <c r="B63" s="8">
        <v>8</v>
      </c>
      <c r="C63" s="8">
        <v>72</v>
      </c>
      <c r="D63" s="8">
        <v>0</v>
      </c>
      <c r="E63" s="8">
        <v>0</v>
      </c>
      <c r="F63" s="8">
        <v>32.9</v>
      </c>
      <c r="G63" s="8">
        <v>0.27</v>
      </c>
      <c r="H63" s="8">
        <v>39</v>
      </c>
      <c r="I63" s="9">
        <v>123.31003916397319</v>
      </c>
      <c r="J63" s="9">
        <v>9.6899608360268132</v>
      </c>
      <c r="K63" s="8">
        <f t="shared" si="0"/>
        <v>93.895341003733463</v>
      </c>
    </row>
    <row r="64" spans="1:11" x14ac:dyDescent="0.35">
      <c r="A64" s="8">
        <v>44</v>
      </c>
      <c r="B64" s="8">
        <v>5</v>
      </c>
      <c r="C64" s="8">
        <v>62</v>
      </c>
      <c r="D64" s="8">
        <v>0</v>
      </c>
      <c r="E64" s="8">
        <v>0</v>
      </c>
      <c r="F64" s="8">
        <v>25</v>
      </c>
      <c r="G64" s="8">
        <v>0.58699999999999997</v>
      </c>
      <c r="H64" s="8">
        <v>36</v>
      </c>
      <c r="I64" s="9">
        <v>116.57211755307243</v>
      </c>
      <c r="J64" s="9">
        <v>-72.572117553072431</v>
      </c>
      <c r="K64" s="8">
        <f t="shared" si="0"/>
        <v>5266.7122461369636</v>
      </c>
    </row>
    <row r="65" spans="1:11" x14ac:dyDescent="0.35">
      <c r="A65" s="8">
        <v>141</v>
      </c>
      <c r="B65" s="8">
        <v>2</v>
      </c>
      <c r="C65" s="8">
        <v>58</v>
      </c>
      <c r="D65" s="8">
        <v>34</v>
      </c>
      <c r="E65" s="8">
        <v>128</v>
      </c>
      <c r="F65" s="8">
        <v>25.4</v>
      </c>
      <c r="G65" s="8">
        <v>0.69899999999999995</v>
      </c>
      <c r="H65" s="8">
        <v>24</v>
      </c>
      <c r="I65" s="9">
        <v>110.87644622252596</v>
      </c>
      <c r="J65" s="9">
        <v>30.123553777474044</v>
      </c>
      <c r="K65" s="8">
        <f t="shared" si="0"/>
        <v>907.42849218437073</v>
      </c>
    </row>
    <row r="66" spans="1:11" x14ac:dyDescent="0.35">
      <c r="A66" s="8">
        <v>114</v>
      </c>
      <c r="B66" s="8">
        <v>7</v>
      </c>
      <c r="C66" s="8">
        <v>66</v>
      </c>
      <c r="D66" s="8">
        <v>0</v>
      </c>
      <c r="E66" s="8">
        <v>0</v>
      </c>
      <c r="F66" s="8">
        <v>32.799999999999997</v>
      </c>
      <c r="G66" s="8">
        <v>0.25800000000000001</v>
      </c>
      <c r="H66" s="8">
        <v>42</v>
      </c>
      <c r="I66" s="9">
        <v>124.6158876694369</v>
      </c>
      <c r="J66" s="9">
        <v>-10.615887669436901</v>
      </c>
      <c r="K66" s="8">
        <f t="shared" si="0"/>
        <v>112.69707101010245</v>
      </c>
    </row>
    <row r="67" spans="1:11" x14ac:dyDescent="0.35">
      <c r="A67" s="8">
        <v>99</v>
      </c>
      <c r="B67" s="8">
        <v>5</v>
      </c>
      <c r="C67" s="8">
        <v>74</v>
      </c>
      <c r="D67" s="8">
        <v>27</v>
      </c>
      <c r="E67" s="8">
        <v>0</v>
      </c>
      <c r="F67" s="8">
        <v>29</v>
      </c>
      <c r="G67" s="8">
        <v>0.20300000000000001</v>
      </c>
      <c r="H67" s="8">
        <v>32</v>
      </c>
      <c r="I67" s="9">
        <v>106.38248397011179</v>
      </c>
      <c r="J67" s="9">
        <v>-7.3824839701117924</v>
      </c>
      <c r="K67" s="8">
        <f t="shared" ref="K67:K130" si="1">J67*J67</f>
        <v>54.501069568957568</v>
      </c>
    </row>
    <row r="68" spans="1:11" x14ac:dyDescent="0.35">
      <c r="A68" s="8">
        <v>109</v>
      </c>
      <c r="B68" s="8">
        <v>0</v>
      </c>
      <c r="C68" s="8">
        <v>88</v>
      </c>
      <c r="D68" s="8">
        <v>30</v>
      </c>
      <c r="E68" s="8">
        <v>0</v>
      </c>
      <c r="F68" s="8">
        <v>32.5</v>
      </c>
      <c r="G68" s="8">
        <v>0.85499999999999998</v>
      </c>
      <c r="H68" s="8">
        <v>38</v>
      </c>
      <c r="I68" s="9">
        <v>116.68142014665609</v>
      </c>
      <c r="J68" s="9">
        <v>-7.6814201466560945</v>
      </c>
      <c r="K68" s="8">
        <f t="shared" si="1"/>
        <v>59.004215469454138</v>
      </c>
    </row>
    <row r="69" spans="1:11" x14ac:dyDescent="0.35">
      <c r="A69" s="8">
        <v>109</v>
      </c>
      <c r="B69" s="8">
        <v>2</v>
      </c>
      <c r="C69" s="8">
        <v>92</v>
      </c>
      <c r="D69" s="8">
        <v>0</v>
      </c>
      <c r="E69" s="8">
        <v>0</v>
      </c>
      <c r="F69" s="8">
        <v>42.7</v>
      </c>
      <c r="G69" s="8">
        <v>0.84499999999999997</v>
      </c>
      <c r="H69" s="8">
        <v>54</v>
      </c>
      <c r="I69" s="9">
        <v>145.02085566142159</v>
      </c>
      <c r="J69" s="9">
        <v>-36.020855661421592</v>
      </c>
      <c r="K69" s="8">
        <f t="shared" si="1"/>
        <v>1297.502042580968</v>
      </c>
    </row>
    <row r="70" spans="1:11" x14ac:dyDescent="0.35">
      <c r="A70" s="8">
        <v>95</v>
      </c>
      <c r="B70" s="8">
        <v>1</v>
      </c>
      <c r="C70" s="8">
        <v>66</v>
      </c>
      <c r="D70" s="8">
        <v>13</v>
      </c>
      <c r="E70" s="8">
        <v>38</v>
      </c>
      <c r="F70" s="8">
        <v>19.600000000000001</v>
      </c>
      <c r="G70" s="8">
        <v>0.33400000000000002</v>
      </c>
      <c r="H70" s="8">
        <v>25</v>
      </c>
      <c r="I70" s="9">
        <v>103.34208315107315</v>
      </c>
      <c r="J70" s="9">
        <v>-8.3420831510731546</v>
      </c>
      <c r="K70" s="8">
        <f t="shared" si="1"/>
        <v>69.590351299418614</v>
      </c>
    </row>
    <row r="71" spans="1:11" x14ac:dyDescent="0.35">
      <c r="A71" s="8">
        <v>146</v>
      </c>
      <c r="B71" s="8">
        <v>4</v>
      </c>
      <c r="C71" s="8">
        <v>85</v>
      </c>
      <c r="D71" s="8">
        <v>27</v>
      </c>
      <c r="E71" s="8">
        <v>100</v>
      </c>
      <c r="F71" s="8">
        <v>28.9</v>
      </c>
      <c r="G71" s="8">
        <v>0.189</v>
      </c>
      <c r="H71" s="8">
        <v>27</v>
      </c>
      <c r="I71" s="9">
        <v>113.75202689387851</v>
      </c>
      <c r="J71" s="9">
        <v>32.247973106121492</v>
      </c>
      <c r="K71" s="8">
        <f t="shared" si="1"/>
        <v>1039.9317694531351</v>
      </c>
    </row>
    <row r="72" spans="1:11" x14ac:dyDescent="0.35">
      <c r="A72" s="8">
        <v>100</v>
      </c>
      <c r="B72" s="8">
        <v>2</v>
      </c>
      <c r="C72" s="8">
        <v>66</v>
      </c>
      <c r="D72" s="8">
        <v>20</v>
      </c>
      <c r="E72" s="8">
        <v>90</v>
      </c>
      <c r="F72" s="8">
        <v>32.9</v>
      </c>
      <c r="G72" s="8">
        <v>0.86699999999999999</v>
      </c>
      <c r="H72" s="8">
        <v>28</v>
      </c>
      <c r="I72" s="9">
        <v>121.56739077579988</v>
      </c>
      <c r="J72" s="9">
        <v>-21.567390775799879</v>
      </c>
      <c r="K72" s="8">
        <f t="shared" si="1"/>
        <v>465.15234487605773</v>
      </c>
    </row>
    <row r="73" spans="1:11" x14ac:dyDescent="0.35">
      <c r="A73" s="8">
        <v>139</v>
      </c>
      <c r="B73" s="8">
        <v>5</v>
      </c>
      <c r="C73" s="8">
        <v>64</v>
      </c>
      <c r="D73" s="8">
        <v>35</v>
      </c>
      <c r="E73" s="8">
        <v>140</v>
      </c>
      <c r="F73" s="8">
        <v>28.6</v>
      </c>
      <c r="G73" s="8">
        <v>0.41099999999999998</v>
      </c>
      <c r="H73" s="8">
        <v>26</v>
      </c>
      <c r="I73" s="9">
        <v>114.21725652851546</v>
      </c>
      <c r="J73" s="9">
        <v>24.782743471484537</v>
      </c>
      <c r="K73" s="8">
        <f t="shared" si="1"/>
        <v>614.18437397340938</v>
      </c>
    </row>
    <row r="74" spans="1:11" x14ac:dyDescent="0.35">
      <c r="A74" s="8">
        <v>126</v>
      </c>
      <c r="B74" s="8">
        <v>13</v>
      </c>
      <c r="C74" s="8">
        <v>90</v>
      </c>
      <c r="D74" s="8">
        <v>0</v>
      </c>
      <c r="E74" s="8">
        <v>0</v>
      </c>
      <c r="F74" s="8">
        <v>43.4</v>
      </c>
      <c r="G74" s="8">
        <v>0.58299999999999996</v>
      </c>
      <c r="H74" s="8">
        <v>42</v>
      </c>
      <c r="I74" s="9">
        <v>136.65604534136213</v>
      </c>
      <c r="J74" s="9">
        <v>-10.65604534136213</v>
      </c>
      <c r="K74" s="8">
        <f t="shared" si="1"/>
        <v>113.55130231716556</v>
      </c>
    </row>
    <row r="75" spans="1:11" x14ac:dyDescent="0.35">
      <c r="A75" s="8">
        <v>129</v>
      </c>
      <c r="B75" s="8">
        <v>4</v>
      </c>
      <c r="C75" s="8">
        <v>86</v>
      </c>
      <c r="D75" s="8">
        <v>20</v>
      </c>
      <c r="E75" s="8">
        <v>270</v>
      </c>
      <c r="F75" s="8">
        <v>35.1</v>
      </c>
      <c r="G75" s="8">
        <v>0.23100000000000001</v>
      </c>
      <c r="H75" s="8">
        <v>23</v>
      </c>
      <c r="I75" s="9">
        <v>135.57922045871419</v>
      </c>
      <c r="J75" s="9">
        <v>-6.5792204587141896</v>
      </c>
      <c r="K75" s="8">
        <f t="shared" si="1"/>
        <v>43.28614184436335</v>
      </c>
    </row>
    <row r="76" spans="1:11" x14ac:dyDescent="0.35">
      <c r="A76" s="8">
        <v>79</v>
      </c>
      <c r="B76" s="8">
        <v>1</v>
      </c>
      <c r="C76" s="8">
        <v>75</v>
      </c>
      <c r="D76" s="8">
        <v>30</v>
      </c>
      <c r="E76" s="8">
        <v>0</v>
      </c>
      <c r="F76" s="8">
        <v>32</v>
      </c>
      <c r="G76" s="8">
        <v>0.39600000000000002</v>
      </c>
      <c r="H76" s="8">
        <v>22</v>
      </c>
      <c r="I76" s="9">
        <v>102.23143691988136</v>
      </c>
      <c r="J76" s="9">
        <v>-23.231436919881361</v>
      </c>
      <c r="K76" s="8">
        <f t="shared" si="1"/>
        <v>539.69966136242681</v>
      </c>
    </row>
    <row r="77" spans="1:11" x14ac:dyDescent="0.35">
      <c r="A77" s="8">
        <v>0</v>
      </c>
      <c r="B77" s="8">
        <v>1</v>
      </c>
      <c r="C77" s="8">
        <v>48</v>
      </c>
      <c r="D77" s="8">
        <v>20</v>
      </c>
      <c r="E77" s="8">
        <v>0</v>
      </c>
      <c r="F77" s="8">
        <v>24.7</v>
      </c>
      <c r="G77" s="8">
        <v>0.14000000000000001</v>
      </c>
      <c r="H77" s="8">
        <v>22</v>
      </c>
      <c r="I77" s="9">
        <v>96.588935302326504</v>
      </c>
      <c r="J77" s="9">
        <v>-96.588935302326504</v>
      </c>
      <c r="K77" s="8">
        <f t="shared" si="1"/>
        <v>9329.4224228370149</v>
      </c>
    </row>
    <row r="78" spans="1:11" x14ac:dyDescent="0.35">
      <c r="A78" s="8">
        <v>62</v>
      </c>
      <c r="B78" s="8">
        <v>7</v>
      </c>
      <c r="C78" s="8">
        <v>78</v>
      </c>
      <c r="D78" s="8">
        <v>0</v>
      </c>
      <c r="E78" s="8">
        <v>0</v>
      </c>
      <c r="F78" s="8">
        <v>32.6</v>
      </c>
      <c r="G78" s="8">
        <v>0.39100000000000001</v>
      </c>
      <c r="H78" s="8">
        <v>41</v>
      </c>
      <c r="I78" s="9">
        <v>125.501021786777</v>
      </c>
      <c r="J78" s="9">
        <v>-63.501021786777002</v>
      </c>
      <c r="K78" s="8">
        <f t="shared" si="1"/>
        <v>4032.3797679647273</v>
      </c>
    </row>
    <row r="79" spans="1:11" x14ac:dyDescent="0.35">
      <c r="A79" s="8">
        <v>95</v>
      </c>
      <c r="B79" s="8">
        <v>5</v>
      </c>
      <c r="C79" s="8">
        <v>72</v>
      </c>
      <c r="D79" s="8">
        <v>33</v>
      </c>
      <c r="E79" s="8">
        <v>0</v>
      </c>
      <c r="F79" s="8">
        <v>37.700000000000003</v>
      </c>
      <c r="G79" s="8">
        <v>0.37</v>
      </c>
      <c r="H79" s="8">
        <v>27</v>
      </c>
      <c r="I79" s="9">
        <v>108.59299680970797</v>
      </c>
      <c r="J79" s="9">
        <v>-13.592996809707969</v>
      </c>
      <c r="K79" s="8">
        <f t="shared" si="1"/>
        <v>184.76956226873102</v>
      </c>
    </row>
    <row r="80" spans="1:11" x14ac:dyDescent="0.35">
      <c r="A80" s="8">
        <v>131</v>
      </c>
      <c r="B80" s="8">
        <v>0</v>
      </c>
      <c r="C80" s="8">
        <v>0</v>
      </c>
      <c r="D80" s="8">
        <v>0</v>
      </c>
      <c r="E80" s="8">
        <v>0</v>
      </c>
      <c r="F80" s="8">
        <v>43.2</v>
      </c>
      <c r="G80" s="8">
        <v>0.27</v>
      </c>
      <c r="H80" s="8">
        <v>26</v>
      </c>
      <c r="I80" s="9">
        <v>117.13603506828663</v>
      </c>
      <c r="J80" s="9">
        <v>13.863964931713369</v>
      </c>
      <c r="K80" s="8">
        <f t="shared" si="1"/>
        <v>192.20952362777808</v>
      </c>
    </row>
    <row r="81" spans="1:11" x14ac:dyDescent="0.35">
      <c r="A81" s="8">
        <v>112</v>
      </c>
      <c r="B81" s="8">
        <v>2</v>
      </c>
      <c r="C81" s="8">
        <v>66</v>
      </c>
      <c r="D81" s="8">
        <v>22</v>
      </c>
      <c r="E81" s="8">
        <v>0</v>
      </c>
      <c r="F81" s="8">
        <v>25</v>
      </c>
      <c r="G81" s="8">
        <v>0.307</v>
      </c>
      <c r="H81" s="8">
        <v>24</v>
      </c>
      <c r="I81" s="9">
        <v>99.810360221670194</v>
      </c>
      <c r="J81" s="9">
        <v>12.189639778329806</v>
      </c>
      <c r="K81" s="8">
        <f t="shared" si="1"/>
        <v>148.58731792544032</v>
      </c>
    </row>
    <row r="82" spans="1:11" x14ac:dyDescent="0.35">
      <c r="A82" s="8">
        <v>113</v>
      </c>
      <c r="B82" s="8">
        <v>3</v>
      </c>
      <c r="C82" s="8">
        <v>44</v>
      </c>
      <c r="D82" s="8">
        <v>13</v>
      </c>
      <c r="E82" s="8">
        <v>0</v>
      </c>
      <c r="F82" s="8">
        <v>22.4</v>
      </c>
      <c r="G82" s="8">
        <v>0.14000000000000001</v>
      </c>
      <c r="H82" s="8">
        <v>22</v>
      </c>
      <c r="I82" s="9">
        <v>97.040694141600568</v>
      </c>
      <c r="J82" s="9">
        <v>15.959305858399432</v>
      </c>
      <c r="K82" s="8">
        <f t="shared" si="1"/>
        <v>254.69944348194244</v>
      </c>
    </row>
    <row r="83" spans="1:11" x14ac:dyDescent="0.35">
      <c r="A83" s="8">
        <v>74</v>
      </c>
      <c r="B83" s="8">
        <v>2</v>
      </c>
      <c r="C83" s="8">
        <v>0</v>
      </c>
      <c r="D83" s="8">
        <v>0</v>
      </c>
      <c r="E83" s="8">
        <v>0</v>
      </c>
      <c r="F83" s="8">
        <v>0</v>
      </c>
      <c r="G83" s="8">
        <v>0.10199999999999999</v>
      </c>
      <c r="H83" s="8">
        <v>22</v>
      </c>
      <c r="I83" s="9">
        <v>81.198965043551922</v>
      </c>
      <c r="J83" s="9">
        <v>-7.1989650435519223</v>
      </c>
      <c r="K83" s="8">
        <f t="shared" si="1"/>
        <v>51.825097698282534</v>
      </c>
    </row>
    <row r="84" spans="1:11" x14ac:dyDescent="0.35">
      <c r="A84" s="8">
        <v>83</v>
      </c>
      <c r="B84" s="8">
        <v>7</v>
      </c>
      <c r="C84" s="8">
        <v>78</v>
      </c>
      <c r="D84" s="8">
        <v>26</v>
      </c>
      <c r="E84" s="8">
        <v>71</v>
      </c>
      <c r="F84" s="8">
        <v>29.3</v>
      </c>
      <c r="G84" s="8">
        <v>0.76700000000000002</v>
      </c>
      <c r="H84" s="8">
        <v>36</v>
      </c>
      <c r="I84" s="9">
        <v>120.61715451763001</v>
      </c>
      <c r="J84" s="9">
        <v>-37.617154517630013</v>
      </c>
      <c r="K84" s="8">
        <f t="shared" si="1"/>
        <v>1415.0503140032522</v>
      </c>
    </row>
    <row r="85" spans="1:11" x14ac:dyDescent="0.35">
      <c r="A85" s="8">
        <v>101</v>
      </c>
      <c r="B85" s="8">
        <v>0</v>
      </c>
      <c r="C85" s="8">
        <v>65</v>
      </c>
      <c r="D85" s="8">
        <v>28</v>
      </c>
      <c r="E85" s="8">
        <v>0</v>
      </c>
      <c r="F85" s="8">
        <v>24.6</v>
      </c>
      <c r="G85" s="8">
        <v>0.23699999999999999</v>
      </c>
      <c r="H85" s="8">
        <v>22</v>
      </c>
      <c r="I85" s="9">
        <v>95.584233701494696</v>
      </c>
      <c r="J85" s="9">
        <v>5.4157662985053037</v>
      </c>
      <c r="K85" s="8">
        <f t="shared" si="1"/>
        <v>29.330524600025839</v>
      </c>
    </row>
    <row r="86" spans="1:11" x14ac:dyDescent="0.35">
      <c r="A86" s="8">
        <v>137</v>
      </c>
      <c r="B86" s="8">
        <v>5</v>
      </c>
      <c r="C86" s="8">
        <v>108</v>
      </c>
      <c r="D86" s="8">
        <v>0</v>
      </c>
      <c r="E86" s="8">
        <v>0</v>
      </c>
      <c r="F86" s="8">
        <v>48.8</v>
      </c>
      <c r="G86" s="8">
        <v>0.22700000000000001</v>
      </c>
      <c r="H86" s="8">
        <v>37</v>
      </c>
      <c r="I86" s="9">
        <v>136.02204661579322</v>
      </c>
      <c r="J86" s="9">
        <v>0.9779533842067849</v>
      </c>
      <c r="K86" s="8">
        <f t="shared" si="1"/>
        <v>0.95639282168150341</v>
      </c>
    </row>
    <row r="87" spans="1:11" x14ac:dyDescent="0.35">
      <c r="A87" s="8">
        <v>110</v>
      </c>
      <c r="B87" s="8">
        <v>2</v>
      </c>
      <c r="C87" s="8">
        <v>74</v>
      </c>
      <c r="D87" s="8">
        <v>29</v>
      </c>
      <c r="E87" s="8">
        <v>125</v>
      </c>
      <c r="F87" s="8">
        <v>32.4</v>
      </c>
      <c r="G87" s="8">
        <v>0.69799999999999995</v>
      </c>
      <c r="H87" s="8">
        <v>27</v>
      </c>
      <c r="I87" s="9">
        <v>120.54830676676966</v>
      </c>
      <c r="J87" s="9">
        <v>-10.548306766769656</v>
      </c>
      <c r="K87" s="8">
        <f t="shared" si="1"/>
        <v>111.26677564587851</v>
      </c>
    </row>
    <row r="88" spans="1:11" x14ac:dyDescent="0.35">
      <c r="A88" s="8">
        <v>106</v>
      </c>
      <c r="B88" s="8">
        <v>13</v>
      </c>
      <c r="C88" s="8">
        <v>72</v>
      </c>
      <c r="D88" s="8">
        <v>54</v>
      </c>
      <c r="E88" s="8">
        <v>0</v>
      </c>
      <c r="F88" s="8">
        <v>36.6</v>
      </c>
      <c r="G88" s="8">
        <v>0.17799999999999999</v>
      </c>
      <c r="H88" s="8">
        <v>45</v>
      </c>
      <c r="I88" s="9">
        <v>111.62170421957319</v>
      </c>
      <c r="J88" s="9">
        <v>-5.6217042195731892</v>
      </c>
      <c r="K88" s="8">
        <f t="shared" si="1"/>
        <v>31.603558332367001</v>
      </c>
    </row>
    <row r="89" spans="1:11" x14ac:dyDescent="0.35">
      <c r="A89" s="8">
        <v>100</v>
      </c>
      <c r="B89" s="8">
        <v>2</v>
      </c>
      <c r="C89" s="8">
        <v>68</v>
      </c>
      <c r="D89" s="8">
        <v>25</v>
      </c>
      <c r="E89" s="8">
        <v>71</v>
      </c>
      <c r="F89" s="8">
        <v>38.5</v>
      </c>
      <c r="G89" s="8">
        <v>0.32400000000000001</v>
      </c>
      <c r="H89" s="8">
        <v>26</v>
      </c>
      <c r="I89" s="9">
        <v>117.60852709991931</v>
      </c>
      <c r="J89" s="9">
        <v>-17.608527099919314</v>
      </c>
      <c r="K89" s="8">
        <f t="shared" si="1"/>
        <v>310.06022662859289</v>
      </c>
    </row>
    <row r="90" spans="1:11" x14ac:dyDescent="0.35">
      <c r="A90" s="8">
        <v>136</v>
      </c>
      <c r="B90" s="8">
        <v>15</v>
      </c>
      <c r="C90" s="8">
        <v>70</v>
      </c>
      <c r="D90" s="8">
        <v>32</v>
      </c>
      <c r="E90" s="8">
        <v>110</v>
      </c>
      <c r="F90" s="8">
        <v>37.1</v>
      </c>
      <c r="G90" s="8">
        <v>0.153</v>
      </c>
      <c r="H90" s="8">
        <v>43</v>
      </c>
      <c r="I90" s="9">
        <v>128.93230139719776</v>
      </c>
      <c r="J90" s="9">
        <v>7.0676986028022384</v>
      </c>
      <c r="K90" s="8">
        <f t="shared" si="1"/>
        <v>49.952363540052716</v>
      </c>
    </row>
    <row r="91" spans="1:11" x14ac:dyDescent="0.35">
      <c r="A91" s="8">
        <v>107</v>
      </c>
      <c r="B91" s="8">
        <v>1</v>
      </c>
      <c r="C91" s="8">
        <v>68</v>
      </c>
      <c r="D91" s="8">
        <v>19</v>
      </c>
      <c r="E91" s="8">
        <v>0</v>
      </c>
      <c r="F91" s="8">
        <v>26.5</v>
      </c>
      <c r="G91" s="8">
        <v>0.16500000000000001</v>
      </c>
      <c r="H91" s="8">
        <v>24</v>
      </c>
      <c r="I91" s="9">
        <v>101.12279650180011</v>
      </c>
      <c r="J91" s="9">
        <v>5.87720349819989</v>
      </c>
      <c r="K91" s="8">
        <f t="shared" si="1"/>
        <v>34.541520959253027</v>
      </c>
    </row>
    <row r="92" spans="1:11" x14ac:dyDescent="0.35">
      <c r="A92" s="8">
        <v>80</v>
      </c>
      <c r="B92" s="8">
        <v>1</v>
      </c>
      <c r="C92" s="8">
        <v>55</v>
      </c>
      <c r="D92" s="8">
        <v>0</v>
      </c>
      <c r="E92" s="8">
        <v>0</v>
      </c>
      <c r="F92" s="8">
        <v>19.100000000000001</v>
      </c>
      <c r="G92" s="8">
        <v>0.25800000000000001</v>
      </c>
      <c r="H92" s="8">
        <v>21</v>
      </c>
      <c r="I92" s="9">
        <v>99.662553632777531</v>
      </c>
      <c r="J92" s="9">
        <v>-19.662553632777531</v>
      </c>
      <c r="K92" s="8">
        <f t="shared" si="1"/>
        <v>386.61601536185287</v>
      </c>
    </row>
    <row r="93" spans="1:11" x14ac:dyDescent="0.35">
      <c r="A93" s="8">
        <v>123</v>
      </c>
      <c r="B93" s="8">
        <v>4</v>
      </c>
      <c r="C93" s="8">
        <v>80</v>
      </c>
      <c r="D93" s="8">
        <v>15</v>
      </c>
      <c r="E93" s="8">
        <v>176</v>
      </c>
      <c r="F93" s="8">
        <v>32</v>
      </c>
      <c r="G93" s="8">
        <v>0.443</v>
      </c>
      <c r="H93" s="8">
        <v>34</v>
      </c>
      <c r="I93" s="9">
        <v>133.49628230084764</v>
      </c>
      <c r="J93" s="9">
        <v>-10.496282300847639</v>
      </c>
      <c r="K93" s="8">
        <f t="shared" si="1"/>
        <v>110.17194213908741</v>
      </c>
    </row>
    <row r="94" spans="1:11" x14ac:dyDescent="0.35">
      <c r="A94" s="8">
        <v>81</v>
      </c>
      <c r="B94" s="8">
        <v>7</v>
      </c>
      <c r="C94" s="8">
        <v>78</v>
      </c>
      <c r="D94" s="8">
        <v>40</v>
      </c>
      <c r="E94" s="8">
        <v>48</v>
      </c>
      <c r="F94" s="8">
        <v>46.7</v>
      </c>
      <c r="G94" s="8">
        <v>0.26100000000000001</v>
      </c>
      <c r="H94" s="8">
        <v>42</v>
      </c>
      <c r="I94" s="9">
        <v>127.35732872624412</v>
      </c>
      <c r="J94" s="9">
        <v>-46.35732872624412</v>
      </c>
      <c r="K94" s="8">
        <f t="shared" si="1"/>
        <v>2149.0019266330582</v>
      </c>
    </row>
    <row r="95" spans="1:11" x14ac:dyDescent="0.35">
      <c r="A95" s="8">
        <v>134</v>
      </c>
      <c r="B95" s="8">
        <v>4</v>
      </c>
      <c r="C95" s="8">
        <v>72</v>
      </c>
      <c r="D95" s="8">
        <v>0</v>
      </c>
      <c r="E95" s="8">
        <v>0</v>
      </c>
      <c r="F95" s="8">
        <v>23.8</v>
      </c>
      <c r="G95" s="8">
        <v>0.27700000000000002</v>
      </c>
      <c r="H95" s="8">
        <v>60</v>
      </c>
      <c r="I95" s="9">
        <v>129.84139391837874</v>
      </c>
      <c r="J95" s="9">
        <v>4.158606081621258</v>
      </c>
      <c r="K95" s="8">
        <f t="shared" si="1"/>
        <v>17.294004542097312</v>
      </c>
    </row>
    <row r="96" spans="1:11" x14ac:dyDescent="0.35">
      <c r="A96" s="8">
        <v>142</v>
      </c>
      <c r="B96" s="8">
        <v>2</v>
      </c>
      <c r="C96" s="8">
        <v>82</v>
      </c>
      <c r="D96" s="8">
        <v>18</v>
      </c>
      <c r="E96" s="8">
        <v>64</v>
      </c>
      <c r="F96" s="8">
        <v>24.7</v>
      </c>
      <c r="G96" s="8">
        <v>0.76100000000000001</v>
      </c>
      <c r="H96" s="8">
        <v>21</v>
      </c>
      <c r="I96" s="9">
        <v>109.4052116609499</v>
      </c>
      <c r="J96" s="9">
        <v>32.594788339050098</v>
      </c>
      <c r="K96" s="8">
        <f t="shared" si="1"/>
        <v>1062.4202268674762</v>
      </c>
    </row>
    <row r="97" spans="1:11" x14ac:dyDescent="0.35">
      <c r="A97" s="8">
        <v>144</v>
      </c>
      <c r="B97" s="8">
        <v>6</v>
      </c>
      <c r="C97" s="8">
        <v>72</v>
      </c>
      <c r="D97" s="8">
        <v>27</v>
      </c>
      <c r="E97" s="8">
        <v>228</v>
      </c>
      <c r="F97" s="8">
        <v>33.9</v>
      </c>
      <c r="G97" s="8">
        <v>0.255</v>
      </c>
      <c r="H97" s="8">
        <v>40</v>
      </c>
      <c r="I97" s="9">
        <v>138.37740645208567</v>
      </c>
      <c r="J97" s="9">
        <v>5.6225935479143345</v>
      </c>
      <c r="K97" s="8">
        <f t="shared" si="1"/>
        <v>31.613558205047905</v>
      </c>
    </row>
    <row r="98" spans="1:11" x14ac:dyDescent="0.35">
      <c r="A98" s="8">
        <v>92</v>
      </c>
      <c r="B98" s="8">
        <v>2</v>
      </c>
      <c r="C98" s="8">
        <v>62</v>
      </c>
      <c r="D98" s="8">
        <v>28</v>
      </c>
      <c r="E98" s="8">
        <v>0</v>
      </c>
      <c r="F98" s="8">
        <v>31.6</v>
      </c>
      <c r="G98" s="8">
        <v>0.13</v>
      </c>
      <c r="H98" s="8">
        <v>24</v>
      </c>
      <c r="I98" s="9">
        <v>101.35870335020508</v>
      </c>
      <c r="J98" s="9">
        <v>-9.3587033502050758</v>
      </c>
      <c r="K98" s="8">
        <f t="shared" si="1"/>
        <v>87.585328397139705</v>
      </c>
    </row>
    <row r="99" spans="1:11" x14ac:dyDescent="0.35">
      <c r="A99" s="8">
        <v>71</v>
      </c>
      <c r="B99" s="8">
        <v>1</v>
      </c>
      <c r="C99" s="8">
        <v>48</v>
      </c>
      <c r="D99" s="8">
        <v>18</v>
      </c>
      <c r="E99" s="8">
        <v>76</v>
      </c>
      <c r="F99" s="8">
        <v>20.399999999999999</v>
      </c>
      <c r="G99" s="8">
        <v>0.32300000000000001</v>
      </c>
      <c r="H99" s="8">
        <v>22</v>
      </c>
      <c r="I99" s="9">
        <v>102.8234080309539</v>
      </c>
      <c r="J99" s="9">
        <v>-31.8234080309539</v>
      </c>
      <c r="K99" s="8">
        <f t="shared" si="1"/>
        <v>1012.7292987045812</v>
      </c>
    </row>
    <row r="100" spans="1:11" x14ac:dyDescent="0.35">
      <c r="A100" s="8">
        <v>93</v>
      </c>
      <c r="B100" s="8">
        <v>6</v>
      </c>
      <c r="C100" s="8">
        <v>50</v>
      </c>
      <c r="D100" s="8">
        <v>30</v>
      </c>
      <c r="E100" s="8">
        <v>64</v>
      </c>
      <c r="F100" s="8">
        <v>28.7</v>
      </c>
      <c r="G100" s="8">
        <v>0.35599999999999998</v>
      </c>
      <c r="H100" s="8">
        <v>23</v>
      </c>
      <c r="I100" s="9">
        <v>105.12244169545164</v>
      </c>
      <c r="J100" s="9">
        <v>-12.122441695451641</v>
      </c>
      <c r="K100" s="8">
        <f t="shared" si="1"/>
        <v>146.95359265962446</v>
      </c>
    </row>
    <row r="101" spans="1:11" x14ac:dyDescent="0.35">
      <c r="A101" s="8">
        <v>122</v>
      </c>
      <c r="B101" s="8">
        <v>1</v>
      </c>
      <c r="C101" s="8">
        <v>90</v>
      </c>
      <c r="D101" s="8">
        <v>51</v>
      </c>
      <c r="E101" s="8">
        <v>220</v>
      </c>
      <c r="F101" s="8">
        <v>49.7</v>
      </c>
      <c r="G101" s="8">
        <v>0.32500000000000001</v>
      </c>
      <c r="H101" s="8">
        <v>31</v>
      </c>
      <c r="I101" s="9">
        <v>137.00707737281618</v>
      </c>
      <c r="J101" s="9">
        <v>-15.007077372816184</v>
      </c>
      <c r="K101" s="8">
        <f t="shared" si="1"/>
        <v>225.2123712736915</v>
      </c>
    </row>
    <row r="102" spans="1:11" x14ac:dyDescent="0.35">
      <c r="A102" s="8">
        <v>163</v>
      </c>
      <c r="B102" s="8">
        <v>1</v>
      </c>
      <c r="C102" s="8">
        <v>72</v>
      </c>
      <c r="D102" s="8">
        <v>0</v>
      </c>
      <c r="E102" s="8">
        <v>0</v>
      </c>
      <c r="F102" s="8">
        <v>39</v>
      </c>
      <c r="G102" s="8">
        <v>1.222</v>
      </c>
      <c r="H102" s="8">
        <v>33</v>
      </c>
      <c r="I102" s="9">
        <v>129.61595454679511</v>
      </c>
      <c r="J102" s="9">
        <v>33.384045453204891</v>
      </c>
      <c r="K102" s="8">
        <f t="shared" si="1"/>
        <v>1114.4944908216501</v>
      </c>
    </row>
    <row r="103" spans="1:11" x14ac:dyDescent="0.35">
      <c r="A103" s="8">
        <v>151</v>
      </c>
      <c r="B103" s="8">
        <v>1</v>
      </c>
      <c r="C103" s="8">
        <v>60</v>
      </c>
      <c r="D103" s="8">
        <v>0</v>
      </c>
      <c r="E103" s="8">
        <v>0</v>
      </c>
      <c r="F103" s="8">
        <v>26.1</v>
      </c>
      <c r="G103" s="8">
        <v>0.17899999999999999</v>
      </c>
      <c r="H103" s="8">
        <v>22</v>
      </c>
      <c r="I103" s="9">
        <v>105.4110562026103</v>
      </c>
      <c r="J103" s="9">
        <v>45.588943797389703</v>
      </c>
      <c r="K103" s="8">
        <f t="shared" si="1"/>
        <v>2078.351796561557</v>
      </c>
    </row>
    <row r="104" spans="1:11" x14ac:dyDescent="0.35">
      <c r="A104" s="8">
        <v>125</v>
      </c>
      <c r="B104" s="8">
        <v>0</v>
      </c>
      <c r="C104" s="8">
        <v>96</v>
      </c>
      <c r="D104" s="8">
        <v>0</v>
      </c>
      <c r="E104" s="8">
        <v>0</v>
      </c>
      <c r="F104" s="8">
        <v>22.5</v>
      </c>
      <c r="G104" s="8">
        <v>0.26200000000000001</v>
      </c>
      <c r="H104" s="8">
        <v>21</v>
      </c>
      <c r="I104" s="9">
        <v>105.05125115396947</v>
      </c>
      <c r="J104" s="9">
        <v>19.948748846030526</v>
      </c>
      <c r="K104" s="8">
        <f t="shared" si="1"/>
        <v>397.95258052200421</v>
      </c>
    </row>
    <row r="105" spans="1:11" x14ac:dyDescent="0.35">
      <c r="A105" s="8">
        <v>81</v>
      </c>
      <c r="B105" s="8">
        <v>1</v>
      </c>
      <c r="C105" s="8">
        <v>72</v>
      </c>
      <c r="D105" s="8">
        <v>18</v>
      </c>
      <c r="E105" s="8">
        <v>40</v>
      </c>
      <c r="F105" s="8">
        <v>26.6</v>
      </c>
      <c r="G105" s="8">
        <v>0.28299999999999997</v>
      </c>
      <c r="H105" s="8">
        <v>24</v>
      </c>
      <c r="I105" s="9">
        <v>106.57666405966127</v>
      </c>
      <c r="J105" s="9">
        <v>-25.576664059661269</v>
      </c>
      <c r="K105" s="8">
        <f t="shared" si="1"/>
        <v>654.16574442076842</v>
      </c>
    </row>
    <row r="106" spans="1:11" x14ac:dyDescent="0.35">
      <c r="A106" s="8">
        <v>85</v>
      </c>
      <c r="B106" s="8">
        <v>2</v>
      </c>
      <c r="C106" s="8">
        <v>65</v>
      </c>
      <c r="D106" s="8">
        <v>0</v>
      </c>
      <c r="E106" s="8">
        <v>0</v>
      </c>
      <c r="F106" s="8">
        <v>39.6</v>
      </c>
      <c r="G106" s="8">
        <v>0.93</v>
      </c>
      <c r="H106" s="8">
        <v>27</v>
      </c>
      <c r="I106" s="9">
        <v>123.91890836127894</v>
      </c>
      <c r="J106" s="9">
        <v>-38.918908361278937</v>
      </c>
      <c r="K106" s="8">
        <f t="shared" si="1"/>
        <v>1514.6814280336275</v>
      </c>
    </row>
    <row r="107" spans="1:11" x14ac:dyDescent="0.35">
      <c r="A107" s="8">
        <v>126</v>
      </c>
      <c r="B107" s="8">
        <v>1</v>
      </c>
      <c r="C107" s="8">
        <v>56</v>
      </c>
      <c r="D107" s="8">
        <v>29</v>
      </c>
      <c r="E107" s="8">
        <v>152</v>
      </c>
      <c r="F107" s="8">
        <v>28.7</v>
      </c>
      <c r="G107" s="8">
        <v>0.80100000000000005</v>
      </c>
      <c r="H107" s="8">
        <v>21</v>
      </c>
      <c r="I107" s="9">
        <v>115.9446467595382</v>
      </c>
      <c r="J107" s="9">
        <v>10.055353240461798</v>
      </c>
      <c r="K107" s="8">
        <f t="shared" si="1"/>
        <v>101.11012879046558</v>
      </c>
    </row>
    <row r="108" spans="1:11" x14ac:dyDescent="0.35">
      <c r="A108" s="8">
        <v>96</v>
      </c>
      <c r="B108" s="8">
        <v>1</v>
      </c>
      <c r="C108" s="8">
        <v>122</v>
      </c>
      <c r="D108" s="8">
        <v>0</v>
      </c>
      <c r="E108" s="8">
        <v>0</v>
      </c>
      <c r="F108" s="8">
        <v>22.4</v>
      </c>
      <c r="G108" s="8">
        <v>0.20699999999999999</v>
      </c>
      <c r="H108" s="8">
        <v>27</v>
      </c>
      <c r="I108" s="9">
        <v>110.38015407866773</v>
      </c>
      <c r="J108" s="9">
        <v>-14.380154078667729</v>
      </c>
      <c r="K108" s="8">
        <f t="shared" si="1"/>
        <v>206.78883132622414</v>
      </c>
    </row>
    <row r="109" spans="1:11" x14ac:dyDescent="0.35">
      <c r="A109" s="8">
        <v>144</v>
      </c>
      <c r="B109" s="8">
        <v>4</v>
      </c>
      <c r="C109" s="8">
        <v>58</v>
      </c>
      <c r="D109" s="8">
        <v>28</v>
      </c>
      <c r="E109" s="8">
        <v>140</v>
      </c>
      <c r="F109" s="8">
        <v>29.5</v>
      </c>
      <c r="G109" s="8">
        <v>0.28699999999999998</v>
      </c>
      <c r="H109" s="8">
        <v>37</v>
      </c>
      <c r="I109" s="9">
        <v>123.06780715404291</v>
      </c>
      <c r="J109" s="9">
        <v>20.93219284595709</v>
      </c>
      <c r="K109" s="8">
        <f t="shared" si="1"/>
        <v>438.15669734033719</v>
      </c>
    </row>
    <row r="110" spans="1:11" x14ac:dyDescent="0.35">
      <c r="A110" s="8">
        <v>83</v>
      </c>
      <c r="B110" s="8">
        <v>3</v>
      </c>
      <c r="C110" s="8">
        <v>58</v>
      </c>
      <c r="D110" s="8">
        <v>31</v>
      </c>
      <c r="E110" s="8">
        <v>18</v>
      </c>
      <c r="F110" s="8">
        <v>34.299999999999997</v>
      </c>
      <c r="G110" s="8">
        <v>0.33600000000000002</v>
      </c>
      <c r="H110" s="8">
        <v>25</v>
      </c>
      <c r="I110" s="9">
        <v>105.9155520671367</v>
      </c>
      <c r="J110" s="9">
        <v>-22.915552067136701</v>
      </c>
      <c r="K110" s="8">
        <f t="shared" si="1"/>
        <v>525.1225265416532</v>
      </c>
    </row>
    <row r="111" spans="1:11" x14ac:dyDescent="0.35">
      <c r="A111" s="8">
        <v>95</v>
      </c>
      <c r="B111" s="8">
        <v>0</v>
      </c>
      <c r="C111" s="8">
        <v>85</v>
      </c>
      <c r="D111" s="8">
        <v>25</v>
      </c>
      <c r="E111" s="8">
        <v>36</v>
      </c>
      <c r="F111" s="8">
        <v>37.4</v>
      </c>
      <c r="G111" s="8">
        <v>0.247</v>
      </c>
      <c r="H111" s="8">
        <v>24</v>
      </c>
      <c r="I111" s="9">
        <v>112.56231629462286</v>
      </c>
      <c r="J111" s="9">
        <v>-17.56231629462286</v>
      </c>
      <c r="K111" s="8">
        <f t="shared" si="1"/>
        <v>308.43495363237565</v>
      </c>
    </row>
    <row r="112" spans="1:11" x14ac:dyDescent="0.35">
      <c r="A112" s="8">
        <v>171</v>
      </c>
      <c r="B112" s="8">
        <v>3</v>
      </c>
      <c r="C112" s="8">
        <v>72</v>
      </c>
      <c r="D112" s="8">
        <v>33</v>
      </c>
      <c r="E112" s="8">
        <v>135</v>
      </c>
      <c r="F112" s="8">
        <v>33.299999999999997</v>
      </c>
      <c r="G112" s="8">
        <v>0.19900000000000001</v>
      </c>
      <c r="H112" s="8">
        <v>24</v>
      </c>
      <c r="I112" s="9">
        <v>115.72262045147666</v>
      </c>
      <c r="J112" s="9">
        <v>55.277379548523342</v>
      </c>
      <c r="K112" s="8">
        <f t="shared" si="1"/>
        <v>3055.5886897515065</v>
      </c>
    </row>
    <row r="113" spans="1:11" x14ac:dyDescent="0.35">
      <c r="A113" s="8">
        <v>155</v>
      </c>
      <c r="B113" s="8">
        <v>8</v>
      </c>
      <c r="C113" s="8">
        <v>62</v>
      </c>
      <c r="D113" s="8">
        <v>26</v>
      </c>
      <c r="E113" s="8">
        <v>495</v>
      </c>
      <c r="F113" s="8">
        <v>34</v>
      </c>
      <c r="G113" s="8">
        <v>0.54300000000000004</v>
      </c>
      <c r="H113" s="8">
        <v>46</v>
      </c>
      <c r="I113" s="9">
        <v>170.72258945343142</v>
      </c>
      <c r="J113" s="9">
        <v>-15.722589453431425</v>
      </c>
      <c r="K113" s="8">
        <f t="shared" si="1"/>
        <v>247.19981912115307</v>
      </c>
    </row>
    <row r="114" spans="1:11" x14ac:dyDescent="0.35">
      <c r="A114" s="8">
        <v>89</v>
      </c>
      <c r="B114" s="8">
        <v>1</v>
      </c>
      <c r="C114" s="8">
        <v>76</v>
      </c>
      <c r="D114" s="8">
        <v>34</v>
      </c>
      <c r="E114" s="8">
        <v>37</v>
      </c>
      <c r="F114" s="8">
        <v>31.2</v>
      </c>
      <c r="G114" s="8">
        <v>0.192</v>
      </c>
      <c r="H114" s="8">
        <v>23</v>
      </c>
      <c r="I114" s="9">
        <v>103.43869011174634</v>
      </c>
      <c r="J114" s="9">
        <v>-14.43869011174634</v>
      </c>
      <c r="K114" s="8">
        <f t="shared" si="1"/>
        <v>208.47577214304152</v>
      </c>
    </row>
    <row r="115" spans="1:11" x14ac:dyDescent="0.35">
      <c r="A115" s="8">
        <v>76</v>
      </c>
      <c r="B115" s="8">
        <v>4</v>
      </c>
      <c r="C115" s="8">
        <v>62</v>
      </c>
      <c r="D115" s="8">
        <v>0</v>
      </c>
      <c r="E115" s="8">
        <v>0</v>
      </c>
      <c r="F115" s="8">
        <v>34</v>
      </c>
      <c r="G115" s="8">
        <v>0.39100000000000001</v>
      </c>
      <c r="H115" s="8">
        <v>25</v>
      </c>
      <c r="I115" s="9">
        <v>114.93000844793403</v>
      </c>
      <c r="J115" s="9">
        <v>-38.930008447934028</v>
      </c>
      <c r="K115" s="8">
        <f t="shared" si="1"/>
        <v>1515.5455577562147</v>
      </c>
    </row>
    <row r="116" spans="1:11" x14ac:dyDescent="0.35">
      <c r="A116" s="8">
        <v>160</v>
      </c>
      <c r="B116" s="8">
        <v>7</v>
      </c>
      <c r="C116" s="8">
        <v>54</v>
      </c>
      <c r="D116" s="8">
        <v>32</v>
      </c>
      <c r="E116" s="8">
        <v>175</v>
      </c>
      <c r="F116" s="8">
        <v>30.5</v>
      </c>
      <c r="G116" s="8">
        <v>0.58799999999999997</v>
      </c>
      <c r="H116" s="8">
        <v>39</v>
      </c>
      <c r="I116" s="9">
        <v>129.08616817419679</v>
      </c>
      <c r="J116" s="9">
        <v>30.913831825803214</v>
      </c>
      <c r="K116" s="8">
        <f t="shared" si="1"/>
        <v>955.6649981540437</v>
      </c>
    </row>
    <row r="117" spans="1:11" x14ac:dyDescent="0.35">
      <c r="A117" s="8">
        <v>146</v>
      </c>
      <c r="B117" s="8">
        <v>4</v>
      </c>
      <c r="C117" s="8">
        <v>92</v>
      </c>
      <c r="D117" s="8">
        <v>0</v>
      </c>
      <c r="E117" s="8">
        <v>0</v>
      </c>
      <c r="F117" s="8">
        <v>31.2</v>
      </c>
      <c r="G117" s="8">
        <v>0.53900000000000003</v>
      </c>
      <c r="H117" s="8">
        <v>61</v>
      </c>
      <c r="I117" s="9">
        <v>139.09434456759294</v>
      </c>
      <c r="J117" s="9">
        <v>6.9056554324070589</v>
      </c>
      <c r="K117" s="8">
        <f t="shared" si="1"/>
        <v>47.688076951133127</v>
      </c>
    </row>
    <row r="118" spans="1:11" x14ac:dyDescent="0.35">
      <c r="A118" s="8">
        <v>124</v>
      </c>
      <c r="B118" s="8">
        <v>5</v>
      </c>
      <c r="C118" s="8">
        <v>74</v>
      </c>
      <c r="D118" s="8">
        <v>0</v>
      </c>
      <c r="E118" s="8">
        <v>0</v>
      </c>
      <c r="F118" s="8">
        <v>34</v>
      </c>
      <c r="G118" s="8">
        <v>0.22</v>
      </c>
      <c r="H118" s="8">
        <v>38</v>
      </c>
      <c r="I118" s="9">
        <v>123.13762078071278</v>
      </c>
      <c r="J118" s="9">
        <v>0.86237921928722017</v>
      </c>
      <c r="K118" s="8">
        <f t="shared" si="1"/>
        <v>0.74369791785843542</v>
      </c>
    </row>
    <row r="119" spans="1:11" x14ac:dyDescent="0.35">
      <c r="A119" s="8">
        <v>78</v>
      </c>
      <c r="B119" s="8">
        <v>5</v>
      </c>
      <c r="C119" s="8">
        <v>48</v>
      </c>
      <c r="D119" s="8">
        <v>0</v>
      </c>
      <c r="E119" s="8">
        <v>0</v>
      </c>
      <c r="F119" s="8">
        <v>33.700000000000003</v>
      </c>
      <c r="G119" s="8">
        <v>0.65400000000000003</v>
      </c>
      <c r="H119" s="8">
        <v>25</v>
      </c>
      <c r="I119" s="9">
        <v>115.44454526328876</v>
      </c>
      <c r="J119" s="9">
        <v>-37.444545263288759</v>
      </c>
      <c r="K119" s="8">
        <f t="shared" si="1"/>
        <v>1402.0939699744806</v>
      </c>
    </row>
    <row r="120" spans="1:11" x14ac:dyDescent="0.35">
      <c r="A120" s="8">
        <v>97</v>
      </c>
      <c r="B120" s="8">
        <v>4</v>
      </c>
      <c r="C120" s="8">
        <v>60</v>
      </c>
      <c r="D120" s="8">
        <v>23</v>
      </c>
      <c r="E120" s="8">
        <v>0</v>
      </c>
      <c r="F120" s="8">
        <v>28.2</v>
      </c>
      <c r="G120" s="8">
        <v>0.443</v>
      </c>
      <c r="H120" s="8">
        <v>22</v>
      </c>
      <c r="I120" s="9">
        <v>101.14316887915882</v>
      </c>
      <c r="J120" s="9">
        <v>-4.1431688791588215</v>
      </c>
      <c r="K120" s="8">
        <f t="shared" si="1"/>
        <v>17.165848361230164</v>
      </c>
    </row>
    <row r="121" spans="1:11" x14ac:dyDescent="0.35">
      <c r="A121" s="8">
        <v>99</v>
      </c>
      <c r="B121" s="8">
        <v>4</v>
      </c>
      <c r="C121" s="8">
        <v>76</v>
      </c>
      <c r="D121" s="8">
        <v>15</v>
      </c>
      <c r="E121" s="8">
        <v>51</v>
      </c>
      <c r="F121" s="8">
        <v>23.2</v>
      </c>
      <c r="G121" s="8">
        <v>0.223</v>
      </c>
      <c r="H121" s="8">
        <v>21</v>
      </c>
      <c r="I121" s="9">
        <v>104.27578441665781</v>
      </c>
      <c r="J121" s="9">
        <v>-5.2757844166578138</v>
      </c>
      <c r="K121" s="8">
        <f t="shared" si="1"/>
        <v>27.833901211049429</v>
      </c>
    </row>
    <row r="122" spans="1:11" x14ac:dyDescent="0.35">
      <c r="A122" s="8">
        <v>162</v>
      </c>
      <c r="B122" s="8">
        <v>0</v>
      </c>
      <c r="C122" s="8">
        <v>76</v>
      </c>
      <c r="D122" s="8">
        <v>56</v>
      </c>
      <c r="E122" s="8">
        <v>100</v>
      </c>
      <c r="F122" s="8">
        <v>53.2</v>
      </c>
      <c r="G122" s="8">
        <v>0.75900000000000001</v>
      </c>
      <c r="H122" s="8">
        <v>25</v>
      </c>
      <c r="I122" s="9">
        <v>123.7347557041046</v>
      </c>
      <c r="J122" s="9">
        <v>38.2652442958954</v>
      </c>
      <c r="K122" s="8">
        <f t="shared" si="1"/>
        <v>1464.2289210245553</v>
      </c>
    </row>
    <row r="123" spans="1:11" x14ac:dyDescent="0.35">
      <c r="A123" s="8">
        <v>111</v>
      </c>
      <c r="B123" s="8">
        <v>6</v>
      </c>
      <c r="C123" s="8">
        <v>64</v>
      </c>
      <c r="D123" s="8">
        <v>39</v>
      </c>
      <c r="E123" s="8">
        <v>0</v>
      </c>
      <c r="F123" s="8">
        <v>34.200000000000003</v>
      </c>
      <c r="G123" s="8">
        <v>0.26</v>
      </c>
      <c r="H123" s="8">
        <v>24</v>
      </c>
      <c r="I123" s="9">
        <v>100.8295531874388</v>
      </c>
      <c r="J123" s="9">
        <v>10.170446812561195</v>
      </c>
      <c r="K123" s="8">
        <f t="shared" si="1"/>
        <v>103.43798836713617</v>
      </c>
    </row>
    <row r="124" spans="1:11" x14ac:dyDescent="0.35">
      <c r="A124" s="8">
        <v>107</v>
      </c>
      <c r="B124" s="8">
        <v>2</v>
      </c>
      <c r="C124" s="8">
        <v>74</v>
      </c>
      <c r="D124" s="8">
        <v>30</v>
      </c>
      <c r="E124" s="8">
        <v>100</v>
      </c>
      <c r="F124" s="8">
        <v>33.6</v>
      </c>
      <c r="G124" s="8">
        <v>0.40400000000000003</v>
      </c>
      <c r="H124" s="8">
        <v>23</v>
      </c>
      <c r="I124" s="9">
        <v>114.16443070310621</v>
      </c>
      <c r="J124" s="9">
        <v>-7.1644307031062056</v>
      </c>
      <c r="K124" s="8">
        <f t="shared" si="1"/>
        <v>51.329067299610877</v>
      </c>
    </row>
    <row r="125" spans="1:11" x14ac:dyDescent="0.35">
      <c r="A125" s="8">
        <v>132</v>
      </c>
      <c r="B125" s="8">
        <v>5</v>
      </c>
      <c r="C125" s="8">
        <v>80</v>
      </c>
      <c r="D125" s="8">
        <v>0</v>
      </c>
      <c r="E125" s="8">
        <v>0</v>
      </c>
      <c r="F125" s="8">
        <v>26.8</v>
      </c>
      <c r="G125" s="8">
        <v>0.186</v>
      </c>
      <c r="H125" s="8">
        <v>69</v>
      </c>
      <c r="I125" s="9">
        <v>137.94401667265402</v>
      </c>
      <c r="J125" s="9">
        <v>-5.9440166726540156</v>
      </c>
      <c r="K125" s="8">
        <f t="shared" si="1"/>
        <v>35.331334204788917</v>
      </c>
    </row>
    <row r="126" spans="1:11" x14ac:dyDescent="0.35">
      <c r="A126" s="8">
        <v>113</v>
      </c>
      <c r="B126" s="8">
        <v>0</v>
      </c>
      <c r="C126" s="8">
        <v>76</v>
      </c>
      <c r="D126" s="8">
        <v>0</v>
      </c>
      <c r="E126" s="8">
        <v>0</v>
      </c>
      <c r="F126" s="8">
        <v>33.299999999999997</v>
      </c>
      <c r="G126" s="8">
        <v>0.27800000000000002</v>
      </c>
      <c r="H126" s="8">
        <v>23</v>
      </c>
      <c r="I126" s="9">
        <v>113.14535751007493</v>
      </c>
      <c r="J126" s="9">
        <v>-0.14535751007493047</v>
      </c>
      <c r="K126" s="8">
        <f t="shared" si="1"/>
        <v>2.1128805735183515E-2</v>
      </c>
    </row>
    <row r="127" spans="1:11" x14ac:dyDescent="0.35">
      <c r="A127" s="8">
        <v>88</v>
      </c>
      <c r="B127" s="8">
        <v>1</v>
      </c>
      <c r="C127" s="8">
        <v>30</v>
      </c>
      <c r="D127" s="8">
        <v>42</v>
      </c>
      <c r="E127" s="8">
        <v>99</v>
      </c>
      <c r="F127" s="8">
        <v>55</v>
      </c>
      <c r="G127" s="8">
        <v>0.496</v>
      </c>
      <c r="H127" s="8">
        <v>26</v>
      </c>
      <c r="I127" s="9">
        <v>125.4857881754173</v>
      </c>
      <c r="J127" s="9">
        <v>-37.485788175417298</v>
      </c>
      <c r="K127" s="8">
        <f t="shared" si="1"/>
        <v>1405.1843151322553</v>
      </c>
    </row>
    <row r="128" spans="1:11" x14ac:dyDescent="0.35">
      <c r="A128" s="8">
        <v>120</v>
      </c>
      <c r="B128" s="8">
        <v>3</v>
      </c>
      <c r="C128" s="8">
        <v>70</v>
      </c>
      <c r="D128" s="8">
        <v>30</v>
      </c>
      <c r="E128" s="8">
        <v>135</v>
      </c>
      <c r="F128" s="8">
        <v>42.9</v>
      </c>
      <c r="G128" s="8">
        <v>0.45200000000000001</v>
      </c>
      <c r="H128" s="8">
        <v>30</v>
      </c>
      <c r="I128" s="9">
        <v>129.2577015004899</v>
      </c>
      <c r="J128" s="9">
        <v>-9.257701500489901</v>
      </c>
      <c r="K128" s="8">
        <f t="shared" si="1"/>
        <v>85.705037072172971</v>
      </c>
    </row>
    <row r="129" spans="1:11" x14ac:dyDescent="0.35">
      <c r="A129" s="8">
        <v>118</v>
      </c>
      <c r="B129" s="8">
        <v>1</v>
      </c>
      <c r="C129" s="8">
        <v>58</v>
      </c>
      <c r="D129" s="8">
        <v>36</v>
      </c>
      <c r="E129" s="8">
        <v>94</v>
      </c>
      <c r="F129" s="8">
        <v>33.299999999999997</v>
      </c>
      <c r="G129" s="8">
        <v>0.26100000000000001</v>
      </c>
      <c r="H129" s="8">
        <v>23</v>
      </c>
      <c r="I129" s="9">
        <v>109.24831791220304</v>
      </c>
      <c r="J129" s="9">
        <v>8.751682087796965</v>
      </c>
      <c r="K129" s="8">
        <f t="shared" si="1"/>
        <v>76.591939365866239</v>
      </c>
    </row>
    <row r="130" spans="1:11" x14ac:dyDescent="0.35">
      <c r="A130" s="8">
        <v>117</v>
      </c>
      <c r="B130" s="8">
        <v>1</v>
      </c>
      <c r="C130" s="8">
        <v>88</v>
      </c>
      <c r="D130" s="8">
        <v>24</v>
      </c>
      <c r="E130" s="8">
        <v>145</v>
      </c>
      <c r="F130" s="8">
        <v>34.5</v>
      </c>
      <c r="G130" s="8">
        <v>0.40300000000000002</v>
      </c>
      <c r="H130" s="8">
        <v>40</v>
      </c>
      <c r="I130" s="9">
        <v>133.25138154255029</v>
      </c>
      <c r="J130" s="9">
        <v>-16.251381542550291</v>
      </c>
      <c r="K130" s="8">
        <f t="shared" si="1"/>
        <v>264.10740204154428</v>
      </c>
    </row>
    <row r="131" spans="1:11" x14ac:dyDescent="0.35">
      <c r="A131" s="8">
        <v>105</v>
      </c>
      <c r="B131" s="8">
        <v>0</v>
      </c>
      <c r="C131" s="8">
        <v>84</v>
      </c>
      <c r="D131" s="8">
        <v>0</v>
      </c>
      <c r="E131" s="8">
        <v>0</v>
      </c>
      <c r="F131" s="8">
        <v>27.9</v>
      </c>
      <c r="G131" s="8">
        <v>0.74099999999999999</v>
      </c>
      <c r="H131" s="8">
        <v>62</v>
      </c>
      <c r="I131" s="9">
        <v>137.74360507064392</v>
      </c>
      <c r="J131" s="9">
        <v>-32.743605070643923</v>
      </c>
      <c r="K131" s="8">
        <f t="shared" ref="K131:K194" si="2">J131*J131</f>
        <v>1072.1436730222983</v>
      </c>
    </row>
    <row r="132" spans="1:11" x14ac:dyDescent="0.35">
      <c r="A132" s="8">
        <v>173</v>
      </c>
      <c r="B132" s="8">
        <v>4</v>
      </c>
      <c r="C132" s="8">
        <v>70</v>
      </c>
      <c r="D132" s="8">
        <v>14</v>
      </c>
      <c r="E132" s="8">
        <v>168</v>
      </c>
      <c r="F132" s="8">
        <v>29.7</v>
      </c>
      <c r="G132" s="8">
        <v>0.36099999999999999</v>
      </c>
      <c r="H132" s="8">
        <v>33</v>
      </c>
      <c r="I132" s="9">
        <v>129.43750586789949</v>
      </c>
      <c r="J132" s="9">
        <v>43.562494132100511</v>
      </c>
      <c r="K132" s="8">
        <f t="shared" si="2"/>
        <v>1897.6908950092914</v>
      </c>
    </row>
    <row r="133" spans="1:11" x14ac:dyDescent="0.35">
      <c r="A133" s="8">
        <v>122</v>
      </c>
      <c r="B133" s="8">
        <v>9</v>
      </c>
      <c r="C133" s="8">
        <v>56</v>
      </c>
      <c r="D133" s="8">
        <v>0</v>
      </c>
      <c r="E133" s="8">
        <v>0</v>
      </c>
      <c r="F133" s="8">
        <v>33.299999999999997</v>
      </c>
      <c r="G133" s="8">
        <v>1.1140000000000001</v>
      </c>
      <c r="H133" s="8">
        <v>33</v>
      </c>
      <c r="I133" s="9">
        <v>124.00789160271592</v>
      </c>
      <c r="J133" s="9">
        <v>-2.0078916027159153</v>
      </c>
      <c r="K133" s="8">
        <f t="shared" si="2"/>
        <v>4.0316286882570873</v>
      </c>
    </row>
    <row r="134" spans="1:11" x14ac:dyDescent="0.35">
      <c r="A134" s="8">
        <v>170</v>
      </c>
      <c r="B134" s="8">
        <v>3</v>
      </c>
      <c r="C134" s="8">
        <v>64</v>
      </c>
      <c r="D134" s="8">
        <v>37</v>
      </c>
      <c r="E134" s="8">
        <v>225</v>
      </c>
      <c r="F134" s="8">
        <v>34.5</v>
      </c>
      <c r="G134" s="8">
        <v>0.35599999999999998</v>
      </c>
      <c r="H134" s="8">
        <v>30</v>
      </c>
      <c r="I134" s="9">
        <v>128.63199584999276</v>
      </c>
      <c r="J134" s="9">
        <v>41.368004150007238</v>
      </c>
      <c r="K134" s="8">
        <f t="shared" si="2"/>
        <v>1711.3117673550159</v>
      </c>
    </row>
    <row r="135" spans="1:11" x14ac:dyDescent="0.35">
      <c r="A135" s="8">
        <v>84</v>
      </c>
      <c r="B135" s="8">
        <v>8</v>
      </c>
      <c r="C135" s="8">
        <v>74</v>
      </c>
      <c r="D135" s="8">
        <v>31</v>
      </c>
      <c r="E135" s="8">
        <v>0</v>
      </c>
      <c r="F135" s="8">
        <v>38.299999999999997</v>
      </c>
      <c r="G135" s="8">
        <v>0.45700000000000002</v>
      </c>
      <c r="H135" s="8">
        <v>39</v>
      </c>
      <c r="I135" s="9">
        <v>118.32111040747542</v>
      </c>
      <c r="J135" s="9">
        <v>-34.321110407475416</v>
      </c>
      <c r="K135" s="8">
        <f t="shared" si="2"/>
        <v>1177.9386196021173</v>
      </c>
    </row>
    <row r="136" spans="1:11" x14ac:dyDescent="0.35">
      <c r="A136" s="8">
        <v>96</v>
      </c>
      <c r="B136" s="8">
        <v>2</v>
      </c>
      <c r="C136" s="8">
        <v>68</v>
      </c>
      <c r="D136" s="8">
        <v>13</v>
      </c>
      <c r="E136" s="8">
        <v>49</v>
      </c>
      <c r="F136" s="8">
        <v>21.1</v>
      </c>
      <c r="G136" s="8">
        <v>0.64700000000000002</v>
      </c>
      <c r="H136" s="8">
        <v>26</v>
      </c>
      <c r="I136" s="9">
        <v>108.39401058544632</v>
      </c>
      <c r="J136" s="9">
        <v>-12.394010585446324</v>
      </c>
      <c r="K136" s="8">
        <f t="shared" si="2"/>
        <v>153.61149839215554</v>
      </c>
    </row>
    <row r="137" spans="1:11" x14ac:dyDescent="0.35">
      <c r="A137" s="8">
        <v>125</v>
      </c>
      <c r="B137" s="8">
        <v>2</v>
      </c>
      <c r="C137" s="8">
        <v>60</v>
      </c>
      <c r="D137" s="8">
        <v>20</v>
      </c>
      <c r="E137" s="8">
        <v>140</v>
      </c>
      <c r="F137" s="8">
        <v>33.799999999999997</v>
      </c>
      <c r="G137" s="8">
        <v>8.7999999999999995E-2</v>
      </c>
      <c r="H137" s="8">
        <v>31</v>
      </c>
      <c r="I137" s="9">
        <v>123.86181360230557</v>
      </c>
      <c r="J137" s="9">
        <v>1.138186397694426</v>
      </c>
      <c r="K137" s="8">
        <f t="shared" si="2"/>
        <v>1.2954682758966141</v>
      </c>
    </row>
    <row r="138" spans="1:11" x14ac:dyDescent="0.35">
      <c r="A138" s="8">
        <v>100</v>
      </c>
      <c r="B138" s="8">
        <v>0</v>
      </c>
      <c r="C138" s="8">
        <v>70</v>
      </c>
      <c r="D138" s="8">
        <v>26</v>
      </c>
      <c r="E138" s="8">
        <v>50</v>
      </c>
      <c r="F138" s="8">
        <v>30.8</v>
      </c>
      <c r="G138" s="8">
        <v>0.59699999999999998</v>
      </c>
      <c r="H138" s="8">
        <v>21</v>
      </c>
      <c r="I138" s="9">
        <v>107.90723546215459</v>
      </c>
      <c r="J138" s="9">
        <v>-7.9072354621545884</v>
      </c>
      <c r="K138" s="8">
        <f t="shared" si="2"/>
        <v>62.524372653955091</v>
      </c>
    </row>
    <row r="139" spans="1:11" x14ac:dyDescent="0.35">
      <c r="A139" s="8">
        <v>93</v>
      </c>
      <c r="B139" s="8">
        <v>0</v>
      </c>
      <c r="C139" s="8">
        <v>60</v>
      </c>
      <c r="D139" s="8">
        <v>25</v>
      </c>
      <c r="E139" s="8">
        <v>92</v>
      </c>
      <c r="F139" s="8">
        <v>28.7</v>
      </c>
      <c r="G139" s="8">
        <v>0.53200000000000003</v>
      </c>
      <c r="H139" s="8">
        <v>22</v>
      </c>
      <c r="I139" s="9">
        <v>110.42034145379394</v>
      </c>
      <c r="J139" s="9">
        <v>-17.420341453793938</v>
      </c>
      <c r="K139" s="8">
        <f t="shared" si="2"/>
        <v>303.46829636677148</v>
      </c>
    </row>
    <row r="140" spans="1:11" x14ac:dyDescent="0.35">
      <c r="A140" s="8">
        <v>129</v>
      </c>
      <c r="B140" s="8">
        <v>0</v>
      </c>
      <c r="C140" s="8">
        <v>80</v>
      </c>
      <c r="D140" s="8">
        <v>0</v>
      </c>
      <c r="E140" s="8">
        <v>0</v>
      </c>
      <c r="F140" s="8">
        <v>31.2</v>
      </c>
      <c r="G140" s="8">
        <v>0.70299999999999996</v>
      </c>
      <c r="H140" s="8">
        <v>29</v>
      </c>
      <c r="I140" s="9">
        <v>118.40583577545402</v>
      </c>
      <c r="J140" s="9">
        <v>10.594164224545978</v>
      </c>
      <c r="K140" s="8">
        <f t="shared" si="2"/>
        <v>112.23631561664988</v>
      </c>
    </row>
    <row r="141" spans="1:11" x14ac:dyDescent="0.35">
      <c r="A141" s="8">
        <v>105</v>
      </c>
      <c r="B141" s="8">
        <v>5</v>
      </c>
      <c r="C141" s="8">
        <v>72</v>
      </c>
      <c r="D141" s="8">
        <v>29</v>
      </c>
      <c r="E141" s="8">
        <v>325</v>
      </c>
      <c r="F141" s="8">
        <v>36.9</v>
      </c>
      <c r="G141" s="8">
        <v>0.159</v>
      </c>
      <c r="H141" s="8">
        <v>28</v>
      </c>
      <c r="I141" s="9">
        <v>141.29781358275275</v>
      </c>
      <c r="J141" s="9">
        <v>-36.297813582752752</v>
      </c>
      <c r="K141" s="8">
        <f t="shared" si="2"/>
        <v>1317.5312708882702</v>
      </c>
    </row>
    <row r="142" spans="1:11" x14ac:dyDescent="0.35">
      <c r="A142" s="8">
        <v>128</v>
      </c>
      <c r="B142" s="8">
        <v>3</v>
      </c>
      <c r="C142" s="8">
        <v>78</v>
      </c>
      <c r="D142" s="8">
        <v>0</v>
      </c>
      <c r="E142" s="8">
        <v>0</v>
      </c>
      <c r="F142" s="8">
        <v>21.1</v>
      </c>
      <c r="G142" s="8">
        <v>0.26800000000000002</v>
      </c>
      <c r="H142" s="8">
        <v>55</v>
      </c>
      <c r="I142" s="9">
        <v>124.8937353347786</v>
      </c>
      <c r="J142" s="9">
        <v>3.1062646652214028</v>
      </c>
      <c r="K142" s="8">
        <f t="shared" si="2"/>
        <v>9.648880170403034</v>
      </c>
    </row>
    <row r="143" spans="1:11" x14ac:dyDescent="0.35">
      <c r="A143" s="8">
        <v>106</v>
      </c>
      <c r="B143" s="8">
        <v>5</v>
      </c>
      <c r="C143" s="8">
        <v>82</v>
      </c>
      <c r="D143" s="8">
        <v>30</v>
      </c>
      <c r="E143" s="8">
        <v>0</v>
      </c>
      <c r="F143" s="8">
        <v>39.5</v>
      </c>
      <c r="G143" s="8">
        <v>0.28599999999999998</v>
      </c>
      <c r="H143" s="8">
        <v>38</v>
      </c>
      <c r="I143" s="9">
        <v>118.21390167570641</v>
      </c>
      <c r="J143" s="9">
        <v>-12.21390167570641</v>
      </c>
      <c r="K143" s="8">
        <f t="shared" si="2"/>
        <v>149.17939414382386</v>
      </c>
    </row>
    <row r="144" spans="1:11" x14ac:dyDescent="0.35">
      <c r="A144" s="8">
        <v>108</v>
      </c>
      <c r="B144" s="8">
        <v>2</v>
      </c>
      <c r="C144" s="8">
        <v>52</v>
      </c>
      <c r="D144" s="8">
        <v>26</v>
      </c>
      <c r="E144" s="8">
        <v>63</v>
      </c>
      <c r="F144" s="8">
        <v>32.5</v>
      </c>
      <c r="G144" s="8">
        <v>0.318</v>
      </c>
      <c r="H144" s="8">
        <v>22</v>
      </c>
      <c r="I144" s="9">
        <v>108.22921953113932</v>
      </c>
      <c r="J144" s="9">
        <v>-0.22921953113932148</v>
      </c>
      <c r="K144" s="8">
        <f t="shared" si="2"/>
        <v>5.2541593455730368E-2</v>
      </c>
    </row>
    <row r="145" spans="1:11" x14ac:dyDescent="0.35">
      <c r="A145" s="8">
        <v>108</v>
      </c>
      <c r="B145" s="8">
        <v>10</v>
      </c>
      <c r="C145" s="8">
        <v>66</v>
      </c>
      <c r="D145" s="8">
        <v>0</v>
      </c>
      <c r="E145" s="8">
        <v>0</v>
      </c>
      <c r="F145" s="8">
        <v>32.4</v>
      </c>
      <c r="G145" s="8">
        <v>0.27200000000000002</v>
      </c>
      <c r="H145" s="8">
        <v>42</v>
      </c>
      <c r="I145" s="9">
        <v>124.58093257600193</v>
      </c>
      <c r="J145" s="9">
        <v>-16.580932576001928</v>
      </c>
      <c r="K145" s="8">
        <f t="shared" si="2"/>
        <v>274.92732508992191</v>
      </c>
    </row>
    <row r="146" spans="1:11" x14ac:dyDescent="0.35">
      <c r="A146" s="8">
        <v>154</v>
      </c>
      <c r="B146" s="8">
        <v>4</v>
      </c>
      <c r="C146" s="8">
        <v>62</v>
      </c>
      <c r="D146" s="8">
        <v>31</v>
      </c>
      <c r="E146" s="8">
        <v>284</v>
      </c>
      <c r="F146" s="8">
        <v>32.799999999999997</v>
      </c>
      <c r="G146" s="8">
        <v>0.23699999999999999</v>
      </c>
      <c r="H146" s="8">
        <v>23</v>
      </c>
      <c r="I146" s="9">
        <v>129.94061373912214</v>
      </c>
      <c r="J146" s="9">
        <v>24.059386260877858</v>
      </c>
      <c r="K146" s="8">
        <f t="shared" si="2"/>
        <v>578.85406725011819</v>
      </c>
    </row>
    <row r="147" spans="1:11" x14ac:dyDescent="0.35">
      <c r="A147" s="8">
        <v>102</v>
      </c>
      <c r="B147" s="8">
        <v>0</v>
      </c>
      <c r="C147" s="8">
        <v>75</v>
      </c>
      <c r="D147" s="8">
        <v>23</v>
      </c>
      <c r="E147" s="8">
        <v>0</v>
      </c>
      <c r="F147" s="8">
        <v>0</v>
      </c>
      <c r="G147" s="8">
        <v>0.57199999999999995</v>
      </c>
      <c r="H147" s="8">
        <v>21</v>
      </c>
      <c r="I147" s="9">
        <v>80.969242738236119</v>
      </c>
      <c r="J147" s="9">
        <v>21.030757261763881</v>
      </c>
      <c r="K147" s="8">
        <f t="shared" si="2"/>
        <v>442.29275100323423</v>
      </c>
    </row>
    <row r="148" spans="1:11" x14ac:dyDescent="0.35">
      <c r="A148" s="8">
        <v>57</v>
      </c>
      <c r="B148" s="8">
        <v>9</v>
      </c>
      <c r="C148" s="8">
        <v>80</v>
      </c>
      <c r="D148" s="8">
        <v>37</v>
      </c>
      <c r="E148" s="8">
        <v>0</v>
      </c>
      <c r="F148" s="8">
        <v>32.799999999999997</v>
      </c>
      <c r="G148" s="8">
        <v>9.6000000000000002E-2</v>
      </c>
      <c r="H148" s="8">
        <v>41</v>
      </c>
      <c r="I148" s="9">
        <v>111.67846122937856</v>
      </c>
      <c r="J148" s="9">
        <v>-54.678461229378556</v>
      </c>
      <c r="K148" s="8">
        <f t="shared" si="2"/>
        <v>2989.734122412654</v>
      </c>
    </row>
    <row r="149" spans="1:11" x14ac:dyDescent="0.35">
      <c r="A149" s="8">
        <v>106</v>
      </c>
      <c r="B149" s="8">
        <v>2</v>
      </c>
      <c r="C149" s="8">
        <v>64</v>
      </c>
      <c r="D149" s="8">
        <v>35</v>
      </c>
      <c r="E149" s="8">
        <v>119</v>
      </c>
      <c r="F149" s="8">
        <v>30.5</v>
      </c>
      <c r="G149" s="8">
        <v>1.4</v>
      </c>
      <c r="H149" s="8">
        <v>34</v>
      </c>
      <c r="I149" s="9">
        <v>124.76487933324302</v>
      </c>
      <c r="J149" s="9">
        <v>-18.764879333243016</v>
      </c>
      <c r="K149" s="8">
        <f t="shared" si="2"/>
        <v>352.12069639117084</v>
      </c>
    </row>
    <row r="150" spans="1:11" x14ac:dyDescent="0.35">
      <c r="A150" s="8">
        <v>147</v>
      </c>
      <c r="B150" s="8">
        <v>5</v>
      </c>
      <c r="C150" s="8">
        <v>78</v>
      </c>
      <c r="D150" s="8">
        <v>0</v>
      </c>
      <c r="E150" s="8">
        <v>0</v>
      </c>
      <c r="F150" s="8">
        <v>33.700000000000003</v>
      </c>
      <c r="G150" s="8">
        <v>0.218</v>
      </c>
      <c r="H150" s="8">
        <v>65</v>
      </c>
      <c r="I150" s="9">
        <v>140.60206154468605</v>
      </c>
      <c r="J150" s="9">
        <v>6.3979384553139482</v>
      </c>
      <c r="K150" s="8">
        <f t="shared" si="2"/>
        <v>40.933616477985026</v>
      </c>
    </row>
    <row r="151" spans="1:11" x14ac:dyDescent="0.35">
      <c r="A151" s="8">
        <v>90</v>
      </c>
      <c r="B151" s="8">
        <v>2</v>
      </c>
      <c r="C151" s="8">
        <v>70</v>
      </c>
      <c r="D151" s="8">
        <v>17</v>
      </c>
      <c r="E151" s="8">
        <v>0</v>
      </c>
      <c r="F151" s="8">
        <v>27.3</v>
      </c>
      <c r="G151" s="8">
        <v>8.5000000000000006E-2</v>
      </c>
      <c r="H151" s="8">
        <v>22</v>
      </c>
      <c r="I151" s="9">
        <v>100.79468735425361</v>
      </c>
      <c r="J151" s="9">
        <v>-10.794687354253611</v>
      </c>
      <c r="K151" s="8">
        <f t="shared" si="2"/>
        <v>116.52527507608282</v>
      </c>
    </row>
    <row r="152" spans="1:11" x14ac:dyDescent="0.35">
      <c r="A152" s="8">
        <v>136</v>
      </c>
      <c r="B152" s="8">
        <v>1</v>
      </c>
      <c r="C152" s="8">
        <v>74</v>
      </c>
      <c r="D152" s="8">
        <v>50</v>
      </c>
      <c r="E152" s="8">
        <v>204</v>
      </c>
      <c r="F152" s="8">
        <v>37.4</v>
      </c>
      <c r="G152" s="8">
        <v>0.39900000000000002</v>
      </c>
      <c r="H152" s="8">
        <v>24</v>
      </c>
      <c r="I152" s="9">
        <v>121.33510257736641</v>
      </c>
      <c r="J152" s="9">
        <v>14.664897422633587</v>
      </c>
      <c r="K152" s="8">
        <f t="shared" si="2"/>
        <v>215.05921641636522</v>
      </c>
    </row>
    <row r="153" spans="1:11" x14ac:dyDescent="0.35">
      <c r="A153" s="8">
        <v>114</v>
      </c>
      <c r="B153" s="8">
        <v>4</v>
      </c>
      <c r="C153" s="8">
        <v>65</v>
      </c>
      <c r="D153" s="8">
        <v>0</v>
      </c>
      <c r="E153" s="8">
        <v>0</v>
      </c>
      <c r="F153" s="8">
        <v>21.9</v>
      </c>
      <c r="G153" s="8">
        <v>0.432</v>
      </c>
      <c r="H153" s="8">
        <v>37</v>
      </c>
      <c r="I153" s="9">
        <v>114.06363373613151</v>
      </c>
      <c r="J153" s="9">
        <v>-6.3633736131507135E-2</v>
      </c>
      <c r="K153" s="8">
        <f t="shared" si="2"/>
        <v>4.0492523740542768E-3</v>
      </c>
    </row>
    <row r="154" spans="1:11" x14ac:dyDescent="0.35">
      <c r="A154" s="8">
        <v>156</v>
      </c>
      <c r="B154" s="8">
        <v>9</v>
      </c>
      <c r="C154" s="8">
        <v>86</v>
      </c>
      <c r="D154" s="8">
        <v>28</v>
      </c>
      <c r="E154" s="8">
        <v>155</v>
      </c>
      <c r="F154" s="8">
        <v>34.299999999999997</v>
      </c>
      <c r="G154" s="8">
        <v>1.1890000000000001</v>
      </c>
      <c r="H154" s="8">
        <v>42</v>
      </c>
      <c r="I154" s="9">
        <v>139.35542817093614</v>
      </c>
      <c r="J154" s="9">
        <v>16.644571829063864</v>
      </c>
      <c r="K154" s="8">
        <f t="shared" si="2"/>
        <v>277.04177137286638</v>
      </c>
    </row>
    <row r="155" spans="1:11" x14ac:dyDescent="0.35">
      <c r="A155" s="8">
        <v>153</v>
      </c>
      <c r="B155" s="8">
        <v>1</v>
      </c>
      <c r="C155" s="8">
        <v>82</v>
      </c>
      <c r="D155" s="8">
        <v>42</v>
      </c>
      <c r="E155" s="8">
        <v>485</v>
      </c>
      <c r="F155" s="8">
        <v>40.6</v>
      </c>
      <c r="G155" s="8">
        <v>0.68700000000000006</v>
      </c>
      <c r="H155" s="8">
        <v>23</v>
      </c>
      <c r="I155" s="9">
        <v>156.37858504904693</v>
      </c>
      <c r="J155" s="9">
        <v>-3.3785850490469329</v>
      </c>
      <c r="K155" s="8">
        <f t="shared" si="2"/>
        <v>11.414836933643466</v>
      </c>
    </row>
    <row r="156" spans="1:11" x14ac:dyDescent="0.35">
      <c r="A156" s="8">
        <v>188</v>
      </c>
      <c r="B156" s="8">
        <v>8</v>
      </c>
      <c r="C156" s="8">
        <v>78</v>
      </c>
      <c r="D156" s="8">
        <v>0</v>
      </c>
      <c r="E156" s="8">
        <v>0</v>
      </c>
      <c r="F156" s="8">
        <v>47.9</v>
      </c>
      <c r="G156" s="8">
        <v>0.13700000000000001</v>
      </c>
      <c r="H156" s="8">
        <v>43</v>
      </c>
      <c r="I156" s="9">
        <v>136.72563466519989</v>
      </c>
      <c r="J156" s="9">
        <v>51.274365334800109</v>
      </c>
      <c r="K156" s="8">
        <f t="shared" si="2"/>
        <v>2629.060540486551</v>
      </c>
    </row>
    <row r="157" spans="1:11" x14ac:dyDescent="0.35">
      <c r="A157" s="8">
        <v>152</v>
      </c>
      <c r="B157" s="8">
        <v>7</v>
      </c>
      <c r="C157" s="8">
        <v>88</v>
      </c>
      <c r="D157" s="8">
        <v>44</v>
      </c>
      <c r="E157" s="8">
        <v>0</v>
      </c>
      <c r="F157" s="8">
        <v>50</v>
      </c>
      <c r="G157" s="8">
        <v>0.33700000000000002</v>
      </c>
      <c r="H157" s="8">
        <v>36</v>
      </c>
      <c r="I157" s="9">
        <v>120.98213437383117</v>
      </c>
      <c r="J157" s="9">
        <v>31.017865626168827</v>
      </c>
      <c r="K157" s="8">
        <f t="shared" si="2"/>
        <v>962.10798800306566</v>
      </c>
    </row>
    <row r="158" spans="1:11" x14ac:dyDescent="0.35">
      <c r="A158" s="8">
        <v>99</v>
      </c>
      <c r="B158" s="8">
        <v>2</v>
      </c>
      <c r="C158" s="8">
        <v>52</v>
      </c>
      <c r="D158" s="8">
        <v>15</v>
      </c>
      <c r="E158" s="8">
        <v>94</v>
      </c>
      <c r="F158" s="8">
        <v>24.6</v>
      </c>
      <c r="G158" s="8">
        <v>0.63700000000000001</v>
      </c>
      <c r="H158" s="8">
        <v>21</v>
      </c>
      <c r="I158" s="9">
        <v>110.46308865897099</v>
      </c>
      <c r="J158" s="9">
        <v>-11.463088658970989</v>
      </c>
      <c r="K158" s="8">
        <f t="shared" si="2"/>
        <v>131.4024016034293</v>
      </c>
    </row>
    <row r="159" spans="1:11" x14ac:dyDescent="0.35">
      <c r="A159" s="8">
        <v>109</v>
      </c>
      <c r="B159" s="8">
        <v>1</v>
      </c>
      <c r="C159" s="8">
        <v>56</v>
      </c>
      <c r="D159" s="8">
        <v>21</v>
      </c>
      <c r="E159" s="8">
        <v>135</v>
      </c>
      <c r="F159" s="8">
        <v>25.2</v>
      </c>
      <c r="G159" s="8">
        <v>0.83299999999999996</v>
      </c>
      <c r="H159" s="8">
        <v>23</v>
      </c>
      <c r="I159" s="9">
        <v>115.77711428499211</v>
      </c>
      <c r="J159" s="9">
        <v>-6.7771142849921091</v>
      </c>
      <c r="K159" s="8">
        <f t="shared" si="2"/>
        <v>45.929278031844106</v>
      </c>
    </row>
    <row r="160" spans="1:11" x14ac:dyDescent="0.35">
      <c r="A160" s="8">
        <v>88</v>
      </c>
      <c r="B160" s="8">
        <v>2</v>
      </c>
      <c r="C160" s="8">
        <v>74</v>
      </c>
      <c r="D160" s="8">
        <v>19</v>
      </c>
      <c r="E160" s="8">
        <v>53</v>
      </c>
      <c r="F160" s="8">
        <v>29</v>
      </c>
      <c r="G160" s="8">
        <v>0.22900000000000001</v>
      </c>
      <c r="H160" s="8">
        <v>22</v>
      </c>
      <c r="I160" s="9">
        <v>107.9167220756987</v>
      </c>
      <c r="J160" s="9">
        <v>-19.916722075698701</v>
      </c>
      <c r="K160" s="8">
        <f t="shared" si="2"/>
        <v>396.67581824062398</v>
      </c>
    </row>
    <row r="161" spans="1:11" x14ac:dyDescent="0.35">
      <c r="A161" s="8">
        <v>163</v>
      </c>
      <c r="B161" s="8">
        <v>17</v>
      </c>
      <c r="C161" s="8">
        <v>72</v>
      </c>
      <c r="D161" s="8">
        <v>41</v>
      </c>
      <c r="E161" s="8">
        <v>114</v>
      </c>
      <c r="F161" s="8">
        <v>40.9</v>
      </c>
      <c r="G161" s="8">
        <v>0.81699999999999995</v>
      </c>
      <c r="H161" s="8">
        <v>47</v>
      </c>
      <c r="I161" s="9">
        <v>136.21000890690297</v>
      </c>
      <c r="J161" s="9">
        <v>26.789991093097029</v>
      </c>
      <c r="K161" s="8">
        <f t="shared" si="2"/>
        <v>717.70362276821811</v>
      </c>
    </row>
    <row r="162" spans="1:11" x14ac:dyDescent="0.35">
      <c r="A162" s="8">
        <v>151</v>
      </c>
      <c r="B162" s="8">
        <v>4</v>
      </c>
      <c r="C162" s="8">
        <v>90</v>
      </c>
      <c r="D162" s="8">
        <v>38</v>
      </c>
      <c r="E162" s="8">
        <v>0</v>
      </c>
      <c r="F162" s="8">
        <v>29.7</v>
      </c>
      <c r="G162" s="8">
        <v>0.29399999999999998</v>
      </c>
      <c r="H162" s="8">
        <v>36</v>
      </c>
      <c r="I162" s="9">
        <v>107.4483820320803</v>
      </c>
      <c r="J162" s="9">
        <v>43.551617967919697</v>
      </c>
      <c r="K162" s="8">
        <f t="shared" si="2"/>
        <v>1896.7434276236258</v>
      </c>
    </row>
    <row r="163" spans="1:11" x14ac:dyDescent="0.35">
      <c r="A163" s="8">
        <v>102</v>
      </c>
      <c r="B163" s="8">
        <v>7</v>
      </c>
      <c r="C163" s="8">
        <v>74</v>
      </c>
      <c r="D163" s="8">
        <v>40</v>
      </c>
      <c r="E163" s="8">
        <v>105</v>
      </c>
      <c r="F163" s="8">
        <v>37.200000000000003</v>
      </c>
      <c r="G163" s="8">
        <v>0.20399999999999999</v>
      </c>
      <c r="H163" s="8">
        <v>45</v>
      </c>
      <c r="I163" s="9">
        <v>127.25243143268929</v>
      </c>
      <c r="J163" s="9">
        <v>-25.252431432689292</v>
      </c>
      <c r="K163" s="8">
        <f t="shared" si="2"/>
        <v>637.68529326267412</v>
      </c>
    </row>
    <row r="164" spans="1:11" x14ac:dyDescent="0.35">
      <c r="A164" s="8">
        <v>114</v>
      </c>
      <c r="B164" s="8">
        <v>0</v>
      </c>
      <c r="C164" s="8">
        <v>80</v>
      </c>
      <c r="D164" s="8">
        <v>34</v>
      </c>
      <c r="E164" s="8">
        <v>285</v>
      </c>
      <c r="F164" s="8">
        <v>44.2</v>
      </c>
      <c r="G164" s="8">
        <v>0.16700000000000001</v>
      </c>
      <c r="H164" s="8">
        <v>27</v>
      </c>
      <c r="I164" s="9">
        <v>140.75554951574884</v>
      </c>
      <c r="J164" s="9">
        <v>-26.755549515748839</v>
      </c>
      <c r="K164" s="8">
        <f t="shared" si="2"/>
        <v>715.85942988968793</v>
      </c>
    </row>
    <row r="165" spans="1:11" x14ac:dyDescent="0.35">
      <c r="A165" s="8">
        <v>100</v>
      </c>
      <c r="B165" s="8">
        <v>2</v>
      </c>
      <c r="C165" s="8">
        <v>64</v>
      </c>
      <c r="D165" s="8">
        <v>23</v>
      </c>
      <c r="E165" s="8">
        <v>0</v>
      </c>
      <c r="F165" s="8">
        <v>29.7</v>
      </c>
      <c r="G165" s="8">
        <v>0.36799999999999999</v>
      </c>
      <c r="H165" s="8">
        <v>21</v>
      </c>
      <c r="I165" s="9">
        <v>101.3119395011492</v>
      </c>
      <c r="J165" s="9">
        <v>-1.3119395011491974</v>
      </c>
      <c r="K165" s="8">
        <f t="shared" si="2"/>
        <v>1.721185254675605</v>
      </c>
    </row>
    <row r="166" spans="1:11" x14ac:dyDescent="0.35">
      <c r="A166" s="8">
        <v>131</v>
      </c>
      <c r="B166" s="8">
        <v>0</v>
      </c>
      <c r="C166" s="8">
        <v>88</v>
      </c>
      <c r="D166" s="8">
        <v>0</v>
      </c>
      <c r="E166" s="8">
        <v>0</v>
      </c>
      <c r="F166" s="8">
        <v>31.6</v>
      </c>
      <c r="G166" s="8">
        <v>0.74299999999999999</v>
      </c>
      <c r="H166" s="8">
        <v>32</v>
      </c>
      <c r="I166" s="9">
        <v>121.45464652902626</v>
      </c>
      <c r="J166" s="9">
        <v>9.5453534709737369</v>
      </c>
      <c r="K166" s="8">
        <f t="shared" si="2"/>
        <v>91.113772885830372</v>
      </c>
    </row>
    <row r="167" spans="1:11" x14ac:dyDescent="0.35">
      <c r="A167" s="8">
        <v>104</v>
      </c>
      <c r="B167" s="8">
        <v>6</v>
      </c>
      <c r="C167" s="8">
        <v>74</v>
      </c>
      <c r="D167" s="8">
        <v>18</v>
      </c>
      <c r="E167" s="8">
        <v>156</v>
      </c>
      <c r="F167" s="8">
        <v>29.9</v>
      </c>
      <c r="G167" s="8">
        <v>0.72199999999999998</v>
      </c>
      <c r="H167" s="8">
        <v>41</v>
      </c>
      <c r="I167" s="9">
        <v>134.88502748711403</v>
      </c>
      <c r="J167" s="9">
        <v>-30.88502748711403</v>
      </c>
      <c r="K167" s="8">
        <f t="shared" si="2"/>
        <v>953.8849228797892</v>
      </c>
    </row>
    <row r="168" spans="1:11" x14ac:dyDescent="0.35">
      <c r="A168" s="8">
        <v>148</v>
      </c>
      <c r="B168" s="8">
        <v>3</v>
      </c>
      <c r="C168" s="8">
        <v>66</v>
      </c>
      <c r="D168" s="8">
        <v>25</v>
      </c>
      <c r="E168" s="8">
        <v>0</v>
      </c>
      <c r="F168" s="8">
        <v>32.5</v>
      </c>
      <c r="G168" s="8">
        <v>0.25600000000000001</v>
      </c>
      <c r="H168" s="8">
        <v>22</v>
      </c>
      <c r="I168" s="9">
        <v>102.88108437403244</v>
      </c>
      <c r="J168" s="9">
        <v>45.11891562596756</v>
      </c>
      <c r="K168" s="8">
        <f t="shared" si="2"/>
        <v>2035.7165472631796</v>
      </c>
    </row>
    <row r="169" spans="1:11" x14ac:dyDescent="0.35">
      <c r="A169" s="8">
        <v>120</v>
      </c>
      <c r="B169" s="8">
        <v>4</v>
      </c>
      <c r="C169" s="8">
        <v>68</v>
      </c>
      <c r="D169" s="8">
        <v>0</v>
      </c>
      <c r="E169" s="8">
        <v>0</v>
      </c>
      <c r="F169" s="8">
        <v>29.6</v>
      </c>
      <c r="G169" s="8">
        <v>0.70899999999999996</v>
      </c>
      <c r="H169" s="8">
        <v>34</v>
      </c>
      <c r="I169" s="9">
        <v>119.86481798381374</v>
      </c>
      <c r="J169" s="9">
        <v>0.13518201618626335</v>
      </c>
      <c r="K169" s="8">
        <f t="shared" si="2"/>
        <v>1.8274177500183168E-2</v>
      </c>
    </row>
    <row r="170" spans="1:11" x14ac:dyDescent="0.35">
      <c r="A170" s="8">
        <v>110</v>
      </c>
      <c r="B170" s="8">
        <v>4</v>
      </c>
      <c r="C170" s="8">
        <v>66</v>
      </c>
      <c r="D170" s="8">
        <v>0</v>
      </c>
      <c r="E170" s="8">
        <v>0</v>
      </c>
      <c r="F170" s="8">
        <v>31.9</v>
      </c>
      <c r="G170" s="8">
        <v>0.47099999999999997</v>
      </c>
      <c r="H170" s="8">
        <v>29</v>
      </c>
      <c r="I170" s="9">
        <v>116.72086201049234</v>
      </c>
      <c r="J170" s="9">
        <v>-6.7208620104923398</v>
      </c>
      <c r="K170" s="8">
        <f t="shared" si="2"/>
        <v>45.169986164079134</v>
      </c>
    </row>
    <row r="171" spans="1:11" x14ac:dyDescent="0.35">
      <c r="A171" s="8">
        <v>111</v>
      </c>
      <c r="B171" s="8">
        <v>3</v>
      </c>
      <c r="C171" s="8">
        <v>90</v>
      </c>
      <c r="D171" s="8">
        <v>12</v>
      </c>
      <c r="E171" s="8">
        <v>78</v>
      </c>
      <c r="F171" s="8">
        <v>28.4</v>
      </c>
      <c r="G171" s="8">
        <v>0.495</v>
      </c>
      <c r="H171" s="8">
        <v>29</v>
      </c>
      <c r="I171" s="9">
        <v>119.69463167470504</v>
      </c>
      <c r="J171" s="9">
        <v>-8.6946316747050361</v>
      </c>
      <c r="K171" s="8">
        <f t="shared" si="2"/>
        <v>75.596619958784103</v>
      </c>
    </row>
    <row r="172" spans="1:11" x14ac:dyDescent="0.35">
      <c r="A172" s="8">
        <v>102</v>
      </c>
      <c r="B172" s="8">
        <v>6</v>
      </c>
      <c r="C172" s="8">
        <v>82</v>
      </c>
      <c r="D172" s="8">
        <v>0</v>
      </c>
      <c r="E172" s="8">
        <v>0</v>
      </c>
      <c r="F172" s="8">
        <v>30.8</v>
      </c>
      <c r="G172" s="8">
        <v>0.18</v>
      </c>
      <c r="H172" s="8">
        <v>36</v>
      </c>
      <c r="I172" s="9">
        <v>119.8126816231153</v>
      </c>
      <c r="J172" s="9">
        <v>-17.812681623115296</v>
      </c>
      <c r="K172" s="8">
        <f t="shared" si="2"/>
        <v>317.29162660646938</v>
      </c>
    </row>
    <row r="173" spans="1:11" x14ac:dyDescent="0.35">
      <c r="A173" s="8">
        <v>134</v>
      </c>
      <c r="B173" s="8">
        <v>6</v>
      </c>
      <c r="C173" s="8">
        <v>70</v>
      </c>
      <c r="D173" s="8">
        <v>23</v>
      </c>
      <c r="E173" s="8">
        <v>130</v>
      </c>
      <c r="F173" s="8">
        <v>35.4</v>
      </c>
      <c r="G173" s="8">
        <v>0.54200000000000004</v>
      </c>
      <c r="H173" s="8">
        <v>29</v>
      </c>
      <c r="I173" s="9">
        <v>125.56778048125243</v>
      </c>
      <c r="J173" s="9">
        <v>8.4322195187475728</v>
      </c>
      <c r="K173" s="8">
        <f t="shared" si="2"/>
        <v>71.102326012347547</v>
      </c>
    </row>
    <row r="174" spans="1:11" x14ac:dyDescent="0.35">
      <c r="A174" s="8">
        <v>87</v>
      </c>
      <c r="B174" s="8">
        <v>2</v>
      </c>
      <c r="C174" s="8">
        <v>0</v>
      </c>
      <c r="D174" s="8">
        <v>23</v>
      </c>
      <c r="E174" s="8">
        <v>0</v>
      </c>
      <c r="F174" s="8">
        <v>28.9</v>
      </c>
      <c r="G174" s="8">
        <v>0.77300000000000002</v>
      </c>
      <c r="H174" s="8">
        <v>25</v>
      </c>
      <c r="I174" s="9">
        <v>101.36872764121105</v>
      </c>
      <c r="J174" s="9">
        <v>-14.368727641211052</v>
      </c>
      <c r="K174" s="8">
        <f t="shared" si="2"/>
        <v>206.46033402730254</v>
      </c>
    </row>
    <row r="175" spans="1:11" x14ac:dyDescent="0.35">
      <c r="A175" s="8">
        <v>79</v>
      </c>
      <c r="B175" s="8">
        <v>1</v>
      </c>
      <c r="C175" s="8">
        <v>60</v>
      </c>
      <c r="D175" s="8">
        <v>42</v>
      </c>
      <c r="E175" s="8">
        <v>48</v>
      </c>
      <c r="F175" s="8">
        <v>43.5</v>
      </c>
      <c r="G175" s="8">
        <v>0.67800000000000005</v>
      </c>
      <c r="H175" s="8">
        <v>23</v>
      </c>
      <c r="I175" s="9">
        <v>113.04775384468725</v>
      </c>
      <c r="J175" s="9">
        <v>-34.04775384468725</v>
      </c>
      <c r="K175" s="8">
        <f t="shared" si="2"/>
        <v>1159.2495418684155</v>
      </c>
    </row>
    <row r="176" spans="1:11" x14ac:dyDescent="0.35">
      <c r="A176" s="8">
        <v>75</v>
      </c>
      <c r="B176" s="8">
        <v>2</v>
      </c>
      <c r="C176" s="8">
        <v>64</v>
      </c>
      <c r="D176" s="8">
        <v>24</v>
      </c>
      <c r="E176" s="8">
        <v>55</v>
      </c>
      <c r="F176" s="8">
        <v>29.7</v>
      </c>
      <c r="G176" s="8">
        <v>0.37</v>
      </c>
      <c r="H176" s="8">
        <v>33</v>
      </c>
      <c r="I176" s="9">
        <v>114.25976685286565</v>
      </c>
      <c r="J176" s="9">
        <v>-39.259766852865653</v>
      </c>
      <c r="K176" s="8">
        <f t="shared" si="2"/>
        <v>1541.3292933413686</v>
      </c>
    </row>
    <row r="177" spans="1:11" x14ac:dyDescent="0.35">
      <c r="A177" s="8">
        <v>179</v>
      </c>
      <c r="B177" s="8">
        <v>8</v>
      </c>
      <c r="C177" s="8">
        <v>72</v>
      </c>
      <c r="D177" s="8">
        <v>42</v>
      </c>
      <c r="E177" s="8">
        <v>130</v>
      </c>
      <c r="F177" s="8">
        <v>32.700000000000003</v>
      </c>
      <c r="G177" s="8">
        <v>0.71899999999999997</v>
      </c>
      <c r="H177" s="8">
        <v>36</v>
      </c>
      <c r="I177" s="9">
        <v>123.08393920546447</v>
      </c>
      <c r="J177" s="9">
        <v>55.916060794535525</v>
      </c>
      <c r="K177" s="8">
        <f t="shared" si="2"/>
        <v>3126.6058547781927</v>
      </c>
    </row>
    <row r="178" spans="1:11" x14ac:dyDescent="0.35">
      <c r="A178" s="8">
        <v>85</v>
      </c>
      <c r="B178" s="8">
        <v>6</v>
      </c>
      <c r="C178" s="8">
        <v>78</v>
      </c>
      <c r="D178" s="8">
        <v>0</v>
      </c>
      <c r="E178" s="8">
        <v>0</v>
      </c>
      <c r="F178" s="8">
        <v>31.2</v>
      </c>
      <c r="G178" s="8">
        <v>0.38200000000000001</v>
      </c>
      <c r="H178" s="8">
        <v>42</v>
      </c>
      <c r="I178" s="9">
        <v>124.98011189664984</v>
      </c>
      <c r="J178" s="9">
        <v>-39.980111896649845</v>
      </c>
      <c r="K178" s="8">
        <f t="shared" si="2"/>
        <v>1598.4093472686425</v>
      </c>
    </row>
    <row r="179" spans="1:11" x14ac:dyDescent="0.35">
      <c r="A179" s="8">
        <v>129</v>
      </c>
      <c r="B179" s="8">
        <v>0</v>
      </c>
      <c r="C179" s="8">
        <v>110</v>
      </c>
      <c r="D179" s="8">
        <v>46</v>
      </c>
      <c r="E179" s="8">
        <v>130</v>
      </c>
      <c r="F179" s="8">
        <v>67.099999999999994</v>
      </c>
      <c r="G179" s="8">
        <v>0.31900000000000001</v>
      </c>
      <c r="H179" s="8">
        <v>26</v>
      </c>
      <c r="I179" s="9">
        <v>140.76792350407837</v>
      </c>
      <c r="J179" s="9">
        <v>-11.767923504078368</v>
      </c>
      <c r="K179" s="8">
        <f t="shared" si="2"/>
        <v>138.48402359784009</v>
      </c>
    </row>
    <row r="180" spans="1:11" x14ac:dyDescent="0.35">
      <c r="A180" s="8">
        <v>143</v>
      </c>
      <c r="B180" s="8">
        <v>5</v>
      </c>
      <c r="C180" s="8">
        <v>78</v>
      </c>
      <c r="D180" s="8">
        <v>0</v>
      </c>
      <c r="E180" s="8">
        <v>0</v>
      </c>
      <c r="F180" s="8">
        <v>45</v>
      </c>
      <c r="G180" s="8">
        <v>0.19</v>
      </c>
      <c r="H180" s="8">
        <v>47</v>
      </c>
      <c r="I180" s="9">
        <v>137.28884771825602</v>
      </c>
      <c r="J180" s="9">
        <v>5.7111522817439777</v>
      </c>
      <c r="K180" s="8">
        <f t="shared" si="2"/>
        <v>32.617260385269446</v>
      </c>
    </row>
    <row r="181" spans="1:11" x14ac:dyDescent="0.35">
      <c r="A181" s="8">
        <v>130</v>
      </c>
      <c r="B181" s="8">
        <v>5</v>
      </c>
      <c r="C181" s="8">
        <v>82</v>
      </c>
      <c r="D181" s="8">
        <v>0</v>
      </c>
      <c r="E181" s="8">
        <v>0</v>
      </c>
      <c r="F181" s="8">
        <v>39.1</v>
      </c>
      <c r="G181" s="8">
        <v>0.95599999999999996</v>
      </c>
      <c r="H181" s="8">
        <v>37</v>
      </c>
      <c r="I181" s="9">
        <v>131.52787949254227</v>
      </c>
      <c r="J181" s="9">
        <v>-1.5278794925422687</v>
      </c>
      <c r="K181" s="8">
        <f t="shared" si="2"/>
        <v>2.3344157437312205</v>
      </c>
    </row>
    <row r="182" spans="1:11" x14ac:dyDescent="0.35">
      <c r="A182" s="8">
        <v>87</v>
      </c>
      <c r="B182" s="8">
        <v>6</v>
      </c>
      <c r="C182" s="8">
        <v>80</v>
      </c>
      <c r="D182" s="8">
        <v>0</v>
      </c>
      <c r="E182" s="8">
        <v>0</v>
      </c>
      <c r="F182" s="8">
        <v>23.2</v>
      </c>
      <c r="G182" s="8">
        <v>8.4000000000000005E-2</v>
      </c>
      <c r="H182" s="8">
        <v>32</v>
      </c>
      <c r="I182" s="9">
        <v>110.78297686491268</v>
      </c>
      <c r="J182" s="9">
        <v>-23.782976864912683</v>
      </c>
      <c r="K182" s="8">
        <f t="shared" si="2"/>
        <v>565.62998855697197</v>
      </c>
    </row>
    <row r="183" spans="1:11" x14ac:dyDescent="0.35">
      <c r="A183" s="8">
        <v>119</v>
      </c>
      <c r="B183" s="8">
        <v>0</v>
      </c>
      <c r="C183" s="8">
        <v>64</v>
      </c>
      <c r="D183" s="8">
        <v>18</v>
      </c>
      <c r="E183" s="8">
        <v>92</v>
      </c>
      <c r="F183" s="8">
        <v>34.9</v>
      </c>
      <c r="G183" s="8">
        <v>0.72499999999999998</v>
      </c>
      <c r="H183" s="8">
        <v>23</v>
      </c>
      <c r="I183" s="9">
        <v>119.55633752703586</v>
      </c>
      <c r="J183" s="9">
        <v>-0.55633752703586481</v>
      </c>
      <c r="K183" s="8">
        <f t="shared" si="2"/>
        <v>0.3095114439883816</v>
      </c>
    </row>
    <row r="184" spans="1:11" x14ac:dyDescent="0.35">
      <c r="A184" s="8">
        <v>0</v>
      </c>
      <c r="B184" s="8">
        <v>1</v>
      </c>
      <c r="C184" s="8">
        <v>74</v>
      </c>
      <c r="D184" s="8">
        <v>20</v>
      </c>
      <c r="E184" s="8">
        <v>23</v>
      </c>
      <c r="F184" s="8">
        <v>27.7</v>
      </c>
      <c r="G184" s="8">
        <v>0.29899999999999999</v>
      </c>
      <c r="H184" s="8">
        <v>21</v>
      </c>
      <c r="I184" s="9">
        <v>103.33069900672653</v>
      </c>
      <c r="J184" s="9">
        <v>-103.33069900672653</v>
      </c>
      <c r="K184" s="8">
        <f t="shared" si="2"/>
        <v>10677.233357218716</v>
      </c>
    </row>
    <row r="185" spans="1:11" x14ac:dyDescent="0.35">
      <c r="A185" s="8">
        <v>73</v>
      </c>
      <c r="B185" s="8">
        <v>5</v>
      </c>
      <c r="C185" s="8">
        <v>60</v>
      </c>
      <c r="D185" s="8">
        <v>0</v>
      </c>
      <c r="E185" s="8">
        <v>0</v>
      </c>
      <c r="F185" s="8">
        <v>26.8</v>
      </c>
      <c r="G185" s="8">
        <v>0.26800000000000002</v>
      </c>
      <c r="H185" s="8">
        <v>27</v>
      </c>
      <c r="I185" s="9">
        <v>109.96035705048156</v>
      </c>
      <c r="J185" s="9">
        <v>-36.960357050481562</v>
      </c>
      <c r="K185" s="8">
        <f t="shared" si="2"/>
        <v>1366.0679932990822</v>
      </c>
    </row>
    <row r="186" spans="1:11" x14ac:dyDescent="0.35">
      <c r="A186" s="8">
        <v>141</v>
      </c>
      <c r="B186" s="8">
        <v>4</v>
      </c>
      <c r="C186" s="8">
        <v>74</v>
      </c>
      <c r="D186" s="8">
        <v>0</v>
      </c>
      <c r="E186" s="8">
        <v>0</v>
      </c>
      <c r="F186" s="8">
        <v>27.6</v>
      </c>
      <c r="G186" s="8">
        <v>0.24399999999999999</v>
      </c>
      <c r="H186" s="8">
        <v>40</v>
      </c>
      <c r="I186" s="9">
        <v>119.71893472509488</v>
      </c>
      <c r="J186" s="9">
        <v>21.281065274905117</v>
      </c>
      <c r="K186" s="8">
        <f t="shared" si="2"/>
        <v>452.88373923477241</v>
      </c>
    </row>
    <row r="187" spans="1:11" x14ac:dyDescent="0.35">
      <c r="A187" s="8">
        <v>194</v>
      </c>
      <c r="B187" s="8">
        <v>7</v>
      </c>
      <c r="C187" s="8">
        <v>68</v>
      </c>
      <c r="D187" s="8">
        <v>28</v>
      </c>
      <c r="E187" s="8">
        <v>0</v>
      </c>
      <c r="F187" s="8">
        <v>35.9</v>
      </c>
      <c r="G187" s="8">
        <v>0.745</v>
      </c>
      <c r="H187" s="8">
        <v>41</v>
      </c>
      <c r="I187" s="9">
        <v>120.15364140913364</v>
      </c>
      <c r="J187" s="9">
        <v>73.846358590866359</v>
      </c>
      <c r="K187" s="8">
        <f t="shared" si="2"/>
        <v>5453.2846771308214</v>
      </c>
    </row>
    <row r="188" spans="1:11" x14ac:dyDescent="0.35">
      <c r="A188" s="8">
        <v>181</v>
      </c>
      <c r="B188" s="8">
        <v>8</v>
      </c>
      <c r="C188" s="8">
        <v>68</v>
      </c>
      <c r="D188" s="8">
        <v>36</v>
      </c>
      <c r="E188" s="8">
        <v>495</v>
      </c>
      <c r="F188" s="8">
        <v>30.1</v>
      </c>
      <c r="G188" s="8">
        <v>0.61499999999999999</v>
      </c>
      <c r="H188" s="8">
        <v>60</v>
      </c>
      <c r="I188" s="9">
        <v>174.36256135590963</v>
      </c>
      <c r="J188" s="9">
        <v>6.6374386440903663</v>
      </c>
      <c r="K188" s="8">
        <f t="shared" si="2"/>
        <v>44.05559175406416</v>
      </c>
    </row>
    <row r="189" spans="1:11" x14ac:dyDescent="0.35">
      <c r="A189" s="8">
        <v>128</v>
      </c>
      <c r="B189" s="8">
        <v>1</v>
      </c>
      <c r="C189" s="8">
        <v>98</v>
      </c>
      <c r="D189" s="8">
        <v>41</v>
      </c>
      <c r="E189" s="8">
        <v>58</v>
      </c>
      <c r="F189" s="8">
        <v>32</v>
      </c>
      <c r="G189" s="8">
        <v>1.321</v>
      </c>
      <c r="H189" s="8">
        <v>33</v>
      </c>
      <c r="I189" s="9">
        <v>118.93359434221929</v>
      </c>
      <c r="J189" s="9">
        <v>9.066405657780706</v>
      </c>
      <c r="K189" s="8">
        <f t="shared" si="2"/>
        <v>82.199711551438</v>
      </c>
    </row>
    <row r="190" spans="1:11" x14ac:dyDescent="0.35">
      <c r="A190" s="8">
        <v>109</v>
      </c>
      <c r="B190" s="8">
        <v>8</v>
      </c>
      <c r="C190" s="8">
        <v>76</v>
      </c>
      <c r="D190" s="8">
        <v>39</v>
      </c>
      <c r="E190" s="8">
        <v>114</v>
      </c>
      <c r="F190" s="8">
        <v>27.9</v>
      </c>
      <c r="G190" s="8">
        <v>0.64</v>
      </c>
      <c r="H190" s="8">
        <v>31</v>
      </c>
      <c r="I190" s="9">
        <v>115.43246216008981</v>
      </c>
      <c r="J190" s="9">
        <v>-6.4324621600898126</v>
      </c>
      <c r="K190" s="8">
        <f t="shared" si="2"/>
        <v>41.376569440987296</v>
      </c>
    </row>
    <row r="191" spans="1:11" x14ac:dyDescent="0.35">
      <c r="A191" s="8">
        <v>139</v>
      </c>
      <c r="B191" s="8">
        <v>5</v>
      </c>
      <c r="C191" s="8">
        <v>80</v>
      </c>
      <c r="D191" s="8">
        <v>35</v>
      </c>
      <c r="E191" s="8">
        <v>160</v>
      </c>
      <c r="F191" s="8">
        <v>31.6</v>
      </c>
      <c r="G191" s="8">
        <v>0.36099999999999999</v>
      </c>
      <c r="H191" s="8">
        <v>25</v>
      </c>
      <c r="I191" s="9">
        <v>118.6371622478333</v>
      </c>
      <c r="J191" s="9">
        <v>20.362837752166698</v>
      </c>
      <c r="K191" s="8">
        <f t="shared" si="2"/>
        <v>414.6451613210653</v>
      </c>
    </row>
    <row r="192" spans="1:11" x14ac:dyDescent="0.35">
      <c r="A192" s="8">
        <v>111</v>
      </c>
      <c r="B192" s="8">
        <v>3</v>
      </c>
      <c r="C192" s="8">
        <v>62</v>
      </c>
      <c r="D192" s="8">
        <v>0</v>
      </c>
      <c r="E192" s="8">
        <v>0</v>
      </c>
      <c r="F192" s="8">
        <v>22.6</v>
      </c>
      <c r="G192" s="8">
        <v>0.14199999999999999</v>
      </c>
      <c r="H192" s="8">
        <v>21</v>
      </c>
      <c r="I192" s="9">
        <v>102.16395305027893</v>
      </c>
      <c r="J192" s="9">
        <v>8.8360469497210659</v>
      </c>
      <c r="K192" s="8">
        <f t="shared" si="2"/>
        <v>78.075725697674955</v>
      </c>
    </row>
    <row r="193" spans="1:11" x14ac:dyDescent="0.35">
      <c r="A193" s="8">
        <v>123</v>
      </c>
      <c r="B193" s="8">
        <v>9</v>
      </c>
      <c r="C193" s="8">
        <v>70</v>
      </c>
      <c r="D193" s="8">
        <v>44</v>
      </c>
      <c r="E193" s="8">
        <v>94</v>
      </c>
      <c r="F193" s="8">
        <v>33.1</v>
      </c>
      <c r="G193" s="8">
        <v>0.374</v>
      </c>
      <c r="H193" s="8">
        <v>40</v>
      </c>
      <c r="I193" s="9">
        <v>119.4191155643929</v>
      </c>
      <c r="J193" s="9">
        <v>3.5808844356071035</v>
      </c>
      <c r="K193" s="8">
        <f t="shared" si="2"/>
        <v>12.822733341173205</v>
      </c>
    </row>
    <row r="194" spans="1:11" x14ac:dyDescent="0.35">
      <c r="A194" s="8">
        <v>159</v>
      </c>
      <c r="B194" s="8">
        <v>7</v>
      </c>
      <c r="C194" s="8">
        <v>66</v>
      </c>
      <c r="D194" s="8">
        <v>0</v>
      </c>
      <c r="E194" s="8">
        <v>0</v>
      </c>
      <c r="F194" s="8">
        <v>30.4</v>
      </c>
      <c r="G194" s="8">
        <v>0.38300000000000001</v>
      </c>
      <c r="H194" s="8">
        <v>36</v>
      </c>
      <c r="I194" s="9">
        <v>119.73314888196903</v>
      </c>
      <c r="J194" s="9">
        <v>39.266851118030971</v>
      </c>
      <c r="K194" s="8">
        <f t="shared" si="2"/>
        <v>1541.8855967256102</v>
      </c>
    </row>
    <row r="195" spans="1:11" x14ac:dyDescent="0.35">
      <c r="A195" s="8">
        <v>135</v>
      </c>
      <c r="B195" s="8">
        <v>11</v>
      </c>
      <c r="C195" s="8">
        <v>0</v>
      </c>
      <c r="D195" s="8">
        <v>0</v>
      </c>
      <c r="E195" s="8">
        <v>0</v>
      </c>
      <c r="F195" s="8">
        <v>52.3</v>
      </c>
      <c r="G195" s="8">
        <v>0.57799999999999996</v>
      </c>
      <c r="H195" s="8">
        <v>40</v>
      </c>
      <c r="I195" s="9">
        <v>135.59079304185943</v>
      </c>
      <c r="J195" s="9">
        <v>-0.5907930418594276</v>
      </c>
      <c r="K195" s="8">
        <f t="shared" ref="K195:K258" si="3">J195*J195</f>
        <v>0.34903641830951537</v>
      </c>
    </row>
    <row r="196" spans="1:11" x14ac:dyDescent="0.35">
      <c r="A196" s="8">
        <v>85</v>
      </c>
      <c r="B196" s="8">
        <v>8</v>
      </c>
      <c r="C196" s="8">
        <v>55</v>
      </c>
      <c r="D196" s="8">
        <v>20</v>
      </c>
      <c r="E196" s="8">
        <v>0</v>
      </c>
      <c r="F196" s="8">
        <v>24.4</v>
      </c>
      <c r="G196" s="8">
        <v>0.13600000000000001</v>
      </c>
      <c r="H196" s="8">
        <v>42</v>
      </c>
      <c r="I196" s="9">
        <v>110.14640148608376</v>
      </c>
      <c r="J196" s="9">
        <v>-25.146401486083761</v>
      </c>
      <c r="K196" s="8">
        <f t="shared" si="3"/>
        <v>632.34150769931557</v>
      </c>
    </row>
    <row r="197" spans="1:11" x14ac:dyDescent="0.35">
      <c r="A197" s="8">
        <v>158</v>
      </c>
      <c r="B197" s="8">
        <v>5</v>
      </c>
      <c r="C197" s="8">
        <v>84</v>
      </c>
      <c r="D197" s="8">
        <v>41</v>
      </c>
      <c r="E197" s="8">
        <v>210</v>
      </c>
      <c r="F197" s="8">
        <v>39.4</v>
      </c>
      <c r="G197" s="8">
        <v>0.39500000000000002</v>
      </c>
      <c r="H197" s="8">
        <v>29</v>
      </c>
      <c r="I197" s="9">
        <v>130.58381633201546</v>
      </c>
      <c r="J197" s="9">
        <v>27.416183667984541</v>
      </c>
      <c r="K197" s="8">
        <f t="shared" si="3"/>
        <v>751.64712691666227</v>
      </c>
    </row>
    <row r="198" spans="1:11" x14ac:dyDescent="0.35">
      <c r="A198" s="8">
        <v>105</v>
      </c>
      <c r="B198" s="8">
        <v>1</v>
      </c>
      <c r="C198" s="8">
        <v>58</v>
      </c>
      <c r="D198" s="8">
        <v>0</v>
      </c>
      <c r="E198" s="8">
        <v>0</v>
      </c>
      <c r="F198" s="8">
        <v>24.3</v>
      </c>
      <c r="G198" s="8">
        <v>0.187</v>
      </c>
      <c r="H198" s="8">
        <v>21</v>
      </c>
      <c r="I198" s="9">
        <v>103.32573011583344</v>
      </c>
      <c r="J198" s="9">
        <v>1.6742698841665629</v>
      </c>
      <c r="K198" s="8">
        <f t="shared" si="3"/>
        <v>2.8031796450271158</v>
      </c>
    </row>
    <row r="199" spans="1:11" x14ac:dyDescent="0.35">
      <c r="A199" s="8">
        <v>107</v>
      </c>
      <c r="B199" s="8">
        <v>3</v>
      </c>
      <c r="C199" s="8">
        <v>62</v>
      </c>
      <c r="D199" s="8">
        <v>13</v>
      </c>
      <c r="E199" s="8">
        <v>48</v>
      </c>
      <c r="F199" s="8">
        <v>22.9</v>
      </c>
      <c r="G199" s="8">
        <v>0.67800000000000005</v>
      </c>
      <c r="H199" s="8">
        <v>23</v>
      </c>
      <c r="I199" s="9">
        <v>107.54279978682165</v>
      </c>
      <c r="J199" s="9">
        <v>-0.54279978682164653</v>
      </c>
      <c r="K199" s="8">
        <f t="shared" si="3"/>
        <v>0.29463160857362491</v>
      </c>
    </row>
    <row r="200" spans="1:11" x14ac:dyDescent="0.35">
      <c r="A200" s="8">
        <v>109</v>
      </c>
      <c r="B200" s="8">
        <v>4</v>
      </c>
      <c r="C200" s="8">
        <v>64</v>
      </c>
      <c r="D200" s="8">
        <v>44</v>
      </c>
      <c r="E200" s="8">
        <v>99</v>
      </c>
      <c r="F200" s="8">
        <v>34.799999999999997</v>
      </c>
      <c r="G200" s="8">
        <v>0.90500000000000003</v>
      </c>
      <c r="H200" s="8">
        <v>26</v>
      </c>
      <c r="I200" s="9">
        <v>114.80253319940252</v>
      </c>
      <c r="J200" s="9">
        <v>-5.802533199402518</v>
      </c>
      <c r="K200" s="8">
        <f t="shared" si="3"/>
        <v>33.669391530168419</v>
      </c>
    </row>
    <row r="201" spans="1:11" x14ac:dyDescent="0.35">
      <c r="A201" s="8">
        <v>148</v>
      </c>
      <c r="B201" s="8">
        <v>4</v>
      </c>
      <c r="C201" s="8">
        <v>60</v>
      </c>
      <c r="D201" s="8">
        <v>27</v>
      </c>
      <c r="E201" s="8">
        <v>318</v>
      </c>
      <c r="F201" s="8">
        <v>30.9</v>
      </c>
      <c r="G201" s="8">
        <v>0.15</v>
      </c>
      <c r="H201" s="8">
        <v>29</v>
      </c>
      <c r="I201" s="9">
        <v>136.45030433195956</v>
      </c>
      <c r="J201" s="9">
        <v>11.549695668040442</v>
      </c>
      <c r="K201" s="8">
        <f t="shared" si="3"/>
        <v>133.39547002435216</v>
      </c>
    </row>
    <row r="202" spans="1:11" x14ac:dyDescent="0.35">
      <c r="A202" s="8">
        <v>113</v>
      </c>
      <c r="B202" s="8">
        <v>0</v>
      </c>
      <c r="C202" s="8">
        <v>80</v>
      </c>
      <c r="D202" s="8">
        <v>16</v>
      </c>
      <c r="E202" s="8">
        <v>0</v>
      </c>
      <c r="F202" s="8">
        <v>31</v>
      </c>
      <c r="G202" s="8">
        <v>0.874</v>
      </c>
      <c r="H202" s="8">
        <v>21</v>
      </c>
      <c r="I202" s="9">
        <v>108.82578570733665</v>
      </c>
      <c r="J202" s="9">
        <v>4.1742142926633505</v>
      </c>
      <c r="K202" s="8">
        <f t="shared" si="3"/>
        <v>17.424064961074997</v>
      </c>
    </row>
    <row r="203" spans="1:11" x14ac:dyDescent="0.35">
      <c r="A203" s="8">
        <v>138</v>
      </c>
      <c r="B203" s="8">
        <v>1</v>
      </c>
      <c r="C203" s="8">
        <v>82</v>
      </c>
      <c r="D203" s="8">
        <v>0</v>
      </c>
      <c r="E203" s="8">
        <v>0</v>
      </c>
      <c r="F203" s="8">
        <v>40.1</v>
      </c>
      <c r="G203" s="8">
        <v>0.23599999999999999</v>
      </c>
      <c r="H203" s="8">
        <v>28</v>
      </c>
      <c r="I203" s="9">
        <v>121.68748826909425</v>
      </c>
      <c r="J203" s="9">
        <v>16.312511730905754</v>
      </c>
      <c r="K203" s="8">
        <f t="shared" si="3"/>
        <v>266.09803897093786</v>
      </c>
    </row>
    <row r="204" spans="1:11" x14ac:dyDescent="0.35">
      <c r="A204" s="8">
        <v>108</v>
      </c>
      <c r="B204" s="8">
        <v>0</v>
      </c>
      <c r="C204" s="8">
        <v>68</v>
      </c>
      <c r="D204" s="8">
        <v>20</v>
      </c>
      <c r="E204" s="8">
        <v>0</v>
      </c>
      <c r="F204" s="8">
        <v>27.3</v>
      </c>
      <c r="G204" s="8">
        <v>0.78700000000000003</v>
      </c>
      <c r="H204" s="8">
        <v>32</v>
      </c>
      <c r="I204" s="9">
        <v>110.42065767787244</v>
      </c>
      <c r="J204" s="9">
        <v>-2.4206576778724411</v>
      </c>
      <c r="K204" s="8">
        <f t="shared" si="3"/>
        <v>5.8595835934427987</v>
      </c>
    </row>
    <row r="205" spans="1:11" x14ac:dyDescent="0.35">
      <c r="A205" s="8">
        <v>99</v>
      </c>
      <c r="B205" s="8">
        <v>2</v>
      </c>
      <c r="C205" s="8">
        <v>70</v>
      </c>
      <c r="D205" s="8">
        <v>16</v>
      </c>
      <c r="E205" s="8">
        <v>44</v>
      </c>
      <c r="F205" s="8">
        <v>20.399999999999999</v>
      </c>
      <c r="G205" s="8">
        <v>0.23499999999999999</v>
      </c>
      <c r="H205" s="8">
        <v>27</v>
      </c>
      <c r="I205" s="9">
        <v>104.54669814538751</v>
      </c>
      <c r="J205" s="9">
        <v>-5.5466981453875093</v>
      </c>
      <c r="K205" s="8">
        <f t="shared" si="3"/>
        <v>30.765860316045234</v>
      </c>
    </row>
    <row r="206" spans="1:11" x14ac:dyDescent="0.35">
      <c r="A206" s="8">
        <v>103</v>
      </c>
      <c r="B206" s="8">
        <v>6</v>
      </c>
      <c r="C206" s="8">
        <v>72</v>
      </c>
      <c r="D206" s="8">
        <v>32</v>
      </c>
      <c r="E206" s="8">
        <v>190</v>
      </c>
      <c r="F206" s="8">
        <v>37.700000000000003</v>
      </c>
      <c r="G206" s="8">
        <v>0.32400000000000001</v>
      </c>
      <c r="H206" s="8">
        <v>55</v>
      </c>
      <c r="I206" s="9">
        <v>145.85382255597236</v>
      </c>
      <c r="J206" s="9">
        <v>-42.853822555972357</v>
      </c>
      <c r="K206" s="8">
        <f t="shared" si="3"/>
        <v>1836.4501076587651</v>
      </c>
    </row>
    <row r="207" spans="1:11" x14ac:dyDescent="0.35">
      <c r="A207" s="8">
        <v>111</v>
      </c>
      <c r="B207" s="8">
        <v>5</v>
      </c>
      <c r="C207" s="8">
        <v>72</v>
      </c>
      <c r="D207" s="8">
        <v>28</v>
      </c>
      <c r="E207" s="8">
        <v>0</v>
      </c>
      <c r="F207" s="8">
        <v>23.9</v>
      </c>
      <c r="G207" s="8">
        <v>0.40699999999999997</v>
      </c>
      <c r="H207" s="8">
        <v>27</v>
      </c>
      <c r="I207" s="9">
        <v>100.14387898352766</v>
      </c>
      <c r="J207" s="9">
        <v>10.856121016472343</v>
      </c>
      <c r="K207" s="8">
        <f t="shared" si="3"/>
        <v>117.8553635242925</v>
      </c>
    </row>
    <row r="208" spans="1:11" x14ac:dyDescent="0.35">
      <c r="A208" s="8">
        <v>196</v>
      </c>
      <c r="B208" s="8">
        <v>8</v>
      </c>
      <c r="C208" s="8">
        <v>76</v>
      </c>
      <c r="D208" s="8">
        <v>29</v>
      </c>
      <c r="E208" s="8">
        <v>280</v>
      </c>
      <c r="F208" s="8">
        <v>37.5</v>
      </c>
      <c r="G208" s="8">
        <v>0.60499999999999998</v>
      </c>
      <c r="H208" s="8">
        <v>57</v>
      </c>
      <c r="I208" s="9">
        <v>159.21291853489336</v>
      </c>
      <c r="J208" s="9">
        <v>36.787081465106638</v>
      </c>
      <c r="K208" s="8">
        <f t="shared" si="3"/>
        <v>1353.2893627203923</v>
      </c>
    </row>
    <row r="209" spans="1:11" x14ac:dyDescent="0.35">
      <c r="A209" s="8">
        <v>162</v>
      </c>
      <c r="B209" s="8">
        <v>5</v>
      </c>
      <c r="C209" s="8">
        <v>104</v>
      </c>
      <c r="D209" s="8">
        <v>0</v>
      </c>
      <c r="E209" s="8">
        <v>0</v>
      </c>
      <c r="F209" s="8">
        <v>37.700000000000003</v>
      </c>
      <c r="G209" s="8">
        <v>0.151</v>
      </c>
      <c r="H209" s="8">
        <v>52</v>
      </c>
      <c r="I209" s="9">
        <v>136.61251785175278</v>
      </c>
      <c r="J209" s="9">
        <v>25.387482148247216</v>
      </c>
      <c r="K209" s="8">
        <f t="shared" si="3"/>
        <v>644.52424982757111</v>
      </c>
    </row>
    <row r="210" spans="1:11" x14ac:dyDescent="0.35">
      <c r="A210" s="8">
        <v>96</v>
      </c>
      <c r="B210" s="8">
        <v>1</v>
      </c>
      <c r="C210" s="8">
        <v>64</v>
      </c>
      <c r="D210" s="8">
        <v>27</v>
      </c>
      <c r="E210" s="8">
        <v>87</v>
      </c>
      <c r="F210" s="8">
        <v>33.200000000000003</v>
      </c>
      <c r="G210" s="8">
        <v>0.28899999999999998</v>
      </c>
      <c r="H210" s="8">
        <v>21</v>
      </c>
      <c r="I210" s="9">
        <v>110.78471120659107</v>
      </c>
      <c r="J210" s="9">
        <v>-14.784711206591069</v>
      </c>
      <c r="K210" s="8">
        <f t="shared" si="3"/>
        <v>218.58768546229956</v>
      </c>
    </row>
    <row r="211" spans="1:11" x14ac:dyDescent="0.35">
      <c r="A211" s="8">
        <v>184</v>
      </c>
      <c r="B211" s="8">
        <v>7</v>
      </c>
      <c r="C211" s="8">
        <v>84</v>
      </c>
      <c r="D211" s="8">
        <v>33</v>
      </c>
      <c r="E211" s="8">
        <v>0</v>
      </c>
      <c r="F211" s="8">
        <v>35.5</v>
      </c>
      <c r="G211" s="8">
        <v>0.35499999999999998</v>
      </c>
      <c r="H211" s="8">
        <v>41</v>
      </c>
      <c r="I211" s="9">
        <v>116.83946731250455</v>
      </c>
      <c r="J211" s="9">
        <v>67.160532687495447</v>
      </c>
      <c r="K211" s="8">
        <f t="shared" si="3"/>
        <v>4510.5371508681446</v>
      </c>
    </row>
    <row r="212" spans="1:11" x14ac:dyDescent="0.35">
      <c r="A212" s="8">
        <v>81</v>
      </c>
      <c r="B212" s="8">
        <v>2</v>
      </c>
      <c r="C212" s="8">
        <v>60</v>
      </c>
      <c r="D212" s="8">
        <v>22</v>
      </c>
      <c r="E212" s="8">
        <v>0</v>
      </c>
      <c r="F212" s="8">
        <v>27.7</v>
      </c>
      <c r="G212" s="8">
        <v>0.28999999999999998</v>
      </c>
      <c r="H212" s="8">
        <v>25</v>
      </c>
      <c r="I212" s="9">
        <v>101.95384314349533</v>
      </c>
      <c r="J212" s="9">
        <v>-20.953843143495334</v>
      </c>
      <c r="K212" s="8">
        <f t="shared" si="3"/>
        <v>439.0635424822064</v>
      </c>
    </row>
    <row r="213" spans="1:11" x14ac:dyDescent="0.35">
      <c r="A213" s="8">
        <v>147</v>
      </c>
      <c r="B213" s="8">
        <v>0</v>
      </c>
      <c r="C213" s="8">
        <v>85</v>
      </c>
      <c r="D213" s="8">
        <v>54</v>
      </c>
      <c r="E213" s="8">
        <v>0</v>
      </c>
      <c r="F213" s="8">
        <v>42.8</v>
      </c>
      <c r="G213" s="8">
        <v>0.375</v>
      </c>
      <c r="H213" s="8">
        <v>24</v>
      </c>
      <c r="I213" s="9">
        <v>104.11193472598282</v>
      </c>
      <c r="J213" s="9">
        <v>42.88806527401718</v>
      </c>
      <c r="K213" s="8">
        <f t="shared" si="3"/>
        <v>1839.3861429483584</v>
      </c>
    </row>
    <row r="214" spans="1:11" x14ac:dyDescent="0.35">
      <c r="A214" s="8">
        <v>179</v>
      </c>
      <c r="B214" s="8">
        <v>7</v>
      </c>
      <c r="C214" s="8">
        <v>95</v>
      </c>
      <c r="D214" s="8">
        <v>31</v>
      </c>
      <c r="E214" s="8">
        <v>0</v>
      </c>
      <c r="F214" s="8">
        <v>34.200000000000003</v>
      </c>
      <c r="G214" s="8">
        <v>0.16400000000000001</v>
      </c>
      <c r="H214" s="8">
        <v>60</v>
      </c>
      <c r="I214" s="9">
        <v>128.35648793911318</v>
      </c>
      <c r="J214" s="9">
        <v>50.64351206088682</v>
      </c>
      <c r="K214" s="8">
        <f t="shared" si="3"/>
        <v>2564.765313861189</v>
      </c>
    </row>
    <row r="215" spans="1:11" x14ac:dyDescent="0.35">
      <c r="A215" s="8">
        <v>140</v>
      </c>
      <c r="B215" s="8">
        <v>0</v>
      </c>
      <c r="C215" s="8">
        <v>65</v>
      </c>
      <c r="D215" s="8">
        <v>26</v>
      </c>
      <c r="E215" s="8">
        <v>130</v>
      </c>
      <c r="F215" s="8">
        <v>42.6</v>
      </c>
      <c r="G215" s="8">
        <v>0.43099999999999999</v>
      </c>
      <c r="H215" s="8">
        <v>24</v>
      </c>
      <c r="I215" s="9">
        <v>125.33611434707787</v>
      </c>
      <c r="J215" s="9">
        <v>14.663885652922133</v>
      </c>
      <c r="K215" s="8">
        <f t="shared" si="3"/>
        <v>215.02954244197556</v>
      </c>
    </row>
    <row r="216" spans="1:11" x14ac:dyDescent="0.35">
      <c r="A216" s="8">
        <v>112</v>
      </c>
      <c r="B216" s="8">
        <v>9</v>
      </c>
      <c r="C216" s="8">
        <v>82</v>
      </c>
      <c r="D216" s="8">
        <v>32</v>
      </c>
      <c r="E216" s="8">
        <v>175</v>
      </c>
      <c r="F216" s="8">
        <v>34.200000000000003</v>
      </c>
      <c r="G216" s="8">
        <v>0.26</v>
      </c>
      <c r="H216" s="8">
        <v>36</v>
      </c>
      <c r="I216" s="9">
        <v>129.9334896090879</v>
      </c>
      <c r="J216" s="9">
        <v>-17.9334896090879</v>
      </c>
      <c r="K216" s="8">
        <f t="shared" si="3"/>
        <v>321.6100495592637</v>
      </c>
    </row>
    <row r="217" spans="1:11" x14ac:dyDescent="0.35">
      <c r="A217" s="8">
        <v>151</v>
      </c>
      <c r="B217" s="8">
        <v>12</v>
      </c>
      <c r="C217" s="8">
        <v>70</v>
      </c>
      <c r="D217" s="8">
        <v>40</v>
      </c>
      <c r="E217" s="8">
        <v>271</v>
      </c>
      <c r="F217" s="8">
        <v>41.8</v>
      </c>
      <c r="G217" s="8">
        <v>0.74199999999999999</v>
      </c>
      <c r="H217" s="8">
        <v>38</v>
      </c>
      <c r="I217" s="9">
        <v>146.27896647549386</v>
      </c>
      <c r="J217" s="9">
        <v>4.7210335245061401</v>
      </c>
      <c r="K217" s="8">
        <f t="shared" si="3"/>
        <v>22.288157539510866</v>
      </c>
    </row>
    <row r="218" spans="1:11" x14ac:dyDescent="0.35">
      <c r="A218" s="8">
        <v>109</v>
      </c>
      <c r="B218" s="8">
        <v>5</v>
      </c>
      <c r="C218" s="8">
        <v>62</v>
      </c>
      <c r="D218" s="8">
        <v>41</v>
      </c>
      <c r="E218" s="8">
        <v>129</v>
      </c>
      <c r="F218" s="8">
        <v>35.799999999999997</v>
      </c>
      <c r="G218" s="8">
        <v>0.51400000000000001</v>
      </c>
      <c r="H218" s="8">
        <v>25</v>
      </c>
      <c r="I218" s="9">
        <v>116.3738657409281</v>
      </c>
      <c r="J218" s="9">
        <v>-7.3738657409280961</v>
      </c>
      <c r="K218" s="8">
        <f t="shared" si="3"/>
        <v>54.373895965233061</v>
      </c>
    </row>
    <row r="219" spans="1:11" x14ac:dyDescent="0.35">
      <c r="A219" s="8">
        <v>125</v>
      </c>
      <c r="B219" s="8">
        <v>6</v>
      </c>
      <c r="C219" s="8">
        <v>68</v>
      </c>
      <c r="D219" s="8">
        <v>30</v>
      </c>
      <c r="E219" s="8">
        <v>120</v>
      </c>
      <c r="F219" s="8">
        <v>30</v>
      </c>
      <c r="G219" s="8">
        <v>0.46400000000000002</v>
      </c>
      <c r="H219" s="8">
        <v>32</v>
      </c>
      <c r="I219" s="9">
        <v>119.47470975245091</v>
      </c>
      <c r="J219" s="9">
        <v>5.5252902475490941</v>
      </c>
      <c r="K219" s="8">
        <f t="shared" si="3"/>
        <v>30.528832319661131</v>
      </c>
    </row>
    <row r="220" spans="1:11" x14ac:dyDescent="0.35">
      <c r="A220" s="8">
        <v>85</v>
      </c>
      <c r="B220" s="8">
        <v>5</v>
      </c>
      <c r="C220" s="8">
        <v>74</v>
      </c>
      <c r="D220" s="8">
        <v>22</v>
      </c>
      <c r="E220" s="8">
        <v>0</v>
      </c>
      <c r="F220" s="8">
        <v>29</v>
      </c>
      <c r="G220" s="8">
        <v>1.224</v>
      </c>
      <c r="H220" s="8">
        <v>32</v>
      </c>
      <c r="I220" s="9">
        <v>114.50261382811237</v>
      </c>
      <c r="J220" s="9">
        <v>-29.502613828112374</v>
      </c>
      <c r="K220" s="8">
        <f t="shared" si="3"/>
        <v>870.40422269072747</v>
      </c>
    </row>
    <row r="221" spans="1:11" x14ac:dyDescent="0.35">
      <c r="A221" s="8">
        <v>112</v>
      </c>
      <c r="B221" s="8">
        <v>5</v>
      </c>
      <c r="C221" s="8">
        <v>66</v>
      </c>
      <c r="D221" s="8">
        <v>0</v>
      </c>
      <c r="E221" s="8">
        <v>0</v>
      </c>
      <c r="F221" s="8">
        <v>37.799999999999997</v>
      </c>
      <c r="G221" s="8">
        <v>0.26100000000000001</v>
      </c>
      <c r="H221" s="8">
        <v>41</v>
      </c>
      <c r="I221" s="9">
        <v>127.62322505304618</v>
      </c>
      <c r="J221" s="9">
        <v>-15.623225053046184</v>
      </c>
      <c r="K221" s="8">
        <f t="shared" si="3"/>
        <v>244.08516105812993</v>
      </c>
    </row>
    <row r="222" spans="1:11" x14ac:dyDescent="0.35">
      <c r="A222" s="8">
        <v>177</v>
      </c>
      <c r="B222" s="8">
        <v>0</v>
      </c>
      <c r="C222" s="8">
        <v>60</v>
      </c>
      <c r="D222" s="8">
        <v>29</v>
      </c>
      <c r="E222" s="8">
        <v>478</v>
      </c>
      <c r="F222" s="8">
        <v>34.6</v>
      </c>
      <c r="G222" s="8">
        <v>1.0720000000000001</v>
      </c>
      <c r="H222" s="8">
        <v>21</v>
      </c>
      <c r="I222" s="9">
        <v>155.06030702431426</v>
      </c>
      <c r="J222" s="9">
        <v>21.939692975685745</v>
      </c>
      <c r="K222" s="8">
        <f t="shared" si="3"/>
        <v>481.35012786735439</v>
      </c>
    </row>
    <row r="223" spans="1:11" x14ac:dyDescent="0.35">
      <c r="A223" s="8">
        <v>158</v>
      </c>
      <c r="B223" s="8">
        <v>2</v>
      </c>
      <c r="C223" s="8">
        <v>90</v>
      </c>
      <c r="D223" s="8">
        <v>0</v>
      </c>
      <c r="E223" s="8">
        <v>0</v>
      </c>
      <c r="F223" s="8">
        <v>31.6</v>
      </c>
      <c r="G223" s="8">
        <v>0.80500000000000005</v>
      </c>
      <c r="H223" s="8">
        <v>66</v>
      </c>
      <c r="I223" s="9">
        <v>144.04299598825025</v>
      </c>
      <c r="J223" s="9">
        <v>13.957004011749746</v>
      </c>
      <c r="K223" s="8">
        <f t="shared" si="3"/>
        <v>194.79796098399848</v>
      </c>
    </row>
    <row r="224" spans="1:11" x14ac:dyDescent="0.35">
      <c r="A224" s="8">
        <v>119</v>
      </c>
      <c r="B224" s="8">
        <v>7</v>
      </c>
      <c r="C224" s="8">
        <v>0</v>
      </c>
      <c r="D224" s="8">
        <v>0</v>
      </c>
      <c r="E224" s="8">
        <v>0</v>
      </c>
      <c r="F224" s="8">
        <v>25.2</v>
      </c>
      <c r="G224" s="8">
        <v>0.20899999999999999</v>
      </c>
      <c r="H224" s="8">
        <v>37</v>
      </c>
      <c r="I224" s="9">
        <v>110.75568962373067</v>
      </c>
      <c r="J224" s="9">
        <v>8.2443103762693255</v>
      </c>
      <c r="K224" s="8">
        <f t="shared" si="3"/>
        <v>67.968653580262071</v>
      </c>
    </row>
    <row r="225" spans="1:11" x14ac:dyDescent="0.35">
      <c r="A225" s="8">
        <v>142</v>
      </c>
      <c r="B225" s="8">
        <v>7</v>
      </c>
      <c r="C225" s="8">
        <v>60</v>
      </c>
      <c r="D225" s="8">
        <v>33</v>
      </c>
      <c r="E225" s="8">
        <v>190</v>
      </c>
      <c r="F225" s="8">
        <v>28.8</v>
      </c>
      <c r="G225" s="8">
        <v>0.68700000000000006</v>
      </c>
      <c r="H225" s="8">
        <v>61</v>
      </c>
      <c r="I225" s="9">
        <v>144.2248296112362</v>
      </c>
      <c r="J225" s="9">
        <v>-2.2248296112362027</v>
      </c>
      <c r="K225" s="8">
        <f t="shared" si="3"/>
        <v>4.9498667990334333</v>
      </c>
    </row>
    <row r="226" spans="1:11" x14ac:dyDescent="0.35">
      <c r="A226" s="8">
        <v>100</v>
      </c>
      <c r="B226" s="8">
        <v>1</v>
      </c>
      <c r="C226" s="8">
        <v>66</v>
      </c>
      <c r="D226" s="8">
        <v>15</v>
      </c>
      <c r="E226" s="8">
        <v>56</v>
      </c>
      <c r="F226" s="8">
        <v>23.6</v>
      </c>
      <c r="G226" s="8">
        <v>0.66600000000000004</v>
      </c>
      <c r="H226" s="8">
        <v>26</v>
      </c>
      <c r="I226" s="9">
        <v>110.22562974118537</v>
      </c>
      <c r="J226" s="9">
        <v>-10.225629741185372</v>
      </c>
      <c r="K226" s="8">
        <f t="shared" si="3"/>
        <v>104.56350360381482</v>
      </c>
    </row>
    <row r="227" spans="1:11" x14ac:dyDescent="0.35">
      <c r="A227" s="8">
        <v>87</v>
      </c>
      <c r="B227" s="8">
        <v>1</v>
      </c>
      <c r="C227" s="8">
        <v>78</v>
      </c>
      <c r="D227" s="8">
        <v>27</v>
      </c>
      <c r="E227" s="8">
        <v>32</v>
      </c>
      <c r="F227" s="8">
        <v>34.6</v>
      </c>
      <c r="G227" s="8">
        <v>0.10100000000000001</v>
      </c>
      <c r="H227" s="8">
        <v>22</v>
      </c>
      <c r="I227" s="9">
        <v>106.74706950218598</v>
      </c>
      <c r="J227" s="9">
        <v>-19.74706950218598</v>
      </c>
      <c r="K227" s="8">
        <f t="shared" si="3"/>
        <v>389.94675392416366</v>
      </c>
    </row>
    <row r="228" spans="1:11" x14ac:dyDescent="0.35">
      <c r="A228" s="8">
        <v>101</v>
      </c>
      <c r="B228" s="8">
        <v>0</v>
      </c>
      <c r="C228" s="8">
        <v>76</v>
      </c>
      <c r="D228" s="8">
        <v>0</v>
      </c>
      <c r="E228" s="8">
        <v>0</v>
      </c>
      <c r="F228" s="8">
        <v>35.700000000000003</v>
      </c>
      <c r="G228" s="8">
        <v>0.19800000000000001</v>
      </c>
      <c r="H228" s="8">
        <v>26</v>
      </c>
      <c r="I228" s="9">
        <v>116.37654606735047</v>
      </c>
      <c r="J228" s="9">
        <v>-15.376546067350475</v>
      </c>
      <c r="K228" s="8">
        <f t="shared" si="3"/>
        <v>236.43816896135135</v>
      </c>
    </row>
    <row r="229" spans="1:11" x14ac:dyDescent="0.35">
      <c r="A229" s="8">
        <v>162</v>
      </c>
      <c r="B229" s="8">
        <v>3</v>
      </c>
      <c r="C229" s="8">
        <v>52</v>
      </c>
      <c r="D229" s="8">
        <v>38</v>
      </c>
      <c r="E229" s="8">
        <v>0</v>
      </c>
      <c r="F229" s="8">
        <v>37.200000000000003</v>
      </c>
      <c r="G229" s="8">
        <v>0.65200000000000002</v>
      </c>
      <c r="H229" s="8">
        <v>24</v>
      </c>
      <c r="I229" s="9">
        <v>104.87352482134217</v>
      </c>
      <c r="J229" s="9">
        <v>57.126475178657827</v>
      </c>
      <c r="K229" s="8">
        <f t="shared" si="3"/>
        <v>3263.4341663378086</v>
      </c>
    </row>
    <row r="230" spans="1:11" x14ac:dyDescent="0.35">
      <c r="A230" s="8">
        <v>197</v>
      </c>
      <c r="B230" s="8">
        <v>4</v>
      </c>
      <c r="C230" s="8">
        <v>70</v>
      </c>
      <c r="D230" s="8">
        <v>39</v>
      </c>
      <c r="E230" s="8">
        <v>744</v>
      </c>
      <c r="F230" s="8">
        <v>36.700000000000003</v>
      </c>
      <c r="G230" s="8">
        <v>2.3290000000000002</v>
      </c>
      <c r="H230" s="8">
        <v>31</v>
      </c>
      <c r="I230" s="9">
        <v>195.3488203231127</v>
      </c>
      <c r="J230" s="9">
        <v>1.6511796768872955</v>
      </c>
      <c r="K230" s="8">
        <f t="shared" si="3"/>
        <v>2.7263943253656335</v>
      </c>
    </row>
    <row r="231" spans="1:11" x14ac:dyDescent="0.35">
      <c r="A231" s="8">
        <v>117</v>
      </c>
      <c r="B231" s="8">
        <v>0</v>
      </c>
      <c r="C231" s="8">
        <v>80</v>
      </c>
      <c r="D231" s="8">
        <v>31</v>
      </c>
      <c r="E231" s="8">
        <v>53</v>
      </c>
      <c r="F231" s="8">
        <v>45.2</v>
      </c>
      <c r="G231" s="8">
        <v>8.8999999999999996E-2</v>
      </c>
      <c r="H231" s="8">
        <v>24</v>
      </c>
      <c r="I231" s="9">
        <v>116.769123754617</v>
      </c>
      <c r="J231" s="9">
        <v>0.23087624538300133</v>
      </c>
      <c r="K231" s="8">
        <f t="shared" si="3"/>
        <v>5.3303840682151847E-2</v>
      </c>
    </row>
    <row r="232" spans="1:11" x14ac:dyDescent="0.35">
      <c r="A232" s="8">
        <v>142</v>
      </c>
      <c r="B232" s="8">
        <v>4</v>
      </c>
      <c r="C232" s="8">
        <v>86</v>
      </c>
      <c r="D232" s="8">
        <v>0</v>
      </c>
      <c r="E232" s="8">
        <v>0</v>
      </c>
      <c r="F232" s="8">
        <v>44</v>
      </c>
      <c r="G232" s="8">
        <v>0.64500000000000002</v>
      </c>
      <c r="H232" s="8">
        <v>22</v>
      </c>
      <c r="I232" s="9">
        <v>123.78228434750507</v>
      </c>
      <c r="J232" s="9">
        <v>18.217715652494931</v>
      </c>
      <c r="K232" s="8">
        <f t="shared" si="3"/>
        <v>331.88516359515882</v>
      </c>
    </row>
    <row r="233" spans="1:11" x14ac:dyDescent="0.35">
      <c r="A233" s="8">
        <v>134</v>
      </c>
      <c r="B233" s="8">
        <v>6</v>
      </c>
      <c r="C233" s="8">
        <v>80</v>
      </c>
      <c r="D233" s="8">
        <v>37</v>
      </c>
      <c r="E233" s="8">
        <v>370</v>
      </c>
      <c r="F233" s="8">
        <v>46.2</v>
      </c>
      <c r="G233" s="8">
        <v>0.23799999999999999</v>
      </c>
      <c r="H233" s="8">
        <v>46</v>
      </c>
      <c r="I233" s="9">
        <v>162.8559378034935</v>
      </c>
      <c r="J233" s="9">
        <v>-28.855937803493504</v>
      </c>
      <c r="K233" s="8">
        <f t="shared" si="3"/>
        <v>832.66514651908551</v>
      </c>
    </row>
    <row r="234" spans="1:11" x14ac:dyDescent="0.35">
      <c r="A234" s="8">
        <v>79</v>
      </c>
      <c r="B234" s="8">
        <v>1</v>
      </c>
      <c r="C234" s="8">
        <v>80</v>
      </c>
      <c r="D234" s="8">
        <v>25</v>
      </c>
      <c r="E234" s="8">
        <v>37</v>
      </c>
      <c r="F234" s="8">
        <v>25.4</v>
      </c>
      <c r="G234" s="8">
        <v>0.58299999999999996</v>
      </c>
      <c r="H234" s="8">
        <v>22</v>
      </c>
      <c r="I234" s="9">
        <v>104.19974556294521</v>
      </c>
      <c r="J234" s="9">
        <v>-25.199745562945211</v>
      </c>
      <c r="K234" s="8">
        <f t="shared" si="3"/>
        <v>635.02717643717688</v>
      </c>
    </row>
    <row r="235" spans="1:11" x14ac:dyDescent="0.35">
      <c r="A235" s="8">
        <v>122</v>
      </c>
      <c r="B235" s="8">
        <v>4</v>
      </c>
      <c r="C235" s="8">
        <v>68</v>
      </c>
      <c r="D235" s="8">
        <v>0</v>
      </c>
      <c r="E235" s="8">
        <v>0</v>
      </c>
      <c r="F235" s="8">
        <v>35</v>
      </c>
      <c r="G235" s="8">
        <v>0.39400000000000002</v>
      </c>
      <c r="H235" s="8">
        <v>29</v>
      </c>
      <c r="I235" s="9">
        <v>118.70048979346221</v>
      </c>
      <c r="J235" s="9">
        <v>3.2995102065377893</v>
      </c>
      <c r="K235" s="8">
        <f t="shared" si="3"/>
        <v>10.886767603047044</v>
      </c>
    </row>
    <row r="236" spans="1:11" x14ac:dyDescent="0.35">
      <c r="A236" s="8">
        <v>74</v>
      </c>
      <c r="B236" s="8">
        <v>3</v>
      </c>
      <c r="C236" s="8">
        <v>68</v>
      </c>
      <c r="D236" s="8">
        <v>28</v>
      </c>
      <c r="E236" s="8">
        <v>45</v>
      </c>
      <c r="F236" s="8">
        <v>29.7</v>
      </c>
      <c r="G236" s="8">
        <v>0.29299999999999998</v>
      </c>
      <c r="H236" s="8">
        <v>23</v>
      </c>
      <c r="I236" s="9">
        <v>105.3180732664578</v>
      </c>
      <c r="J236" s="9">
        <v>-31.318073266457802</v>
      </c>
      <c r="K236" s="8">
        <f t="shared" si="3"/>
        <v>980.82171312321884</v>
      </c>
    </row>
    <row r="237" spans="1:11" x14ac:dyDescent="0.35">
      <c r="A237" s="8">
        <v>171</v>
      </c>
      <c r="B237" s="8">
        <v>4</v>
      </c>
      <c r="C237" s="8">
        <v>72</v>
      </c>
      <c r="D237" s="8">
        <v>0</v>
      </c>
      <c r="E237" s="8">
        <v>0</v>
      </c>
      <c r="F237" s="8">
        <v>43.6</v>
      </c>
      <c r="G237" s="8">
        <v>0.47899999999999998</v>
      </c>
      <c r="H237" s="8">
        <v>26</v>
      </c>
      <c r="I237" s="9">
        <v>124.03425315887932</v>
      </c>
      <c r="J237" s="9">
        <v>46.965746841120676</v>
      </c>
      <c r="K237" s="8">
        <f t="shared" si="3"/>
        <v>2205.7813763442368</v>
      </c>
    </row>
    <row r="238" spans="1:11" x14ac:dyDescent="0.35">
      <c r="A238" s="8">
        <v>181</v>
      </c>
      <c r="B238" s="8">
        <v>7</v>
      </c>
      <c r="C238" s="8">
        <v>84</v>
      </c>
      <c r="D238" s="8">
        <v>21</v>
      </c>
      <c r="E238" s="8">
        <v>192</v>
      </c>
      <c r="F238" s="8">
        <v>35.9</v>
      </c>
      <c r="G238" s="8">
        <v>0.58599999999999997</v>
      </c>
      <c r="H238" s="8">
        <v>51</v>
      </c>
      <c r="I238" s="9">
        <v>148.35410859761572</v>
      </c>
      <c r="J238" s="9">
        <v>32.645891402384279</v>
      </c>
      <c r="K238" s="8">
        <f t="shared" si="3"/>
        <v>1065.7542254562677</v>
      </c>
    </row>
    <row r="239" spans="1:11" x14ac:dyDescent="0.35">
      <c r="A239" s="8">
        <v>179</v>
      </c>
      <c r="B239" s="8">
        <v>0</v>
      </c>
      <c r="C239" s="8">
        <v>90</v>
      </c>
      <c r="D239" s="8">
        <v>27</v>
      </c>
      <c r="E239" s="8">
        <v>0</v>
      </c>
      <c r="F239" s="8">
        <v>44.1</v>
      </c>
      <c r="G239" s="8">
        <v>0.68600000000000005</v>
      </c>
      <c r="H239" s="8">
        <v>23</v>
      </c>
      <c r="I239" s="9">
        <v>115.78129836873465</v>
      </c>
      <c r="J239" s="9">
        <v>63.218701631265347</v>
      </c>
      <c r="K239" s="8">
        <f t="shared" si="3"/>
        <v>3996.6042359429516</v>
      </c>
    </row>
    <row r="240" spans="1:11" x14ac:dyDescent="0.35">
      <c r="A240" s="8">
        <v>164</v>
      </c>
      <c r="B240" s="8">
        <v>9</v>
      </c>
      <c r="C240" s="8">
        <v>84</v>
      </c>
      <c r="D240" s="8">
        <v>21</v>
      </c>
      <c r="E240" s="8">
        <v>0</v>
      </c>
      <c r="F240" s="8">
        <v>30.8</v>
      </c>
      <c r="G240" s="8">
        <v>0.83099999999999996</v>
      </c>
      <c r="H240" s="8">
        <v>32</v>
      </c>
      <c r="I240" s="9">
        <v>114.64108409405506</v>
      </c>
      <c r="J240" s="9">
        <v>49.35891590594494</v>
      </c>
      <c r="K240" s="8">
        <f t="shared" si="3"/>
        <v>2436.3025794101445</v>
      </c>
    </row>
    <row r="241" spans="1:11" x14ac:dyDescent="0.35">
      <c r="A241" s="8">
        <v>104</v>
      </c>
      <c r="B241" s="8">
        <v>0</v>
      </c>
      <c r="C241" s="8">
        <v>76</v>
      </c>
      <c r="D241" s="8">
        <v>0</v>
      </c>
      <c r="E241" s="8">
        <v>0</v>
      </c>
      <c r="F241" s="8">
        <v>18.399999999999999</v>
      </c>
      <c r="G241" s="8">
        <v>0.58199999999999996</v>
      </c>
      <c r="H241" s="8">
        <v>27</v>
      </c>
      <c r="I241" s="9">
        <v>106.46714872209284</v>
      </c>
      <c r="J241" s="9">
        <v>-2.4671487220928441</v>
      </c>
      <c r="K241" s="8">
        <f t="shared" si="3"/>
        <v>6.0868228169243537</v>
      </c>
    </row>
    <row r="242" spans="1:11" x14ac:dyDescent="0.35">
      <c r="A242" s="8">
        <v>91</v>
      </c>
      <c r="B242" s="8">
        <v>1</v>
      </c>
      <c r="C242" s="8">
        <v>64</v>
      </c>
      <c r="D242" s="8">
        <v>24</v>
      </c>
      <c r="E242" s="8">
        <v>0</v>
      </c>
      <c r="F242" s="8">
        <v>29.2</v>
      </c>
      <c r="G242" s="8">
        <v>0.192</v>
      </c>
      <c r="H242" s="8">
        <v>21</v>
      </c>
      <c r="I242" s="9">
        <v>99.43197256123031</v>
      </c>
      <c r="J242" s="9">
        <v>-8.4319725612303102</v>
      </c>
      <c r="K242" s="8">
        <f t="shared" si="3"/>
        <v>71.098161273340835</v>
      </c>
    </row>
    <row r="243" spans="1:11" x14ac:dyDescent="0.35">
      <c r="A243" s="8">
        <v>91</v>
      </c>
      <c r="B243" s="8">
        <v>4</v>
      </c>
      <c r="C243" s="8">
        <v>70</v>
      </c>
      <c r="D243" s="8">
        <v>32</v>
      </c>
      <c r="E243" s="8">
        <v>88</v>
      </c>
      <c r="F243" s="8">
        <v>33.1</v>
      </c>
      <c r="G243" s="8">
        <v>0.44600000000000001</v>
      </c>
      <c r="H243" s="8">
        <v>22</v>
      </c>
      <c r="I243" s="9">
        <v>111.37275719958893</v>
      </c>
      <c r="J243" s="9">
        <v>-20.372757199588932</v>
      </c>
      <c r="K243" s="8">
        <f t="shared" si="3"/>
        <v>415.04923591340264</v>
      </c>
    </row>
    <row r="244" spans="1:11" x14ac:dyDescent="0.35">
      <c r="A244" s="8">
        <v>139</v>
      </c>
      <c r="B244" s="8">
        <v>3</v>
      </c>
      <c r="C244" s="8">
        <v>54</v>
      </c>
      <c r="D244" s="8">
        <v>0</v>
      </c>
      <c r="E244" s="8">
        <v>0</v>
      </c>
      <c r="F244" s="8">
        <v>25.6</v>
      </c>
      <c r="G244" s="8">
        <v>0.40200000000000002</v>
      </c>
      <c r="H244" s="8">
        <v>22</v>
      </c>
      <c r="I244" s="9">
        <v>106.14205819516819</v>
      </c>
      <c r="J244" s="9">
        <v>32.85794180483181</v>
      </c>
      <c r="K244" s="8">
        <f t="shared" si="3"/>
        <v>1079.6443396497139</v>
      </c>
    </row>
    <row r="245" spans="1:11" x14ac:dyDescent="0.35">
      <c r="A245" s="8">
        <v>119</v>
      </c>
      <c r="B245" s="8">
        <v>6</v>
      </c>
      <c r="C245" s="8">
        <v>50</v>
      </c>
      <c r="D245" s="8">
        <v>22</v>
      </c>
      <c r="E245" s="8">
        <v>176</v>
      </c>
      <c r="F245" s="8">
        <v>27.1</v>
      </c>
      <c r="G245" s="8">
        <v>1.3180000000000001</v>
      </c>
      <c r="H245" s="8">
        <v>33</v>
      </c>
      <c r="I245" s="9">
        <v>130.37838878824891</v>
      </c>
      <c r="J245" s="9">
        <v>-11.378388788248913</v>
      </c>
      <c r="K245" s="8">
        <f t="shared" si="3"/>
        <v>129.46773141654856</v>
      </c>
    </row>
    <row r="246" spans="1:11" x14ac:dyDescent="0.35">
      <c r="A246" s="8">
        <v>146</v>
      </c>
      <c r="B246" s="8">
        <v>2</v>
      </c>
      <c r="C246" s="8">
        <v>76</v>
      </c>
      <c r="D246" s="8">
        <v>35</v>
      </c>
      <c r="E246" s="8">
        <v>194</v>
      </c>
      <c r="F246" s="8">
        <v>38.200000000000003</v>
      </c>
      <c r="G246" s="8">
        <v>0.32900000000000001</v>
      </c>
      <c r="H246" s="8">
        <v>29</v>
      </c>
      <c r="I246" s="9">
        <v>128.92743160475146</v>
      </c>
      <c r="J246" s="9">
        <v>17.072568395248538</v>
      </c>
      <c r="K246" s="8">
        <f t="shared" si="3"/>
        <v>291.47259161043922</v>
      </c>
    </row>
    <row r="247" spans="1:11" x14ac:dyDescent="0.35">
      <c r="A247" s="8">
        <v>184</v>
      </c>
      <c r="B247" s="8">
        <v>9</v>
      </c>
      <c r="C247" s="8">
        <v>85</v>
      </c>
      <c r="D247" s="8">
        <v>15</v>
      </c>
      <c r="E247" s="8">
        <v>0</v>
      </c>
      <c r="F247" s="8">
        <v>30</v>
      </c>
      <c r="G247" s="8">
        <v>1.2130000000000001</v>
      </c>
      <c r="H247" s="8">
        <v>49</v>
      </c>
      <c r="I247" s="9">
        <v>129.4986074276319</v>
      </c>
      <c r="J247" s="9">
        <v>54.501392572368104</v>
      </c>
      <c r="K247" s="8">
        <f t="shared" si="3"/>
        <v>2970.4017923273814</v>
      </c>
    </row>
    <row r="248" spans="1:11" x14ac:dyDescent="0.35">
      <c r="A248" s="8">
        <v>122</v>
      </c>
      <c r="B248" s="8">
        <v>10</v>
      </c>
      <c r="C248" s="8">
        <v>68</v>
      </c>
      <c r="D248" s="8">
        <v>0</v>
      </c>
      <c r="E248" s="8">
        <v>0</v>
      </c>
      <c r="F248" s="8">
        <v>31.2</v>
      </c>
      <c r="G248" s="8">
        <v>0.25800000000000001</v>
      </c>
      <c r="H248" s="8">
        <v>41</v>
      </c>
      <c r="I248" s="9">
        <v>123.08695686852172</v>
      </c>
      <c r="J248" s="9">
        <v>-1.0869568685217246</v>
      </c>
      <c r="K248" s="8">
        <f t="shared" si="3"/>
        <v>1.1814752340265537</v>
      </c>
    </row>
    <row r="249" spans="1:11" x14ac:dyDescent="0.35">
      <c r="A249" s="8">
        <v>165</v>
      </c>
      <c r="B249" s="8">
        <v>0</v>
      </c>
      <c r="C249" s="8">
        <v>90</v>
      </c>
      <c r="D249" s="8">
        <v>33</v>
      </c>
      <c r="E249" s="8">
        <v>680</v>
      </c>
      <c r="F249" s="8">
        <v>52.3</v>
      </c>
      <c r="G249" s="8">
        <v>0.42699999999999999</v>
      </c>
      <c r="H249" s="8">
        <v>23</v>
      </c>
      <c r="I249" s="9">
        <v>186.61771358614322</v>
      </c>
      <c r="J249" s="9">
        <v>-21.617713586143225</v>
      </c>
      <c r="K249" s="8">
        <f t="shared" si="3"/>
        <v>467.32554069252137</v>
      </c>
    </row>
    <row r="250" spans="1:11" x14ac:dyDescent="0.35">
      <c r="A250" s="8">
        <v>124</v>
      </c>
      <c r="B250" s="8">
        <v>9</v>
      </c>
      <c r="C250" s="8">
        <v>70</v>
      </c>
      <c r="D250" s="8">
        <v>33</v>
      </c>
      <c r="E250" s="8">
        <v>402</v>
      </c>
      <c r="F250" s="8">
        <v>35.4</v>
      </c>
      <c r="G250" s="8">
        <v>0.28199999999999997</v>
      </c>
      <c r="H250" s="8">
        <v>34</v>
      </c>
      <c r="I250" s="9">
        <v>151.3162642068219</v>
      </c>
      <c r="J250" s="9">
        <v>-27.316264206821899</v>
      </c>
      <c r="K250" s="8">
        <f t="shared" si="3"/>
        <v>746.1782902168992</v>
      </c>
    </row>
    <row r="251" spans="1:11" x14ac:dyDescent="0.35">
      <c r="A251" s="8">
        <v>111</v>
      </c>
      <c r="B251" s="8">
        <v>1</v>
      </c>
      <c r="C251" s="8">
        <v>86</v>
      </c>
      <c r="D251" s="8">
        <v>19</v>
      </c>
      <c r="E251" s="8">
        <v>0</v>
      </c>
      <c r="F251" s="8">
        <v>30.1</v>
      </c>
      <c r="G251" s="8">
        <v>0.14299999999999999</v>
      </c>
      <c r="H251" s="8">
        <v>23</v>
      </c>
      <c r="I251" s="9">
        <v>104.30022861150435</v>
      </c>
      <c r="J251" s="9">
        <v>6.6997713884956482</v>
      </c>
      <c r="K251" s="8">
        <f t="shared" si="3"/>
        <v>44.886936658104908</v>
      </c>
    </row>
    <row r="252" spans="1:11" x14ac:dyDescent="0.35">
      <c r="A252" s="8">
        <v>106</v>
      </c>
      <c r="B252" s="8">
        <v>9</v>
      </c>
      <c r="C252" s="8">
        <v>52</v>
      </c>
      <c r="D252" s="8">
        <v>0</v>
      </c>
      <c r="E252" s="8">
        <v>0</v>
      </c>
      <c r="F252" s="8">
        <v>31.2</v>
      </c>
      <c r="G252" s="8">
        <v>0.38</v>
      </c>
      <c r="H252" s="8">
        <v>42</v>
      </c>
      <c r="I252" s="9">
        <v>123.32336308489556</v>
      </c>
      <c r="J252" s="9">
        <v>-17.323363084895561</v>
      </c>
      <c r="K252" s="8">
        <f t="shared" si="3"/>
        <v>300.09890857112225</v>
      </c>
    </row>
    <row r="253" spans="1:11" x14ac:dyDescent="0.35">
      <c r="A253" s="8">
        <v>129</v>
      </c>
      <c r="B253" s="8">
        <v>2</v>
      </c>
      <c r="C253" s="8">
        <v>84</v>
      </c>
      <c r="D253" s="8">
        <v>0</v>
      </c>
      <c r="E253" s="8">
        <v>0</v>
      </c>
      <c r="F253" s="8">
        <v>28</v>
      </c>
      <c r="G253" s="8">
        <v>0.28399999999999997</v>
      </c>
      <c r="H253" s="8">
        <v>27</v>
      </c>
      <c r="I253" s="9">
        <v>112.46582117767758</v>
      </c>
      <c r="J253" s="9">
        <v>16.534178822322417</v>
      </c>
      <c r="K253" s="8">
        <f t="shared" si="3"/>
        <v>273.37906932853514</v>
      </c>
    </row>
    <row r="254" spans="1:11" x14ac:dyDescent="0.35">
      <c r="A254" s="8">
        <v>90</v>
      </c>
      <c r="B254" s="8">
        <v>2</v>
      </c>
      <c r="C254" s="8">
        <v>80</v>
      </c>
      <c r="D254" s="8">
        <v>14</v>
      </c>
      <c r="E254" s="8">
        <v>55</v>
      </c>
      <c r="F254" s="8">
        <v>24.4</v>
      </c>
      <c r="G254" s="8">
        <v>0.249</v>
      </c>
      <c r="H254" s="8">
        <v>24</v>
      </c>
      <c r="I254" s="9">
        <v>108.17461204883973</v>
      </c>
      <c r="J254" s="9">
        <v>-18.174612048839734</v>
      </c>
      <c r="K254" s="8">
        <f t="shared" si="3"/>
        <v>330.31652312583043</v>
      </c>
    </row>
    <row r="255" spans="1:11" x14ac:dyDescent="0.35">
      <c r="A255" s="8">
        <v>86</v>
      </c>
      <c r="B255" s="8">
        <v>0</v>
      </c>
      <c r="C255" s="8">
        <v>68</v>
      </c>
      <c r="D255" s="8">
        <v>32</v>
      </c>
      <c r="E255" s="8">
        <v>0</v>
      </c>
      <c r="F255" s="8">
        <v>35.799999999999997</v>
      </c>
      <c r="G255" s="8">
        <v>0.23799999999999999</v>
      </c>
      <c r="H255" s="8">
        <v>25</v>
      </c>
      <c r="I255" s="9">
        <v>104.80273156985645</v>
      </c>
      <c r="J255" s="9">
        <v>-18.802731569856448</v>
      </c>
      <c r="K255" s="8">
        <f t="shared" si="3"/>
        <v>353.54271448807634</v>
      </c>
    </row>
    <row r="256" spans="1:11" x14ac:dyDescent="0.35">
      <c r="A256" s="8">
        <v>92</v>
      </c>
      <c r="B256" s="8">
        <v>12</v>
      </c>
      <c r="C256" s="8">
        <v>62</v>
      </c>
      <c r="D256" s="8">
        <v>7</v>
      </c>
      <c r="E256" s="8">
        <v>258</v>
      </c>
      <c r="F256" s="8">
        <v>27.6</v>
      </c>
      <c r="G256" s="8">
        <v>0.92600000000000005</v>
      </c>
      <c r="H256" s="8">
        <v>44</v>
      </c>
      <c r="I256" s="9">
        <v>149.8222728340962</v>
      </c>
      <c r="J256" s="9">
        <v>-57.822272834096196</v>
      </c>
      <c r="K256" s="8">
        <f t="shared" si="3"/>
        <v>3343.4152357006592</v>
      </c>
    </row>
    <row r="257" spans="1:11" x14ac:dyDescent="0.35">
      <c r="A257" s="8">
        <v>113</v>
      </c>
      <c r="B257" s="8">
        <v>1</v>
      </c>
      <c r="C257" s="8">
        <v>64</v>
      </c>
      <c r="D257" s="8">
        <v>35</v>
      </c>
      <c r="E257" s="8">
        <v>0</v>
      </c>
      <c r="F257" s="8">
        <v>33.6</v>
      </c>
      <c r="G257" s="8">
        <v>0.54300000000000004</v>
      </c>
      <c r="H257" s="8">
        <v>21</v>
      </c>
      <c r="I257" s="9">
        <v>101.27352969805695</v>
      </c>
      <c r="J257" s="9">
        <v>11.726470301943053</v>
      </c>
      <c r="K257" s="8">
        <f t="shared" si="3"/>
        <v>137.51010574235238</v>
      </c>
    </row>
    <row r="258" spans="1:11" x14ac:dyDescent="0.35">
      <c r="A258" s="8">
        <v>111</v>
      </c>
      <c r="B258" s="8">
        <v>3</v>
      </c>
      <c r="C258" s="8">
        <v>56</v>
      </c>
      <c r="D258" s="8">
        <v>39</v>
      </c>
      <c r="E258" s="8">
        <v>0</v>
      </c>
      <c r="F258" s="8">
        <v>30.1</v>
      </c>
      <c r="G258" s="8">
        <v>0.55700000000000005</v>
      </c>
      <c r="H258" s="8">
        <v>30</v>
      </c>
      <c r="I258" s="9">
        <v>102.7638349145257</v>
      </c>
      <c r="J258" s="9">
        <v>8.2361650854742976</v>
      </c>
      <c r="K258" s="8">
        <f t="shared" si="3"/>
        <v>67.834415315185851</v>
      </c>
    </row>
    <row r="259" spans="1:11" x14ac:dyDescent="0.35">
      <c r="A259" s="8">
        <v>114</v>
      </c>
      <c r="B259" s="8">
        <v>2</v>
      </c>
      <c r="C259" s="8">
        <v>68</v>
      </c>
      <c r="D259" s="8">
        <v>22</v>
      </c>
      <c r="E259" s="8">
        <v>0</v>
      </c>
      <c r="F259" s="8">
        <v>28.7</v>
      </c>
      <c r="G259" s="8">
        <v>9.1999999999999998E-2</v>
      </c>
      <c r="H259" s="8">
        <v>25</v>
      </c>
      <c r="I259" s="9">
        <v>102.01378353932576</v>
      </c>
      <c r="J259" s="9">
        <v>11.986216460674243</v>
      </c>
      <c r="K259" s="8">
        <f t="shared" ref="K259:K322" si="4">J259*J259</f>
        <v>143.66938504213817</v>
      </c>
    </row>
    <row r="260" spans="1:11" x14ac:dyDescent="0.35">
      <c r="A260" s="8">
        <v>193</v>
      </c>
      <c r="B260" s="8">
        <v>1</v>
      </c>
      <c r="C260" s="8">
        <v>50</v>
      </c>
      <c r="D260" s="8">
        <v>16</v>
      </c>
      <c r="E260" s="8">
        <v>375</v>
      </c>
      <c r="F260" s="8">
        <v>25.9</v>
      </c>
      <c r="G260" s="8">
        <v>0.65500000000000003</v>
      </c>
      <c r="H260" s="8">
        <v>24</v>
      </c>
      <c r="I260" s="9">
        <v>141.18918620770017</v>
      </c>
      <c r="J260" s="9">
        <v>51.810813792299825</v>
      </c>
      <c r="K260" s="8">
        <f t="shared" si="4"/>
        <v>2684.3604258203659</v>
      </c>
    </row>
    <row r="261" spans="1:11" x14ac:dyDescent="0.35">
      <c r="A261" s="8">
        <v>155</v>
      </c>
      <c r="B261" s="8">
        <v>11</v>
      </c>
      <c r="C261" s="8">
        <v>76</v>
      </c>
      <c r="D261" s="8">
        <v>28</v>
      </c>
      <c r="E261" s="8">
        <v>150</v>
      </c>
      <c r="F261" s="8">
        <v>33.299999999999997</v>
      </c>
      <c r="G261" s="8">
        <v>1.353</v>
      </c>
      <c r="H261" s="8">
        <v>51</v>
      </c>
      <c r="I261" s="9">
        <v>144.36344440137262</v>
      </c>
      <c r="J261" s="9">
        <v>10.636555598627382</v>
      </c>
      <c r="K261" s="8">
        <f t="shared" si="4"/>
        <v>113.1363150026915</v>
      </c>
    </row>
    <row r="262" spans="1:11" x14ac:dyDescent="0.35">
      <c r="A262" s="8">
        <v>191</v>
      </c>
      <c r="B262" s="8">
        <v>3</v>
      </c>
      <c r="C262" s="8">
        <v>68</v>
      </c>
      <c r="D262" s="8">
        <v>15</v>
      </c>
      <c r="E262" s="8">
        <v>130</v>
      </c>
      <c r="F262" s="8">
        <v>30.9</v>
      </c>
      <c r="G262" s="8">
        <v>0.29899999999999999</v>
      </c>
      <c r="H262" s="8">
        <v>34</v>
      </c>
      <c r="I262" s="9">
        <v>126.24010200066647</v>
      </c>
      <c r="J262" s="9">
        <v>64.759897999333532</v>
      </c>
      <c r="K262" s="8">
        <f t="shared" si="4"/>
        <v>4193.8443888840829</v>
      </c>
    </row>
    <row r="263" spans="1:11" x14ac:dyDescent="0.35">
      <c r="A263" s="8">
        <v>141</v>
      </c>
      <c r="B263" s="8">
        <v>3</v>
      </c>
      <c r="C263" s="8">
        <v>0</v>
      </c>
      <c r="D263" s="8">
        <v>0</v>
      </c>
      <c r="E263" s="8">
        <v>0</v>
      </c>
      <c r="F263" s="8">
        <v>30</v>
      </c>
      <c r="G263" s="8">
        <v>0.76100000000000001</v>
      </c>
      <c r="H263" s="8">
        <v>27</v>
      </c>
      <c r="I263" s="9">
        <v>111.155418577254</v>
      </c>
      <c r="J263" s="9">
        <v>29.844581422746003</v>
      </c>
      <c r="K263" s="8">
        <f t="shared" si="4"/>
        <v>890.69904029891586</v>
      </c>
    </row>
    <row r="264" spans="1:11" x14ac:dyDescent="0.35">
      <c r="A264" s="8">
        <v>95</v>
      </c>
      <c r="B264" s="8">
        <v>4</v>
      </c>
      <c r="C264" s="8">
        <v>70</v>
      </c>
      <c r="D264" s="8">
        <v>32</v>
      </c>
      <c r="E264" s="8">
        <v>0</v>
      </c>
      <c r="F264" s="8">
        <v>32.1</v>
      </c>
      <c r="G264" s="8">
        <v>0.61199999999999999</v>
      </c>
      <c r="H264" s="8">
        <v>24</v>
      </c>
      <c r="I264" s="9">
        <v>104.11936902552782</v>
      </c>
      <c r="J264" s="9">
        <v>-9.119369025527817</v>
      </c>
      <c r="K264" s="8">
        <f t="shared" si="4"/>
        <v>83.162891423756164</v>
      </c>
    </row>
    <row r="265" spans="1:11" x14ac:dyDescent="0.35">
      <c r="A265" s="8">
        <v>142</v>
      </c>
      <c r="B265" s="8">
        <v>3</v>
      </c>
      <c r="C265" s="8">
        <v>80</v>
      </c>
      <c r="D265" s="8">
        <v>15</v>
      </c>
      <c r="E265" s="8">
        <v>0</v>
      </c>
      <c r="F265" s="8">
        <v>32.4</v>
      </c>
      <c r="G265" s="8">
        <v>0.2</v>
      </c>
      <c r="H265" s="8">
        <v>63</v>
      </c>
      <c r="I265" s="9">
        <v>133.23097096038342</v>
      </c>
      <c r="J265" s="9">
        <v>8.7690290396165835</v>
      </c>
      <c r="K265" s="8">
        <f t="shared" si="4"/>
        <v>76.895870297638936</v>
      </c>
    </row>
    <row r="266" spans="1:11" x14ac:dyDescent="0.35">
      <c r="A266" s="8">
        <v>123</v>
      </c>
      <c r="B266" s="8">
        <v>4</v>
      </c>
      <c r="C266" s="8">
        <v>62</v>
      </c>
      <c r="D266" s="8">
        <v>0</v>
      </c>
      <c r="E266" s="8">
        <v>0</v>
      </c>
      <c r="F266" s="8">
        <v>32</v>
      </c>
      <c r="G266" s="8">
        <v>0.22600000000000001</v>
      </c>
      <c r="H266" s="8">
        <v>35</v>
      </c>
      <c r="I266" s="9">
        <v>118.83984319945168</v>
      </c>
      <c r="J266" s="9">
        <v>4.1601568005483216</v>
      </c>
      <c r="K266" s="8">
        <f t="shared" si="4"/>
        <v>17.306904605148446</v>
      </c>
    </row>
    <row r="267" spans="1:11" x14ac:dyDescent="0.35">
      <c r="A267" s="8">
        <v>96</v>
      </c>
      <c r="B267" s="8">
        <v>5</v>
      </c>
      <c r="C267" s="8">
        <v>74</v>
      </c>
      <c r="D267" s="8">
        <v>18</v>
      </c>
      <c r="E267" s="8">
        <v>67</v>
      </c>
      <c r="F267" s="8">
        <v>33.6</v>
      </c>
      <c r="G267" s="8">
        <v>0.997</v>
      </c>
      <c r="H267" s="8">
        <v>43</v>
      </c>
      <c r="I267" s="9">
        <v>131.68710375462823</v>
      </c>
      <c r="J267" s="9">
        <v>-35.687103754628225</v>
      </c>
      <c r="K267" s="8">
        <f t="shared" si="4"/>
        <v>1273.5693743935999</v>
      </c>
    </row>
    <row r="268" spans="1:11" x14ac:dyDescent="0.35">
      <c r="A268" s="8">
        <v>138</v>
      </c>
      <c r="B268" s="8">
        <v>0</v>
      </c>
      <c r="C268" s="8">
        <v>0</v>
      </c>
      <c r="D268" s="8">
        <v>0</v>
      </c>
      <c r="E268" s="8">
        <v>0</v>
      </c>
      <c r="F268" s="8">
        <v>36.299999999999997</v>
      </c>
      <c r="G268" s="8">
        <v>0.93300000000000005</v>
      </c>
      <c r="H268" s="8">
        <v>25</v>
      </c>
      <c r="I268" s="9">
        <v>115.50141177951745</v>
      </c>
      <c r="J268" s="9">
        <v>22.498588220482546</v>
      </c>
      <c r="K268" s="8">
        <f t="shared" si="4"/>
        <v>506.18647191483598</v>
      </c>
    </row>
    <row r="269" spans="1:11" x14ac:dyDescent="0.35">
      <c r="A269" s="8">
        <v>128</v>
      </c>
      <c r="B269" s="8">
        <v>2</v>
      </c>
      <c r="C269" s="8">
        <v>64</v>
      </c>
      <c r="D269" s="8">
        <v>42</v>
      </c>
      <c r="E269" s="8">
        <v>0</v>
      </c>
      <c r="F269" s="8">
        <v>40</v>
      </c>
      <c r="G269" s="8">
        <v>1.101</v>
      </c>
      <c r="H269" s="8">
        <v>24</v>
      </c>
      <c r="I269" s="9">
        <v>109.25482757110501</v>
      </c>
      <c r="J269" s="9">
        <v>18.745172428894989</v>
      </c>
      <c r="K269" s="8">
        <f t="shared" si="4"/>
        <v>351.38148938900486</v>
      </c>
    </row>
    <row r="270" spans="1:11" x14ac:dyDescent="0.35">
      <c r="A270" s="8">
        <v>102</v>
      </c>
      <c r="B270" s="8">
        <v>0</v>
      </c>
      <c r="C270" s="8">
        <v>52</v>
      </c>
      <c r="D270" s="8">
        <v>0</v>
      </c>
      <c r="E270" s="8">
        <v>0</v>
      </c>
      <c r="F270" s="8">
        <v>25.1</v>
      </c>
      <c r="G270" s="8">
        <v>7.8E-2</v>
      </c>
      <c r="H270" s="8">
        <v>21</v>
      </c>
      <c r="I270" s="9">
        <v>102.75838691585344</v>
      </c>
      <c r="J270" s="9">
        <v>-0.75838691585343554</v>
      </c>
      <c r="K270" s="8">
        <f t="shared" si="4"/>
        <v>0.57515071413768593</v>
      </c>
    </row>
    <row r="271" spans="1:11" x14ac:dyDescent="0.35">
      <c r="A271" s="8">
        <v>146</v>
      </c>
      <c r="B271" s="8">
        <v>2</v>
      </c>
      <c r="C271" s="8">
        <v>0</v>
      </c>
      <c r="D271" s="8">
        <v>0</v>
      </c>
      <c r="E271" s="8">
        <v>0</v>
      </c>
      <c r="F271" s="8">
        <v>27.5</v>
      </c>
      <c r="G271" s="8">
        <v>0.24</v>
      </c>
      <c r="H271" s="8">
        <v>28</v>
      </c>
      <c r="I271" s="9">
        <v>106.57526817824748</v>
      </c>
      <c r="J271" s="9">
        <v>39.424731821752516</v>
      </c>
      <c r="K271" s="8">
        <f t="shared" si="4"/>
        <v>1554.3094792171055</v>
      </c>
    </row>
    <row r="272" spans="1:11" x14ac:dyDescent="0.35">
      <c r="A272" s="8">
        <v>101</v>
      </c>
      <c r="B272" s="8">
        <v>10</v>
      </c>
      <c r="C272" s="8">
        <v>86</v>
      </c>
      <c r="D272" s="8">
        <v>37</v>
      </c>
      <c r="E272" s="8">
        <v>0</v>
      </c>
      <c r="F272" s="8">
        <v>45.6</v>
      </c>
      <c r="G272" s="8">
        <v>1.1359999999999999</v>
      </c>
      <c r="H272" s="8">
        <v>38</v>
      </c>
      <c r="I272" s="9">
        <v>126.39445114217746</v>
      </c>
      <c r="J272" s="9">
        <v>-25.394451142177459</v>
      </c>
      <c r="K272" s="8">
        <f t="shared" si="4"/>
        <v>644.8781488124381</v>
      </c>
    </row>
    <row r="273" spans="1:11" x14ac:dyDescent="0.35">
      <c r="A273" s="8">
        <v>108</v>
      </c>
      <c r="B273" s="8">
        <v>2</v>
      </c>
      <c r="C273" s="8">
        <v>62</v>
      </c>
      <c r="D273" s="8">
        <v>32</v>
      </c>
      <c r="E273" s="8">
        <v>56</v>
      </c>
      <c r="F273" s="8">
        <v>25.2</v>
      </c>
      <c r="G273" s="8">
        <v>0.128</v>
      </c>
      <c r="H273" s="8">
        <v>21</v>
      </c>
      <c r="I273" s="9">
        <v>98.898206167902416</v>
      </c>
      <c r="J273" s="9">
        <v>9.1017938320975844</v>
      </c>
      <c r="K273" s="8">
        <f t="shared" si="4"/>
        <v>82.842650962009628</v>
      </c>
    </row>
    <row r="274" spans="1:11" x14ac:dyDescent="0.35">
      <c r="A274" s="8">
        <v>122</v>
      </c>
      <c r="B274" s="8">
        <v>3</v>
      </c>
      <c r="C274" s="8">
        <v>78</v>
      </c>
      <c r="D274" s="8">
        <v>0</v>
      </c>
      <c r="E274" s="8">
        <v>0</v>
      </c>
      <c r="F274" s="8">
        <v>23</v>
      </c>
      <c r="G274" s="8">
        <v>0.254</v>
      </c>
      <c r="H274" s="8">
        <v>40</v>
      </c>
      <c r="I274" s="9">
        <v>116.55196163092808</v>
      </c>
      <c r="J274" s="9">
        <v>5.4480383690719236</v>
      </c>
      <c r="K274" s="8">
        <f t="shared" si="4"/>
        <v>29.681122070879866</v>
      </c>
    </row>
    <row r="275" spans="1:11" x14ac:dyDescent="0.35">
      <c r="A275" s="8">
        <v>71</v>
      </c>
      <c r="B275" s="8">
        <v>1</v>
      </c>
      <c r="C275" s="8">
        <v>78</v>
      </c>
      <c r="D275" s="8">
        <v>50</v>
      </c>
      <c r="E275" s="8">
        <v>45</v>
      </c>
      <c r="F275" s="8">
        <v>33.200000000000003</v>
      </c>
      <c r="G275" s="8">
        <v>0.42199999999999999</v>
      </c>
      <c r="H275" s="8">
        <v>21</v>
      </c>
      <c r="I275" s="9">
        <v>100.69740245094506</v>
      </c>
      <c r="J275" s="9">
        <v>-29.697402450945063</v>
      </c>
      <c r="K275" s="8">
        <f t="shared" si="4"/>
        <v>881.93571233339787</v>
      </c>
    </row>
    <row r="276" spans="1:11" x14ac:dyDescent="0.35">
      <c r="A276" s="8">
        <v>106</v>
      </c>
      <c r="B276" s="8">
        <v>13</v>
      </c>
      <c r="C276" s="8">
        <v>70</v>
      </c>
      <c r="D276" s="8">
        <v>0</v>
      </c>
      <c r="E276" s="8">
        <v>0</v>
      </c>
      <c r="F276" s="8">
        <v>34.200000000000003</v>
      </c>
      <c r="G276" s="8">
        <v>0.251</v>
      </c>
      <c r="H276" s="8">
        <v>52</v>
      </c>
      <c r="I276" s="9">
        <v>132.70829184714552</v>
      </c>
      <c r="J276" s="9">
        <v>-26.708291847145517</v>
      </c>
      <c r="K276" s="8">
        <f t="shared" si="4"/>
        <v>713.33285339229974</v>
      </c>
    </row>
    <row r="277" spans="1:11" x14ac:dyDescent="0.35">
      <c r="A277" s="8">
        <v>100</v>
      </c>
      <c r="B277" s="8">
        <v>2</v>
      </c>
      <c r="C277" s="8">
        <v>70</v>
      </c>
      <c r="D277" s="8">
        <v>52</v>
      </c>
      <c r="E277" s="8">
        <v>57</v>
      </c>
      <c r="F277" s="8">
        <v>40.5</v>
      </c>
      <c r="G277" s="8">
        <v>0.67700000000000005</v>
      </c>
      <c r="H277" s="8">
        <v>25</v>
      </c>
      <c r="I277" s="9">
        <v>110.40212992936361</v>
      </c>
      <c r="J277" s="9">
        <v>-10.40212992936361</v>
      </c>
      <c r="K277" s="8">
        <f t="shared" si="4"/>
        <v>108.20430706736219</v>
      </c>
    </row>
    <row r="278" spans="1:11" x14ac:dyDescent="0.35">
      <c r="A278" s="8">
        <v>106</v>
      </c>
      <c r="B278" s="8">
        <v>7</v>
      </c>
      <c r="C278" s="8">
        <v>60</v>
      </c>
      <c r="D278" s="8">
        <v>24</v>
      </c>
      <c r="E278" s="8">
        <v>0</v>
      </c>
      <c r="F278" s="8">
        <v>26.5</v>
      </c>
      <c r="G278" s="8">
        <v>0.29599999999999999</v>
      </c>
      <c r="H278" s="8">
        <v>29</v>
      </c>
      <c r="I278" s="9">
        <v>103.29848939449901</v>
      </c>
      <c r="J278" s="9">
        <v>2.7015106055009852</v>
      </c>
      <c r="K278" s="8">
        <f t="shared" si="4"/>
        <v>7.2981595516343001</v>
      </c>
    </row>
    <row r="279" spans="1:11" x14ac:dyDescent="0.35">
      <c r="A279" s="8">
        <v>104</v>
      </c>
      <c r="B279" s="8">
        <v>0</v>
      </c>
      <c r="C279" s="8">
        <v>64</v>
      </c>
      <c r="D279" s="8">
        <v>23</v>
      </c>
      <c r="E279" s="8">
        <v>116</v>
      </c>
      <c r="F279" s="8">
        <v>27.8</v>
      </c>
      <c r="G279" s="8">
        <v>0.45400000000000001</v>
      </c>
      <c r="H279" s="8">
        <v>23</v>
      </c>
      <c r="I279" s="9">
        <v>113.25778380000216</v>
      </c>
      <c r="J279" s="9">
        <v>-9.2577838000021586</v>
      </c>
      <c r="K279" s="8">
        <f t="shared" si="4"/>
        <v>85.706560887582413</v>
      </c>
    </row>
    <row r="280" spans="1:11" x14ac:dyDescent="0.35">
      <c r="A280" s="8">
        <v>114</v>
      </c>
      <c r="B280" s="8">
        <v>5</v>
      </c>
      <c r="C280" s="8">
        <v>74</v>
      </c>
      <c r="D280" s="8">
        <v>0</v>
      </c>
      <c r="E280" s="8">
        <v>0</v>
      </c>
      <c r="F280" s="8">
        <v>24.9</v>
      </c>
      <c r="G280" s="8">
        <v>0.74399999999999999</v>
      </c>
      <c r="H280" s="8">
        <v>57</v>
      </c>
      <c r="I280" s="9">
        <v>131.87959958477558</v>
      </c>
      <c r="J280" s="9">
        <v>-17.879599584775576</v>
      </c>
      <c r="K280" s="8">
        <f t="shared" si="4"/>
        <v>319.68008131190697</v>
      </c>
    </row>
    <row r="281" spans="1:11" x14ac:dyDescent="0.35">
      <c r="A281" s="8">
        <v>108</v>
      </c>
      <c r="B281" s="8">
        <v>2</v>
      </c>
      <c r="C281" s="8">
        <v>62</v>
      </c>
      <c r="D281" s="8">
        <v>10</v>
      </c>
      <c r="E281" s="8">
        <v>278</v>
      </c>
      <c r="F281" s="8">
        <v>25.3</v>
      </c>
      <c r="G281" s="8">
        <v>0.88100000000000001</v>
      </c>
      <c r="H281" s="8">
        <v>22</v>
      </c>
      <c r="I281" s="9">
        <v>134.03434151783921</v>
      </c>
      <c r="J281" s="9">
        <v>-26.034341517839209</v>
      </c>
      <c r="K281" s="8">
        <f t="shared" si="4"/>
        <v>677.78693826748633</v>
      </c>
    </row>
    <row r="282" spans="1:11" x14ac:dyDescent="0.35">
      <c r="A282" s="8">
        <v>146</v>
      </c>
      <c r="B282" s="8">
        <v>0</v>
      </c>
      <c r="C282" s="8">
        <v>70</v>
      </c>
      <c r="D282" s="8">
        <v>0</v>
      </c>
      <c r="E282" s="8">
        <v>0</v>
      </c>
      <c r="F282" s="8">
        <v>37.9</v>
      </c>
      <c r="G282" s="8">
        <v>0.33400000000000002</v>
      </c>
      <c r="H282" s="8">
        <v>28</v>
      </c>
      <c r="I282" s="9">
        <v>119.75652733889871</v>
      </c>
      <c r="J282" s="9">
        <v>26.243472661101293</v>
      </c>
      <c r="K282" s="8">
        <f t="shared" si="4"/>
        <v>688.71985731397103</v>
      </c>
    </row>
    <row r="283" spans="1:11" x14ac:dyDescent="0.35">
      <c r="A283" s="8">
        <v>129</v>
      </c>
      <c r="B283" s="8">
        <v>10</v>
      </c>
      <c r="C283" s="8">
        <v>76</v>
      </c>
      <c r="D283" s="8">
        <v>28</v>
      </c>
      <c r="E283" s="8">
        <v>122</v>
      </c>
      <c r="F283" s="8">
        <v>35.9</v>
      </c>
      <c r="G283" s="8">
        <v>0.28000000000000003</v>
      </c>
      <c r="H283" s="8">
        <v>39</v>
      </c>
      <c r="I283" s="9">
        <v>128.92144577498465</v>
      </c>
      <c r="J283" s="9">
        <v>7.8554225015352586E-2</v>
      </c>
      <c r="K283" s="8">
        <f t="shared" si="4"/>
        <v>6.1707662677626457E-3</v>
      </c>
    </row>
    <row r="284" spans="1:11" x14ac:dyDescent="0.35">
      <c r="A284" s="8">
        <v>133</v>
      </c>
      <c r="B284" s="8">
        <v>7</v>
      </c>
      <c r="C284" s="8">
        <v>88</v>
      </c>
      <c r="D284" s="8">
        <v>15</v>
      </c>
      <c r="E284" s="8">
        <v>155</v>
      </c>
      <c r="F284" s="8">
        <v>32.4</v>
      </c>
      <c r="G284" s="8">
        <v>0.26200000000000001</v>
      </c>
      <c r="H284" s="8">
        <v>37</v>
      </c>
      <c r="I284" s="9">
        <v>133.21588943286417</v>
      </c>
      <c r="J284" s="9">
        <v>-0.21588943286417361</v>
      </c>
      <c r="K284" s="8">
        <f t="shared" si="4"/>
        <v>4.6608247222414523E-2</v>
      </c>
    </row>
    <row r="285" spans="1:11" x14ac:dyDescent="0.35">
      <c r="A285" s="8">
        <v>161</v>
      </c>
      <c r="B285" s="8">
        <v>7</v>
      </c>
      <c r="C285" s="8">
        <v>86</v>
      </c>
      <c r="D285" s="8">
        <v>0</v>
      </c>
      <c r="E285" s="8">
        <v>0</v>
      </c>
      <c r="F285" s="8">
        <v>30.4</v>
      </c>
      <c r="G285" s="8">
        <v>0.16500000000000001</v>
      </c>
      <c r="H285" s="8">
        <v>47</v>
      </c>
      <c r="I285" s="9">
        <v>126.85472726993649</v>
      </c>
      <c r="J285" s="9">
        <v>34.14527273006351</v>
      </c>
      <c r="K285" s="8">
        <f t="shared" si="4"/>
        <v>1165.8996498104189</v>
      </c>
    </row>
    <row r="286" spans="1:11" x14ac:dyDescent="0.35">
      <c r="A286" s="8">
        <v>108</v>
      </c>
      <c r="B286" s="8">
        <v>2</v>
      </c>
      <c r="C286" s="8">
        <v>80</v>
      </c>
      <c r="D286" s="8">
        <v>0</v>
      </c>
      <c r="E286" s="8">
        <v>0</v>
      </c>
      <c r="F286" s="8">
        <v>27</v>
      </c>
      <c r="G286" s="8">
        <v>0.25900000000000001</v>
      </c>
      <c r="H286" s="8">
        <v>52</v>
      </c>
      <c r="I286" s="9">
        <v>127.40899936017121</v>
      </c>
      <c r="J286" s="9">
        <v>-19.408999360171208</v>
      </c>
      <c r="K286" s="8">
        <f t="shared" si="4"/>
        <v>376.70925616312638</v>
      </c>
    </row>
    <row r="287" spans="1:11" x14ac:dyDescent="0.35">
      <c r="A287" s="8">
        <v>136</v>
      </c>
      <c r="B287" s="8">
        <v>7</v>
      </c>
      <c r="C287" s="8">
        <v>74</v>
      </c>
      <c r="D287" s="8">
        <v>26</v>
      </c>
      <c r="E287" s="8">
        <v>135</v>
      </c>
      <c r="F287" s="8">
        <v>26</v>
      </c>
      <c r="G287" s="8">
        <v>0.64700000000000002</v>
      </c>
      <c r="H287" s="8">
        <v>51</v>
      </c>
      <c r="I287" s="9">
        <v>133.21263433335392</v>
      </c>
      <c r="J287" s="9">
        <v>2.7873656666460818</v>
      </c>
      <c r="K287" s="8">
        <f t="shared" si="4"/>
        <v>7.7694073595973556</v>
      </c>
    </row>
    <row r="288" spans="1:11" x14ac:dyDescent="0.35">
      <c r="A288" s="8">
        <v>155</v>
      </c>
      <c r="B288" s="8">
        <v>5</v>
      </c>
      <c r="C288" s="8">
        <v>84</v>
      </c>
      <c r="D288" s="8">
        <v>44</v>
      </c>
      <c r="E288" s="8">
        <v>545</v>
      </c>
      <c r="F288" s="8">
        <v>38.700000000000003</v>
      </c>
      <c r="G288" s="8">
        <v>0.61899999999999999</v>
      </c>
      <c r="H288" s="8">
        <v>34</v>
      </c>
      <c r="I288" s="9">
        <v>167.35731154586105</v>
      </c>
      <c r="J288" s="9">
        <v>-12.357311545861052</v>
      </c>
      <c r="K288" s="8">
        <f t="shared" si="4"/>
        <v>152.70314864147085</v>
      </c>
    </row>
    <row r="289" spans="1:11" x14ac:dyDescent="0.35">
      <c r="A289" s="8">
        <v>119</v>
      </c>
      <c r="B289" s="8">
        <v>1</v>
      </c>
      <c r="C289" s="8">
        <v>86</v>
      </c>
      <c r="D289" s="8">
        <v>39</v>
      </c>
      <c r="E289" s="8">
        <v>220</v>
      </c>
      <c r="F289" s="8">
        <v>45.6</v>
      </c>
      <c r="G289" s="8">
        <v>0.80800000000000005</v>
      </c>
      <c r="H289" s="8">
        <v>29</v>
      </c>
      <c r="I289" s="9">
        <v>139.42195275236796</v>
      </c>
      <c r="J289" s="9">
        <v>-20.421952752367957</v>
      </c>
      <c r="K289" s="8">
        <f t="shared" si="4"/>
        <v>417.05615421994918</v>
      </c>
    </row>
    <row r="290" spans="1:11" x14ac:dyDescent="0.35">
      <c r="A290" s="8">
        <v>96</v>
      </c>
      <c r="B290" s="8">
        <v>4</v>
      </c>
      <c r="C290" s="8">
        <v>56</v>
      </c>
      <c r="D290" s="8">
        <v>17</v>
      </c>
      <c r="E290" s="8">
        <v>49</v>
      </c>
      <c r="F290" s="8">
        <v>20.8</v>
      </c>
      <c r="G290" s="8">
        <v>0.34</v>
      </c>
      <c r="H290" s="8">
        <v>26</v>
      </c>
      <c r="I290" s="9">
        <v>104.17026962626373</v>
      </c>
      <c r="J290" s="9">
        <v>-8.1702696262637318</v>
      </c>
      <c r="K290" s="8">
        <f t="shared" si="4"/>
        <v>66.753305765847699</v>
      </c>
    </row>
    <row r="291" spans="1:11" x14ac:dyDescent="0.35">
      <c r="A291" s="8">
        <v>108</v>
      </c>
      <c r="B291" s="8">
        <v>5</v>
      </c>
      <c r="C291" s="8">
        <v>72</v>
      </c>
      <c r="D291" s="8">
        <v>43</v>
      </c>
      <c r="E291" s="8">
        <v>75</v>
      </c>
      <c r="F291" s="8">
        <v>36.1</v>
      </c>
      <c r="G291" s="8">
        <v>0.26300000000000001</v>
      </c>
      <c r="H291" s="8">
        <v>33</v>
      </c>
      <c r="I291" s="9">
        <v>114.78164879658232</v>
      </c>
      <c r="J291" s="9">
        <v>-6.7816487965823171</v>
      </c>
      <c r="K291" s="8">
        <f t="shared" si="4"/>
        <v>45.990760400186389</v>
      </c>
    </row>
    <row r="292" spans="1:11" x14ac:dyDescent="0.35">
      <c r="A292" s="8">
        <v>78</v>
      </c>
      <c r="B292" s="8">
        <v>0</v>
      </c>
      <c r="C292" s="8">
        <v>88</v>
      </c>
      <c r="D292" s="8">
        <v>29</v>
      </c>
      <c r="E292" s="8">
        <v>40</v>
      </c>
      <c r="F292" s="8">
        <v>36.9</v>
      </c>
      <c r="G292" s="8">
        <v>0.434</v>
      </c>
      <c r="H292" s="8">
        <v>21</v>
      </c>
      <c r="I292" s="9">
        <v>110.70754133424037</v>
      </c>
      <c r="J292" s="9">
        <v>-32.707541334240375</v>
      </c>
      <c r="K292" s="8">
        <f t="shared" si="4"/>
        <v>1069.7832601310427</v>
      </c>
    </row>
    <row r="293" spans="1:11" x14ac:dyDescent="0.35">
      <c r="A293" s="8">
        <v>107</v>
      </c>
      <c r="B293" s="8">
        <v>0</v>
      </c>
      <c r="C293" s="8">
        <v>62</v>
      </c>
      <c r="D293" s="8">
        <v>30</v>
      </c>
      <c r="E293" s="8">
        <v>74</v>
      </c>
      <c r="F293" s="8">
        <v>36.6</v>
      </c>
      <c r="G293" s="8">
        <v>0.75700000000000001</v>
      </c>
      <c r="H293" s="8">
        <v>25</v>
      </c>
      <c r="I293" s="9">
        <v>116.36481046945507</v>
      </c>
      <c r="J293" s="9">
        <v>-9.3648104694550653</v>
      </c>
      <c r="K293" s="8">
        <f t="shared" si="4"/>
        <v>87.699675128815201</v>
      </c>
    </row>
    <row r="294" spans="1:11" x14ac:dyDescent="0.35">
      <c r="A294" s="8">
        <v>128</v>
      </c>
      <c r="B294" s="8">
        <v>2</v>
      </c>
      <c r="C294" s="8">
        <v>78</v>
      </c>
      <c r="D294" s="8">
        <v>37</v>
      </c>
      <c r="E294" s="8">
        <v>182</v>
      </c>
      <c r="F294" s="8">
        <v>43.3</v>
      </c>
      <c r="G294" s="8">
        <v>1.224</v>
      </c>
      <c r="H294" s="8">
        <v>31</v>
      </c>
      <c r="I294" s="9">
        <v>137.96331705020566</v>
      </c>
      <c r="J294" s="9">
        <v>-9.9633170502056601</v>
      </c>
      <c r="K294" s="8">
        <f t="shared" si="4"/>
        <v>99.267686642918818</v>
      </c>
    </row>
    <row r="295" spans="1:11" x14ac:dyDescent="0.35">
      <c r="A295" s="8">
        <v>128</v>
      </c>
      <c r="B295" s="8">
        <v>1</v>
      </c>
      <c r="C295" s="8">
        <v>48</v>
      </c>
      <c r="D295" s="8">
        <v>45</v>
      </c>
      <c r="E295" s="8">
        <v>194</v>
      </c>
      <c r="F295" s="8">
        <v>40.5</v>
      </c>
      <c r="G295" s="8">
        <v>0.61299999999999999</v>
      </c>
      <c r="H295" s="8">
        <v>24</v>
      </c>
      <c r="I295" s="9">
        <v>123.85830018729457</v>
      </c>
      <c r="J295" s="9">
        <v>4.1416998127054256</v>
      </c>
      <c r="K295" s="8">
        <f t="shared" si="4"/>
        <v>17.153677338564158</v>
      </c>
    </row>
    <row r="296" spans="1:11" x14ac:dyDescent="0.35">
      <c r="A296" s="8">
        <v>161</v>
      </c>
      <c r="B296" s="8">
        <v>0</v>
      </c>
      <c r="C296" s="8">
        <v>50</v>
      </c>
      <c r="D296" s="8">
        <v>0</v>
      </c>
      <c r="E296" s="8">
        <v>0</v>
      </c>
      <c r="F296" s="8">
        <v>21.9</v>
      </c>
      <c r="G296" s="8">
        <v>0.254</v>
      </c>
      <c r="H296" s="8">
        <v>65</v>
      </c>
      <c r="I296" s="9">
        <v>129.7204950119168</v>
      </c>
      <c r="J296" s="9">
        <v>31.279504988083204</v>
      </c>
      <c r="K296" s="8">
        <f t="shared" si="4"/>
        <v>978.40743229952204</v>
      </c>
    </row>
    <row r="297" spans="1:11" x14ac:dyDescent="0.35">
      <c r="A297" s="8">
        <v>151</v>
      </c>
      <c r="B297" s="8">
        <v>6</v>
      </c>
      <c r="C297" s="8">
        <v>62</v>
      </c>
      <c r="D297" s="8">
        <v>31</v>
      </c>
      <c r="E297" s="8">
        <v>120</v>
      </c>
      <c r="F297" s="8">
        <v>35.5</v>
      </c>
      <c r="G297" s="8">
        <v>0.69199999999999995</v>
      </c>
      <c r="H297" s="8">
        <v>28</v>
      </c>
      <c r="I297" s="9">
        <v>121.70594585446253</v>
      </c>
      <c r="J297" s="9">
        <v>29.294054145537473</v>
      </c>
      <c r="K297" s="8">
        <f t="shared" si="4"/>
        <v>858.14160828168121</v>
      </c>
    </row>
    <row r="298" spans="1:11" x14ac:dyDescent="0.35">
      <c r="A298" s="8">
        <v>146</v>
      </c>
      <c r="B298" s="8">
        <v>2</v>
      </c>
      <c r="C298" s="8">
        <v>70</v>
      </c>
      <c r="D298" s="8">
        <v>38</v>
      </c>
      <c r="E298" s="8">
        <v>360</v>
      </c>
      <c r="F298" s="8">
        <v>28</v>
      </c>
      <c r="G298" s="8">
        <v>0.33700000000000002</v>
      </c>
      <c r="H298" s="8">
        <v>29</v>
      </c>
      <c r="I298" s="9">
        <v>136.58144996184231</v>
      </c>
      <c r="J298" s="9">
        <v>9.4185500381576901</v>
      </c>
      <c r="K298" s="8">
        <f t="shared" si="4"/>
        <v>88.709084821280229</v>
      </c>
    </row>
    <row r="299" spans="1:11" x14ac:dyDescent="0.35">
      <c r="A299" s="8">
        <v>126</v>
      </c>
      <c r="B299" s="8">
        <v>0</v>
      </c>
      <c r="C299" s="8">
        <v>84</v>
      </c>
      <c r="D299" s="8">
        <v>29</v>
      </c>
      <c r="E299" s="8">
        <v>215</v>
      </c>
      <c r="F299" s="8">
        <v>30.7</v>
      </c>
      <c r="G299" s="8">
        <v>0.52</v>
      </c>
      <c r="H299" s="8">
        <v>24</v>
      </c>
      <c r="I299" s="9">
        <v>125.83830551091857</v>
      </c>
      <c r="J299" s="9">
        <v>0.1616944890814267</v>
      </c>
      <c r="K299" s="8">
        <f t="shared" si="4"/>
        <v>2.6145107799303617E-2</v>
      </c>
    </row>
    <row r="300" spans="1:11" x14ac:dyDescent="0.35">
      <c r="A300" s="8">
        <v>100</v>
      </c>
      <c r="B300" s="8">
        <v>14</v>
      </c>
      <c r="C300" s="8">
        <v>78</v>
      </c>
      <c r="D300" s="8">
        <v>25</v>
      </c>
      <c r="E300" s="8">
        <v>184</v>
      </c>
      <c r="F300" s="8">
        <v>36.6</v>
      </c>
      <c r="G300" s="8">
        <v>0.41199999999999998</v>
      </c>
      <c r="H300" s="8">
        <v>46</v>
      </c>
      <c r="I300" s="9">
        <v>142.40534766740006</v>
      </c>
      <c r="J300" s="9">
        <v>-42.405347667400065</v>
      </c>
      <c r="K300" s="8">
        <f t="shared" si="4"/>
        <v>1798.2135107930721</v>
      </c>
    </row>
    <row r="301" spans="1:11" x14ac:dyDescent="0.35">
      <c r="A301" s="8">
        <v>112</v>
      </c>
      <c r="B301" s="8">
        <v>8</v>
      </c>
      <c r="C301" s="8">
        <v>72</v>
      </c>
      <c r="D301" s="8">
        <v>0</v>
      </c>
      <c r="E301" s="8">
        <v>0</v>
      </c>
      <c r="F301" s="8">
        <v>23.6</v>
      </c>
      <c r="G301" s="8">
        <v>0.84</v>
      </c>
      <c r="H301" s="8">
        <v>58</v>
      </c>
      <c r="I301" s="9">
        <v>132.19250625382026</v>
      </c>
      <c r="J301" s="9">
        <v>-20.192506253820255</v>
      </c>
      <c r="K301" s="8">
        <f t="shared" si="4"/>
        <v>407.73730881057014</v>
      </c>
    </row>
    <row r="302" spans="1:11" x14ac:dyDescent="0.35">
      <c r="A302" s="8">
        <v>167</v>
      </c>
      <c r="B302" s="8">
        <v>0</v>
      </c>
      <c r="C302" s="8">
        <v>0</v>
      </c>
      <c r="D302" s="8">
        <v>0</v>
      </c>
      <c r="E302" s="8">
        <v>0</v>
      </c>
      <c r="F302" s="8">
        <v>32.299999999999997</v>
      </c>
      <c r="G302" s="8">
        <v>0.83899999999999997</v>
      </c>
      <c r="H302" s="8">
        <v>30</v>
      </c>
      <c r="I302" s="9">
        <v>115.1328088072611</v>
      </c>
      <c r="J302" s="9">
        <v>51.8671911927389</v>
      </c>
      <c r="K302" s="8">
        <f t="shared" si="4"/>
        <v>2690.205522224132</v>
      </c>
    </row>
    <row r="303" spans="1:11" x14ac:dyDescent="0.35">
      <c r="A303" s="8">
        <v>144</v>
      </c>
      <c r="B303" s="8">
        <v>2</v>
      </c>
      <c r="C303" s="8">
        <v>58</v>
      </c>
      <c r="D303" s="8">
        <v>33</v>
      </c>
      <c r="E303" s="8">
        <v>135</v>
      </c>
      <c r="F303" s="8">
        <v>31.6</v>
      </c>
      <c r="G303" s="8">
        <v>0.42199999999999999</v>
      </c>
      <c r="H303" s="8">
        <v>25</v>
      </c>
      <c r="I303" s="9">
        <v>115.46153206686945</v>
      </c>
      <c r="J303" s="9">
        <v>28.538467933130548</v>
      </c>
      <c r="K303" s="8">
        <f t="shared" si="4"/>
        <v>814.4441519703206</v>
      </c>
    </row>
    <row r="304" spans="1:11" x14ac:dyDescent="0.35">
      <c r="A304" s="8">
        <v>77</v>
      </c>
      <c r="B304" s="8">
        <v>5</v>
      </c>
      <c r="C304" s="8">
        <v>82</v>
      </c>
      <c r="D304" s="8">
        <v>41</v>
      </c>
      <c r="E304" s="8">
        <v>42</v>
      </c>
      <c r="F304" s="8">
        <v>35.799999999999997</v>
      </c>
      <c r="G304" s="8">
        <v>0.156</v>
      </c>
      <c r="H304" s="8">
        <v>35</v>
      </c>
      <c r="I304" s="9">
        <v>113.22427739538982</v>
      </c>
      <c r="J304" s="9">
        <v>-36.224277395389819</v>
      </c>
      <c r="K304" s="8">
        <f t="shared" si="4"/>
        <v>1312.1982728181499</v>
      </c>
    </row>
    <row r="305" spans="1:11" x14ac:dyDescent="0.35">
      <c r="A305" s="8">
        <v>115</v>
      </c>
      <c r="B305" s="8">
        <v>5</v>
      </c>
      <c r="C305" s="8">
        <v>98</v>
      </c>
      <c r="D305" s="8">
        <v>0</v>
      </c>
      <c r="E305" s="8">
        <v>0</v>
      </c>
      <c r="F305" s="8">
        <v>52.9</v>
      </c>
      <c r="G305" s="8">
        <v>0.20899999999999999</v>
      </c>
      <c r="H305" s="8">
        <v>28</v>
      </c>
      <c r="I305" s="9">
        <v>132.47689067716976</v>
      </c>
      <c r="J305" s="9">
        <v>-17.476890677169763</v>
      </c>
      <c r="K305" s="8">
        <f t="shared" si="4"/>
        <v>305.44170774174336</v>
      </c>
    </row>
    <row r="306" spans="1:11" x14ac:dyDescent="0.35">
      <c r="A306" s="8">
        <v>150</v>
      </c>
      <c r="B306" s="8">
        <v>3</v>
      </c>
      <c r="C306" s="8">
        <v>76</v>
      </c>
      <c r="D306" s="8">
        <v>0</v>
      </c>
      <c r="E306" s="8">
        <v>0</v>
      </c>
      <c r="F306" s="8">
        <v>21</v>
      </c>
      <c r="G306" s="8">
        <v>0.20699999999999999</v>
      </c>
      <c r="H306" s="8">
        <v>37</v>
      </c>
      <c r="I306" s="9">
        <v>112.67866247834219</v>
      </c>
      <c r="J306" s="9">
        <v>37.32133752165781</v>
      </c>
      <c r="K306" s="8">
        <f t="shared" si="4"/>
        <v>1392.8822344055031</v>
      </c>
    </row>
    <row r="307" spans="1:11" x14ac:dyDescent="0.35">
      <c r="A307" s="8">
        <v>120</v>
      </c>
      <c r="B307" s="8">
        <v>2</v>
      </c>
      <c r="C307" s="8">
        <v>76</v>
      </c>
      <c r="D307" s="8">
        <v>37</v>
      </c>
      <c r="E307" s="8">
        <v>105</v>
      </c>
      <c r="F307" s="8">
        <v>39.700000000000003</v>
      </c>
      <c r="G307" s="8">
        <v>0.215</v>
      </c>
      <c r="H307" s="8">
        <v>29</v>
      </c>
      <c r="I307" s="9">
        <v>119.7217340960101</v>
      </c>
      <c r="J307" s="9">
        <v>0.27826590398990447</v>
      </c>
      <c r="K307" s="8">
        <f t="shared" si="4"/>
        <v>7.7431913323318738E-2</v>
      </c>
    </row>
    <row r="308" spans="1:11" x14ac:dyDescent="0.35">
      <c r="A308" s="8">
        <v>161</v>
      </c>
      <c r="B308" s="8">
        <v>10</v>
      </c>
      <c r="C308" s="8">
        <v>68</v>
      </c>
      <c r="D308" s="8">
        <v>23</v>
      </c>
      <c r="E308" s="8">
        <v>132</v>
      </c>
      <c r="F308" s="8">
        <v>25.5</v>
      </c>
      <c r="G308" s="8">
        <v>0.32600000000000001</v>
      </c>
      <c r="H308" s="8">
        <v>47</v>
      </c>
      <c r="I308" s="9">
        <v>128.68678191119992</v>
      </c>
      <c r="J308" s="9">
        <v>32.313218088800085</v>
      </c>
      <c r="K308" s="8">
        <f t="shared" si="4"/>
        <v>1044.144063254357</v>
      </c>
    </row>
    <row r="309" spans="1:11" x14ac:dyDescent="0.35">
      <c r="A309" s="8">
        <v>137</v>
      </c>
      <c r="B309" s="8">
        <v>0</v>
      </c>
      <c r="C309" s="8">
        <v>68</v>
      </c>
      <c r="D309" s="8">
        <v>14</v>
      </c>
      <c r="E309" s="8">
        <v>148</v>
      </c>
      <c r="F309" s="8">
        <v>24.8</v>
      </c>
      <c r="G309" s="8">
        <v>0.14299999999999999</v>
      </c>
      <c r="H309" s="8">
        <v>21</v>
      </c>
      <c r="I309" s="9">
        <v>114.25571377538576</v>
      </c>
      <c r="J309" s="9">
        <v>22.744286224614243</v>
      </c>
      <c r="K309" s="8">
        <f t="shared" si="4"/>
        <v>517.30255586717715</v>
      </c>
    </row>
    <row r="310" spans="1:11" x14ac:dyDescent="0.35">
      <c r="A310" s="8">
        <v>128</v>
      </c>
      <c r="B310" s="8">
        <v>0</v>
      </c>
      <c r="C310" s="8">
        <v>68</v>
      </c>
      <c r="D310" s="8">
        <v>19</v>
      </c>
      <c r="E310" s="8">
        <v>180</v>
      </c>
      <c r="F310" s="8">
        <v>30.5</v>
      </c>
      <c r="G310" s="8">
        <v>1.391</v>
      </c>
      <c r="H310" s="8">
        <v>25</v>
      </c>
      <c r="I310" s="9">
        <v>130.540173174963</v>
      </c>
      <c r="J310" s="9">
        <v>-2.5401731749630017</v>
      </c>
      <c r="K310" s="8">
        <f t="shared" si="4"/>
        <v>6.4524797588016165</v>
      </c>
    </row>
    <row r="311" spans="1:11" x14ac:dyDescent="0.35">
      <c r="A311" s="8">
        <v>124</v>
      </c>
      <c r="B311" s="8">
        <v>2</v>
      </c>
      <c r="C311" s="8">
        <v>68</v>
      </c>
      <c r="D311" s="8">
        <v>28</v>
      </c>
      <c r="E311" s="8">
        <v>205</v>
      </c>
      <c r="F311" s="8">
        <v>32.9</v>
      </c>
      <c r="G311" s="8">
        <v>0.875</v>
      </c>
      <c r="H311" s="8">
        <v>30</v>
      </c>
      <c r="I311" s="9">
        <v>131.92954538920253</v>
      </c>
      <c r="J311" s="9">
        <v>-7.9295453892025307</v>
      </c>
      <c r="K311" s="8">
        <f t="shared" si="4"/>
        <v>62.877690079423111</v>
      </c>
    </row>
    <row r="312" spans="1:11" x14ac:dyDescent="0.35">
      <c r="A312" s="8">
        <v>80</v>
      </c>
      <c r="B312" s="8">
        <v>6</v>
      </c>
      <c r="C312" s="8">
        <v>66</v>
      </c>
      <c r="D312" s="8">
        <v>30</v>
      </c>
      <c r="E312" s="8">
        <v>0</v>
      </c>
      <c r="F312" s="8">
        <v>26.2</v>
      </c>
      <c r="G312" s="8">
        <v>0.313</v>
      </c>
      <c r="H312" s="8">
        <v>41</v>
      </c>
      <c r="I312" s="9">
        <v>109.27969203184223</v>
      </c>
      <c r="J312" s="9">
        <v>-29.279692031842231</v>
      </c>
      <c r="K312" s="8">
        <f t="shared" si="4"/>
        <v>857.30036547952545</v>
      </c>
    </row>
    <row r="313" spans="1:11" x14ac:dyDescent="0.35">
      <c r="A313" s="8">
        <v>106</v>
      </c>
      <c r="B313" s="8">
        <v>0</v>
      </c>
      <c r="C313" s="8">
        <v>70</v>
      </c>
      <c r="D313" s="8">
        <v>37</v>
      </c>
      <c r="E313" s="8">
        <v>148</v>
      </c>
      <c r="F313" s="8">
        <v>39.4</v>
      </c>
      <c r="G313" s="8">
        <v>0.60499999999999998</v>
      </c>
      <c r="H313" s="8">
        <v>22</v>
      </c>
      <c r="I313" s="9">
        <v>121.22571466969933</v>
      </c>
      <c r="J313" s="9">
        <v>-15.225714669699329</v>
      </c>
      <c r="K313" s="8">
        <f t="shared" si="4"/>
        <v>231.82238720309735</v>
      </c>
    </row>
    <row r="314" spans="1:11" x14ac:dyDescent="0.35">
      <c r="A314" s="8">
        <v>155</v>
      </c>
      <c r="B314" s="8">
        <v>2</v>
      </c>
      <c r="C314" s="8">
        <v>74</v>
      </c>
      <c r="D314" s="8">
        <v>17</v>
      </c>
      <c r="E314" s="8">
        <v>96</v>
      </c>
      <c r="F314" s="8">
        <v>26.6</v>
      </c>
      <c r="G314" s="8">
        <v>0.433</v>
      </c>
      <c r="H314" s="8">
        <v>27</v>
      </c>
      <c r="I314" s="9">
        <v>115.61990589741932</v>
      </c>
      <c r="J314" s="9">
        <v>39.380094102580685</v>
      </c>
      <c r="K314" s="8">
        <f t="shared" si="4"/>
        <v>1550.79181152811</v>
      </c>
    </row>
    <row r="315" spans="1:11" x14ac:dyDescent="0.35">
      <c r="A315" s="8">
        <v>113</v>
      </c>
      <c r="B315" s="8">
        <v>3</v>
      </c>
      <c r="C315" s="8">
        <v>50</v>
      </c>
      <c r="D315" s="8">
        <v>10</v>
      </c>
      <c r="E315" s="8">
        <v>85</v>
      </c>
      <c r="F315" s="8">
        <v>29.5</v>
      </c>
      <c r="G315" s="8">
        <v>0.626</v>
      </c>
      <c r="H315" s="8">
        <v>25</v>
      </c>
      <c r="I315" s="9">
        <v>117.33687966217443</v>
      </c>
      <c r="J315" s="9">
        <v>-4.3368796621744252</v>
      </c>
      <c r="K315" s="8">
        <f t="shared" si="4"/>
        <v>18.808525204182157</v>
      </c>
    </row>
    <row r="316" spans="1:11" x14ac:dyDescent="0.35">
      <c r="A316" s="8">
        <v>109</v>
      </c>
      <c r="B316" s="8">
        <v>7</v>
      </c>
      <c r="C316" s="8">
        <v>80</v>
      </c>
      <c r="D316" s="8">
        <v>31</v>
      </c>
      <c r="E316" s="8">
        <v>0</v>
      </c>
      <c r="F316" s="8">
        <v>35.9</v>
      </c>
      <c r="G316" s="8">
        <v>1.127</v>
      </c>
      <c r="H316" s="8">
        <v>43</v>
      </c>
      <c r="I316" s="9">
        <v>123.6946128691115</v>
      </c>
      <c r="J316" s="9">
        <v>-14.694612869111495</v>
      </c>
      <c r="K316" s="8">
        <f t="shared" si="4"/>
        <v>215.93164737305716</v>
      </c>
    </row>
    <row r="317" spans="1:11" x14ac:dyDescent="0.35">
      <c r="A317" s="8">
        <v>112</v>
      </c>
      <c r="B317" s="8">
        <v>2</v>
      </c>
      <c r="C317" s="8">
        <v>68</v>
      </c>
      <c r="D317" s="8">
        <v>22</v>
      </c>
      <c r="E317" s="8">
        <v>94</v>
      </c>
      <c r="F317" s="8">
        <v>34.1</v>
      </c>
      <c r="G317" s="8">
        <v>0.315</v>
      </c>
      <c r="H317" s="8">
        <v>26</v>
      </c>
      <c r="I317" s="9">
        <v>117.56413857756155</v>
      </c>
      <c r="J317" s="9">
        <v>-5.5641385775615504</v>
      </c>
      <c r="K317" s="8">
        <f t="shared" si="4"/>
        <v>30.959638110308674</v>
      </c>
    </row>
    <row r="318" spans="1:11" x14ac:dyDescent="0.35">
      <c r="A318" s="8">
        <v>99</v>
      </c>
      <c r="B318" s="8">
        <v>3</v>
      </c>
      <c r="C318" s="8">
        <v>80</v>
      </c>
      <c r="D318" s="8">
        <v>11</v>
      </c>
      <c r="E318" s="8">
        <v>64</v>
      </c>
      <c r="F318" s="8">
        <v>19.3</v>
      </c>
      <c r="G318" s="8">
        <v>0.28399999999999997</v>
      </c>
      <c r="H318" s="8">
        <v>30</v>
      </c>
      <c r="I318" s="9">
        <v>110.40670674030694</v>
      </c>
      <c r="J318" s="9">
        <v>-11.406706740306944</v>
      </c>
      <c r="K318" s="8">
        <f t="shared" si="4"/>
        <v>130.11295865936387</v>
      </c>
    </row>
    <row r="319" spans="1:11" x14ac:dyDescent="0.35">
      <c r="A319" s="8">
        <v>182</v>
      </c>
      <c r="B319" s="8">
        <v>3</v>
      </c>
      <c r="C319" s="8">
        <v>74</v>
      </c>
      <c r="D319" s="8">
        <v>0</v>
      </c>
      <c r="E319" s="8">
        <v>0</v>
      </c>
      <c r="F319" s="8">
        <v>30.5</v>
      </c>
      <c r="G319" s="8">
        <v>0.34499999999999997</v>
      </c>
      <c r="H319" s="8">
        <v>29</v>
      </c>
      <c r="I319" s="9">
        <v>115.37595330991084</v>
      </c>
      <c r="J319" s="9">
        <v>66.624046690089159</v>
      </c>
      <c r="K319" s="8">
        <f t="shared" si="4"/>
        <v>4438.7635973631805</v>
      </c>
    </row>
    <row r="320" spans="1:11" x14ac:dyDescent="0.35">
      <c r="A320" s="8">
        <v>115</v>
      </c>
      <c r="B320" s="8">
        <v>3</v>
      </c>
      <c r="C320" s="8">
        <v>66</v>
      </c>
      <c r="D320" s="8">
        <v>39</v>
      </c>
      <c r="E320" s="8">
        <v>140</v>
      </c>
      <c r="F320" s="8">
        <v>38.1</v>
      </c>
      <c r="G320" s="8">
        <v>0.15</v>
      </c>
      <c r="H320" s="8">
        <v>28</v>
      </c>
      <c r="I320" s="9">
        <v>119.67228130275561</v>
      </c>
      <c r="J320" s="9">
        <v>-4.6722813027556072</v>
      </c>
      <c r="K320" s="8">
        <f t="shared" si="4"/>
        <v>21.830212572079635</v>
      </c>
    </row>
    <row r="321" spans="1:11" x14ac:dyDescent="0.35">
      <c r="A321" s="8">
        <v>194</v>
      </c>
      <c r="B321" s="8">
        <v>6</v>
      </c>
      <c r="C321" s="8">
        <v>78</v>
      </c>
      <c r="D321" s="8">
        <v>0</v>
      </c>
      <c r="E321" s="8">
        <v>0</v>
      </c>
      <c r="F321" s="8">
        <v>23.5</v>
      </c>
      <c r="G321" s="8">
        <v>0.129</v>
      </c>
      <c r="H321" s="8">
        <v>59</v>
      </c>
      <c r="I321" s="9">
        <v>128.57426124070111</v>
      </c>
      <c r="J321" s="9">
        <v>65.425738759298895</v>
      </c>
      <c r="K321" s="8">
        <f t="shared" si="4"/>
        <v>4280.5272922000258</v>
      </c>
    </row>
    <row r="322" spans="1:11" x14ac:dyDescent="0.35">
      <c r="A322" s="8">
        <v>129</v>
      </c>
      <c r="B322" s="8">
        <v>4</v>
      </c>
      <c r="C322" s="8">
        <v>60</v>
      </c>
      <c r="D322" s="8">
        <v>12</v>
      </c>
      <c r="E322" s="8">
        <v>231</v>
      </c>
      <c r="F322" s="8">
        <v>27.5</v>
      </c>
      <c r="G322" s="8">
        <v>0.52700000000000002</v>
      </c>
      <c r="H322" s="8">
        <v>31</v>
      </c>
      <c r="I322" s="9">
        <v>133.84315169507909</v>
      </c>
      <c r="J322" s="9">
        <v>-4.8431516950790865</v>
      </c>
      <c r="K322" s="8">
        <f t="shared" si="4"/>
        <v>23.45611834154743</v>
      </c>
    </row>
    <row r="323" spans="1:11" x14ac:dyDescent="0.35">
      <c r="A323" s="8">
        <v>112</v>
      </c>
      <c r="B323" s="8">
        <v>3</v>
      </c>
      <c r="C323" s="8">
        <v>74</v>
      </c>
      <c r="D323" s="8">
        <v>30</v>
      </c>
      <c r="E323" s="8">
        <v>0</v>
      </c>
      <c r="F323" s="8">
        <v>31.6</v>
      </c>
      <c r="G323" s="8">
        <v>0.19700000000000001</v>
      </c>
      <c r="H323" s="8">
        <v>25</v>
      </c>
      <c r="I323" s="9">
        <v>102.65795866742616</v>
      </c>
      <c r="J323" s="9">
        <v>9.3420413325738423</v>
      </c>
      <c r="K323" s="8">
        <f t="shared" ref="K323:K386" si="5">J323*J323</f>
        <v>87.273736259518046</v>
      </c>
    </row>
    <row r="324" spans="1:11" x14ac:dyDescent="0.35">
      <c r="A324" s="8">
        <v>124</v>
      </c>
      <c r="B324" s="8">
        <v>0</v>
      </c>
      <c r="C324" s="8">
        <v>70</v>
      </c>
      <c r="D324" s="8">
        <v>20</v>
      </c>
      <c r="E324" s="8">
        <v>0</v>
      </c>
      <c r="F324" s="8">
        <v>27.4</v>
      </c>
      <c r="G324" s="8">
        <v>0.254</v>
      </c>
      <c r="H324" s="8">
        <v>36</v>
      </c>
      <c r="I324" s="9">
        <v>109.85023655958508</v>
      </c>
      <c r="J324" s="9">
        <v>14.149763440414915</v>
      </c>
      <c r="K324" s="8">
        <f t="shared" si="5"/>
        <v>200.21580541970255</v>
      </c>
    </row>
    <row r="325" spans="1:11" x14ac:dyDescent="0.35">
      <c r="A325" s="8">
        <v>152</v>
      </c>
      <c r="B325" s="8">
        <v>13</v>
      </c>
      <c r="C325" s="8">
        <v>90</v>
      </c>
      <c r="D325" s="8">
        <v>33</v>
      </c>
      <c r="E325" s="8">
        <v>29</v>
      </c>
      <c r="F325" s="8">
        <v>26.8</v>
      </c>
      <c r="G325" s="8">
        <v>0.73099999999999998</v>
      </c>
      <c r="H325" s="8">
        <v>43</v>
      </c>
      <c r="I325" s="9">
        <v>117.6648778345108</v>
      </c>
      <c r="J325" s="9">
        <v>34.335122165489196</v>
      </c>
      <c r="K325" s="8">
        <f t="shared" si="5"/>
        <v>1178.9006141190675</v>
      </c>
    </row>
    <row r="326" spans="1:11" x14ac:dyDescent="0.35">
      <c r="A326" s="8">
        <v>112</v>
      </c>
      <c r="B326" s="8">
        <v>2</v>
      </c>
      <c r="C326" s="8">
        <v>75</v>
      </c>
      <c r="D326" s="8">
        <v>32</v>
      </c>
      <c r="E326" s="8">
        <v>0</v>
      </c>
      <c r="F326" s="8">
        <v>35.700000000000003</v>
      </c>
      <c r="G326" s="8">
        <v>0.14799999999999999</v>
      </c>
      <c r="H326" s="8">
        <v>21</v>
      </c>
      <c r="I326" s="9">
        <v>102.18625148264665</v>
      </c>
      <c r="J326" s="9">
        <v>9.8137485173533463</v>
      </c>
      <c r="K326" s="8">
        <f t="shared" si="5"/>
        <v>96.309659961855004</v>
      </c>
    </row>
    <row r="327" spans="1:11" x14ac:dyDescent="0.35">
      <c r="A327" s="8">
        <v>157</v>
      </c>
      <c r="B327" s="8">
        <v>1</v>
      </c>
      <c r="C327" s="8">
        <v>72</v>
      </c>
      <c r="D327" s="8">
        <v>21</v>
      </c>
      <c r="E327" s="8">
        <v>168</v>
      </c>
      <c r="F327" s="8">
        <v>25.6</v>
      </c>
      <c r="G327" s="8">
        <v>0.123</v>
      </c>
      <c r="H327" s="8">
        <v>24</v>
      </c>
      <c r="I327" s="9">
        <v>116.67427542074145</v>
      </c>
      <c r="J327" s="9">
        <v>40.325724579258548</v>
      </c>
      <c r="K327" s="8">
        <f t="shared" si="5"/>
        <v>1626.1640628422169</v>
      </c>
    </row>
    <row r="328" spans="1:11" x14ac:dyDescent="0.35">
      <c r="A328" s="8">
        <v>122</v>
      </c>
      <c r="B328" s="8">
        <v>1</v>
      </c>
      <c r="C328" s="8">
        <v>64</v>
      </c>
      <c r="D328" s="8">
        <v>32</v>
      </c>
      <c r="E328" s="8">
        <v>156</v>
      </c>
      <c r="F328" s="8">
        <v>35.1</v>
      </c>
      <c r="G328" s="8">
        <v>0.69199999999999995</v>
      </c>
      <c r="H328" s="8">
        <v>30</v>
      </c>
      <c r="I328" s="9">
        <v>125.82483354748084</v>
      </c>
      <c r="J328" s="9">
        <v>-3.8248335474808357</v>
      </c>
      <c r="K328" s="8">
        <f t="shared" si="5"/>
        <v>14.629351665934834</v>
      </c>
    </row>
    <row r="329" spans="1:11" x14ac:dyDescent="0.35">
      <c r="A329" s="8">
        <v>179</v>
      </c>
      <c r="B329" s="8">
        <v>10</v>
      </c>
      <c r="C329" s="8">
        <v>70</v>
      </c>
      <c r="D329" s="8">
        <v>0</v>
      </c>
      <c r="E329" s="8">
        <v>0</v>
      </c>
      <c r="F329" s="8">
        <v>35.1</v>
      </c>
      <c r="G329" s="8">
        <v>0.2</v>
      </c>
      <c r="H329" s="8">
        <v>37</v>
      </c>
      <c r="I329" s="9">
        <v>123.205787318476</v>
      </c>
      <c r="J329" s="9">
        <v>55.794212681524002</v>
      </c>
      <c r="K329" s="8">
        <f t="shared" si="5"/>
        <v>3112.9941687511337</v>
      </c>
    </row>
    <row r="330" spans="1:11" x14ac:dyDescent="0.35">
      <c r="A330" s="8">
        <v>102</v>
      </c>
      <c r="B330" s="8">
        <v>2</v>
      </c>
      <c r="C330" s="8">
        <v>86</v>
      </c>
      <c r="D330" s="8">
        <v>36</v>
      </c>
      <c r="E330" s="8">
        <v>120</v>
      </c>
      <c r="F330" s="8">
        <v>45.5</v>
      </c>
      <c r="G330" s="8">
        <v>0.127</v>
      </c>
      <c r="H330" s="8">
        <v>23</v>
      </c>
      <c r="I330" s="9">
        <v>122.18780516974878</v>
      </c>
      <c r="J330" s="9">
        <v>-20.187805169748785</v>
      </c>
      <c r="K330" s="8">
        <f t="shared" si="5"/>
        <v>407.54747757173578</v>
      </c>
    </row>
    <row r="331" spans="1:11" x14ac:dyDescent="0.35">
      <c r="A331" s="8">
        <v>105</v>
      </c>
      <c r="B331" s="8">
        <v>6</v>
      </c>
      <c r="C331" s="8">
        <v>70</v>
      </c>
      <c r="D331" s="8">
        <v>32</v>
      </c>
      <c r="E331" s="8">
        <v>68</v>
      </c>
      <c r="F331" s="8">
        <v>30.8</v>
      </c>
      <c r="G331" s="8">
        <v>0.122</v>
      </c>
      <c r="H331" s="8">
        <v>37</v>
      </c>
      <c r="I331" s="9">
        <v>115.38777577845057</v>
      </c>
      <c r="J331" s="9">
        <v>-10.387775778450575</v>
      </c>
      <c r="K331" s="8">
        <f t="shared" si="5"/>
        <v>107.90588562336444</v>
      </c>
    </row>
    <row r="332" spans="1:11" x14ac:dyDescent="0.35">
      <c r="A332" s="8">
        <v>118</v>
      </c>
      <c r="B332" s="8">
        <v>8</v>
      </c>
      <c r="C332" s="8">
        <v>72</v>
      </c>
      <c r="D332" s="8">
        <v>19</v>
      </c>
      <c r="E332" s="8">
        <v>0</v>
      </c>
      <c r="F332" s="8">
        <v>23.1</v>
      </c>
      <c r="G332" s="8">
        <v>1.476</v>
      </c>
      <c r="H332" s="8">
        <v>46</v>
      </c>
      <c r="I332" s="9">
        <v>121.74063206604822</v>
      </c>
      <c r="J332" s="9">
        <v>-3.7406320660482208</v>
      </c>
      <c r="K332" s="8">
        <f t="shared" si="5"/>
        <v>13.992328253548182</v>
      </c>
    </row>
    <row r="333" spans="1:11" x14ac:dyDescent="0.35">
      <c r="A333" s="8">
        <v>87</v>
      </c>
      <c r="B333" s="8">
        <v>2</v>
      </c>
      <c r="C333" s="8">
        <v>58</v>
      </c>
      <c r="D333" s="8">
        <v>16</v>
      </c>
      <c r="E333" s="8">
        <v>52</v>
      </c>
      <c r="F333" s="8">
        <v>32.700000000000003</v>
      </c>
      <c r="G333" s="8">
        <v>0.16600000000000001</v>
      </c>
      <c r="H333" s="8">
        <v>25</v>
      </c>
      <c r="I333" s="9">
        <v>112.01241433037301</v>
      </c>
      <c r="J333" s="9">
        <v>-25.012414330373005</v>
      </c>
      <c r="K333" s="8">
        <f t="shared" si="5"/>
        <v>625.62087063424883</v>
      </c>
    </row>
    <row r="334" spans="1:11" x14ac:dyDescent="0.35">
      <c r="A334" s="8">
        <v>180</v>
      </c>
      <c r="B334" s="8">
        <v>1</v>
      </c>
      <c r="C334" s="8">
        <v>0</v>
      </c>
      <c r="D334" s="8">
        <v>0</v>
      </c>
      <c r="E334" s="8">
        <v>0</v>
      </c>
      <c r="F334" s="8">
        <v>43.3</v>
      </c>
      <c r="G334" s="8">
        <v>0.28199999999999997</v>
      </c>
      <c r="H334" s="8">
        <v>41</v>
      </c>
      <c r="I334" s="9">
        <v>127.02467708877744</v>
      </c>
      <c r="J334" s="9">
        <v>52.975322911222563</v>
      </c>
      <c r="K334" s="8">
        <f t="shared" si="5"/>
        <v>2806.3848375483021</v>
      </c>
    </row>
    <row r="335" spans="1:11" x14ac:dyDescent="0.35">
      <c r="A335" s="8">
        <v>106</v>
      </c>
      <c r="B335" s="8">
        <v>12</v>
      </c>
      <c r="C335" s="8">
        <v>80</v>
      </c>
      <c r="D335" s="8">
        <v>0</v>
      </c>
      <c r="E335" s="8">
        <v>0</v>
      </c>
      <c r="F335" s="8">
        <v>23.6</v>
      </c>
      <c r="G335" s="8">
        <v>0.13700000000000001</v>
      </c>
      <c r="H335" s="8">
        <v>44</v>
      </c>
      <c r="I335" s="9">
        <v>119.51445088386239</v>
      </c>
      <c r="J335" s="9">
        <v>-13.514450883862395</v>
      </c>
      <c r="K335" s="8">
        <f t="shared" si="5"/>
        <v>182.64038269232907</v>
      </c>
    </row>
    <row r="336" spans="1:11" x14ac:dyDescent="0.35">
      <c r="A336" s="8">
        <v>95</v>
      </c>
      <c r="B336" s="8">
        <v>1</v>
      </c>
      <c r="C336" s="8">
        <v>60</v>
      </c>
      <c r="D336" s="8">
        <v>18</v>
      </c>
      <c r="E336" s="8">
        <v>58</v>
      </c>
      <c r="F336" s="8">
        <v>23.9</v>
      </c>
      <c r="G336" s="8">
        <v>0.26</v>
      </c>
      <c r="H336" s="8">
        <v>22</v>
      </c>
      <c r="I336" s="9">
        <v>104.08329500059462</v>
      </c>
      <c r="J336" s="9">
        <v>-9.0832950005946174</v>
      </c>
      <c r="K336" s="8">
        <f t="shared" si="5"/>
        <v>82.506248067827173</v>
      </c>
    </row>
    <row r="337" spans="1:11" x14ac:dyDescent="0.35">
      <c r="A337" s="8">
        <v>165</v>
      </c>
      <c r="B337" s="8">
        <v>0</v>
      </c>
      <c r="C337" s="8">
        <v>76</v>
      </c>
      <c r="D337" s="8">
        <v>43</v>
      </c>
      <c r="E337" s="8">
        <v>255</v>
      </c>
      <c r="F337" s="8">
        <v>47.9</v>
      </c>
      <c r="G337" s="8">
        <v>0.25900000000000001</v>
      </c>
      <c r="H337" s="8">
        <v>26</v>
      </c>
      <c r="I337" s="9">
        <v>137.16474432000629</v>
      </c>
      <c r="J337" s="9">
        <v>27.835255679993708</v>
      </c>
      <c r="K337" s="8">
        <f t="shared" si="5"/>
        <v>774.80145877062193</v>
      </c>
    </row>
    <row r="338" spans="1:11" x14ac:dyDescent="0.35">
      <c r="A338" s="8">
        <v>117</v>
      </c>
      <c r="B338" s="8">
        <v>0</v>
      </c>
      <c r="C338" s="8">
        <v>0</v>
      </c>
      <c r="D338" s="8">
        <v>0</v>
      </c>
      <c r="E338" s="8">
        <v>0</v>
      </c>
      <c r="F338" s="8">
        <v>33.799999999999997</v>
      </c>
      <c r="G338" s="8">
        <v>0.93200000000000005</v>
      </c>
      <c r="H338" s="8">
        <v>44</v>
      </c>
      <c r="I338" s="9">
        <v>125.87930669273612</v>
      </c>
      <c r="J338" s="9">
        <v>-8.8793066927361224</v>
      </c>
      <c r="K338" s="8">
        <f t="shared" si="5"/>
        <v>78.842087343668496</v>
      </c>
    </row>
    <row r="339" spans="1:11" x14ac:dyDescent="0.35">
      <c r="A339" s="8">
        <v>115</v>
      </c>
      <c r="B339" s="8">
        <v>5</v>
      </c>
      <c r="C339" s="8">
        <v>76</v>
      </c>
      <c r="D339" s="8">
        <v>0</v>
      </c>
      <c r="E339" s="8">
        <v>0</v>
      </c>
      <c r="F339" s="8">
        <v>31.2</v>
      </c>
      <c r="G339" s="8">
        <v>0.34300000000000003</v>
      </c>
      <c r="H339" s="8">
        <v>44</v>
      </c>
      <c r="I339" s="9">
        <v>125.82532191470409</v>
      </c>
      <c r="J339" s="9">
        <v>-10.825321914704091</v>
      </c>
      <c r="K339" s="8">
        <f t="shared" si="5"/>
        <v>117.18759455697264</v>
      </c>
    </row>
    <row r="340" spans="1:11" x14ac:dyDescent="0.35">
      <c r="A340" s="8">
        <v>152</v>
      </c>
      <c r="B340" s="8">
        <v>9</v>
      </c>
      <c r="C340" s="8">
        <v>78</v>
      </c>
      <c r="D340" s="8">
        <v>34</v>
      </c>
      <c r="E340" s="8">
        <v>171</v>
      </c>
      <c r="F340" s="8">
        <v>34.200000000000003</v>
      </c>
      <c r="G340" s="8">
        <v>0.89300000000000002</v>
      </c>
      <c r="H340" s="8">
        <v>33</v>
      </c>
      <c r="I340" s="9">
        <v>130.64534705410489</v>
      </c>
      <c r="J340" s="9">
        <v>21.354652945895111</v>
      </c>
      <c r="K340" s="8">
        <f t="shared" si="5"/>
        <v>456.02120243962673</v>
      </c>
    </row>
    <row r="341" spans="1:11" x14ac:dyDescent="0.35">
      <c r="A341" s="8">
        <v>178</v>
      </c>
      <c r="B341" s="8">
        <v>7</v>
      </c>
      <c r="C341" s="8">
        <v>84</v>
      </c>
      <c r="D341" s="8">
        <v>0</v>
      </c>
      <c r="E341" s="8">
        <v>0</v>
      </c>
      <c r="F341" s="8">
        <v>39.9</v>
      </c>
      <c r="G341" s="8">
        <v>0.33100000000000002</v>
      </c>
      <c r="H341" s="8">
        <v>41</v>
      </c>
      <c r="I341" s="9">
        <v>131.01939369637867</v>
      </c>
      <c r="J341" s="9">
        <v>46.980606303621329</v>
      </c>
      <c r="K341" s="8">
        <f t="shared" si="5"/>
        <v>2207.177368655864</v>
      </c>
    </row>
    <row r="342" spans="1:11" x14ac:dyDescent="0.35">
      <c r="A342" s="8">
        <v>130</v>
      </c>
      <c r="B342" s="8">
        <v>1</v>
      </c>
      <c r="C342" s="8">
        <v>70</v>
      </c>
      <c r="D342" s="8">
        <v>13</v>
      </c>
      <c r="E342" s="8">
        <v>105</v>
      </c>
      <c r="F342" s="8">
        <v>25.9</v>
      </c>
      <c r="G342" s="8">
        <v>0.47199999999999998</v>
      </c>
      <c r="H342" s="8">
        <v>22</v>
      </c>
      <c r="I342" s="9">
        <v>114.01699166615039</v>
      </c>
      <c r="J342" s="9">
        <v>15.983008333849611</v>
      </c>
      <c r="K342" s="8">
        <f t="shared" si="5"/>
        <v>255.45655539990611</v>
      </c>
    </row>
    <row r="343" spans="1:11" x14ac:dyDescent="0.35">
      <c r="A343" s="8">
        <v>95</v>
      </c>
      <c r="B343" s="8">
        <v>1</v>
      </c>
      <c r="C343" s="8">
        <v>74</v>
      </c>
      <c r="D343" s="8">
        <v>21</v>
      </c>
      <c r="E343" s="8">
        <v>73</v>
      </c>
      <c r="F343" s="8">
        <v>25.9</v>
      </c>
      <c r="G343" s="8">
        <v>0.67300000000000004</v>
      </c>
      <c r="H343" s="8">
        <v>36</v>
      </c>
      <c r="I343" s="9">
        <v>118.71102723022166</v>
      </c>
      <c r="J343" s="9">
        <v>-23.71102723022166</v>
      </c>
      <c r="K343" s="8">
        <f t="shared" si="5"/>
        <v>562.21281231231308</v>
      </c>
    </row>
    <row r="344" spans="1:11" x14ac:dyDescent="0.35">
      <c r="A344" s="8">
        <v>0</v>
      </c>
      <c r="B344" s="8">
        <v>1</v>
      </c>
      <c r="C344" s="8">
        <v>68</v>
      </c>
      <c r="D344" s="8">
        <v>35</v>
      </c>
      <c r="E344" s="8">
        <v>0</v>
      </c>
      <c r="F344" s="8">
        <v>32</v>
      </c>
      <c r="G344" s="8">
        <v>0.38900000000000001</v>
      </c>
      <c r="H344" s="8">
        <v>22</v>
      </c>
      <c r="I344" s="9">
        <v>100.02574842415359</v>
      </c>
      <c r="J344" s="9">
        <v>-100.02574842415359</v>
      </c>
      <c r="K344" s="8">
        <f t="shared" si="5"/>
        <v>10005.150347812065</v>
      </c>
    </row>
    <row r="345" spans="1:11" x14ac:dyDescent="0.35">
      <c r="A345" s="8">
        <v>122</v>
      </c>
      <c r="B345" s="8">
        <v>5</v>
      </c>
      <c r="C345" s="8">
        <v>86</v>
      </c>
      <c r="D345" s="8">
        <v>0</v>
      </c>
      <c r="E345" s="8">
        <v>0</v>
      </c>
      <c r="F345" s="8">
        <v>34.700000000000003</v>
      </c>
      <c r="G345" s="8">
        <v>0.28999999999999998</v>
      </c>
      <c r="H345" s="8">
        <v>33</v>
      </c>
      <c r="I345" s="9">
        <v>121.71905507082371</v>
      </c>
      <c r="J345" s="9">
        <v>0.280944929176286</v>
      </c>
      <c r="K345" s="8">
        <f t="shared" si="5"/>
        <v>7.893005322986836E-2</v>
      </c>
    </row>
    <row r="346" spans="1:11" x14ac:dyDescent="0.35">
      <c r="A346" s="8">
        <v>95</v>
      </c>
      <c r="B346" s="8">
        <v>8</v>
      </c>
      <c r="C346" s="8">
        <v>72</v>
      </c>
      <c r="D346" s="8">
        <v>0</v>
      </c>
      <c r="E346" s="8">
        <v>0</v>
      </c>
      <c r="F346" s="8">
        <v>36.799999999999997</v>
      </c>
      <c r="G346" s="8">
        <v>0.48499999999999999</v>
      </c>
      <c r="H346" s="8">
        <v>57</v>
      </c>
      <c r="I346" s="9">
        <v>139.20886713379483</v>
      </c>
      <c r="J346" s="9">
        <v>-44.208867133794826</v>
      </c>
      <c r="K346" s="8">
        <f t="shared" si="5"/>
        <v>1954.4239332535244</v>
      </c>
    </row>
    <row r="347" spans="1:11" x14ac:dyDescent="0.35">
      <c r="A347" s="8">
        <v>126</v>
      </c>
      <c r="B347" s="8">
        <v>8</v>
      </c>
      <c r="C347" s="8">
        <v>88</v>
      </c>
      <c r="D347" s="8">
        <v>36</v>
      </c>
      <c r="E347" s="8">
        <v>108</v>
      </c>
      <c r="F347" s="8">
        <v>38.5</v>
      </c>
      <c r="G347" s="8">
        <v>0.34899999999999998</v>
      </c>
      <c r="H347" s="8">
        <v>49</v>
      </c>
      <c r="I347" s="9">
        <v>134.40251348590658</v>
      </c>
      <c r="J347" s="9">
        <v>-8.4025134859065815</v>
      </c>
      <c r="K347" s="8">
        <f t="shared" si="5"/>
        <v>70.602232880841967</v>
      </c>
    </row>
    <row r="348" spans="1:11" x14ac:dyDescent="0.35">
      <c r="A348" s="8">
        <v>139</v>
      </c>
      <c r="B348" s="8">
        <v>1</v>
      </c>
      <c r="C348" s="8">
        <v>46</v>
      </c>
      <c r="D348" s="8">
        <v>19</v>
      </c>
      <c r="E348" s="8">
        <v>83</v>
      </c>
      <c r="F348" s="8">
        <v>28.7</v>
      </c>
      <c r="G348" s="8">
        <v>0.65400000000000003</v>
      </c>
      <c r="H348" s="8">
        <v>22</v>
      </c>
      <c r="I348" s="9">
        <v>111.37056414723575</v>
      </c>
      <c r="J348" s="9">
        <v>27.629435852764246</v>
      </c>
      <c r="K348" s="8">
        <f t="shared" si="5"/>
        <v>763.38572554201437</v>
      </c>
    </row>
    <row r="349" spans="1:11" x14ac:dyDescent="0.35">
      <c r="A349" s="8">
        <v>116</v>
      </c>
      <c r="B349" s="8">
        <v>3</v>
      </c>
      <c r="C349" s="8">
        <v>0</v>
      </c>
      <c r="D349" s="8">
        <v>0</v>
      </c>
      <c r="E349" s="8">
        <v>0</v>
      </c>
      <c r="F349" s="8">
        <v>23.5</v>
      </c>
      <c r="G349" s="8">
        <v>0.187</v>
      </c>
      <c r="H349" s="8">
        <v>23</v>
      </c>
      <c r="I349" s="9">
        <v>100.07193902786847</v>
      </c>
      <c r="J349" s="9">
        <v>15.928060972131533</v>
      </c>
      <c r="K349" s="8">
        <f t="shared" si="5"/>
        <v>253.7031263319397</v>
      </c>
    </row>
    <row r="350" spans="1:11" x14ac:dyDescent="0.35">
      <c r="A350" s="8">
        <v>99</v>
      </c>
      <c r="B350" s="8">
        <v>3</v>
      </c>
      <c r="C350" s="8">
        <v>62</v>
      </c>
      <c r="D350" s="8">
        <v>19</v>
      </c>
      <c r="E350" s="8">
        <v>74</v>
      </c>
      <c r="F350" s="8">
        <v>21.8</v>
      </c>
      <c r="G350" s="8">
        <v>0.27900000000000003</v>
      </c>
      <c r="H350" s="8">
        <v>26</v>
      </c>
      <c r="I350" s="9">
        <v>106.74002316492722</v>
      </c>
      <c r="J350" s="9">
        <v>-7.7400231649272229</v>
      </c>
      <c r="K350" s="8">
        <f t="shared" si="5"/>
        <v>59.907958593610026</v>
      </c>
    </row>
    <row r="351" spans="1:11" x14ac:dyDescent="0.35">
      <c r="A351" s="8">
        <v>0</v>
      </c>
      <c r="B351" s="8">
        <v>5</v>
      </c>
      <c r="C351" s="8">
        <v>80</v>
      </c>
      <c r="D351" s="8">
        <v>32</v>
      </c>
      <c r="E351" s="8">
        <v>0</v>
      </c>
      <c r="F351" s="8">
        <v>41</v>
      </c>
      <c r="G351" s="8">
        <v>0.34599999999999997</v>
      </c>
      <c r="H351" s="8">
        <v>37</v>
      </c>
      <c r="I351" s="9">
        <v>118.2644939404809</v>
      </c>
      <c r="J351" s="9">
        <v>-118.2644939404809</v>
      </c>
      <c r="K351" s="8">
        <f t="shared" si="5"/>
        <v>13986.490526998045</v>
      </c>
    </row>
    <row r="352" spans="1:11" x14ac:dyDescent="0.35">
      <c r="A352" s="8">
        <v>92</v>
      </c>
      <c r="B352" s="8">
        <v>4</v>
      </c>
      <c r="C352" s="8">
        <v>80</v>
      </c>
      <c r="D352" s="8">
        <v>0</v>
      </c>
      <c r="E352" s="8">
        <v>0</v>
      </c>
      <c r="F352" s="8">
        <v>42.2</v>
      </c>
      <c r="G352" s="8">
        <v>0.23699999999999999</v>
      </c>
      <c r="H352" s="8">
        <v>29</v>
      </c>
      <c r="I352" s="9">
        <v>123.95135318756589</v>
      </c>
      <c r="J352" s="9">
        <v>-31.951353187565886</v>
      </c>
      <c r="K352" s="8">
        <f t="shared" si="5"/>
        <v>1020.8889705165767</v>
      </c>
    </row>
    <row r="353" spans="1:11" x14ac:dyDescent="0.35">
      <c r="A353" s="8">
        <v>137</v>
      </c>
      <c r="B353" s="8">
        <v>4</v>
      </c>
      <c r="C353" s="8">
        <v>84</v>
      </c>
      <c r="D353" s="8">
        <v>0</v>
      </c>
      <c r="E353" s="8">
        <v>0</v>
      </c>
      <c r="F353" s="8">
        <v>31.2</v>
      </c>
      <c r="G353" s="8">
        <v>0.252</v>
      </c>
      <c r="H353" s="8">
        <v>30</v>
      </c>
      <c r="I353" s="9">
        <v>116.71824856275066</v>
      </c>
      <c r="J353" s="9">
        <v>20.281751437249341</v>
      </c>
      <c r="K353" s="8">
        <f t="shared" si="5"/>
        <v>411.34944136236567</v>
      </c>
    </row>
    <row r="354" spans="1:11" x14ac:dyDescent="0.35">
      <c r="A354" s="8">
        <v>61</v>
      </c>
      <c r="B354" s="8">
        <v>3</v>
      </c>
      <c r="C354" s="8">
        <v>82</v>
      </c>
      <c r="D354" s="8">
        <v>28</v>
      </c>
      <c r="E354" s="8">
        <v>0</v>
      </c>
      <c r="F354" s="8">
        <v>34.4</v>
      </c>
      <c r="G354" s="8">
        <v>0.24299999999999999</v>
      </c>
      <c r="H354" s="8">
        <v>46</v>
      </c>
      <c r="I354" s="9">
        <v>119.82855898059339</v>
      </c>
      <c r="J354" s="9">
        <v>-58.828558980593385</v>
      </c>
      <c r="K354" s="8">
        <f t="shared" si="5"/>
        <v>3460.7993517331547</v>
      </c>
    </row>
    <row r="355" spans="1:11" x14ac:dyDescent="0.35">
      <c r="A355" s="8">
        <v>90</v>
      </c>
      <c r="B355" s="8">
        <v>1</v>
      </c>
      <c r="C355" s="8">
        <v>62</v>
      </c>
      <c r="D355" s="8">
        <v>12</v>
      </c>
      <c r="E355" s="8">
        <v>43</v>
      </c>
      <c r="F355" s="8">
        <v>27.2</v>
      </c>
      <c r="G355" s="8">
        <v>0.57999999999999996</v>
      </c>
      <c r="H355" s="8">
        <v>24</v>
      </c>
      <c r="I355" s="9">
        <v>110.50936766638929</v>
      </c>
      <c r="J355" s="9">
        <v>-20.509367666389295</v>
      </c>
      <c r="K355" s="8">
        <f t="shared" si="5"/>
        <v>420.63416207513467</v>
      </c>
    </row>
    <row r="356" spans="1:11" x14ac:dyDescent="0.35">
      <c r="A356" s="8">
        <v>90</v>
      </c>
      <c r="B356" s="8">
        <v>3</v>
      </c>
      <c r="C356" s="8">
        <v>78</v>
      </c>
      <c r="D356" s="8">
        <v>0</v>
      </c>
      <c r="E356" s="8">
        <v>0</v>
      </c>
      <c r="F356" s="8">
        <v>42.7</v>
      </c>
      <c r="G356" s="8">
        <v>0.55900000000000005</v>
      </c>
      <c r="H356" s="8">
        <v>21</v>
      </c>
      <c r="I356" s="9">
        <v>120.99927035431689</v>
      </c>
      <c r="J356" s="9">
        <v>-30.999270354316891</v>
      </c>
      <c r="K356" s="8">
        <f t="shared" si="5"/>
        <v>960.95476250003014</v>
      </c>
    </row>
    <row r="357" spans="1:11" x14ac:dyDescent="0.35">
      <c r="A357" s="8">
        <v>165</v>
      </c>
      <c r="B357" s="8">
        <v>9</v>
      </c>
      <c r="C357" s="8">
        <v>88</v>
      </c>
      <c r="D357" s="8">
        <v>0</v>
      </c>
      <c r="E357" s="8">
        <v>0</v>
      </c>
      <c r="F357" s="8">
        <v>30.4</v>
      </c>
      <c r="G357" s="8">
        <v>0.30199999999999999</v>
      </c>
      <c r="H357" s="8">
        <v>49</v>
      </c>
      <c r="I357" s="9">
        <v>129.26846242713418</v>
      </c>
      <c r="J357" s="9">
        <v>35.731537572865818</v>
      </c>
      <c r="K357" s="8">
        <f t="shared" si="5"/>
        <v>1276.7427773211216</v>
      </c>
    </row>
    <row r="358" spans="1:11" x14ac:dyDescent="0.35">
      <c r="A358" s="8">
        <v>125</v>
      </c>
      <c r="B358" s="8">
        <v>1</v>
      </c>
      <c r="C358" s="8">
        <v>50</v>
      </c>
      <c r="D358" s="8">
        <v>40</v>
      </c>
      <c r="E358" s="8">
        <v>167</v>
      </c>
      <c r="F358" s="8">
        <v>33.299999999999997</v>
      </c>
      <c r="G358" s="8">
        <v>0.96199999999999997</v>
      </c>
      <c r="H358" s="8">
        <v>28</v>
      </c>
      <c r="I358" s="9">
        <v>122.33998077775857</v>
      </c>
      <c r="J358" s="9">
        <v>2.6600192222414307</v>
      </c>
      <c r="K358" s="8">
        <f t="shared" si="5"/>
        <v>7.0757022626939063</v>
      </c>
    </row>
    <row r="359" spans="1:11" x14ac:dyDescent="0.35">
      <c r="A359" s="8">
        <v>129</v>
      </c>
      <c r="B359" s="8">
        <v>13</v>
      </c>
      <c r="C359" s="8">
        <v>0</v>
      </c>
      <c r="D359" s="8">
        <v>30</v>
      </c>
      <c r="E359" s="8">
        <v>0</v>
      </c>
      <c r="F359" s="8">
        <v>39.9</v>
      </c>
      <c r="G359" s="8">
        <v>0.56899999999999995</v>
      </c>
      <c r="H359" s="8">
        <v>44</v>
      </c>
      <c r="I359" s="9">
        <v>118.90168690678618</v>
      </c>
      <c r="J359" s="9">
        <v>10.098313093213818</v>
      </c>
      <c r="K359" s="8">
        <f t="shared" si="5"/>
        <v>101.97592732857363</v>
      </c>
    </row>
    <row r="360" spans="1:11" x14ac:dyDescent="0.35">
      <c r="A360" s="8">
        <v>88</v>
      </c>
      <c r="B360" s="8">
        <v>12</v>
      </c>
      <c r="C360" s="8">
        <v>74</v>
      </c>
      <c r="D360" s="8">
        <v>40</v>
      </c>
      <c r="E360" s="8">
        <v>54</v>
      </c>
      <c r="F360" s="8">
        <v>35.299999999999997</v>
      </c>
      <c r="G360" s="8">
        <v>0.378</v>
      </c>
      <c r="H360" s="8">
        <v>48</v>
      </c>
      <c r="I360" s="9">
        <v>124.03183306342306</v>
      </c>
      <c r="J360" s="9">
        <v>-36.031833063423065</v>
      </c>
      <c r="K360" s="8">
        <f t="shared" si="5"/>
        <v>1298.2929939103876</v>
      </c>
    </row>
    <row r="361" spans="1:11" x14ac:dyDescent="0.35">
      <c r="A361" s="8">
        <v>196</v>
      </c>
      <c r="B361" s="8">
        <v>1</v>
      </c>
      <c r="C361" s="8">
        <v>76</v>
      </c>
      <c r="D361" s="8">
        <v>36</v>
      </c>
      <c r="E361" s="8">
        <v>249</v>
      </c>
      <c r="F361" s="8">
        <v>36.5</v>
      </c>
      <c r="G361" s="8">
        <v>0.875</v>
      </c>
      <c r="H361" s="8">
        <v>29</v>
      </c>
      <c r="I361" s="9">
        <v>136.23375812800097</v>
      </c>
      <c r="J361" s="9">
        <v>59.766241871999028</v>
      </c>
      <c r="K361" s="8">
        <f t="shared" si="5"/>
        <v>3572.0036675022898</v>
      </c>
    </row>
    <row r="362" spans="1:11" x14ac:dyDescent="0.35">
      <c r="A362" s="8">
        <v>189</v>
      </c>
      <c r="B362" s="8">
        <v>5</v>
      </c>
      <c r="C362" s="8">
        <v>64</v>
      </c>
      <c r="D362" s="8">
        <v>33</v>
      </c>
      <c r="E362" s="8">
        <v>325</v>
      </c>
      <c r="F362" s="8">
        <v>31.2</v>
      </c>
      <c r="G362" s="8">
        <v>0.58299999999999996</v>
      </c>
      <c r="H362" s="8">
        <v>29</v>
      </c>
      <c r="I362" s="9">
        <v>138.44722391661799</v>
      </c>
      <c r="J362" s="9">
        <v>50.552776083382014</v>
      </c>
      <c r="K362" s="8">
        <f t="shared" si="5"/>
        <v>2555.5831697365606</v>
      </c>
    </row>
    <row r="363" spans="1:11" x14ac:dyDescent="0.35">
      <c r="A363" s="8">
        <v>158</v>
      </c>
      <c r="B363" s="8">
        <v>5</v>
      </c>
      <c r="C363" s="8">
        <v>70</v>
      </c>
      <c r="D363" s="8">
        <v>0</v>
      </c>
      <c r="E363" s="8">
        <v>0</v>
      </c>
      <c r="F363" s="8">
        <v>29.8</v>
      </c>
      <c r="G363" s="8">
        <v>0.20699999999999999</v>
      </c>
      <c r="H363" s="8">
        <v>63</v>
      </c>
      <c r="I363" s="9">
        <v>135.75565142801398</v>
      </c>
      <c r="J363" s="9">
        <v>22.244348571986023</v>
      </c>
      <c r="K363" s="8">
        <f t="shared" si="5"/>
        <v>494.81104339201664</v>
      </c>
    </row>
    <row r="364" spans="1:11" x14ac:dyDescent="0.35">
      <c r="A364" s="8">
        <v>103</v>
      </c>
      <c r="B364" s="8">
        <v>5</v>
      </c>
      <c r="C364" s="8">
        <v>108</v>
      </c>
      <c r="D364" s="8">
        <v>37</v>
      </c>
      <c r="E364" s="8">
        <v>0</v>
      </c>
      <c r="F364" s="8">
        <v>39.200000000000003</v>
      </c>
      <c r="G364" s="8">
        <v>0.30499999999999999</v>
      </c>
      <c r="H364" s="8">
        <v>65</v>
      </c>
      <c r="I364" s="9">
        <v>135.01196045044932</v>
      </c>
      <c r="J364" s="9">
        <v>-32.011960450449322</v>
      </c>
      <c r="K364" s="8">
        <f t="shared" si="5"/>
        <v>1024.7656118811317</v>
      </c>
    </row>
    <row r="365" spans="1:11" x14ac:dyDescent="0.35">
      <c r="A365" s="8">
        <v>146</v>
      </c>
      <c r="B365" s="8">
        <v>4</v>
      </c>
      <c r="C365" s="8">
        <v>78</v>
      </c>
      <c r="D365" s="8">
        <v>0</v>
      </c>
      <c r="E365" s="8">
        <v>0</v>
      </c>
      <c r="F365" s="8">
        <v>38.5</v>
      </c>
      <c r="G365" s="8">
        <v>0.52</v>
      </c>
      <c r="H365" s="8">
        <v>67</v>
      </c>
      <c r="I365" s="9">
        <v>147.34258969991711</v>
      </c>
      <c r="J365" s="9">
        <v>-1.342589699917113</v>
      </c>
      <c r="K365" s="8">
        <f t="shared" si="5"/>
        <v>1.8025471023235236</v>
      </c>
    </row>
    <row r="366" spans="1:11" x14ac:dyDescent="0.35">
      <c r="A366" s="8">
        <v>147</v>
      </c>
      <c r="B366" s="8">
        <v>4</v>
      </c>
      <c r="C366" s="8">
        <v>74</v>
      </c>
      <c r="D366" s="8">
        <v>25</v>
      </c>
      <c r="E366" s="8">
        <v>293</v>
      </c>
      <c r="F366" s="8">
        <v>34.9</v>
      </c>
      <c r="G366" s="8">
        <v>0.38500000000000001</v>
      </c>
      <c r="H366" s="8">
        <v>30</v>
      </c>
      <c r="I366" s="9">
        <v>140.71805342726066</v>
      </c>
      <c r="J366" s="9">
        <v>6.2819465727393435</v>
      </c>
      <c r="K366" s="8">
        <f t="shared" si="5"/>
        <v>39.462852742751586</v>
      </c>
    </row>
    <row r="367" spans="1:11" x14ac:dyDescent="0.35">
      <c r="A367" s="8">
        <v>99</v>
      </c>
      <c r="B367" s="8">
        <v>5</v>
      </c>
      <c r="C367" s="8">
        <v>54</v>
      </c>
      <c r="D367" s="8">
        <v>28</v>
      </c>
      <c r="E367" s="8">
        <v>83</v>
      </c>
      <c r="F367" s="8">
        <v>34</v>
      </c>
      <c r="G367" s="8">
        <v>0.499</v>
      </c>
      <c r="H367" s="8">
        <v>30</v>
      </c>
      <c r="I367" s="9">
        <v>117.31785772585411</v>
      </c>
      <c r="J367" s="9">
        <v>-18.317857725854111</v>
      </c>
      <c r="K367" s="8">
        <f t="shared" si="5"/>
        <v>335.54391166463313</v>
      </c>
    </row>
    <row r="368" spans="1:11" x14ac:dyDescent="0.35">
      <c r="A368" s="8">
        <v>124</v>
      </c>
      <c r="B368" s="8">
        <v>6</v>
      </c>
      <c r="C368" s="8">
        <v>72</v>
      </c>
      <c r="D368" s="8">
        <v>0</v>
      </c>
      <c r="E368" s="8">
        <v>0</v>
      </c>
      <c r="F368" s="8">
        <v>27.6</v>
      </c>
      <c r="G368" s="8">
        <v>0.36799999999999999</v>
      </c>
      <c r="H368" s="8">
        <v>29</v>
      </c>
      <c r="I368" s="9">
        <v>113.38204260314468</v>
      </c>
      <c r="J368" s="9">
        <v>10.617957396855317</v>
      </c>
      <c r="K368" s="8">
        <f t="shared" si="5"/>
        <v>112.74101928143455</v>
      </c>
    </row>
    <row r="369" spans="1:11" x14ac:dyDescent="0.35">
      <c r="A369" s="8">
        <v>101</v>
      </c>
      <c r="B369" s="8">
        <v>0</v>
      </c>
      <c r="C369" s="8">
        <v>64</v>
      </c>
      <c r="D369" s="8">
        <v>17</v>
      </c>
      <c r="E369" s="8">
        <v>0</v>
      </c>
      <c r="F369" s="8">
        <v>21</v>
      </c>
      <c r="G369" s="8">
        <v>0.252</v>
      </c>
      <c r="H369" s="8">
        <v>21</v>
      </c>
      <c r="I369" s="9">
        <v>95.939364057874144</v>
      </c>
      <c r="J369" s="9">
        <v>5.060635942125856</v>
      </c>
      <c r="K369" s="8">
        <f t="shared" si="5"/>
        <v>25.610036138736049</v>
      </c>
    </row>
    <row r="370" spans="1:11" x14ac:dyDescent="0.35">
      <c r="A370" s="8">
        <v>81</v>
      </c>
      <c r="B370" s="8">
        <v>3</v>
      </c>
      <c r="C370" s="8">
        <v>86</v>
      </c>
      <c r="D370" s="8">
        <v>16</v>
      </c>
      <c r="E370" s="8">
        <v>66</v>
      </c>
      <c r="F370" s="8">
        <v>27.5</v>
      </c>
      <c r="G370" s="8">
        <v>0.30599999999999999</v>
      </c>
      <c r="H370" s="8">
        <v>22</v>
      </c>
      <c r="I370" s="9">
        <v>110.48590408163489</v>
      </c>
      <c r="J370" s="9">
        <v>-29.485904081634885</v>
      </c>
      <c r="K370" s="8">
        <f t="shared" si="5"/>
        <v>869.41853951137273</v>
      </c>
    </row>
    <row r="371" spans="1:11" x14ac:dyDescent="0.35">
      <c r="A371" s="8">
        <v>133</v>
      </c>
      <c r="B371" s="8">
        <v>1</v>
      </c>
      <c r="C371" s="8">
        <v>102</v>
      </c>
      <c r="D371" s="8">
        <v>28</v>
      </c>
      <c r="E371" s="8">
        <v>140</v>
      </c>
      <c r="F371" s="8">
        <v>32.799999999999997</v>
      </c>
      <c r="G371" s="8">
        <v>0.23400000000000001</v>
      </c>
      <c r="H371" s="8">
        <v>45</v>
      </c>
      <c r="I371" s="9">
        <v>133.27580722176509</v>
      </c>
      <c r="J371" s="9">
        <v>-0.27580722176509198</v>
      </c>
      <c r="K371" s="8">
        <f t="shared" si="5"/>
        <v>7.6069623577778633E-2</v>
      </c>
    </row>
    <row r="372" spans="1:11" x14ac:dyDescent="0.35">
      <c r="A372" s="8">
        <v>173</v>
      </c>
      <c r="B372" s="8">
        <v>3</v>
      </c>
      <c r="C372" s="8">
        <v>82</v>
      </c>
      <c r="D372" s="8">
        <v>48</v>
      </c>
      <c r="E372" s="8">
        <v>465</v>
      </c>
      <c r="F372" s="8">
        <v>38.4</v>
      </c>
      <c r="G372" s="8">
        <v>2.137</v>
      </c>
      <c r="H372" s="8">
        <v>25</v>
      </c>
      <c r="I372" s="9">
        <v>161.27976888711135</v>
      </c>
      <c r="J372" s="9">
        <v>11.720231112888655</v>
      </c>
      <c r="K372" s="8">
        <f t="shared" si="5"/>
        <v>137.36381733952325</v>
      </c>
    </row>
    <row r="373" spans="1:11" x14ac:dyDescent="0.35">
      <c r="A373" s="8">
        <v>118</v>
      </c>
      <c r="B373" s="8">
        <v>0</v>
      </c>
      <c r="C373" s="8">
        <v>64</v>
      </c>
      <c r="D373" s="8">
        <v>23</v>
      </c>
      <c r="E373" s="8">
        <v>89</v>
      </c>
      <c r="F373" s="8">
        <v>0</v>
      </c>
      <c r="G373" s="8">
        <v>1.7310000000000001</v>
      </c>
      <c r="H373" s="8">
        <v>21</v>
      </c>
      <c r="I373" s="9">
        <v>96.461997701777861</v>
      </c>
      <c r="J373" s="9">
        <v>21.538002298222139</v>
      </c>
      <c r="K373" s="8">
        <f t="shared" si="5"/>
        <v>463.88554299822215</v>
      </c>
    </row>
    <row r="374" spans="1:11" x14ac:dyDescent="0.35">
      <c r="A374" s="8">
        <v>84</v>
      </c>
      <c r="B374" s="8">
        <v>0</v>
      </c>
      <c r="C374" s="8">
        <v>64</v>
      </c>
      <c r="D374" s="8">
        <v>22</v>
      </c>
      <c r="E374" s="8">
        <v>66</v>
      </c>
      <c r="F374" s="8">
        <v>35.799999999999997</v>
      </c>
      <c r="G374" s="8">
        <v>0.54500000000000004</v>
      </c>
      <c r="H374" s="8">
        <v>21</v>
      </c>
      <c r="I374" s="9">
        <v>113.85471978570835</v>
      </c>
      <c r="J374" s="9">
        <v>-29.854719785708355</v>
      </c>
      <c r="K374" s="8">
        <f t="shared" si="5"/>
        <v>891.30429348316591</v>
      </c>
    </row>
    <row r="375" spans="1:11" x14ac:dyDescent="0.35">
      <c r="A375" s="8">
        <v>105</v>
      </c>
      <c r="B375" s="8">
        <v>2</v>
      </c>
      <c r="C375" s="8">
        <v>58</v>
      </c>
      <c r="D375" s="8">
        <v>40</v>
      </c>
      <c r="E375" s="8">
        <v>94</v>
      </c>
      <c r="F375" s="8">
        <v>34.9</v>
      </c>
      <c r="G375" s="8">
        <v>0.22500000000000001</v>
      </c>
      <c r="H375" s="8">
        <v>25</v>
      </c>
      <c r="I375" s="9">
        <v>110.23384053017017</v>
      </c>
      <c r="J375" s="9">
        <v>-5.2338405301701698</v>
      </c>
      <c r="K375" s="8">
        <f t="shared" si="5"/>
        <v>27.393086695251963</v>
      </c>
    </row>
    <row r="376" spans="1:11" x14ac:dyDescent="0.35">
      <c r="A376" s="8">
        <v>122</v>
      </c>
      <c r="B376" s="8">
        <v>2</v>
      </c>
      <c r="C376" s="8">
        <v>52</v>
      </c>
      <c r="D376" s="8">
        <v>43</v>
      </c>
      <c r="E376" s="8">
        <v>158</v>
      </c>
      <c r="F376" s="8">
        <v>36.200000000000003</v>
      </c>
      <c r="G376" s="8">
        <v>0.81599999999999995</v>
      </c>
      <c r="H376" s="8">
        <v>28</v>
      </c>
      <c r="I376" s="9">
        <v>121.8855865502472</v>
      </c>
      <c r="J376" s="9">
        <v>0.11441344975280288</v>
      </c>
      <c r="K376" s="8">
        <f t="shared" si="5"/>
        <v>1.3090437484337148E-2</v>
      </c>
    </row>
    <row r="377" spans="1:11" x14ac:dyDescent="0.35">
      <c r="A377" s="8">
        <v>140</v>
      </c>
      <c r="B377" s="8">
        <v>12</v>
      </c>
      <c r="C377" s="8">
        <v>82</v>
      </c>
      <c r="D377" s="8">
        <v>43</v>
      </c>
      <c r="E377" s="8">
        <v>325</v>
      </c>
      <c r="F377" s="8">
        <v>39.200000000000003</v>
      </c>
      <c r="G377" s="8">
        <v>0.52800000000000002</v>
      </c>
      <c r="H377" s="8">
        <v>58</v>
      </c>
      <c r="I377" s="9">
        <v>161.14521900569605</v>
      </c>
      <c r="J377" s="9">
        <v>-21.145219005696049</v>
      </c>
      <c r="K377" s="8">
        <f t="shared" si="5"/>
        <v>447.12028679884941</v>
      </c>
    </row>
    <row r="378" spans="1:11" x14ac:dyDescent="0.35">
      <c r="A378" s="8">
        <v>98</v>
      </c>
      <c r="B378" s="8">
        <v>0</v>
      </c>
      <c r="C378" s="8">
        <v>82</v>
      </c>
      <c r="D378" s="8">
        <v>15</v>
      </c>
      <c r="E378" s="8">
        <v>84</v>
      </c>
      <c r="F378" s="8">
        <v>25.2</v>
      </c>
      <c r="G378" s="8">
        <v>0.29899999999999999</v>
      </c>
      <c r="H378" s="8">
        <v>22</v>
      </c>
      <c r="I378" s="9">
        <v>110.40200933977994</v>
      </c>
      <c r="J378" s="9">
        <v>-12.402009339779937</v>
      </c>
      <c r="K378" s="8">
        <f t="shared" si="5"/>
        <v>153.80983566398879</v>
      </c>
    </row>
    <row r="379" spans="1:11" x14ac:dyDescent="0.35">
      <c r="A379" s="8">
        <v>87</v>
      </c>
      <c r="B379" s="8">
        <v>1</v>
      </c>
      <c r="C379" s="8">
        <v>60</v>
      </c>
      <c r="D379" s="8">
        <v>37</v>
      </c>
      <c r="E379" s="8">
        <v>75</v>
      </c>
      <c r="F379" s="8">
        <v>37.200000000000003</v>
      </c>
      <c r="G379" s="8">
        <v>0.50900000000000001</v>
      </c>
      <c r="H379" s="8">
        <v>22</v>
      </c>
      <c r="I379" s="9">
        <v>110.99235876035544</v>
      </c>
      <c r="J379" s="9">
        <v>-23.992358760355444</v>
      </c>
      <c r="K379" s="8">
        <f t="shared" si="5"/>
        <v>575.63327888560457</v>
      </c>
    </row>
    <row r="380" spans="1:11" x14ac:dyDescent="0.35">
      <c r="A380" s="8">
        <v>156</v>
      </c>
      <c r="B380" s="8">
        <v>4</v>
      </c>
      <c r="C380" s="8">
        <v>75</v>
      </c>
      <c r="D380" s="8">
        <v>0</v>
      </c>
      <c r="E380" s="8">
        <v>0</v>
      </c>
      <c r="F380" s="8">
        <v>48.3</v>
      </c>
      <c r="G380" s="8">
        <v>0.23799999999999999</v>
      </c>
      <c r="H380" s="8">
        <v>32</v>
      </c>
      <c r="I380" s="9">
        <v>130.1200833844471</v>
      </c>
      <c r="J380" s="9">
        <v>25.879916615552901</v>
      </c>
      <c r="K380" s="8">
        <f t="shared" si="5"/>
        <v>669.77008402797117</v>
      </c>
    </row>
    <row r="381" spans="1:11" x14ac:dyDescent="0.35">
      <c r="A381" s="8">
        <v>93</v>
      </c>
      <c r="B381" s="8">
        <v>0</v>
      </c>
      <c r="C381" s="8">
        <v>100</v>
      </c>
      <c r="D381" s="8">
        <v>39</v>
      </c>
      <c r="E381" s="8">
        <v>72</v>
      </c>
      <c r="F381" s="8">
        <v>43.4</v>
      </c>
      <c r="G381" s="8">
        <v>1.0209999999999999</v>
      </c>
      <c r="H381" s="8">
        <v>35</v>
      </c>
      <c r="I381" s="9">
        <v>129.03895103858932</v>
      </c>
      <c r="J381" s="9">
        <v>-36.038951038589317</v>
      </c>
      <c r="K381" s="8">
        <f t="shared" si="5"/>
        <v>1298.8059919618381</v>
      </c>
    </row>
    <row r="382" spans="1:11" x14ac:dyDescent="0.35">
      <c r="A382" s="8">
        <v>107</v>
      </c>
      <c r="B382" s="8">
        <v>1</v>
      </c>
      <c r="C382" s="8">
        <v>72</v>
      </c>
      <c r="D382" s="8">
        <v>30</v>
      </c>
      <c r="E382" s="8">
        <v>82</v>
      </c>
      <c r="F382" s="8">
        <v>30.8</v>
      </c>
      <c r="G382" s="8">
        <v>0.82099999999999995</v>
      </c>
      <c r="H382" s="8">
        <v>24</v>
      </c>
      <c r="I382" s="9">
        <v>113.33514902374645</v>
      </c>
      <c r="J382" s="9">
        <v>-6.3351490237464532</v>
      </c>
      <c r="K382" s="8">
        <f t="shared" si="5"/>
        <v>40.134113153075639</v>
      </c>
    </row>
    <row r="383" spans="1:11" x14ac:dyDescent="0.35">
      <c r="A383" s="8">
        <v>105</v>
      </c>
      <c r="B383" s="8">
        <v>0</v>
      </c>
      <c r="C383" s="8">
        <v>68</v>
      </c>
      <c r="D383" s="8">
        <v>22</v>
      </c>
      <c r="E383" s="8">
        <v>0</v>
      </c>
      <c r="F383" s="8">
        <v>20</v>
      </c>
      <c r="G383" s="8">
        <v>0.23599999999999999</v>
      </c>
      <c r="H383" s="8">
        <v>22</v>
      </c>
      <c r="I383" s="9">
        <v>94.342155554445625</v>
      </c>
      <c r="J383" s="9">
        <v>10.657844445554375</v>
      </c>
      <c r="K383" s="8">
        <f t="shared" si="5"/>
        <v>113.58964822563424</v>
      </c>
    </row>
    <row r="384" spans="1:11" x14ac:dyDescent="0.35">
      <c r="A384" s="8">
        <v>109</v>
      </c>
      <c r="B384" s="8">
        <v>1</v>
      </c>
      <c r="C384" s="8">
        <v>60</v>
      </c>
      <c r="D384" s="8">
        <v>8</v>
      </c>
      <c r="E384" s="8">
        <v>182</v>
      </c>
      <c r="F384" s="8">
        <v>25.4</v>
      </c>
      <c r="G384" s="8">
        <v>0.94699999999999995</v>
      </c>
      <c r="H384" s="8">
        <v>21</v>
      </c>
      <c r="I384" s="9">
        <v>124.70456447897831</v>
      </c>
      <c r="J384" s="9">
        <v>-15.704564478978313</v>
      </c>
      <c r="K384" s="8">
        <f t="shared" si="5"/>
        <v>246.63334547438737</v>
      </c>
    </row>
    <row r="385" spans="1:11" x14ac:dyDescent="0.35">
      <c r="A385" s="8">
        <v>90</v>
      </c>
      <c r="B385" s="8">
        <v>1</v>
      </c>
      <c r="C385" s="8">
        <v>62</v>
      </c>
      <c r="D385" s="8">
        <v>18</v>
      </c>
      <c r="E385" s="8">
        <v>59</v>
      </c>
      <c r="F385" s="8">
        <v>25.1</v>
      </c>
      <c r="G385" s="8">
        <v>1.268</v>
      </c>
      <c r="H385" s="8">
        <v>25</v>
      </c>
      <c r="I385" s="9">
        <v>113.52674682796324</v>
      </c>
      <c r="J385" s="9">
        <v>-23.526746827963237</v>
      </c>
      <c r="K385" s="8">
        <f t="shared" si="5"/>
        <v>553.5078163070782</v>
      </c>
    </row>
    <row r="386" spans="1:11" x14ac:dyDescent="0.35">
      <c r="A386" s="8">
        <v>125</v>
      </c>
      <c r="B386" s="8">
        <v>1</v>
      </c>
      <c r="C386" s="8">
        <v>70</v>
      </c>
      <c r="D386" s="8">
        <v>24</v>
      </c>
      <c r="E386" s="8">
        <v>110</v>
      </c>
      <c r="F386" s="8">
        <v>24.3</v>
      </c>
      <c r="G386" s="8">
        <v>0.221</v>
      </c>
      <c r="H386" s="8">
        <v>25</v>
      </c>
      <c r="I386" s="9">
        <v>109.99257710571842</v>
      </c>
      <c r="J386" s="9">
        <v>15.007422894281575</v>
      </c>
      <c r="K386" s="8">
        <f t="shared" si="5"/>
        <v>225.22274192780677</v>
      </c>
    </row>
    <row r="387" spans="1:11" x14ac:dyDescent="0.35">
      <c r="A387" s="8">
        <v>119</v>
      </c>
      <c r="B387" s="8">
        <v>1</v>
      </c>
      <c r="C387" s="8">
        <v>54</v>
      </c>
      <c r="D387" s="8">
        <v>13</v>
      </c>
      <c r="E387" s="8">
        <v>50</v>
      </c>
      <c r="F387" s="8">
        <v>22.3</v>
      </c>
      <c r="G387" s="8">
        <v>0.20499999999999999</v>
      </c>
      <c r="H387" s="8">
        <v>24</v>
      </c>
      <c r="I387" s="9">
        <v>104.27317189937736</v>
      </c>
      <c r="J387" s="9">
        <v>14.72682810062264</v>
      </c>
      <c r="K387" s="8">
        <f t="shared" ref="K387:K450" si="6">J387*J387</f>
        <v>216.87946590528864</v>
      </c>
    </row>
    <row r="388" spans="1:11" x14ac:dyDescent="0.35">
      <c r="A388" s="8">
        <v>116</v>
      </c>
      <c r="B388" s="8">
        <v>5</v>
      </c>
      <c r="C388" s="8">
        <v>74</v>
      </c>
      <c r="D388" s="8">
        <v>29</v>
      </c>
      <c r="E388" s="8">
        <v>0</v>
      </c>
      <c r="F388" s="8">
        <v>32.299999999999997</v>
      </c>
      <c r="G388" s="8">
        <v>0.66</v>
      </c>
      <c r="H388" s="8">
        <v>35</v>
      </c>
      <c r="I388" s="9">
        <v>113.01226201108655</v>
      </c>
      <c r="J388" s="9">
        <v>2.9877379889134517</v>
      </c>
      <c r="K388" s="8">
        <f t="shared" si="6"/>
        <v>8.9265782903965967</v>
      </c>
    </row>
    <row r="389" spans="1:11" x14ac:dyDescent="0.35">
      <c r="A389" s="8">
        <v>105</v>
      </c>
      <c r="B389" s="8">
        <v>8</v>
      </c>
      <c r="C389" s="8">
        <v>100</v>
      </c>
      <c r="D389" s="8">
        <v>36</v>
      </c>
      <c r="E389" s="8">
        <v>0</v>
      </c>
      <c r="F389" s="8">
        <v>43.3</v>
      </c>
      <c r="G389" s="8">
        <v>0.23899999999999999</v>
      </c>
      <c r="H389" s="8">
        <v>45</v>
      </c>
      <c r="I389" s="9">
        <v>124.71681044336066</v>
      </c>
      <c r="J389" s="9">
        <v>-19.716810443360657</v>
      </c>
      <c r="K389" s="8">
        <f t="shared" si="6"/>
        <v>388.75261405941586</v>
      </c>
    </row>
    <row r="390" spans="1:11" x14ac:dyDescent="0.35">
      <c r="A390" s="8">
        <v>144</v>
      </c>
      <c r="B390" s="8">
        <v>5</v>
      </c>
      <c r="C390" s="8">
        <v>82</v>
      </c>
      <c r="D390" s="8">
        <v>26</v>
      </c>
      <c r="E390" s="8">
        <v>285</v>
      </c>
      <c r="F390" s="8">
        <v>32</v>
      </c>
      <c r="G390" s="8">
        <v>0.45200000000000001</v>
      </c>
      <c r="H390" s="8">
        <v>58</v>
      </c>
      <c r="I390" s="9">
        <v>156.51377505510882</v>
      </c>
      <c r="J390" s="9">
        <v>-12.513775055108823</v>
      </c>
      <c r="K390" s="8">
        <f t="shared" si="6"/>
        <v>156.59456612986384</v>
      </c>
    </row>
    <row r="391" spans="1:11" x14ac:dyDescent="0.35">
      <c r="A391" s="8">
        <v>100</v>
      </c>
      <c r="B391" s="8">
        <v>3</v>
      </c>
      <c r="C391" s="8">
        <v>68</v>
      </c>
      <c r="D391" s="8">
        <v>23</v>
      </c>
      <c r="E391" s="8">
        <v>81</v>
      </c>
      <c r="F391" s="8">
        <v>31.6</v>
      </c>
      <c r="G391" s="8">
        <v>0.94899999999999995</v>
      </c>
      <c r="H391" s="8">
        <v>28</v>
      </c>
      <c r="I391" s="9">
        <v>119.40186303661902</v>
      </c>
      <c r="J391" s="9">
        <v>-19.401863036619019</v>
      </c>
      <c r="K391" s="8">
        <f t="shared" si="6"/>
        <v>376.43228929172341</v>
      </c>
    </row>
    <row r="392" spans="1:11" x14ac:dyDescent="0.35">
      <c r="A392" s="8">
        <v>100</v>
      </c>
      <c r="B392" s="8">
        <v>1</v>
      </c>
      <c r="C392" s="8">
        <v>66</v>
      </c>
      <c r="D392" s="8">
        <v>29</v>
      </c>
      <c r="E392" s="8">
        <v>196</v>
      </c>
      <c r="F392" s="8">
        <v>32</v>
      </c>
      <c r="G392" s="8">
        <v>0.44400000000000001</v>
      </c>
      <c r="H392" s="8">
        <v>42</v>
      </c>
      <c r="I392" s="9">
        <v>134.83757102147814</v>
      </c>
      <c r="J392" s="9">
        <v>-34.837571021478141</v>
      </c>
      <c r="K392" s="8">
        <f t="shared" si="6"/>
        <v>1213.6563546765335</v>
      </c>
    </row>
    <row r="393" spans="1:11" x14ac:dyDescent="0.35">
      <c r="A393" s="8">
        <v>166</v>
      </c>
      <c r="B393" s="8">
        <v>5</v>
      </c>
      <c r="C393" s="8">
        <v>76</v>
      </c>
      <c r="D393" s="8">
        <v>0</v>
      </c>
      <c r="E393" s="8">
        <v>0</v>
      </c>
      <c r="F393" s="8">
        <v>45.7</v>
      </c>
      <c r="G393" s="8">
        <v>0.34</v>
      </c>
      <c r="H393" s="8">
        <v>27</v>
      </c>
      <c r="I393" s="9">
        <v>125.71621701548621</v>
      </c>
      <c r="J393" s="9">
        <v>40.283782984513792</v>
      </c>
      <c r="K393" s="8">
        <f t="shared" si="6"/>
        <v>1622.7831715434029</v>
      </c>
    </row>
    <row r="394" spans="1:11" x14ac:dyDescent="0.35">
      <c r="A394" s="8">
        <v>131</v>
      </c>
      <c r="B394" s="8">
        <v>1</v>
      </c>
      <c r="C394" s="8">
        <v>64</v>
      </c>
      <c r="D394" s="8">
        <v>14</v>
      </c>
      <c r="E394" s="8">
        <v>415</v>
      </c>
      <c r="F394" s="8">
        <v>23.7</v>
      </c>
      <c r="G394" s="8">
        <v>0.38900000000000001</v>
      </c>
      <c r="H394" s="8">
        <v>21</v>
      </c>
      <c r="I394" s="9">
        <v>141.59073444801098</v>
      </c>
      <c r="J394" s="9">
        <v>-10.590734448010977</v>
      </c>
      <c r="K394" s="8">
        <f t="shared" si="6"/>
        <v>112.16365614828638</v>
      </c>
    </row>
    <row r="395" spans="1:11" x14ac:dyDescent="0.35">
      <c r="A395" s="8">
        <v>116</v>
      </c>
      <c r="B395" s="8">
        <v>4</v>
      </c>
      <c r="C395" s="8">
        <v>72</v>
      </c>
      <c r="D395" s="8">
        <v>12</v>
      </c>
      <c r="E395" s="8">
        <v>87</v>
      </c>
      <c r="F395" s="8">
        <v>22.1</v>
      </c>
      <c r="G395" s="8">
        <v>0.46300000000000002</v>
      </c>
      <c r="H395" s="8">
        <v>37</v>
      </c>
      <c r="I395" s="9">
        <v>119.63036853618152</v>
      </c>
      <c r="J395" s="9">
        <v>-3.6303685361815212</v>
      </c>
      <c r="K395" s="8">
        <f t="shared" si="6"/>
        <v>13.179575708496762</v>
      </c>
    </row>
    <row r="396" spans="1:11" x14ac:dyDescent="0.35">
      <c r="A396" s="8">
        <v>158</v>
      </c>
      <c r="B396" s="8">
        <v>4</v>
      </c>
      <c r="C396" s="8">
        <v>78</v>
      </c>
      <c r="D396" s="8">
        <v>0</v>
      </c>
      <c r="E396" s="8">
        <v>0</v>
      </c>
      <c r="F396" s="8">
        <v>32.9</v>
      </c>
      <c r="G396" s="8">
        <v>0.80300000000000005</v>
      </c>
      <c r="H396" s="8">
        <v>31</v>
      </c>
      <c r="I396" s="9">
        <v>121.69906312954177</v>
      </c>
      <c r="J396" s="9">
        <v>36.30093687045823</v>
      </c>
      <c r="K396" s="8">
        <f t="shared" si="6"/>
        <v>1317.7580176729937</v>
      </c>
    </row>
    <row r="397" spans="1:11" x14ac:dyDescent="0.35">
      <c r="A397" s="8">
        <v>127</v>
      </c>
      <c r="B397" s="8">
        <v>2</v>
      </c>
      <c r="C397" s="8">
        <v>58</v>
      </c>
      <c r="D397" s="8">
        <v>24</v>
      </c>
      <c r="E397" s="8">
        <v>275</v>
      </c>
      <c r="F397" s="8">
        <v>27.7</v>
      </c>
      <c r="G397" s="8">
        <v>1.6</v>
      </c>
      <c r="H397" s="8">
        <v>25</v>
      </c>
      <c r="I397" s="9">
        <v>137.05115438937952</v>
      </c>
      <c r="J397" s="9">
        <v>-10.051154389379519</v>
      </c>
      <c r="K397" s="8">
        <f t="shared" si="6"/>
        <v>101.02570455914318</v>
      </c>
    </row>
    <row r="398" spans="1:11" x14ac:dyDescent="0.35">
      <c r="A398" s="8">
        <v>96</v>
      </c>
      <c r="B398" s="8">
        <v>3</v>
      </c>
      <c r="C398" s="8">
        <v>56</v>
      </c>
      <c r="D398" s="8">
        <v>34</v>
      </c>
      <c r="E398" s="8">
        <v>115</v>
      </c>
      <c r="F398" s="8">
        <v>24.7</v>
      </c>
      <c r="G398" s="8">
        <v>0.94399999999999995</v>
      </c>
      <c r="H398" s="8">
        <v>39</v>
      </c>
      <c r="I398" s="9">
        <v>120.19025087828116</v>
      </c>
      <c r="J398" s="9">
        <v>-24.190250878281162</v>
      </c>
      <c r="K398" s="8">
        <f t="shared" si="6"/>
        <v>585.1682375541825</v>
      </c>
    </row>
    <row r="399" spans="1:11" x14ac:dyDescent="0.35">
      <c r="A399" s="8">
        <v>131</v>
      </c>
      <c r="B399" s="8">
        <v>0</v>
      </c>
      <c r="C399" s="8">
        <v>66</v>
      </c>
      <c r="D399" s="8">
        <v>40</v>
      </c>
      <c r="E399" s="8">
        <v>0</v>
      </c>
      <c r="F399" s="8">
        <v>34.299999999999997</v>
      </c>
      <c r="G399" s="8">
        <v>0.19600000000000001</v>
      </c>
      <c r="H399" s="8">
        <v>22</v>
      </c>
      <c r="I399" s="9">
        <v>98.662168080470337</v>
      </c>
      <c r="J399" s="9">
        <v>32.337831919529663</v>
      </c>
      <c r="K399" s="8">
        <f t="shared" si="6"/>
        <v>1045.7353732557515</v>
      </c>
    </row>
    <row r="400" spans="1:11" x14ac:dyDescent="0.35">
      <c r="A400" s="8">
        <v>82</v>
      </c>
      <c r="B400" s="8">
        <v>3</v>
      </c>
      <c r="C400" s="8">
        <v>70</v>
      </c>
      <c r="D400" s="8">
        <v>0</v>
      </c>
      <c r="E400" s="8">
        <v>0</v>
      </c>
      <c r="F400" s="8">
        <v>21.1</v>
      </c>
      <c r="G400" s="8">
        <v>0.38900000000000001</v>
      </c>
      <c r="H400" s="8">
        <v>25</v>
      </c>
      <c r="I400" s="9">
        <v>105.73992696501095</v>
      </c>
      <c r="J400" s="9">
        <v>-23.739926965010952</v>
      </c>
      <c r="K400" s="8">
        <f t="shared" si="6"/>
        <v>563.58413230405415</v>
      </c>
    </row>
    <row r="401" spans="1:11" x14ac:dyDescent="0.35">
      <c r="A401" s="8">
        <v>193</v>
      </c>
      <c r="B401" s="8">
        <v>3</v>
      </c>
      <c r="C401" s="8">
        <v>70</v>
      </c>
      <c r="D401" s="8">
        <v>31</v>
      </c>
      <c r="E401" s="8">
        <v>0</v>
      </c>
      <c r="F401" s="8">
        <v>34.9</v>
      </c>
      <c r="G401" s="8">
        <v>0.24099999999999999</v>
      </c>
      <c r="H401" s="8">
        <v>25</v>
      </c>
      <c r="I401" s="9">
        <v>104.79746515397699</v>
      </c>
      <c r="J401" s="9">
        <v>88.202534846023013</v>
      </c>
      <c r="K401" s="8">
        <f t="shared" si="6"/>
        <v>7779.6871532639043</v>
      </c>
    </row>
    <row r="402" spans="1:11" x14ac:dyDescent="0.35">
      <c r="A402" s="8">
        <v>95</v>
      </c>
      <c r="B402" s="8">
        <v>4</v>
      </c>
      <c r="C402" s="8">
        <v>64</v>
      </c>
      <c r="D402" s="8">
        <v>0</v>
      </c>
      <c r="E402" s="8">
        <v>0</v>
      </c>
      <c r="F402" s="8">
        <v>32</v>
      </c>
      <c r="G402" s="8">
        <v>0.161</v>
      </c>
      <c r="H402" s="8">
        <v>31</v>
      </c>
      <c r="I402" s="9">
        <v>115.98831133076598</v>
      </c>
      <c r="J402" s="9">
        <v>-20.988311330765981</v>
      </c>
      <c r="K402" s="8">
        <f t="shared" si="6"/>
        <v>440.50921251715965</v>
      </c>
    </row>
    <row r="403" spans="1:11" x14ac:dyDescent="0.35">
      <c r="A403" s="8">
        <v>137</v>
      </c>
      <c r="B403" s="8">
        <v>6</v>
      </c>
      <c r="C403" s="8">
        <v>61</v>
      </c>
      <c r="D403" s="8">
        <v>0</v>
      </c>
      <c r="E403" s="8">
        <v>0</v>
      </c>
      <c r="F403" s="8">
        <v>24.2</v>
      </c>
      <c r="G403" s="8">
        <v>0.151</v>
      </c>
      <c r="H403" s="8">
        <v>55</v>
      </c>
      <c r="I403" s="9">
        <v>125.46682634863143</v>
      </c>
      <c r="J403" s="9">
        <v>11.533173651368571</v>
      </c>
      <c r="K403" s="8">
        <f t="shared" si="6"/>
        <v>133.01409447262225</v>
      </c>
    </row>
    <row r="404" spans="1:11" x14ac:dyDescent="0.35">
      <c r="A404" s="8">
        <v>136</v>
      </c>
      <c r="B404" s="8">
        <v>5</v>
      </c>
      <c r="C404" s="8">
        <v>84</v>
      </c>
      <c r="D404" s="8">
        <v>41</v>
      </c>
      <c r="E404" s="8">
        <v>88</v>
      </c>
      <c r="F404" s="8">
        <v>35</v>
      </c>
      <c r="G404" s="8">
        <v>0.28599999999999998</v>
      </c>
      <c r="H404" s="8">
        <v>35</v>
      </c>
      <c r="I404" s="9">
        <v>118.20723138750745</v>
      </c>
      <c r="J404" s="9">
        <v>17.792768612492551</v>
      </c>
      <c r="K404" s="8">
        <f t="shared" si="6"/>
        <v>316.58261489770013</v>
      </c>
    </row>
    <row r="405" spans="1:11" x14ac:dyDescent="0.35">
      <c r="A405" s="8">
        <v>72</v>
      </c>
      <c r="B405" s="8">
        <v>9</v>
      </c>
      <c r="C405" s="8">
        <v>78</v>
      </c>
      <c r="D405" s="8">
        <v>25</v>
      </c>
      <c r="E405" s="8">
        <v>0</v>
      </c>
      <c r="F405" s="8">
        <v>31.6</v>
      </c>
      <c r="G405" s="8">
        <v>0.28000000000000003</v>
      </c>
      <c r="H405" s="8">
        <v>38</v>
      </c>
      <c r="I405" s="9">
        <v>113.87543909659279</v>
      </c>
      <c r="J405" s="9">
        <v>-41.875439096592785</v>
      </c>
      <c r="K405" s="8">
        <f t="shared" si="6"/>
        <v>1753.5523995324515</v>
      </c>
    </row>
    <row r="406" spans="1:11" x14ac:dyDescent="0.35">
      <c r="A406" s="8">
        <v>168</v>
      </c>
      <c r="B406" s="8">
        <v>5</v>
      </c>
      <c r="C406" s="8">
        <v>64</v>
      </c>
      <c r="D406" s="8">
        <v>0</v>
      </c>
      <c r="E406" s="8">
        <v>0</v>
      </c>
      <c r="F406" s="8">
        <v>32.9</v>
      </c>
      <c r="G406" s="8">
        <v>0.13500000000000001</v>
      </c>
      <c r="H406" s="8">
        <v>41</v>
      </c>
      <c r="I406" s="9">
        <v>123.01086976136673</v>
      </c>
      <c r="J406" s="9">
        <v>44.989130238633265</v>
      </c>
      <c r="K406" s="8">
        <f t="shared" si="6"/>
        <v>2024.0218396287059</v>
      </c>
    </row>
    <row r="407" spans="1:11" x14ac:dyDescent="0.35">
      <c r="A407" s="8">
        <v>123</v>
      </c>
      <c r="B407" s="8">
        <v>2</v>
      </c>
      <c r="C407" s="8">
        <v>48</v>
      </c>
      <c r="D407" s="8">
        <v>32</v>
      </c>
      <c r="E407" s="8">
        <v>165</v>
      </c>
      <c r="F407" s="8">
        <v>42.1</v>
      </c>
      <c r="G407" s="8">
        <v>0.52</v>
      </c>
      <c r="H407" s="8">
        <v>26</v>
      </c>
      <c r="I407" s="9">
        <v>127.25215423563363</v>
      </c>
      <c r="J407" s="9">
        <v>-4.2521542356336255</v>
      </c>
      <c r="K407" s="8">
        <f t="shared" si="6"/>
        <v>18.080815643616983</v>
      </c>
    </row>
    <row r="408" spans="1:11" x14ac:dyDescent="0.35">
      <c r="A408" s="8">
        <v>115</v>
      </c>
      <c r="B408" s="8">
        <v>4</v>
      </c>
      <c r="C408" s="8">
        <v>72</v>
      </c>
      <c r="D408" s="8">
        <v>0</v>
      </c>
      <c r="E408" s="8">
        <v>0</v>
      </c>
      <c r="F408" s="8">
        <v>28.9</v>
      </c>
      <c r="G408" s="8">
        <v>0.376</v>
      </c>
      <c r="H408" s="8">
        <v>46</v>
      </c>
      <c r="I408" s="9">
        <v>125.25955854710111</v>
      </c>
      <c r="J408" s="9">
        <v>-10.259558547101108</v>
      </c>
      <c r="K408" s="8">
        <f t="shared" si="6"/>
        <v>105.25854158139539</v>
      </c>
    </row>
    <row r="409" spans="1:11" x14ac:dyDescent="0.35">
      <c r="A409" s="8">
        <v>101</v>
      </c>
      <c r="B409" s="8">
        <v>0</v>
      </c>
      <c r="C409" s="8">
        <v>62</v>
      </c>
      <c r="D409" s="8">
        <v>0</v>
      </c>
      <c r="E409" s="8">
        <v>0</v>
      </c>
      <c r="F409" s="8">
        <v>21.9</v>
      </c>
      <c r="G409" s="8">
        <v>0.33600000000000002</v>
      </c>
      <c r="H409" s="8">
        <v>25</v>
      </c>
      <c r="I409" s="9">
        <v>105.26840433775817</v>
      </c>
      <c r="J409" s="9">
        <v>-4.2684043377581702</v>
      </c>
      <c r="K409" s="8">
        <f t="shared" si="6"/>
        <v>18.219275590592762</v>
      </c>
    </row>
    <row r="410" spans="1:11" x14ac:dyDescent="0.35">
      <c r="A410" s="8">
        <v>197</v>
      </c>
      <c r="B410" s="8">
        <v>8</v>
      </c>
      <c r="C410" s="8">
        <v>74</v>
      </c>
      <c r="D410" s="8">
        <v>0</v>
      </c>
      <c r="E410" s="8">
        <v>0</v>
      </c>
      <c r="F410" s="8">
        <v>25.9</v>
      </c>
      <c r="G410" s="8">
        <v>1.1910000000000001</v>
      </c>
      <c r="H410" s="8">
        <v>39</v>
      </c>
      <c r="I410" s="9">
        <v>124.01530308242356</v>
      </c>
      <c r="J410" s="9">
        <v>72.984696917576443</v>
      </c>
      <c r="K410" s="8">
        <f t="shared" si="6"/>
        <v>5326.7659841504919</v>
      </c>
    </row>
    <row r="411" spans="1:11" x14ac:dyDescent="0.35">
      <c r="A411" s="8">
        <v>172</v>
      </c>
      <c r="B411" s="8">
        <v>1</v>
      </c>
      <c r="C411" s="8">
        <v>68</v>
      </c>
      <c r="D411" s="8">
        <v>49</v>
      </c>
      <c r="E411" s="8">
        <v>579</v>
      </c>
      <c r="F411" s="8">
        <v>42.4</v>
      </c>
      <c r="G411" s="8">
        <v>0.70199999999999996</v>
      </c>
      <c r="H411" s="8">
        <v>28</v>
      </c>
      <c r="I411" s="9">
        <v>167.17494051832242</v>
      </c>
      <c r="J411" s="9">
        <v>4.8250594816775845</v>
      </c>
      <c r="K411" s="8">
        <f t="shared" si="6"/>
        <v>23.281199001726762</v>
      </c>
    </row>
    <row r="412" spans="1:11" x14ac:dyDescent="0.35">
      <c r="A412" s="8">
        <v>102</v>
      </c>
      <c r="B412" s="8">
        <v>6</v>
      </c>
      <c r="C412" s="8">
        <v>90</v>
      </c>
      <c r="D412" s="8">
        <v>39</v>
      </c>
      <c r="E412" s="8">
        <v>0</v>
      </c>
      <c r="F412" s="8">
        <v>35.700000000000003</v>
      </c>
      <c r="G412" s="8">
        <v>0.67400000000000004</v>
      </c>
      <c r="H412" s="8">
        <v>28</v>
      </c>
      <c r="I412" s="9">
        <v>108.97181286664585</v>
      </c>
      <c r="J412" s="9">
        <v>-6.9718128666458483</v>
      </c>
      <c r="K412" s="8">
        <f t="shared" si="6"/>
        <v>48.606174647528604</v>
      </c>
    </row>
    <row r="413" spans="1:11" x14ac:dyDescent="0.35">
      <c r="A413" s="8">
        <v>112</v>
      </c>
      <c r="B413" s="8">
        <v>1</v>
      </c>
      <c r="C413" s="8">
        <v>72</v>
      </c>
      <c r="D413" s="8">
        <v>30</v>
      </c>
      <c r="E413" s="8">
        <v>176</v>
      </c>
      <c r="F413" s="8">
        <v>34.4</v>
      </c>
      <c r="G413" s="8">
        <v>0.52800000000000002</v>
      </c>
      <c r="H413" s="8">
        <v>25</v>
      </c>
      <c r="I413" s="9">
        <v>124.27579241829639</v>
      </c>
      <c r="J413" s="9">
        <v>-12.27579241829639</v>
      </c>
      <c r="K413" s="8">
        <f t="shared" si="6"/>
        <v>150.69507949710314</v>
      </c>
    </row>
    <row r="414" spans="1:11" x14ac:dyDescent="0.35">
      <c r="A414" s="8">
        <v>143</v>
      </c>
      <c r="B414" s="8">
        <v>1</v>
      </c>
      <c r="C414" s="8">
        <v>84</v>
      </c>
      <c r="D414" s="8">
        <v>23</v>
      </c>
      <c r="E414" s="8">
        <v>310</v>
      </c>
      <c r="F414" s="8">
        <v>42.4</v>
      </c>
      <c r="G414" s="8">
        <v>1.0760000000000001</v>
      </c>
      <c r="H414" s="8">
        <v>22</v>
      </c>
      <c r="I414" s="9">
        <v>148.4479287393406</v>
      </c>
      <c r="J414" s="9">
        <v>-5.4479287393405968</v>
      </c>
      <c r="K414" s="8">
        <f t="shared" si="6"/>
        <v>29.679927548933225</v>
      </c>
    </row>
    <row r="415" spans="1:11" x14ac:dyDescent="0.35">
      <c r="A415" s="8">
        <v>143</v>
      </c>
      <c r="B415" s="8">
        <v>1</v>
      </c>
      <c r="C415" s="8">
        <v>74</v>
      </c>
      <c r="D415" s="8">
        <v>22</v>
      </c>
      <c r="E415" s="8">
        <v>61</v>
      </c>
      <c r="F415" s="8">
        <v>26.2</v>
      </c>
      <c r="G415" s="8">
        <v>0.25600000000000001</v>
      </c>
      <c r="H415" s="8">
        <v>21</v>
      </c>
      <c r="I415" s="9">
        <v>105.08334478658195</v>
      </c>
      <c r="J415" s="9">
        <v>37.916655213418053</v>
      </c>
      <c r="K415" s="8">
        <f t="shared" si="6"/>
        <v>1437.6727425732224</v>
      </c>
    </row>
    <row r="416" spans="1:11" x14ac:dyDescent="0.35">
      <c r="A416" s="8">
        <v>138</v>
      </c>
      <c r="B416" s="8">
        <v>0</v>
      </c>
      <c r="C416" s="8">
        <v>60</v>
      </c>
      <c r="D416" s="8">
        <v>35</v>
      </c>
      <c r="E416" s="8">
        <v>167</v>
      </c>
      <c r="F416" s="8">
        <v>34.6</v>
      </c>
      <c r="G416" s="8">
        <v>0.53400000000000003</v>
      </c>
      <c r="H416" s="8">
        <v>21</v>
      </c>
      <c r="I416" s="9">
        <v>118.40785008666634</v>
      </c>
      <c r="J416" s="9">
        <v>19.592149913333657</v>
      </c>
      <c r="K416" s="8">
        <f t="shared" si="6"/>
        <v>383.85233822654004</v>
      </c>
    </row>
    <row r="417" spans="1:11" x14ac:dyDescent="0.35">
      <c r="A417" s="8">
        <v>173</v>
      </c>
      <c r="B417" s="8">
        <v>3</v>
      </c>
      <c r="C417" s="8">
        <v>84</v>
      </c>
      <c r="D417" s="8">
        <v>33</v>
      </c>
      <c r="E417" s="8">
        <v>474</v>
      </c>
      <c r="F417" s="8">
        <v>35.700000000000003</v>
      </c>
      <c r="G417" s="8">
        <v>0.25800000000000001</v>
      </c>
      <c r="H417" s="8">
        <v>22</v>
      </c>
      <c r="I417" s="9">
        <v>151.50808028235298</v>
      </c>
      <c r="J417" s="9">
        <v>21.491919717647022</v>
      </c>
      <c r="K417" s="8">
        <f t="shared" si="6"/>
        <v>461.90261314978483</v>
      </c>
    </row>
    <row r="418" spans="1:11" x14ac:dyDescent="0.35">
      <c r="A418" s="8">
        <v>97</v>
      </c>
      <c r="B418" s="8">
        <v>1</v>
      </c>
      <c r="C418" s="8">
        <v>68</v>
      </c>
      <c r="D418" s="8">
        <v>21</v>
      </c>
      <c r="E418" s="8">
        <v>0</v>
      </c>
      <c r="F418" s="8">
        <v>27.2</v>
      </c>
      <c r="G418" s="8">
        <v>1.095</v>
      </c>
      <c r="H418" s="8">
        <v>22</v>
      </c>
      <c r="I418" s="9">
        <v>105.56308989243591</v>
      </c>
      <c r="J418" s="9">
        <v>-8.5630898924359116</v>
      </c>
      <c r="K418" s="8">
        <f t="shared" si="6"/>
        <v>73.326508505938065</v>
      </c>
    </row>
    <row r="419" spans="1:11" x14ac:dyDescent="0.35">
      <c r="A419" s="8">
        <v>144</v>
      </c>
      <c r="B419" s="8">
        <v>4</v>
      </c>
      <c r="C419" s="8">
        <v>82</v>
      </c>
      <c r="D419" s="8">
        <v>32</v>
      </c>
      <c r="E419" s="8">
        <v>0</v>
      </c>
      <c r="F419" s="8">
        <v>38.5</v>
      </c>
      <c r="G419" s="8">
        <v>0.55400000000000005</v>
      </c>
      <c r="H419" s="8">
        <v>37</v>
      </c>
      <c r="I419" s="9">
        <v>117.78368998363626</v>
      </c>
      <c r="J419" s="9">
        <v>26.216310016363735</v>
      </c>
      <c r="K419" s="8">
        <f t="shared" si="6"/>
        <v>687.29491087409349</v>
      </c>
    </row>
    <row r="420" spans="1:11" x14ac:dyDescent="0.35">
      <c r="A420" s="8">
        <v>83</v>
      </c>
      <c r="B420" s="8">
        <v>1</v>
      </c>
      <c r="C420" s="8">
        <v>68</v>
      </c>
      <c r="D420" s="8">
        <v>0</v>
      </c>
      <c r="E420" s="8">
        <v>0</v>
      </c>
      <c r="F420" s="8">
        <v>18.2</v>
      </c>
      <c r="G420" s="8">
        <v>0.624</v>
      </c>
      <c r="H420" s="8">
        <v>27</v>
      </c>
      <c r="I420" s="9">
        <v>106.08102176323192</v>
      </c>
      <c r="J420" s="9">
        <v>-23.081021763231917</v>
      </c>
      <c r="K420" s="8">
        <f t="shared" si="6"/>
        <v>532.73356563478535</v>
      </c>
    </row>
    <row r="421" spans="1:11" x14ac:dyDescent="0.35">
      <c r="A421" s="8">
        <v>129</v>
      </c>
      <c r="B421" s="8">
        <v>3</v>
      </c>
      <c r="C421" s="8">
        <v>64</v>
      </c>
      <c r="D421" s="8">
        <v>29</v>
      </c>
      <c r="E421" s="8">
        <v>115</v>
      </c>
      <c r="F421" s="8">
        <v>26.4</v>
      </c>
      <c r="G421" s="8">
        <v>0.219</v>
      </c>
      <c r="H421" s="8">
        <v>28</v>
      </c>
      <c r="I421" s="9">
        <v>112.02011844176955</v>
      </c>
      <c r="J421" s="9">
        <v>16.979881558230446</v>
      </c>
      <c r="K421" s="8">
        <f t="shared" si="6"/>
        <v>288.31637773153437</v>
      </c>
    </row>
    <row r="422" spans="1:11" x14ac:dyDescent="0.35">
      <c r="A422" s="8">
        <v>119</v>
      </c>
      <c r="B422" s="8">
        <v>1</v>
      </c>
      <c r="C422" s="8">
        <v>88</v>
      </c>
      <c r="D422" s="8">
        <v>41</v>
      </c>
      <c r="E422" s="8">
        <v>170</v>
      </c>
      <c r="F422" s="8">
        <v>45.3</v>
      </c>
      <c r="G422" s="8">
        <v>0.50700000000000001</v>
      </c>
      <c r="H422" s="8">
        <v>26</v>
      </c>
      <c r="I422" s="9">
        <v>129.80753471049331</v>
      </c>
      <c r="J422" s="9">
        <v>-10.807534710493314</v>
      </c>
      <c r="K422" s="8">
        <f t="shared" si="6"/>
        <v>116.80280651851781</v>
      </c>
    </row>
    <row r="423" spans="1:11" x14ac:dyDescent="0.35">
      <c r="A423" s="8">
        <v>94</v>
      </c>
      <c r="B423" s="8">
        <v>2</v>
      </c>
      <c r="C423" s="8">
        <v>68</v>
      </c>
      <c r="D423" s="8">
        <v>18</v>
      </c>
      <c r="E423" s="8">
        <v>76</v>
      </c>
      <c r="F423" s="8">
        <v>26</v>
      </c>
      <c r="G423" s="8">
        <v>0.56100000000000005</v>
      </c>
      <c r="H423" s="8">
        <v>21</v>
      </c>
      <c r="I423" s="9">
        <v>109.34262969714123</v>
      </c>
      <c r="J423" s="9">
        <v>-15.342629697141234</v>
      </c>
      <c r="K423" s="8">
        <f t="shared" si="6"/>
        <v>235.39628602360011</v>
      </c>
    </row>
    <row r="424" spans="1:11" x14ac:dyDescent="0.35">
      <c r="A424" s="8">
        <v>102</v>
      </c>
      <c r="B424" s="8">
        <v>0</v>
      </c>
      <c r="C424" s="8">
        <v>64</v>
      </c>
      <c r="D424" s="8">
        <v>46</v>
      </c>
      <c r="E424" s="8">
        <v>78</v>
      </c>
      <c r="F424" s="8">
        <v>40.6</v>
      </c>
      <c r="G424" s="8">
        <v>0.496</v>
      </c>
      <c r="H424" s="8">
        <v>21</v>
      </c>
      <c r="I424" s="9">
        <v>110.33040149804916</v>
      </c>
      <c r="J424" s="9">
        <v>-8.3304014980491559</v>
      </c>
      <c r="K424" s="8">
        <f t="shared" si="6"/>
        <v>69.395589118699618</v>
      </c>
    </row>
    <row r="425" spans="1:11" x14ac:dyDescent="0.35">
      <c r="A425" s="8">
        <v>115</v>
      </c>
      <c r="B425" s="8">
        <v>2</v>
      </c>
      <c r="C425" s="8">
        <v>64</v>
      </c>
      <c r="D425" s="8">
        <v>22</v>
      </c>
      <c r="E425" s="8">
        <v>0</v>
      </c>
      <c r="F425" s="8">
        <v>30.8</v>
      </c>
      <c r="G425" s="8">
        <v>0.42099999999999999</v>
      </c>
      <c r="H425" s="8">
        <v>21</v>
      </c>
      <c r="I425" s="9">
        <v>102.80627346304635</v>
      </c>
      <c r="J425" s="9">
        <v>12.193726536953648</v>
      </c>
      <c r="K425" s="8">
        <f t="shared" si="6"/>
        <v>148.68696685800759</v>
      </c>
    </row>
    <row r="426" spans="1:11" x14ac:dyDescent="0.35">
      <c r="A426" s="8">
        <v>151</v>
      </c>
      <c r="B426" s="8">
        <v>8</v>
      </c>
      <c r="C426" s="8">
        <v>78</v>
      </c>
      <c r="D426" s="8">
        <v>32</v>
      </c>
      <c r="E426" s="8">
        <v>210</v>
      </c>
      <c r="F426" s="8">
        <v>42.9</v>
      </c>
      <c r="G426" s="8">
        <v>0.51600000000000001</v>
      </c>
      <c r="H426" s="8">
        <v>36</v>
      </c>
      <c r="I426" s="9">
        <v>141.25571600792659</v>
      </c>
      <c r="J426" s="9">
        <v>9.7442839920734059</v>
      </c>
      <c r="K426" s="8">
        <f t="shared" si="6"/>
        <v>94.951070518178028</v>
      </c>
    </row>
    <row r="427" spans="1:11" x14ac:dyDescent="0.35">
      <c r="A427" s="8">
        <v>184</v>
      </c>
      <c r="B427" s="8">
        <v>4</v>
      </c>
      <c r="C427" s="8">
        <v>78</v>
      </c>
      <c r="D427" s="8">
        <v>39</v>
      </c>
      <c r="E427" s="8">
        <v>277</v>
      </c>
      <c r="F427" s="8">
        <v>37</v>
      </c>
      <c r="G427" s="8">
        <v>0.26400000000000001</v>
      </c>
      <c r="H427" s="8">
        <v>31</v>
      </c>
      <c r="I427" s="9">
        <v>136.16765396021722</v>
      </c>
      <c r="J427" s="9">
        <v>47.832346039782777</v>
      </c>
      <c r="K427" s="8">
        <f t="shared" si="6"/>
        <v>2287.9333276695234</v>
      </c>
    </row>
    <row r="428" spans="1:11" x14ac:dyDescent="0.35">
      <c r="A428" s="8">
        <v>94</v>
      </c>
      <c r="B428" s="8">
        <v>0</v>
      </c>
      <c r="C428" s="8">
        <v>0</v>
      </c>
      <c r="D428" s="8">
        <v>0</v>
      </c>
      <c r="E428" s="8">
        <v>0</v>
      </c>
      <c r="F428" s="8">
        <v>0</v>
      </c>
      <c r="G428" s="8">
        <v>0.25600000000000001</v>
      </c>
      <c r="H428" s="8">
        <v>25</v>
      </c>
      <c r="I428" s="9">
        <v>83.989624140428731</v>
      </c>
      <c r="J428" s="9">
        <v>10.010375859571269</v>
      </c>
      <c r="K428" s="8">
        <f t="shared" si="6"/>
        <v>100.20762484988722</v>
      </c>
    </row>
    <row r="429" spans="1:11" x14ac:dyDescent="0.35">
      <c r="A429" s="8">
        <v>181</v>
      </c>
      <c r="B429" s="8">
        <v>1</v>
      </c>
      <c r="C429" s="8">
        <v>64</v>
      </c>
      <c r="D429" s="8">
        <v>30</v>
      </c>
      <c r="E429" s="8">
        <v>180</v>
      </c>
      <c r="F429" s="8">
        <v>34.1</v>
      </c>
      <c r="G429" s="8">
        <v>0.32800000000000001</v>
      </c>
      <c r="H429" s="8">
        <v>38</v>
      </c>
      <c r="I429" s="9">
        <v>131.01749259835313</v>
      </c>
      <c r="J429" s="9">
        <v>49.98250740164687</v>
      </c>
      <c r="K429" s="8">
        <f t="shared" si="6"/>
        <v>2498.251046155684</v>
      </c>
    </row>
    <row r="430" spans="1:11" x14ac:dyDescent="0.35">
      <c r="A430" s="8">
        <v>135</v>
      </c>
      <c r="B430" s="8">
        <v>0</v>
      </c>
      <c r="C430" s="8">
        <v>94</v>
      </c>
      <c r="D430" s="8">
        <v>46</v>
      </c>
      <c r="E430" s="8">
        <v>145</v>
      </c>
      <c r="F430" s="8">
        <v>40.6</v>
      </c>
      <c r="G430" s="8">
        <v>0.28399999999999997</v>
      </c>
      <c r="H430" s="8">
        <v>26</v>
      </c>
      <c r="I430" s="9">
        <v>121.05070419115567</v>
      </c>
      <c r="J430" s="9">
        <v>13.949295808844326</v>
      </c>
      <c r="K430" s="8">
        <f t="shared" si="6"/>
        <v>194.58285356264187</v>
      </c>
    </row>
    <row r="431" spans="1:11" x14ac:dyDescent="0.35">
      <c r="A431" s="8">
        <v>95</v>
      </c>
      <c r="B431" s="8">
        <v>1</v>
      </c>
      <c r="C431" s="8">
        <v>82</v>
      </c>
      <c r="D431" s="8">
        <v>25</v>
      </c>
      <c r="E431" s="8">
        <v>180</v>
      </c>
      <c r="F431" s="8">
        <v>35</v>
      </c>
      <c r="G431" s="8">
        <v>0.23300000000000001</v>
      </c>
      <c r="H431" s="8">
        <v>43</v>
      </c>
      <c r="I431" s="9">
        <v>137.25085161508466</v>
      </c>
      <c r="J431" s="9">
        <v>-42.250851615084656</v>
      </c>
      <c r="K431" s="8">
        <f t="shared" si="6"/>
        <v>1785.1344621999017</v>
      </c>
    </row>
    <row r="432" spans="1:11" x14ac:dyDescent="0.35">
      <c r="A432" s="8">
        <v>99</v>
      </c>
      <c r="B432" s="8">
        <v>2</v>
      </c>
      <c r="C432" s="8">
        <v>0</v>
      </c>
      <c r="D432" s="8">
        <v>0</v>
      </c>
      <c r="E432" s="8">
        <v>0</v>
      </c>
      <c r="F432" s="8">
        <v>22.2</v>
      </c>
      <c r="G432" s="8">
        <v>0.108</v>
      </c>
      <c r="H432" s="8">
        <v>23</v>
      </c>
      <c r="I432" s="9">
        <v>98.538661170402108</v>
      </c>
      <c r="J432" s="9">
        <v>0.46133882959789219</v>
      </c>
      <c r="K432" s="8">
        <f t="shared" si="6"/>
        <v>0.21283351569475301</v>
      </c>
    </row>
    <row r="433" spans="1:11" x14ac:dyDescent="0.35">
      <c r="A433" s="8">
        <v>89</v>
      </c>
      <c r="B433" s="8">
        <v>3</v>
      </c>
      <c r="C433" s="8">
        <v>74</v>
      </c>
      <c r="D433" s="8">
        <v>16</v>
      </c>
      <c r="E433" s="8">
        <v>85</v>
      </c>
      <c r="F433" s="8">
        <v>30.4</v>
      </c>
      <c r="G433" s="8">
        <v>0.55100000000000005</v>
      </c>
      <c r="H433" s="8">
        <v>38</v>
      </c>
      <c r="I433" s="9">
        <v>125.60210309503834</v>
      </c>
      <c r="J433" s="9">
        <v>-36.602103095038345</v>
      </c>
      <c r="K433" s="8">
        <f t="shared" si="6"/>
        <v>1339.7139509798155</v>
      </c>
    </row>
    <row r="434" spans="1:11" x14ac:dyDescent="0.35">
      <c r="A434" s="8">
        <v>80</v>
      </c>
      <c r="B434" s="8">
        <v>1</v>
      </c>
      <c r="C434" s="8">
        <v>74</v>
      </c>
      <c r="D434" s="8">
        <v>11</v>
      </c>
      <c r="E434" s="8">
        <v>60</v>
      </c>
      <c r="F434" s="8">
        <v>30</v>
      </c>
      <c r="G434" s="8">
        <v>0.52700000000000002</v>
      </c>
      <c r="H434" s="8">
        <v>22</v>
      </c>
      <c r="I434" s="9">
        <v>113.86768784538009</v>
      </c>
      <c r="J434" s="9">
        <v>-33.86768784538009</v>
      </c>
      <c r="K434" s="8">
        <f t="shared" si="6"/>
        <v>1147.0202799921062</v>
      </c>
    </row>
    <row r="435" spans="1:11" x14ac:dyDescent="0.35">
      <c r="A435" s="8">
        <v>139</v>
      </c>
      <c r="B435" s="8">
        <v>2</v>
      </c>
      <c r="C435" s="8">
        <v>75</v>
      </c>
      <c r="D435" s="8">
        <v>0</v>
      </c>
      <c r="E435" s="8">
        <v>0</v>
      </c>
      <c r="F435" s="8">
        <v>25.6</v>
      </c>
      <c r="G435" s="8">
        <v>0.16700000000000001</v>
      </c>
      <c r="H435" s="8">
        <v>29</v>
      </c>
      <c r="I435" s="9">
        <v>110.58633986566826</v>
      </c>
      <c r="J435" s="9">
        <v>28.413660134331735</v>
      </c>
      <c r="K435" s="8">
        <f t="shared" si="6"/>
        <v>807.33608222931252</v>
      </c>
    </row>
    <row r="436" spans="1:11" x14ac:dyDescent="0.35">
      <c r="A436" s="8">
        <v>90</v>
      </c>
      <c r="B436" s="8">
        <v>1</v>
      </c>
      <c r="C436" s="8">
        <v>68</v>
      </c>
      <c r="D436" s="8">
        <v>8</v>
      </c>
      <c r="E436" s="8">
        <v>0</v>
      </c>
      <c r="F436" s="8">
        <v>24.5</v>
      </c>
      <c r="G436" s="8">
        <v>1.1379999999999999</v>
      </c>
      <c r="H436" s="8">
        <v>36</v>
      </c>
      <c r="I436" s="9">
        <v>117.18777696339626</v>
      </c>
      <c r="J436" s="9">
        <v>-27.18777696339626</v>
      </c>
      <c r="K436" s="8">
        <f t="shared" si="6"/>
        <v>739.17521621138042</v>
      </c>
    </row>
    <row r="437" spans="1:11" x14ac:dyDescent="0.35">
      <c r="A437" s="8">
        <v>141</v>
      </c>
      <c r="B437" s="8">
        <v>0</v>
      </c>
      <c r="C437" s="8">
        <v>0</v>
      </c>
      <c r="D437" s="8">
        <v>0</v>
      </c>
      <c r="E437" s="8">
        <v>0</v>
      </c>
      <c r="F437" s="8">
        <v>42.4</v>
      </c>
      <c r="G437" s="8">
        <v>0.20499999999999999</v>
      </c>
      <c r="H437" s="8">
        <v>29</v>
      </c>
      <c r="I437" s="9">
        <v>118.06102482009794</v>
      </c>
      <c r="J437" s="9">
        <v>22.938975179902059</v>
      </c>
      <c r="K437" s="8">
        <f t="shared" si="6"/>
        <v>526.19658230416269</v>
      </c>
    </row>
    <row r="438" spans="1:11" x14ac:dyDescent="0.35">
      <c r="A438" s="8">
        <v>140</v>
      </c>
      <c r="B438" s="8">
        <v>12</v>
      </c>
      <c r="C438" s="8">
        <v>85</v>
      </c>
      <c r="D438" s="8">
        <v>33</v>
      </c>
      <c r="E438" s="8">
        <v>0</v>
      </c>
      <c r="F438" s="8">
        <v>37.4</v>
      </c>
      <c r="G438" s="8">
        <v>0.24399999999999999</v>
      </c>
      <c r="H438" s="8">
        <v>41</v>
      </c>
      <c r="I438" s="9">
        <v>117.92851549635873</v>
      </c>
      <c r="J438" s="9">
        <v>22.071484503641273</v>
      </c>
      <c r="K438" s="8">
        <f t="shared" si="6"/>
        <v>487.15042819447683</v>
      </c>
    </row>
    <row r="439" spans="1:11" x14ac:dyDescent="0.35">
      <c r="A439" s="8">
        <v>147</v>
      </c>
      <c r="B439" s="8">
        <v>5</v>
      </c>
      <c r="C439" s="8">
        <v>75</v>
      </c>
      <c r="D439" s="8">
        <v>0</v>
      </c>
      <c r="E439" s="8">
        <v>0</v>
      </c>
      <c r="F439" s="8">
        <v>29.9</v>
      </c>
      <c r="G439" s="8">
        <v>0.434</v>
      </c>
      <c r="H439" s="8">
        <v>28</v>
      </c>
      <c r="I439" s="9">
        <v>115.03051815007404</v>
      </c>
      <c r="J439" s="9">
        <v>31.969481849925955</v>
      </c>
      <c r="K439" s="8">
        <f t="shared" si="6"/>
        <v>1022.0477697527451</v>
      </c>
    </row>
    <row r="440" spans="1:11" x14ac:dyDescent="0.35">
      <c r="A440" s="8">
        <v>97</v>
      </c>
      <c r="B440" s="8">
        <v>1</v>
      </c>
      <c r="C440" s="8">
        <v>70</v>
      </c>
      <c r="D440" s="8">
        <v>15</v>
      </c>
      <c r="E440" s="8">
        <v>0</v>
      </c>
      <c r="F440" s="8">
        <v>18.2</v>
      </c>
      <c r="G440" s="8">
        <v>0.14699999999999999</v>
      </c>
      <c r="H440" s="8">
        <v>21</v>
      </c>
      <c r="I440" s="9">
        <v>94.322940372959877</v>
      </c>
      <c r="J440" s="9">
        <v>2.6770596270401228</v>
      </c>
      <c r="K440" s="8">
        <f t="shared" si="6"/>
        <v>7.1666482467282018</v>
      </c>
    </row>
    <row r="441" spans="1:11" x14ac:dyDescent="0.35">
      <c r="A441" s="8">
        <v>107</v>
      </c>
      <c r="B441" s="8">
        <v>6</v>
      </c>
      <c r="C441" s="8">
        <v>88</v>
      </c>
      <c r="D441" s="8">
        <v>0</v>
      </c>
      <c r="E441" s="8">
        <v>0</v>
      </c>
      <c r="F441" s="8">
        <v>36.799999999999997</v>
      </c>
      <c r="G441" s="8">
        <v>0.72699999999999998</v>
      </c>
      <c r="H441" s="8">
        <v>31</v>
      </c>
      <c r="I441" s="9">
        <v>124.96332834888486</v>
      </c>
      <c r="J441" s="9">
        <v>-17.963328348884858</v>
      </c>
      <c r="K441" s="8">
        <f t="shared" si="6"/>
        <v>322.68116536985036</v>
      </c>
    </row>
    <row r="442" spans="1:11" x14ac:dyDescent="0.35">
      <c r="A442" s="8">
        <v>189</v>
      </c>
      <c r="B442" s="8">
        <v>0</v>
      </c>
      <c r="C442" s="8">
        <v>104</v>
      </c>
      <c r="D442" s="8">
        <v>25</v>
      </c>
      <c r="E442" s="8">
        <v>0</v>
      </c>
      <c r="F442" s="8">
        <v>34.299999999999997</v>
      </c>
      <c r="G442" s="8">
        <v>0.435</v>
      </c>
      <c r="H442" s="8">
        <v>41</v>
      </c>
      <c r="I442" s="9">
        <v>120.10667888039262</v>
      </c>
      <c r="J442" s="9">
        <v>68.893321119607378</v>
      </c>
      <c r="K442" s="8">
        <f t="shared" si="6"/>
        <v>4746.2896948893404</v>
      </c>
    </row>
    <row r="443" spans="1:11" x14ac:dyDescent="0.35">
      <c r="A443" s="8">
        <v>83</v>
      </c>
      <c r="B443" s="8">
        <v>2</v>
      </c>
      <c r="C443" s="8">
        <v>66</v>
      </c>
      <c r="D443" s="8">
        <v>23</v>
      </c>
      <c r="E443" s="8">
        <v>50</v>
      </c>
      <c r="F443" s="8">
        <v>32.200000000000003</v>
      </c>
      <c r="G443" s="8">
        <v>0.497</v>
      </c>
      <c r="H443" s="8">
        <v>22</v>
      </c>
      <c r="I443" s="9">
        <v>109.81172367601883</v>
      </c>
      <c r="J443" s="9">
        <v>-26.811723676018829</v>
      </c>
      <c r="K443" s="8">
        <f t="shared" si="6"/>
        <v>718.86852647918863</v>
      </c>
    </row>
    <row r="444" spans="1:11" x14ac:dyDescent="0.35">
      <c r="A444" s="8">
        <v>117</v>
      </c>
      <c r="B444" s="8">
        <v>4</v>
      </c>
      <c r="C444" s="8">
        <v>64</v>
      </c>
      <c r="D444" s="8">
        <v>27</v>
      </c>
      <c r="E444" s="8">
        <v>120</v>
      </c>
      <c r="F444" s="8">
        <v>33.200000000000003</v>
      </c>
      <c r="G444" s="8">
        <v>0.23</v>
      </c>
      <c r="H444" s="8">
        <v>24</v>
      </c>
      <c r="I444" s="9">
        <v>115.84036089663661</v>
      </c>
      <c r="J444" s="9">
        <v>1.1596391033633893</v>
      </c>
      <c r="K444" s="8">
        <f t="shared" si="6"/>
        <v>1.3447628500494455</v>
      </c>
    </row>
    <row r="445" spans="1:11" x14ac:dyDescent="0.35">
      <c r="A445" s="8">
        <v>108</v>
      </c>
      <c r="B445" s="8">
        <v>8</v>
      </c>
      <c r="C445" s="8">
        <v>70</v>
      </c>
      <c r="D445" s="8">
        <v>0</v>
      </c>
      <c r="E445" s="8">
        <v>0</v>
      </c>
      <c r="F445" s="8">
        <v>30.5</v>
      </c>
      <c r="G445" s="8">
        <v>0.95499999999999996</v>
      </c>
      <c r="H445" s="8">
        <v>33</v>
      </c>
      <c r="I445" s="9">
        <v>121.82433108219126</v>
      </c>
      <c r="J445" s="9">
        <v>-13.824331082191264</v>
      </c>
      <c r="K445" s="8">
        <f t="shared" si="6"/>
        <v>191.1121298700395</v>
      </c>
    </row>
    <row r="446" spans="1:11" x14ac:dyDescent="0.35">
      <c r="A446" s="8">
        <v>117</v>
      </c>
      <c r="B446" s="8">
        <v>4</v>
      </c>
      <c r="C446" s="8">
        <v>62</v>
      </c>
      <c r="D446" s="8">
        <v>12</v>
      </c>
      <c r="E446" s="8">
        <v>0</v>
      </c>
      <c r="F446" s="8">
        <v>29.7</v>
      </c>
      <c r="G446" s="8">
        <v>0.38</v>
      </c>
      <c r="H446" s="8">
        <v>30</v>
      </c>
      <c r="I446" s="9">
        <v>110.84957609255056</v>
      </c>
      <c r="J446" s="9">
        <v>6.1504239074494365</v>
      </c>
      <c r="K446" s="8">
        <f t="shared" si="6"/>
        <v>37.827714241325594</v>
      </c>
    </row>
    <row r="447" spans="1:11" x14ac:dyDescent="0.35">
      <c r="A447" s="8">
        <v>180</v>
      </c>
      <c r="B447" s="8">
        <v>0</v>
      </c>
      <c r="C447" s="8">
        <v>78</v>
      </c>
      <c r="D447" s="8">
        <v>63</v>
      </c>
      <c r="E447" s="8">
        <v>14</v>
      </c>
      <c r="F447" s="8">
        <v>59.4</v>
      </c>
      <c r="G447" s="8">
        <v>2.42</v>
      </c>
      <c r="H447" s="8">
        <v>25</v>
      </c>
      <c r="I447" s="9">
        <v>128.03702977988502</v>
      </c>
      <c r="J447" s="9">
        <v>51.962970220114983</v>
      </c>
      <c r="K447" s="8">
        <f t="shared" si="6"/>
        <v>2700.1502740965566</v>
      </c>
    </row>
    <row r="448" spans="1:11" x14ac:dyDescent="0.35">
      <c r="A448" s="8">
        <v>100</v>
      </c>
      <c r="B448" s="8">
        <v>1</v>
      </c>
      <c r="C448" s="8">
        <v>72</v>
      </c>
      <c r="D448" s="8">
        <v>12</v>
      </c>
      <c r="E448" s="8">
        <v>70</v>
      </c>
      <c r="F448" s="8">
        <v>25.3</v>
      </c>
      <c r="G448" s="8">
        <v>0.65800000000000003</v>
      </c>
      <c r="H448" s="8">
        <v>28</v>
      </c>
      <c r="I448" s="9">
        <v>115.57076454166318</v>
      </c>
      <c r="J448" s="9">
        <v>-15.570764541663181</v>
      </c>
      <c r="K448" s="8">
        <f t="shared" si="6"/>
        <v>242.44870841191539</v>
      </c>
    </row>
    <row r="449" spans="1:11" x14ac:dyDescent="0.35">
      <c r="A449" s="8">
        <v>95</v>
      </c>
      <c r="B449" s="8">
        <v>0</v>
      </c>
      <c r="C449" s="8">
        <v>80</v>
      </c>
      <c r="D449" s="8">
        <v>45</v>
      </c>
      <c r="E449" s="8">
        <v>92</v>
      </c>
      <c r="F449" s="8">
        <v>36.5</v>
      </c>
      <c r="G449" s="8">
        <v>0.33</v>
      </c>
      <c r="H449" s="8">
        <v>26</v>
      </c>
      <c r="I449" s="9">
        <v>112.29347219258766</v>
      </c>
      <c r="J449" s="9">
        <v>-17.293472192587657</v>
      </c>
      <c r="K449" s="8">
        <f t="shared" si="6"/>
        <v>299.06418047580257</v>
      </c>
    </row>
    <row r="450" spans="1:11" x14ac:dyDescent="0.35">
      <c r="A450" s="8">
        <v>104</v>
      </c>
      <c r="B450" s="8">
        <v>0</v>
      </c>
      <c r="C450" s="8">
        <v>64</v>
      </c>
      <c r="D450" s="8">
        <v>37</v>
      </c>
      <c r="E450" s="8">
        <v>64</v>
      </c>
      <c r="F450" s="8">
        <v>33.6</v>
      </c>
      <c r="G450" s="8">
        <v>0.51</v>
      </c>
      <c r="H450" s="8">
        <v>22</v>
      </c>
      <c r="I450" s="9">
        <v>107.41357014147135</v>
      </c>
      <c r="J450" s="9">
        <v>-3.4135701414713537</v>
      </c>
      <c r="K450" s="8">
        <f t="shared" si="6"/>
        <v>11.652461110744758</v>
      </c>
    </row>
    <row r="451" spans="1:11" x14ac:dyDescent="0.35">
      <c r="A451" s="8">
        <v>120</v>
      </c>
      <c r="B451" s="8">
        <v>0</v>
      </c>
      <c r="C451" s="8">
        <v>74</v>
      </c>
      <c r="D451" s="8">
        <v>18</v>
      </c>
      <c r="E451" s="8">
        <v>63</v>
      </c>
      <c r="F451" s="8">
        <v>30.5</v>
      </c>
      <c r="G451" s="8">
        <v>0.28499999999999998</v>
      </c>
      <c r="H451" s="8">
        <v>26</v>
      </c>
      <c r="I451" s="9">
        <v>113.19812592402171</v>
      </c>
      <c r="J451" s="9">
        <v>6.8018740759782901</v>
      </c>
      <c r="K451" s="8">
        <f t="shared" ref="K451:K514" si="7">J451*J451</f>
        <v>46.265490945465515</v>
      </c>
    </row>
    <row r="452" spans="1:11" x14ac:dyDescent="0.35">
      <c r="A452" s="8">
        <v>82</v>
      </c>
      <c r="B452" s="8">
        <v>1</v>
      </c>
      <c r="C452" s="8">
        <v>64</v>
      </c>
      <c r="D452" s="8">
        <v>13</v>
      </c>
      <c r="E452" s="8">
        <v>95</v>
      </c>
      <c r="F452" s="8">
        <v>21.2</v>
      </c>
      <c r="G452" s="8">
        <v>0.41499999999999998</v>
      </c>
      <c r="H452" s="8">
        <v>23</v>
      </c>
      <c r="I452" s="9">
        <v>109.35086011274716</v>
      </c>
      <c r="J452" s="9">
        <v>-27.350860112747156</v>
      </c>
      <c r="K452" s="8">
        <f t="shared" si="7"/>
        <v>748.06954890706345</v>
      </c>
    </row>
    <row r="453" spans="1:11" x14ac:dyDescent="0.35">
      <c r="A453" s="8">
        <v>134</v>
      </c>
      <c r="B453" s="8">
        <v>2</v>
      </c>
      <c r="C453" s="8">
        <v>70</v>
      </c>
      <c r="D453" s="8">
        <v>0</v>
      </c>
      <c r="E453" s="8">
        <v>0</v>
      </c>
      <c r="F453" s="8">
        <v>28.9</v>
      </c>
      <c r="G453" s="8">
        <v>0.54200000000000004</v>
      </c>
      <c r="H453" s="8">
        <v>23</v>
      </c>
      <c r="I453" s="9">
        <v>111.20917685964419</v>
      </c>
      <c r="J453" s="9">
        <v>22.790823140355812</v>
      </c>
      <c r="K453" s="8">
        <f t="shared" si="7"/>
        <v>519.42161941497795</v>
      </c>
    </row>
    <row r="454" spans="1:11" x14ac:dyDescent="0.35">
      <c r="A454" s="8">
        <v>91</v>
      </c>
      <c r="B454" s="8">
        <v>0</v>
      </c>
      <c r="C454" s="8">
        <v>68</v>
      </c>
      <c r="D454" s="8">
        <v>32</v>
      </c>
      <c r="E454" s="8">
        <v>210</v>
      </c>
      <c r="F454" s="8">
        <v>39.9</v>
      </c>
      <c r="G454" s="8">
        <v>0.38100000000000001</v>
      </c>
      <c r="H454" s="8">
        <v>25</v>
      </c>
      <c r="I454" s="9">
        <v>129.88265360130032</v>
      </c>
      <c r="J454" s="9">
        <v>-38.882653601300319</v>
      </c>
      <c r="K454" s="8">
        <f t="shared" si="7"/>
        <v>1511.8607510787126</v>
      </c>
    </row>
    <row r="455" spans="1:11" x14ac:dyDescent="0.35">
      <c r="A455" s="8">
        <v>119</v>
      </c>
      <c r="B455" s="8">
        <v>2</v>
      </c>
      <c r="C455" s="8">
        <v>0</v>
      </c>
      <c r="D455" s="8">
        <v>0</v>
      </c>
      <c r="E455" s="8">
        <v>0</v>
      </c>
      <c r="F455" s="8">
        <v>19.600000000000001</v>
      </c>
      <c r="G455" s="8">
        <v>0.83199999999999996</v>
      </c>
      <c r="H455" s="8">
        <v>72</v>
      </c>
      <c r="I455" s="9">
        <v>132.77861474406782</v>
      </c>
      <c r="J455" s="9">
        <v>-13.778614744067823</v>
      </c>
      <c r="K455" s="8">
        <f t="shared" si="7"/>
        <v>189.85022426544322</v>
      </c>
    </row>
    <row r="456" spans="1:11" x14ac:dyDescent="0.35">
      <c r="A456" s="8">
        <v>100</v>
      </c>
      <c r="B456" s="8">
        <v>2</v>
      </c>
      <c r="C456" s="8">
        <v>54</v>
      </c>
      <c r="D456" s="8">
        <v>28</v>
      </c>
      <c r="E456" s="8">
        <v>105</v>
      </c>
      <c r="F456" s="8">
        <v>37.799999999999997</v>
      </c>
      <c r="G456" s="8">
        <v>0.498</v>
      </c>
      <c r="H456" s="8">
        <v>24</v>
      </c>
      <c r="I456" s="9">
        <v>118.32489069158169</v>
      </c>
      <c r="J456" s="9">
        <v>-18.324890691581686</v>
      </c>
      <c r="K456" s="8">
        <f t="shared" si="7"/>
        <v>335.8016188584171</v>
      </c>
    </row>
    <row r="457" spans="1:11" x14ac:dyDescent="0.35">
      <c r="A457" s="8">
        <v>175</v>
      </c>
      <c r="B457" s="8">
        <v>14</v>
      </c>
      <c r="C457" s="8">
        <v>62</v>
      </c>
      <c r="D457" s="8">
        <v>30</v>
      </c>
      <c r="E457" s="8">
        <v>0</v>
      </c>
      <c r="F457" s="8">
        <v>33.6</v>
      </c>
      <c r="G457" s="8">
        <v>0.21199999999999999</v>
      </c>
      <c r="H457" s="8">
        <v>38</v>
      </c>
      <c r="I457" s="9">
        <v>112.44931284731652</v>
      </c>
      <c r="J457" s="9">
        <v>62.55068715268348</v>
      </c>
      <c r="K457" s="8">
        <f t="shared" si="7"/>
        <v>3912.5884632728821</v>
      </c>
    </row>
    <row r="458" spans="1:11" x14ac:dyDescent="0.35">
      <c r="A458" s="8">
        <v>135</v>
      </c>
      <c r="B458" s="8">
        <v>1</v>
      </c>
      <c r="C458" s="8">
        <v>54</v>
      </c>
      <c r="D458" s="8">
        <v>0</v>
      </c>
      <c r="E458" s="8">
        <v>0</v>
      </c>
      <c r="F458" s="8">
        <v>26.7</v>
      </c>
      <c r="G458" s="8">
        <v>0.68700000000000006</v>
      </c>
      <c r="H458" s="8">
        <v>62</v>
      </c>
      <c r="I458" s="9">
        <v>134.46010363086589</v>
      </c>
      <c r="J458" s="9">
        <v>0.53989636913411232</v>
      </c>
      <c r="K458" s="8">
        <f t="shared" si="7"/>
        <v>0.29148808940419768</v>
      </c>
    </row>
    <row r="459" spans="1:11" x14ac:dyDescent="0.35">
      <c r="A459" s="8">
        <v>86</v>
      </c>
      <c r="B459" s="8">
        <v>5</v>
      </c>
      <c r="C459" s="8">
        <v>68</v>
      </c>
      <c r="D459" s="8">
        <v>28</v>
      </c>
      <c r="E459" s="8">
        <v>71</v>
      </c>
      <c r="F459" s="8">
        <v>30.2</v>
      </c>
      <c r="G459" s="8">
        <v>0.36399999999999999</v>
      </c>
      <c r="H459" s="8">
        <v>24</v>
      </c>
      <c r="I459" s="9">
        <v>109.51719955884568</v>
      </c>
      <c r="J459" s="9">
        <v>-23.517199558845675</v>
      </c>
      <c r="K459" s="8">
        <f t="shared" si="7"/>
        <v>553.05867509057123</v>
      </c>
    </row>
    <row r="460" spans="1:11" x14ac:dyDescent="0.35">
      <c r="A460" s="8">
        <v>148</v>
      </c>
      <c r="B460" s="8">
        <v>10</v>
      </c>
      <c r="C460" s="8">
        <v>84</v>
      </c>
      <c r="D460" s="8">
        <v>48</v>
      </c>
      <c r="E460" s="8">
        <v>237</v>
      </c>
      <c r="F460" s="8">
        <v>37.6</v>
      </c>
      <c r="G460" s="8">
        <v>1.0009999999999999</v>
      </c>
      <c r="H460" s="8">
        <v>51</v>
      </c>
      <c r="I460" s="9">
        <v>147.92439373312243</v>
      </c>
      <c r="J460" s="9">
        <v>7.5606266877571215E-2</v>
      </c>
      <c r="K460" s="8">
        <f t="shared" si="7"/>
        <v>5.716307591162522E-3</v>
      </c>
    </row>
    <row r="461" spans="1:11" x14ac:dyDescent="0.35">
      <c r="A461" s="8">
        <v>134</v>
      </c>
      <c r="B461" s="8">
        <v>9</v>
      </c>
      <c r="C461" s="8">
        <v>74</v>
      </c>
      <c r="D461" s="8">
        <v>33</v>
      </c>
      <c r="E461" s="8">
        <v>60</v>
      </c>
      <c r="F461" s="8">
        <v>25.9</v>
      </c>
      <c r="G461" s="8">
        <v>0.46</v>
      </c>
      <c r="H461" s="8">
        <v>81</v>
      </c>
      <c r="I461" s="9">
        <v>141.55646908200785</v>
      </c>
      <c r="J461" s="9">
        <v>-7.5564690820078511</v>
      </c>
      <c r="K461" s="8">
        <f t="shared" si="7"/>
        <v>57.100224987340575</v>
      </c>
    </row>
    <row r="462" spans="1:11" x14ac:dyDescent="0.35">
      <c r="A462" s="8">
        <v>120</v>
      </c>
      <c r="B462" s="8">
        <v>9</v>
      </c>
      <c r="C462" s="8">
        <v>72</v>
      </c>
      <c r="D462" s="8">
        <v>22</v>
      </c>
      <c r="E462" s="8">
        <v>56</v>
      </c>
      <c r="F462" s="8">
        <v>20.8</v>
      </c>
      <c r="G462" s="8">
        <v>0.73299999999999998</v>
      </c>
      <c r="H462" s="8">
        <v>48</v>
      </c>
      <c r="I462" s="9">
        <v>121.29546899113662</v>
      </c>
      <c r="J462" s="9">
        <v>-1.295468991136616</v>
      </c>
      <c r="K462" s="8">
        <f t="shared" si="7"/>
        <v>1.6782399069965215</v>
      </c>
    </row>
    <row r="463" spans="1:11" x14ac:dyDescent="0.35">
      <c r="A463" s="8">
        <v>71</v>
      </c>
      <c r="B463" s="8">
        <v>1</v>
      </c>
      <c r="C463" s="8">
        <v>62</v>
      </c>
      <c r="D463" s="8">
        <v>0</v>
      </c>
      <c r="E463" s="8">
        <v>0</v>
      </c>
      <c r="F463" s="8">
        <v>21.8</v>
      </c>
      <c r="G463" s="8">
        <v>0.41599999999999998</v>
      </c>
      <c r="H463" s="8">
        <v>26</v>
      </c>
      <c r="I463" s="9">
        <v>106.40284650683469</v>
      </c>
      <c r="J463" s="9">
        <v>-35.402846506834692</v>
      </c>
      <c r="K463" s="8">
        <f t="shared" si="7"/>
        <v>1253.3615407864972</v>
      </c>
    </row>
    <row r="464" spans="1:11" x14ac:dyDescent="0.35">
      <c r="A464" s="8">
        <v>74</v>
      </c>
      <c r="B464" s="8">
        <v>8</v>
      </c>
      <c r="C464" s="8">
        <v>70</v>
      </c>
      <c r="D464" s="8">
        <v>40</v>
      </c>
      <c r="E464" s="8">
        <v>49</v>
      </c>
      <c r="F464" s="8">
        <v>35.299999999999997</v>
      </c>
      <c r="G464" s="8">
        <v>0.70499999999999996</v>
      </c>
      <c r="H464" s="8">
        <v>39</v>
      </c>
      <c r="I464" s="9">
        <v>119.2717303175191</v>
      </c>
      <c r="J464" s="9">
        <v>-45.271730317519101</v>
      </c>
      <c r="K464" s="8">
        <f t="shared" si="7"/>
        <v>2049.5295659421781</v>
      </c>
    </row>
    <row r="465" spans="1:11" x14ac:dyDescent="0.35">
      <c r="A465" s="8">
        <v>88</v>
      </c>
      <c r="B465" s="8">
        <v>5</v>
      </c>
      <c r="C465" s="8">
        <v>78</v>
      </c>
      <c r="D465" s="8">
        <v>30</v>
      </c>
      <c r="E465" s="8">
        <v>0</v>
      </c>
      <c r="F465" s="8">
        <v>27.6</v>
      </c>
      <c r="G465" s="8">
        <v>0.25800000000000001</v>
      </c>
      <c r="H465" s="8">
        <v>37</v>
      </c>
      <c r="I465" s="9">
        <v>108.18315070117526</v>
      </c>
      <c r="J465" s="9">
        <v>-20.183150701175265</v>
      </c>
      <c r="K465" s="8">
        <f t="shared" si="7"/>
        <v>407.35957222635159</v>
      </c>
    </row>
    <row r="466" spans="1:11" x14ac:dyDescent="0.35">
      <c r="A466" s="8">
        <v>115</v>
      </c>
      <c r="B466" s="8">
        <v>10</v>
      </c>
      <c r="C466" s="8">
        <v>98</v>
      </c>
      <c r="D466" s="8">
        <v>0</v>
      </c>
      <c r="E466" s="8">
        <v>0</v>
      </c>
      <c r="F466" s="8">
        <v>24</v>
      </c>
      <c r="G466" s="8">
        <v>1.022</v>
      </c>
      <c r="H466" s="8">
        <v>34</v>
      </c>
      <c r="I466" s="9">
        <v>120.09460609365638</v>
      </c>
      <c r="J466" s="9">
        <v>-5.0946060936563811</v>
      </c>
      <c r="K466" s="8">
        <f t="shared" si="7"/>
        <v>25.95501124952073</v>
      </c>
    </row>
    <row r="467" spans="1:11" x14ac:dyDescent="0.35">
      <c r="A467" s="8">
        <v>124</v>
      </c>
      <c r="B467" s="8">
        <v>0</v>
      </c>
      <c r="C467" s="8">
        <v>56</v>
      </c>
      <c r="D467" s="8">
        <v>13</v>
      </c>
      <c r="E467" s="8">
        <v>105</v>
      </c>
      <c r="F467" s="8">
        <v>21.8</v>
      </c>
      <c r="G467" s="8">
        <v>0.45200000000000001</v>
      </c>
      <c r="H467" s="8">
        <v>21</v>
      </c>
      <c r="I467" s="9">
        <v>109.12982854890247</v>
      </c>
      <c r="J467" s="9">
        <v>14.870171451097534</v>
      </c>
      <c r="K467" s="8">
        <f t="shared" si="7"/>
        <v>221.12199898503613</v>
      </c>
    </row>
    <row r="468" spans="1:11" x14ac:dyDescent="0.35">
      <c r="A468" s="8">
        <v>74</v>
      </c>
      <c r="B468" s="8">
        <v>0</v>
      </c>
      <c r="C468" s="8">
        <v>52</v>
      </c>
      <c r="D468" s="8">
        <v>10</v>
      </c>
      <c r="E468" s="8">
        <v>36</v>
      </c>
      <c r="F468" s="8">
        <v>27.8</v>
      </c>
      <c r="G468" s="8">
        <v>0.26900000000000002</v>
      </c>
      <c r="H468" s="8">
        <v>22</v>
      </c>
      <c r="I468" s="9">
        <v>106.91058110201267</v>
      </c>
      <c r="J468" s="9">
        <v>-32.910581102012671</v>
      </c>
      <c r="K468" s="8">
        <f t="shared" si="7"/>
        <v>1083.1063484721535</v>
      </c>
    </row>
    <row r="469" spans="1:11" x14ac:dyDescent="0.35">
      <c r="A469" s="8">
        <v>97</v>
      </c>
      <c r="B469" s="8">
        <v>0</v>
      </c>
      <c r="C469" s="8">
        <v>64</v>
      </c>
      <c r="D469" s="8">
        <v>36</v>
      </c>
      <c r="E469" s="8">
        <v>100</v>
      </c>
      <c r="F469" s="8">
        <v>36.799999999999997</v>
      </c>
      <c r="G469" s="8">
        <v>0.6</v>
      </c>
      <c r="H469" s="8">
        <v>25</v>
      </c>
      <c r="I469" s="9">
        <v>116.27023191841351</v>
      </c>
      <c r="J469" s="9">
        <v>-19.270231918413515</v>
      </c>
      <c r="K469" s="8">
        <f t="shared" si="7"/>
        <v>371.34183818944302</v>
      </c>
    </row>
    <row r="470" spans="1:11" x14ac:dyDescent="0.35">
      <c r="A470" s="8">
        <v>120</v>
      </c>
      <c r="B470" s="8">
        <v>8</v>
      </c>
      <c r="C470" s="8">
        <v>0</v>
      </c>
      <c r="D470" s="8">
        <v>0</v>
      </c>
      <c r="E470" s="8">
        <v>0</v>
      </c>
      <c r="F470" s="8">
        <v>30</v>
      </c>
      <c r="G470" s="8">
        <v>0.183</v>
      </c>
      <c r="H470" s="8">
        <v>38</v>
      </c>
      <c r="I470" s="9">
        <v>114.89705314192588</v>
      </c>
      <c r="J470" s="9">
        <v>5.1029468580741195</v>
      </c>
      <c r="K470" s="8">
        <f t="shared" si="7"/>
        <v>26.040066636328529</v>
      </c>
    </row>
    <row r="471" spans="1:11" x14ac:dyDescent="0.35">
      <c r="A471" s="8">
        <v>154</v>
      </c>
      <c r="B471" s="8">
        <v>6</v>
      </c>
      <c r="C471" s="8">
        <v>78</v>
      </c>
      <c r="D471" s="8">
        <v>41</v>
      </c>
      <c r="E471" s="8">
        <v>140</v>
      </c>
      <c r="F471" s="8">
        <v>46.1</v>
      </c>
      <c r="G471" s="8">
        <v>0.57099999999999995</v>
      </c>
      <c r="H471" s="8">
        <v>27</v>
      </c>
      <c r="I471" s="9">
        <v>128.03714561771125</v>
      </c>
      <c r="J471" s="9">
        <v>25.962854382288754</v>
      </c>
      <c r="K471" s="8">
        <f t="shared" si="7"/>
        <v>674.06980767593029</v>
      </c>
    </row>
    <row r="472" spans="1:11" x14ac:dyDescent="0.35">
      <c r="A472" s="8">
        <v>144</v>
      </c>
      <c r="B472" s="8">
        <v>1</v>
      </c>
      <c r="C472" s="8">
        <v>82</v>
      </c>
      <c r="D472" s="8">
        <v>40</v>
      </c>
      <c r="E472" s="8">
        <v>0</v>
      </c>
      <c r="F472" s="8">
        <v>41.3</v>
      </c>
      <c r="G472" s="8">
        <v>0.60699999999999998</v>
      </c>
      <c r="H472" s="8">
        <v>28</v>
      </c>
      <c r="I472" s="9">
        <v>111.56120387509925</v>
      </c>
      <c r="J472" s="9">
        <v>32.438796124900747</v>
      </c>
      <c r="K472" s="8">
        <f t="shared" si="7"/>
        <v>1052.2754940328757</v>
      </c>
    </row>
    <row r="473" spans="1:11" x14ac:dyDescent="0.35">
      <c r="A473" s="8">
        <v>137</v>
      </c>
      <c r="B473" s="8">
        <v>0</v>
      </c>
      <c r="C473" s="8">
        <v>70</v>
      </c>
      <c r="D473" s="8">
        <v>38</v>
      </c>
      <c r="E473" s="8">
        <v>0</v>
      </c>
      <c r="F473" s="8">
        <v>33.200000000000003</v>
      </c>
      <c r="G473" s="8">
        <v>0.17</v>
      </c>
      <c r="H473" s="8">
        <v>22</v>
      </c>
      <c r="I473" s="9">
        <v>98.621251010919593</v>
      </c>
      <c r="J473" s="9">
        <v>38.378748989080407</v>
      </c>
      <c r="K473" s="8">
        <f t="shared" si="7"/>
        <v>1472.9283739668404</v>
      </c>
    </row>
    <row r="474" spans="1:11" x14ac:dyDescent="0.35">
      <c r="A474" s="8">
        <v>119</v>
      </c>
      <c r="B474" s="8">
        <v>0</v>
      </c>
      <c r="C474" s="8">
        <v>66</v>
      </c>
      <c r="D474" s="8">
        <v>27</v>
      </c>
      <c r="E474" s="8">
        <v>0</v>
      </c>
      <c r="F474" s="8">
        <v>38.799999999999997</v>
      </c>
      <c r="G474" s="8">
        <v>0.25900000000000001</v>
      </c>
      <c r="H474" s="8">
        <v>22</v>
      </c>
      <c r="I474" s="9">
        <v>106.78165504948353</v>
      </c>
      <c r="J474" s="9">
        <v>12.218344950516467</v>
      </c>
      <c r="K474" s="8">
        <f t="shared" si="7"/>
        <v>149.28795332981124</v>
      </c>
    </row>
    <row r="475" spans="1:11" x14ac:dyDescent="0.35">
      <c r="A475" s="8">
        <v>136</v>
      </c>
      <c r="B475" s="8">
        <v>7</v>
      </c>
      <c r="C475" s="8">
        <v>90</v>
      </c>
      <c r="D475" s="8">
        <v>0</v>
      </c>
      <c r="E475" s="8">
        <v>0</v>
      </c>
      <c r="F475" s="8">
        <v>29.9</v>
      </c>
      <c r="G475" s="8">
        <v>0.21</v>
      </c>
      <c r="H475" s="8">
        <v>50</v>
      </c>
      <c r="I475" s="9">
        <v>128.97972315401319</v>
      </c>
      <c r="J475" s="9">
        <v>7.0202768459868139</v>
      </c>
      <c r="K475" s="8">
        <f t="shared" si="7"/>
        <v>49.284286994298569</v>
      </c>
    </row>
    <row r="476" spans="1:11" x14ac:dyDescent="0.35">
      <c r="A476" s="8">
        <v>114</v>
      </c>
      <c r="B476" s="8">
        <v>4</v>
      </c>
      <c r="C476" s="8">
        <v>64</v>
      </c>
      <c r="D476" s="8">
        <v>0</v>
      </c>
      <c r="E476" s="8">
        <v>0</v>
      </c>
      <c r="F476" s="8">
        <v>28.9</v>
      </c>
      <c r="G476" s="8">
        <v>0.126</v>
      </c>
      <c r="H476" s="8">
        <v>24</v>
      </c>
      <c r="I476" s="9">
        <v>108.92450707058637</v>
      </c>
      <c r="J476" s="9">
        <v>5.0754929294136275</v>
      </c>
      <c r="K476" s="8">
        <f t="shared" si="7"/>
        <v>25.760628476527724</v>
      </c>
    </row>
    <row r="477" spans="1:11" x14ac:dyDescent="0.35">
      <c r="A477" s="8">
        <v>137</v>
      </c>
      <c r="B477" s="8">
        <v>0</v>
      </c>
      <c r="C477" s="8">
        <v>84</v>
      </c>
      <c r="D477" s="8">
        <v>27</v>
      </c>
      <c r="E477" s="8">
        <v>0</v>
      </c>
      <c r="F477" s="8">
        <v>27.3</v>
      </c>
      <c r="G477" s="8">
        <v>0.23100000000000001</v>
      </c>
      <c r="H477" s="8">
        <v>59</v>
      </c>
      <c r="I477" s="9">
        <v>123.11163739188441</v>
      </c>
      <c r="J477" s="9">
        <v>13.888362608115585</v>
      </c>
      <c r="K477" s="8">
        <f t="shared" si="7"/>
        <v>192.88661593450314</v>
      </c>
    </row>
    <row r="478" spans="1:11" x14ac:dyDescent="0.35">
      <c r="A478" s="8">
        <v>105</v>
      </c>
      <c r="B478" s="8">
        <v>2</v>
      </c>
      <c r="C478" s="8">
        <v>80</v>
      </c>
      <c r="D478" s="8">
        <v>45</v>
      </c>
      <c r="E478" s="8">
        <v>191</v>
      </c>
      <c r="F478" s="8">
        <v>33.700000000000003</v>
      </c>
      <c r="G478" s="8">
        <v>0.71099999999999997</v>
      </c>
      <c r="H478" s="8">
        <v>29</v>
      </c>
      <c r="I478" s="9">
        <v>124.60011560742807</v>
      </c>
      <c r="J478" s="9">
        <v>-19.600115607428066</v>
      </c>
      <c r="K478" s="8">
        <f t="shared" si="7"/>
        <v>384.16453182454524</v>
      </c>
    </row>
    <row r="479" spans="1:11" x14ac:dyDescent="0.35">
      <c r="A479" s="8">
        <v>114</v>
      </c>
      <c r="B479" s="8">
        <v>7</v>
      </c>
      <c r="C479" s="8">
        <v>76</v>
      </c>
      <c r="D479" s="8">
        <v>17</v>
      </c>
      <c r="E479" s="8">
        <v>110</v>
      </c>
      <c r="F479" s="8">
        <v>23.8</v>
      </c>
      <c r="G479" s="8">
        <v>0.46600000000000003</v>
      </c>
      <c r="H479" s="8">
        <v>31</v>
      </c>
      <c r="I479" s="9">
        <v>118.14988265059796</v>
      </c>
      <c r="J479" s="9">
        <v>-4.1498826505979594</v>
      </c>
      <c r="K479" s="8">
        <f t="shared" si="7"/>
        <v>17.221526013733946</v>
      </c>
    </row>
    <row r="480" spans="1:11" x14ac:dyDescent="0.35">
      <c r="A480" s="8">
        <v>126</v>
      </c>
      <c r="B480" s="8">
        <v>8</v>
      </c>
      <c r="C480" s="8">
        <v>74</v>
      </c>
      <c r="D480" s="8">
        <v>38</v>
      </c>
      <c r="E480" s="8">
        <v>75</v>
      </c>
      <c r="F480" s="8">
        <v>25.9</v>
      </c>
      <c r="G480" s="8">
        <v>0.16200000000000001</v>
      </c>
      <c r="H480" s="8">
        <v>39</v>
      </c>
      <c r="I480" s="9">
        <v>112.35031283417975</v>
      </c>
      <c r="J480" s="9">
        <v>13.649687165820254</v>
      </c>
      <c r="K480" s="8">
        <f t="shared" si="7"/>
        <v>186.31395972475815</v>
      </c>
    </row>
    <row r="481" spans="1:11" x14ac:dyDescent="0.35">
      <c r="A481" s="8">
        <v>132</v>
      </c>
      <c r="B481" s="8">
        <v>4</v>
      </c>
      <c r="C481" s="8">
        <v>86</v>
      </c>
      <c r="D481" s="8">
        <v>31</v>
      </c>
      <c r="E481" s="8">
        <v>0</v>
      </c>
      <c r="F481" s="8">
        <v>28</v>
      </c>
      <c r="G481" s="8">
        <v>0.41899999999999998</v>
      </c>
      <c r="H481" s="8">
        <v>63</v>
      </c>
      <c r="I481" s="9">
        <v>126.44405503326013</v>
      </c>
      <c r="J481" s="9">
        <v>5.5559449667398724</v>
      </c>
      <c r="K481" s="8">
        <f t="shared" si="7"/>
        <v>30.868524473442122</v>
      </c>
    </row>
    <row r="482" spans="1:11" x14ac:dyDescent="0.35">
      <c r="A482" s="8">
        <v>158</v>
      </c>
      <c r="B482" s="8">
        <v>3</v>
      </c>
      <c r="C482" s="8">
        <v>70</v>
      </c>
      <c r="D482" s="8">
        <v>30</v>
      </c>
      <c r="E482" s="8">
        <v>328</v>
      </c>
      <c r="F482" s="8">
        <v>35.5</v>
      </c>
      <c r="G482" s="8">
        <v>0.34399999999999997</v>
      </c>
      <c r="H482" s="8">
        <v>35</v>
      </c>
      <c r="I482" s="9">
        <v>145.64202644907786</v>
      </c>
      <c r="J482" s="9">
        <v>12.357973550922139</v>
      </c>
      <c r="K482" s="8">
        <f t="shared" si="7"/>
        <v>152.71951028529114</v>
      </c>
    </row>
    <row r="483" spans="1:11" x14ac:dyDescent="0.35">
      <c r="A483" s="8">
        <v>123</v>
      </c>
      <c r="B483" s="8">
        <v>0</v>
      </c>
      <c r="C483" s="8">
        <v>88</v>
      </c>
      <c r="D483" s="8">
        <v>37</v>
      </c>
      <c r="E483" s="8">
        <v>0</v>
      </c>
      <c r="F483" s="8">
        <v>35.200000000000003</v>
      </c>
      <c r="G483" s="8">
        <v>0.19700000000000001</v>
      </c>
      <c r="H483" s="8">
        <v>29</v>
      </c>
      <c r="I483" s="9">
        <v>106.4040400502066</v>
      </c>
      <c r="J483" s="9">
        <v>16.595959949793397</v>
      </c>
      <c r="K483" s="8">
        <f t="shared" si="7"/>
        <v>275.42588665514643</v>
      </c>
    </row>
    <row r="484" spans="1:11" x14ac:dyDescent="0.35">
      <c r="A484" s="8">
        <v>85</v>
      </c>
      <c r="B484" s="8">
        <v>4</v>
      </c>
      <c r="C484" s="8">
        <v>58</v>
      </c>
      <c r="D484" s="8">
        <v>22</v>
      </c>
      <c r="E484" s="8">
        <v>49</v>
      </c>
      <c r="F484" s="8">
        <v>27.8</v>
      </c>
      <c r="G484" s="8">
        <v>0.30599999999999999</v>
      </c>
      <c r="H484" s="8">
        <v>28</v>
      </c>
      <c r="I484" s="9">
        <v>108.96691976152158</v>
      </c>
      <c r="J484" s="9">
        <v>-23.966919761521581</v>
      </c>
      <c r="K484" s="8">
        <f t="shared" si="7"/>
        <v>574.41324285521364</v>
      </c>
    </row>
    <row r="485" spans="1:11" x14ac:dyDescent="0.35">
      <c r="A485" s="8">
        <v>84</v>
      </c>
      <c r="B485" s="8">
        <v>0</v>
      </c>
      <c r="C485" s="8">
        <v>82</v>
      </c>
      <c r="D485" s="8">
        <v>31</v>
      </c>
      <c r="E485" s="8">
        <v>125</v>
      </c>
      <c r="F485" s="8">
        <v>38.200000000000003</v>
      </c>
      <c r="G485" s="8">
        <v>0.23300000000000001</v>
      </c>
      <c r="H485" s="8">
        <v>23</v>
      </c>
      <c r="I485" s="9">
        <v>119.15586058830675</v>
      </c>
      <c r="J485" s="9">
        <v>-35.155860588306751</v>
      </c>
      <c r="K485" s="8">
        <f t="shared" si="7"/>
        <v>1235.9345337044599</v>
      </c>
    </row>
    <row r="486" spans="1:11" x14ac:dyDescent="0.35">
      <c r="A486" s="8">
        <v>145</v>
      </c>
      <c r="B486" s="8">
        <v>0</v>
      </c>
      <c r="C486" s="8">
        <v>0</v>
      </c>
      <c r="D486" s="8">
        <v>0</v>
      </c>
      <c r="E486" s="8">
        <v>0</v>
      </c>
      <c r="F486" s="8">
        <v>44.2</v>
      </c>
      <c r="G486" s="8">
        <v>0.63</v>
      </c>
      <c r="H486" s="8">
        <v>31</v>
      </c>
      <c r="I486" s="9">
        <v>123.38647911277181</v>
      </c>
      <c r="J486" s="9">
        <v>21.613520887228191</v>
      </c>
      <c r="K486" s="8">
        <f t="shared" si="7"/>
        <v>467.14428514264927</v>
      </c>
    </row>
    <row r="487" spans="1:11" x14ac:dyDescent="0.35">
      <c r="A487" s="8">
        <v>135</v>
      </c>
      <c r="B487" s="8">
        <v>0</v>
      </c>
      <c r="C487" s="8">
        <v>68</v>
      </c>
      <c r="D487" s="8">
        <v>42</v>
      </c>
      <c r="E487" s="8">
        <v>250</v>
      </c>
      <c r="F487" s="8">
        <v>42.3</v>
      </c>
      <c r="G487" s="8">
        <v>0.36499999999999999</v>
      </c>
      <c r="H487" s="8">
        <v>24</v>
      </c>
      <c r="I487" s="9">
        <v>131.61369042522409</v>
      </c>
      <c r="J487" s="9">
        <v>3.3863095747759075</v>
      </c>
      <c r="K487" s="8">
        <f t="shared" si="7"/>
        <v>11.467092536218988</v>
      </c>
    </row>
    <row r="488" spans="1:11" x14ac:dyDescent="0.35">
      <c r="A488" s="8">
        <v>139</v>
      </c>
      <c r="B488" s="8">
        <v>1</v>
      </c>
      <c r="C488" s="8">
        <v>62</v>
      </c>
      <c r="D488" s="8">
        <v>41</v>
      </c>
      <c r="E488" s="8">
        <v>480</v>
      </c>
      <c r="F488" s="8">
        <v>40.700000000000003</v>
      </c>
      <c r="G488" s="8">
        <v>0.53600000000000003</v>
      </c>
      <c r="H488" s="8">
        <v>21</v>
      </c>
      <c r="I488" s="9">
        <v>152.64054232578036</v>
      </c>
      <c r="J488" s="9">
        <v>-13.640542325780359</v>
      </c>
      <c r="K488" s="8">
        <f t="shared" si="7"/>
        <v>186.06439494140545</v>
      </c>
    </row>
    <row r="489" spans="1:11" x14ac:dyDescent="0.35">
      <c r="A489" s="8">
        <v>173</v>
      </c>
      <c r="B489" s="8">
        <v>0</v>
      </c>
      <c r="C489" s="8">
        <v>78</v>
      </c>
      <c r="D489" s="8">
        <v>32</v>
      </c>
      <c r="E489" s="8">
        <v>265</v>
      </c>
      <c r="F489" s="8">
        <v>46.5</v>
      </c>
      <c r="G489" s="8">
        <v>1.159</v>
      </c>
      <c r="H489" s="8">
        <v>58</v>
      </c>
      <c r="I489" s="9">
        <v>167.26887440644364</v>
      </c>
      <c r="J489" s="9">
        <v>5.7311255935563565</v>
      </c>
      <c r="K489" s="8">
        <f t="shared" si="7"/>
        <v>32.845800569116697</v>
      </c>
    </row>
    <row r="490" spans="1:11" x14ac:dyDescent="0.35">
      <c r="A490" s="8">
        <v>99</v>
      </c>
      <c r="B490" s="8">
        <v>4</v>
      </c>
      <c r="C490" s="8">
        <v>72</v>
      </c>
      <c r="D490" s="8">
        <v>17</v>
      </c>
      <c r="E490" s="8">
        <v>0</v>
      </c>
      <c r="F490" s="8">
        <v>25.6</v>
      </c>
      <c r="G490" s="8">
        <v>0.29399999999999998</v>
      </c>
      <c r="H490" s="8">
        <v>28</v>
      </c>
      <c r="I490" s="9">
        <v>104.96873291433879</v>
      </c>
      <c r="J490" s="9">
        <v>-5.9687329143387871</v>
      </c>
      <c r="K490" s="8">
        <f t="shared" si="7"/>
        <v>35.625772602711187</v>
      </c>
    </row>
    <row r="491" spans="1:11" x14ac:dyDescent="0.35">
      <c r="A491" s="8">
        <v>194</v>
      </c>
      <c r="B491" s="8">
        <v>8</v>
      </c>
      <c r="C491" s="8">
        <v>80</v>
      </c>
      <c r="D491" s="8">
        <v>0</v>
      </c>
      <c r="E491" s="8">
        <v>0</v>
      </c>
      <c r="F491" s="8">
        <v>26.1</v>
      </c>
      <c r="G491" s="8">
        <v>0.55100000000000005</v>
      </c>
      <c r="H491" s="8">
        <v>67</v>
      </c>
      <c r="I491" s="9">
        <v>138.61045381826992</v>
      </c>
      <c r="J491" s="9">
        <v>55.389546181730083</v>
      </c>
      <c r="K491" s="8">
        <f t="shared" si="7"/>
        <v>3068.0018262180097</v>
      </c>
    </row>
    <row r="492" spans="1:11" x14ac:dyDescent="0.35">
      <c r="A492" s="8">
        <v>83</v>
      </c>
      <c r="B492" s="8">
        <v>2</v>
      </c>
      <c r="C492" s="8">
        <v>65</v>
      </c>
      <c r="D492" s="8">
        <v>28</v>
      </c>
      <c r="E492" s="8">
        <v>66</v>
      </c>
      <c r="F492" s="8">
        <v>36.799999999999997</v>
      </c>
      <c r="G492" s="8">
        <v>0.629</v>
      </c>
      <c r="H492" s="8">
        <v>24</v>
      </c>
      <c r="I492" s="9">
        <v>115.25372159626356</v>
      </c>
      <c r="J492" s="9">
        <v>-32.25372159626356</v>
      </c>
      <c r="K492" s="8">
        <f t="shared" si="7"/>
        <v>1040.3025568092783</v>
      </c>
    </row>
    <row r="493" spans="1:11" x14ac:dyDescent="0.35">
      <c r="A493" s="8">
        <v>89</v>
      </c>
      <c r="B493" s="8">
        <v>2</v>
      </c>
      <c r="C493" s="8">
        <v>90</v>
      </c>
      <c r="D493" s="8">
        <v>30</v>
      </c>
      <c r="E493" s="8">
        <v>0</v>
      </c>
      <c r="F493" s="8">
        <v>33.5</v>
      </c>
      <c r="G493" s="8">
        <v>0.29199999999999998</v>
      </c>
      <c r="H493" s="8">
        <v>42</v>
      </c>
      <c r="I493" s="9">
        <v>116.7146003349237</v>
      </c>
      <c r="J493" s="9">
        <v>-27.714600334923702</v>
      </c>
      <c r="K493" s="8">
        <f t="shared" si="7"/>
        <v>768.09907172455303</v>
      </c>
    </row>
    <row r="494" spans="1:11" x14ac:dyDescent="0.35">
      <c r="A494" s="8">
        <v>99</v>
      </c>
      <c r="B494" s="8">
        <v>4</v>
      </c>
      <c r="C494" s="8">
        <v>68</v>
      </c>
      <c r="D494" s="8">
        <v>38</v>
      </c>
      <c r="E494" s="8">
        <v>0</v>
      </c>
      <c r="F494" s="8">
        <v>32.799999999999997</v>
      </c>
      <c r="G494" s="8">
        <v>0.14499999999999999</v>
      </c>
      <c r="H494" s="8">
        <v>33</v>
      </c>
      <c r="I494" s="9">
        <v>105.35667300250512</v>
      </c>
      <c r="J494" s="9">
        <v>-6.3566730025051186</v>
      </c>
      <c r="K494" s="8">
        <f t="shared" si="7"/>
        <v>40.407291660777439</v>
      </c>
    </row>
    <row r="495" spans="1:11" x14ac:dyDescent="0.35">
      <c r="A495" s="8">
        <v>125</v>
      </c>
      <c r="B495" s="8">
        <v>4</v>
      </c>
      <c r="C495" s="8">
        <v>70</v>
      </c>
      <c r="D495" s="8">
        <v>18</v>
      </c>
      <c r="E495" s="8">
        <v>122</v>
      </c>
      <c r="F495" s="8">
        <v>28.9</v>
      </c>
      <c r="G495" s="8">
        <v>1.1439999999999999</v>
      </c>
      <c r="H495" s="8">
        <v>45</v>
      </c>
      <c r="I495" s="9">
        <v>135.56700453832082</v>
      </c>
      <c r="J495" s="9">
        <v>-10.567004538320816</v>
      </c>
      <c r="K495" s="8">
        <f t="shared" si="7"/>
        <v>111.66158491289272</v>
      </c>
    </row>
    <row r="496" spans="1:11" x14ac:dyDescent="0.35">
      <c r="A496" s="8">
        <v>80</v>
      </c>
      <c r="B496" s="8">
        <v>3</v>
      </c>
      <c r="C496" s="8">
        <v>0</v>
      </c>
      <c r="D496" s="8">
        <v>0</v>
      </c>
      <c r="E496" s="8">
        <v>0</v>
      </c>
      <c r="F496" s="8">
        <v>0</v>
      </c>
      <c r="G496" s="8">
        <v>0.17399999999999999</v>
      </c>
      <c r="H496" s="8">
        <v>22</v>
      </c>
      <c r="I496" s="9">
        <v>81.712646326338842</v>
      </c>
      <c r="J496" s="9">
        <v>-1.7126463263388416</v>
      </c>
      <c r="K496" s="8">
        <f t="shared" si="7"/>
        <v>2.9331574391219299</v>
      </c>
    </row>
    <row r="497" spans="1:11" x14ac:dyDescent="0.35">
      <c r="A497" s="8">
        <v>166</v>
      </c>
      <c r="B497" s="8">
        <v>6</v>
      </c>
      <c r="C497" s="8">
        <v>74</v>
      </c>
      <c r="D497" s="8">
        <v>0</v>
      </c>
      <c r="E497" s="8">
        <v>0</v>
      </c>
      <c r="F497" s="8">
        <v>26.6</v>
      </c>
      <c r="G497" s="8">
        <v>0.30399999999999999</v>
      </c>
      <c r="H497" s="8">
        <v>66</v>
      </c>
      <c r="I497" s="9">
        <v>136.24220853437157</v>
      </c>
      <c r="J497" s="9">
        <v>29.757791465628429</v>
      </c>
      <c r="K497" s="8">
        <f t="shared" si="7"/>
        <v>885.52615291182815</v>
      </c>
    </row>
    <row r="498" spans="1:11" x14ac:dyDescent="0.35">
      <c r="A498" s="8">
        <v>110</v>
      </c>
      <c r="B498" s="8">
        <v>5</v>
      </c>
      <c r="C498" s="8">
        <v>68</v>
      </c>
      <c r="D498" s="8">
        <v>0</v>
      </c>
      <c r="E498" s="8">
        <v>0</v>
      </c>
      <c r="F498" s="8">
        <v>26</v>
      </c>
      <c r="G498" s="8">
        <v>0.29199999999999998</v>
      </c>
      <c r="H498" s="8">
        <v>30</v>
      </c>
      <c r="I498" s="9">
        <v>112.00775449188056</v>
      </c>
      <c r="J498" s="9">
        <v>-2.0077544918805614</v>
      </c>
      <c r="K498" s="8">
        <f t="shared" si="7"/>
        <v>4.0310780996665718</v>
      </c>
    </row>
    <row r="499" spans="1:11" x14ac:dyDescent="0.35">
      <c r="A499" s="8">
        <v>81</v>
      </c>
      <c r="B499" s="8">
        <v>2</v>
      </c>
      <c r="C499" s="8">
        <v>72</v>
      </c>
      <c r="D499" s="8">
        <v>15</v>
      </c>
      <c r="E499" s="8">
        <v>76</v>
      </c>
      <c r="F499" s="8">
        <v>30.1</v>
      </c>
      <c r="G499" s="8">
        <v>0.54700000000000004</v>
      </c>
      <c r="H499" s="8">
        <v>25</v>
      </c>
      <c r="I499" s="9">
        <v>116.19432970401179</v>
      </c>
      <c r="J499" s="9">
        <v>-35.194329704011793</v>
      </c>
      <c r="K499" s="8">
        <f t="shared" si="7"/>
        <v>1238.6408433146869</v>
      </c>
    </row>
    <row r="500" spans="1:11" x14ac:dyDescent="0.35">
      <c r="A500" s="8">
        <v>195</v>
      </c>
      <c r="B500" s="8">
        <v>7</v>
      </c>
      <c r="C500" s="8">
        <v>70</v>
      </c>
      <c r="D500" s="8">
        <v>33</v>
      </c>
      <c r="E500" s="8">
        <v>145</v>
      </c>
      <c r="F500" s="8">
        <v>25.1</v>
      </c>
      <c r="G500" s="8">
        <v>0.16300000000000001</v>
      </c>
      <c r="H500" s="8">
        <v>55</v>
      </c>
      <c r="I500" s="9">
        <v>130.44625969668064</v>
      </c>
      <c r="J500" s="9">
        <v>64.553740303319358</v>
      </c>
      <c r="K500" s="8">
        <f t="shared" si="7"/>
        <v>4167.1853871483981</v>
      </c>
    </row>
    <row r="501" spans="1:11" x14ac:dyDescent="0.35">
      <c r="A501" s="8">
        <v>154</v>
      </c>
      <c r="B501" s="8">
        <v>6</v>
      </c>
      <c r="C501" s="8">
        <v>74</v>
      </c>
      <c r="D501" s="8">
        <v>32</v>
      </c>
      <c r="E501" s="8">
        <v>193</v>
      </c>
      <c r="F501" s="8">
        <v>29.3</v>
      </c>
      <c r="G501" s="8">
        <v>0.83899999999999997</v>
      </c>
      <c r="H501" s="8">
        <v>39</v>
      </c>
      <c r="I501" s="9">
        <v>132.92154871770541</v>
      </c>
      <c r="J501" s="9">
        <v>21.078451282294594</v>
      </c>
      <c r="K501" s="8">
        <f t="shared" si="7"/>
        <v>444.30110846006664</v>
      </c>
    </row>
    <row r="502" spans="1:11" x14ac:dyDescent="0.35">
      <c r="A502" s="8">
        <v>117</v>
      </c>
      <c r="B502" s="8">
        <v>2</v>
      </c>
      <c r="C502" s="8">
        <v>90</v>
      </c>
      <c r="D502" s="8">
        <v>19</v>
      </c>
      <c r="E502" s="8">
        <v>71</v>
      </c>
      <c r="F502" s="8">
        <v>25.2</v>
      </c>
      <c r="G502" s="8">
        <v>0.313</v>
      </c>
      <c r="H502" s="8">
        <v>21</v>
      </c>
      <c r="I502" s="9">
        <v>107.88004461048932</v>
      </c>
      <c r="J502" s="9">
        <v>9.1199553895106789</v>
      </c>
      <c r="K502" s="8">
        <f t="shared" si="7"/>
        <v>83.173586306664873</v>
      </c>
    </row>
    <row r="503" spans="1:11" x14ac:dyDescent="0.35">
      <c r="A503" s="8">
        <v>84</v>
      </c>
      <c r="B503" s="8">
        <v>3</v>
      </c>
      <c r="C503" s="8">
        <v>72</v>
      </c>
      <c r="D503" s="8">
        <v>32</v>
      </c>
      <c r="E503" s="8">
        <v>0</v>
      </c>
      <c r="F503" s="8">
        <v>37.200000000000003</v>
      </c>
      <c r="G503" s="8">
        <v>0.26700000000000002</v>
      </c>
      <c r="H503" s="8">
        <v>28</v>
      </c>
      <c r="I503" s="9">
        <v>108.42896245210427</v>
      </c>
      <c r="J503" s="9">
        <v>-24.428962452104273</v>
      </c>
      <c r="K503" s="8">
        <f t="shared" si="7"/>
        <v>596.7742064863204</v>
      </c>
    </row>
    <row r="504" spans="1:11" x14ac:dyDescent="0.35">
      <c r="A504" s="8">
        <v>0</v>
      </c>
      <c r="B504" s="8">
        <v>6</v>
      </c>
      <c r="C504" s="8">
        <v>68</v>
      </c>
      <c r="D504" s="8">
        <v>41</v>
      </c>
      <c r="E504" s="8">
        <v>0</v>
      </c>
      <c r="F504" s="8">
        <v>39</v>
      </c>
      <c r="G504" s="8">
        <v>0.72699999999999998</v>
      </c>
      <c r="H504" s="8">
        <v>41</v>
      </c>
      <c r="I504" s="9">
        <v>117.96171194523359</v>
      </c>
      <c r="J504" s="9">
        <v>-117.96171194523359</v>
      </c>
      <c r="K504" s="8">
        <f t="shared" si="7"/>
        <v>13914.965485050265</v>
      </c>
    </row>
    <row r="505" spans="1:11" x14ac:dyDescent="0.35">
      <c r="A505" s="8">
        <v>94</v>
      </c>
      <c r="B505" s="8">
        <v>7</v>
      </c>
      <c r="C505" s="8">
        <v>64</v>
      </c>
      <c r="D505" s="8">
        <v>25</v>
      </c>
      <c r="E505" s="8">
        <v>79</v>
      </c>
      <c r="F505" s="8">
        <v>33.299999999999997</v>
      </c>
      <c r="G505" s="8">
        <v>0.73799999999999999</v>
      </c>
      <c r="H505" s="8">
        <v>41</v>
      </c>
      <c r="I505" s="9">
        <v>126.81908227744617</v>
      </c>
      <c r="J505" s="9">
        <v>-32.819082277446171</v>
      </c>
      <c r="K505" s="8">
        <f t="shared" si="7"/>
        <v>1077.0921615337813</v>
      </c>
    </row>
    <row r="506" spans="1:11" x14ac:dyDescent="0.35">
      <c r="A506" s="8">
        <v>96</v>
      </c>
      <c r="B506" s="8">
        <v>3</v>
      </c>
      <c r="C506" s="8">
        <v>78</v>
      </c>
      <c r="D506" s="8">
        <v>39</v>
      </c>
      <c r="E506" s="8">
        <v>0</v>
      </c>
      <c r="F506" s="8">
        <v>37.299999999999997</v>
      </c>
      <c r="G506" s="8">
        <v>0.23799999999999999</v>
      </c>
      <c r="H506" s="8">
        <v>40</v>
      </c>
      <c r="I506" s="9">
        <v>114.14439837492128</v>
      </c>
      <c r="J506" s="9">
        <v>-18.14439837492128</v>
      </c>
      <c r="K506" s="8">
        <f t="shared" si="7"/>
        <v>329.21919238784602</v>
      </c>
    </row>
    <row r="507" spans="1:11" x14ac:dyDescent="0.35">
      <c r="A507" s="8">
        <v>75</v>
      </c>
      <c r="B507" s="8">
        <v>10</v>
      </c>
      <c r="C507" s="8">
        <v>82</v>
      </c>
      <c r="D507" s="8">
        <v>0</v>
      </c>
      <c r="E507" s="8">
        <v>0</v>
      </c>
      <c r="F507" s="8">
        <v>33.299999999999997</v>
      </c>
      <c r="G507" s="8">
        <v>0.26300000000000001</v>
      </c>
      <c r="H507" s="8">
        <v>38</v>
      </c>
      <c r="I507" s="9">
        <v>123.73883396584891</v>
      </c>
      <c r="J507" s="9">
        <v>-48.738833965848912</v>
      </c>
      <c r="K507" s="8">
        <f t="shared" si="7"/>
        <v>2375.4739363505873</v>
      </c>
    </row>
    <row r="508" spans="1:11" x14ac:dyDescent="0.35">
      <c r="A508" s="8">
        <v>180</v>
      </c>
      <c r="B508" s="8">
        <v>0</v>
      </c>
      <c r="C508" s="8">
        <v>90</v>
      </c>
      <c r="D508" s="8">
        <v>26</v>
      </c>
      <c r="E508" s="8">
        <v>90</v>
      </c>
      <c r="F508" s="8">
        <v>36.5</v>
      </c>
      <c r="G508" s="8">
        <v>0.314</v>
      </c>
      <c r="H508" s="8">
        <v>35</v>
      </c>
      <c r="I508" s="9">
        <v>124.84985924343663</v>
      </c>
      <c r="J508" s="9">
        <v>55.150140756563374</v>
      </c>
      <c r="K508" s="8">
        <f t="shared" si="7"/>
        <v>3041.5380254687525</v>
      </c>
    </row>
    <row r="509" spans="1:11" x14ac:dyDescent="0.35">
      <c r="A509" s="8">
        <v>130</v>
      </c>
      <c r="B509" s="8">
        <v>1</v>
      </c>
      <c r="C509" s="8">
        <v>60</v>
      </c>
      <c r="D509" s="8">
        <v>23</v>
      </c>
      <c r="E509" s="8">
        <v>170</v>
      </c>
      <c r="F509" s="8">
        <v>28.6</v>
      </c>
      <c r="G509" s="8">
        <v>0.69199999999999995</v>
      </c>
      <c r="H509" s="8">
        <v>21</v>
      </c>
      <c r="I509" s="9">
        <v>119.27538600020313</v>
      </c>
      <c r="J509" s="9">
        <v>10.724613999796873</v>
      </c>
      <c r="K509" s="8">
        <f t="shared" si="7"/>
        <v>115.01734544463908</v>
      </c>
    </row>
    <row r="510" spans="1:11" x14ac:dyDescent="0.35">
      <c r="A510" s="8">
        <v>84</v>
      </c>
      <c r="B510" s="8">
        <v>2</v>
      </c>
      <c r="C510" s="8">
        <v>50</v>
      </c>
      <c r="D510" s="8">
        <v>23</v>
      </c>
      <c r="E510" s="8">
        <v>76</v>
      </c>
      <c r="F510" s="8">
        <v>30.4</v>
      </c>
      <c r="G510" s="8">
        <v>0.96799999999999997</v>
      </c>
      <c r="H510" s="8">
        <v>21</v>
      </c>
      <c r="I510" s="9">
        <v>112.28280147194749</v>
      </c>
      <c r="J510" s="9">
        <v>-28.282801471947494</v>
      </c>
      <c r="K510" s="8">
        <f t="shared" si="7"/>
        <v>799.91685910159526</v>
      </c>
    </row>
    <row r="511" spans="1:11" x14ac:dyDescent="0.35">
      <c r="A511" s="8">
        <v>120</v>
      </c>
      <c r="B511" s="8">
        <v>8</v>
      </c>
      <c r="C511" s="8">
        <v>78</v>
      </c>
      <c r="D511" s="8">
        <v>0</v>
      </c>
      <c r="E511" s="8">
        <v>0</v>
      </c>
      <c r="F511" s="8">
        <v>25</v>
      </c>
      <c r="G511" s="8">
        <v>0.40899999999999997</v>
      </c>
      <c r="H511" s="8">
        <v>64</v>
      </c>
      <c r="I511" s="9">
        <v>134.81237662284127</v>
      </c>
      <c r="J511" s="9">
        <v>-14.812376622841271</v>
      </c>
      <c r="K511" s="8">
        <f t="shared" si="7"/>
        <v>219.40650121689455</v>
      </c>
    </row>
    <row r="512" spans="1:11" x14ac:dyDescent="0.35">
      <c r="A512" s="8">
        <v>84</v>
      </c>
      <c r="B512" s="8">
        <v>12</v>
      </c>
      <c r="C512" s="8">
        <v>72</v>
      </c>
      <c r="D512" s="8">
        <v>31</v>
      </c>
      <c r="E512" s="8">
        <v>0</v>
      </c>
      <c r="F512" s="8">
        <v>29.7</v>
      </c>
      <c r="G512" s="8">
        <v>0.29699999999999999</v>
      </c>
      <c r="H512" s="8">
        <v>46</v>
      </c>
      <c r="I512" s="9">
        <v>115.47038295449295</v>
      </c>
      <c r="J512" s="9">
        <v>-31.470382954492948</v>
      </c>
      <c r="K512" s="8">
        <f t="shared" si="7"/>
        <v>990.38500330244028</v>
      </c>
    </row>
    <row r="513" spans="1:11" x14ac:dyDescent="0.35">
      <c r="A513" s="8">
        <v>139</v>
      </c>
      <c r="B513" s="8">
        <v>0</v>
      </c>
      <c r="C513" s="8">
        <v>62</v>
      </c>
      <c r="D513" s="8">
        <v>17</v>
      </c>
      <c r="E513" s="8">
        <v>210</v>
      </c>
      <c r="F513" s="8">
        <v>22.1</v>
      </c>
      <c r="G513" s="8">
        <v>0.20699999999999999</v>
      </c>
      <c r="H513" s="8">
        <v>21</v>
      </c>
      <c r="I513" s="9">
        <v>117.44088329871396</v>
      </c>
      <c r="J513" s="9">
        <v>21.559116701286044</v>
      </c>
      <c r="K513" s="8">
        <f t="shared" si="7"/>
        <v>464.79551293967086</v>
      </c>
    </row>
    <row r="514" spans="1:11" x14ac:dyDescent="0.35">
      <c r="A514" s="8">
        <v>91</v>
      </c>
      <c r="B514" s="8">
        <v>9</v>
      </c>
      <c r="C514" s="8">
        <v>68</v>
      </c>
      <c r="D514" s="8">
        <v>0</v>
      </c>
      <c r="E514" s="8">
        <v>0</v>
      </c>
      <c r="F514" s="8">
        <v>24.2</v>
      </c>
      <c r="G514" s="8">
        <v>0.2</v>
      </c>
      <c r="H514" s="8">
        <v>58</v>
      </c>
      <c r="I514" s="9">
        <v>128.37906803743201</v>
      </c>
      <c r="J514" s="9">
        <v>-37.379068037432006</v>
      </c>
      <c r="K514" s="8">
        <f t="shared" si="7"/>
        <v>1397.1947273469709</v>
      </c>
    </row>
    <row r="515" spans="1:11" x14ac:dyDescent="0.35">
      <c r="A515" s="8">
        <v>91</v>
      </c>
      <c r="B515" s="8">
        <v>2</v>
      </c>
      <c r="C515" s="8">
        <v>62</v>
      </c>
      <c r="D515" s="8">
        <v>0</v>
      </c>
      <c r="E515" s="8">
        <v>0</v>
      </c>
      <c r="F515" s="8">
        <v>27.3</v>
      </c>
      <c r="G515" s="8">
        <v>0.52500000000000002</v>
      </c>
      <c r="H515" s="8">
        <v>22</v>
      </c>
      <c r="I515" s="9">
        <v>108.69580706444236</v>
      </c>
      <c r="J515" s="9">
        <v>-17.695807064442363</v>
      </c>
      <c r="K515" s="8">
        <f t="shared" ref="K515:K578" si="8">J515*J515</f>
        <v>313.14158766196823</v>
      </c>
    </row>
    <row r="516" spans="1:11" x14ac:dyDescent="0.35">
      <c r="A516" s="8">
        <v>99</v>
      </c>
      <c r="B516" s="8">
        <v>3</v>
      </c>
      <c r="C516" s="8">
        <v>54</v>
      </c>
      <c r="D516" s="8">
        <v>19</v>
      </c>
      <c r="E516" s="8">
        <v>86</v>
      </c>
      <c r="F516" s="8">
        <v>25.6</v>
      </c>
      <c r="G516" s="8">
        <v>0.154</v>
      </c>
      <c r="H516" s="8">
        <v>24</v>
      </c>
      <c r="I516" s="9">
        <v>108.15657148325467</v>
      </c>
      <c r="J516" s="9">
        <v>-9.1565714832546661</v>
      </c>
      <c r="K516" s="8">
        <f t="shared" si="8"/>
        <v>83.842801327952557</v>
      </c>
    </row>
    <row r="517" spans="1:11" x14ac:dyDescent="0.35">
      <c r="A517" s="8">
        <v>163</v>
      </c>
      <c r="B517" s="8">
        <v>3</v>
      </c>
      <c r="C517" s="8">
        <v>70</v>
      </c>
      <c r="D517" s="8">
        <v>18</v>
      </c>
      <c r="E517" s="8">
        <v>105</v>
      </c>
      <c r="F517" s="8">
        <v>31.6</v>
      </c>
      <c r="G517" s="8">
        <v>0.26800000000000002</v>
      </c>
      <c r="H517" s="8">
        <v>28</v>
      </c>
      <c r="I517" s="9">
        <v>119.32329717469069</v>
      </c>
      <c r="J517" s="9">
        <v>43.676702825309306</v>
      </c>
      <c r="K517" s="8">
        <f t="shared" si="8"/>
        <v>1907.6543696903818</v>
      </c>
    </row>
    <row r="518" spans="1:11" x14ac:dyDescent="0.35">
      <c r="A518" s="8">
        <v>145</v>
      </c>
      <c r="B518" s="8">
        <v>9</v>
      </c>
      <c r="C518" s="8">
        <v>88</v>
      </c>
      <c r="D518" s="8">
        <v>34</v>
      </c>
      <c r="E518" s="8">
        <v>165</v>
      </c>
      <c r="F518" s="8">
        <v>30.3</v>
      </c>
      <c r="G518" s="8">
        <v>0.77100000000000002</v>
      </c>
      <c r="H518" s="8">
        <v>53</v>
      </c>
      <c r="I518" s="9">
        <v>139.95128096230994</v>
      </c>
      <c r="J518" s="9">
        <v>5.0487190376900628</v>
      </c>
      <c r="K518" s="8">
        <f t="shared" si="8"/>
        <v>25.489563921534074</v>
      </c>
    </row>
    <row r="519" spans="1:11" x14ac:dyDescent="0.35">
      <c r="A519" s="8">
        <v>125</v>
      </c>
      <c r="B519" s="8">
        <v>7</v>
      </c>
      <c r="C519" s="8">
        <v>86</v>
      </c>
      <c r="D519" s="8">
        <v>0</v>
      </c>
      <c r="E519" s="8">
        <v>0</v>
      </c>
      <c r="F519" s="8">
        <v>37.6</v>
      </c>
      <c r="G519" s="8">
        <v>0.30399999999999999</v>
      </c>
      <c r="H519" s="8">
        <v>51</v>
      </c>
      <c r="I519" s="9">
        <v>135.71584717056751</v>
      </c>
      <c r="J519" s="9">
        <v>-10.715847170567514</v>
      </c>
      <c r="K519" s="8">
        <f t="shared" si="8"/>
        <v>114.8293805829598</v>
      </c>
    </row>
    <row r="520" spans="1:11" x14ac:dyDescent="0.35">
      <c r="A520" s="8">
        <v>76</v>
      </c>
      <c r="B520" s="8">
        <v>13</v>
      </c>
      <c r="C520" s="8">
        <v>60</v>
      </c>
      <c r="D520" s="8">
        <v>0</v>
      </c>
      <c r="E520" s="8">
        <v>0</v>
      </c>
      <c r="F520" s="8">
        <v>32.799999999999997</v>
      </c>
      <c r="G520" s="8">
        <v>0.18</v>
      </c>
      <c r="H520" s="8">
        <v>41</v>
      </c>
      <c r="I520" s="9">
        <v>123.41123438958664</v>
      </c>
      <c r="J520" s="9">
        <v>-47.411234389586639</v>
      </c>
      <c r="K520" s="8">
        <f t="shared" si="8"/>
        <v>2247.8251463443225</v>
      </c>
    </row>
    <row r="521" spans="1:11" x14ac:dyDescent="0.35">
      <c r="A521" s="8">
        <v>129</v>
      </c>
      <c r="B521" s="8">
        <v>6</v>
      </c>
      <c r="C521" s="8">
        <v>90</v>
      </c>
      <c r="D521" s="8">
        <v>7</v>
      </c>
      <c r="E521" s="8">
        <v>326</v>
      </c>
      <c r="F521" s="8">
        <v>19.600000000000001</v>
      </c>
      <c r="G521" s="8">
        <v>0.58199999999999996</v>
      </c>
      <c r="H521" s="8">
        <v>60</v>
      </c>
      <c r="I521" s="9">
        <v>160.41128200225592</v>
      </c>
      <c r="J521" s="9">
        <v>-31.411282002255916</v>
      </c>
      <c r="K521" s="8">
        <f t="shared" si="8"/>
        <v>986.66863702524643</v>
      </c>
    </row>
    <row r="522" spans="1:11" x14ac:dyDescent="0.35">
      <c r="A522" s="8">
        <v>68</v>
      </c>
      <c r="B522" s="8">
        <v>2</v>
      </c>
      <c r="C522" s="8">
        <v>70</v>
      </c>
      <c r="D522" s="8">
        <v>32</v>
      </c>
      <c r="E522" s="8">
        <v>66</v>
      </c>
      <c r="F522" s="8">
        <v>25</v>
      </c>
      <c r="G522" s="8">
        <v>0.187</v>
      </c>
      <c r="H522" s="8">
        <v>25</v>
      </c>
      <c r="I522" s="9">
        <v>103.26689454538086</v>
      </c>
      <c r="J522" s="9">
        <v>-35.266894545380865</v>
      </c>
      <c r="K522" s="8">
        <f t="shared" si="8"/>
        <v>1243.7538508750147</v>
      </c>
    </row>
    <row r="523" spans="1:11" x14ac:dyDescent="0.35">
      <c r="A523" s="8">
        <v>124</v>
      </c>
      <c r="B523" s="8">
        <v>3</v>
      </c>
      <c r="C523" s="8">
        <v>80</v>
      </c>
      <c r="D523" s="8">
        <v>33</v>
      </c>
      <c r="E523" s="8">
        <v>130</v>
      </c>
      <c r="F523" s="8">
        <v>33.200000000000003</v>
      </c>
      <c r="G523" s="8">
        <v>0.30499999999999999</v>
      </c>
      <c r="H523" s="8">
        <v>26</v>
      </c>
      <c r="I523" s="9">
        <v>117.66550294837678</v>
      </c>
      <c r="J523" s="9">
        <v>6.3344970516232166</v>
      </c>
      <c r="K523" s="8">
        <f t="shared" si="8"/>
        <v>40.125852897023222</v>
      </c>
    </row>
    <row r="524" spans="1:11" x14ac:dyDescent="0.35">
      <c r="A524" s="8">
        <v>114</v>
      </c>
      <c r="B524" s="8">
        <v>6</v>
      </c>
      <c r="C524" s="8">
        <v>0</v>
      </c>
      <c r="D524" s="8">
        <v>0</v>
      </c>
      <c r="E524" s="8">
        <v>0</v>
      </c>
      <c r="F524" s="8">
        <v>0</v>
      </c>
      <c r="G524" s="8">
        <v>0.189</v>
      </c>
      <c r="H524" s="8">
        <v>26</v>
      </c>
      <c r="I524" s="9">
        <v>84.565166851063694</v>
      </c>
      <c r="J524" s="9">
        <v>29.434833148936306</v>
      </c>
      <c r="K524" s="8">
        <f t="shared" si="8"/>
        <v>866.40940250571964</v>
      </c>
    </row>
    <row r="525" spans="1:11" x14ac:dyDescent="0.35">
      <c r="A525" s="8">
        <v>130</v>
      </c>
      <c r="B525" s="8">
        <v>9</v>
      </c>
      <c r="C525" s="8">
        <v>70</v>
      </c>
      <c r="D525" s="8">
        <v>0</v>
      </c>
      <c r="E525" s="8">
        <v>0</v>
      </c>
      <c r="F525" s="8">
        <v>34.200000000000003</v>
      </c>
      <c r="G525" s="8">
        <v>0.65200000000000002</v>
      </c>
      <c r="H525" s="8">
        <v>45</v>
      </c>
      <c r="I525" s="9">
        <v>130.48863556597331</v>
      </c>
      <c r="J525" s="9">
        <v>-0.48863556597331126</v>
      </c>
      <c r="K525" s="8">
        <f t="shared" si="8"/>
        <v>0.23876471633405821</v>
      </c>
    </row>
    <row r="526" spans="1:11" x14ac:dyDescent="0.35">
      <c r="A526" s="8">
        <v>125</v>
      </c>
      <c r="B526" s="8">
        <v>3</v>
      </c>
      <c r="C526" s="8">
        <v>58</v>
      </c>
      <c r="D526" s="8">
        <v>0</v>
      </c>
      <c r="E526" s="8">
        <v>0</v>
      </c>
      <c r="F526" s="8">
        <v>31.6</v>
      </c>
      <c r="G526" s="8">
        <v>0.151</v>
      </c>
      <c r="H526" s="8">
        <v>24</v>
      </c>
      <c r="I526" s="9">
        <v>110.62910004725798</v>
      </c>
      <c r="J526" s="9">
        <v>14.370899952742022</v>
      </c>
      <c r="K526" s="8">
        <f t="shared" si="8"/>
        <v>206.52276545172066</v>
      </c>
    </row>
    <row r="527" spans="1:11" x14ac:dyDescent="0.35">
      <c r="A527" s="8">
        <v>87</v>
      </c>
      <c r="B527" s="8">
        <v>3</v>
      </c>
      <c r="C527" s="8">
        <v>60</v>
      </c>
      <c r="D527" s="8">
        <v>18</v>
      </c>
      <c r="E527" s="8">
        <v>0</v>
      </c>
      <c r="F527" s="8">
        <v>21.8</v>
      </c>
      <c r="G527" s="8">
        <v>0.44400000000000001</v>
      </c>
      <c r="H527" s="8">
        <v>21</v>
      </c>
      <c r="I527" s="9">
        <v>97.314673560010021</v>
      </c>
      <c r="J527" s="9">
        <v>-10.314673560010021</v>
      </c>
      <c r="K527" s="8">
        <f t="shared" si="8"/>
        <v>106.39249064956981</v>
      </c>
    </row>
    <row r="528" spans="1:11" x14ac:dyDescent="0.35">
      <c r="A528" s="8">
        <v>97</v>
      </c>
      <c r="B528" s="8">
        <v>1</v>
      </c>
      <c r="C528" s="8">
        <v>64</v>
      </c>
      <c r="D528" s="8">
        <v>19</v>
      </c>
      <c r="E528" s="8">
        <v>82</v>
      </c>
      <c r="F528" s="8">
        <v>18.2</v>
      </c>
      <c r="G528" s="8">
        <v>0.29899999999999999</v>
      </c>
      <c r="H528" s="8">
        <v>21</v>
      </c>
      <c r="I528" s="9">
        <v>101.7650560366676</v>
      </c>
      <c r="J528" s="9">
        <v>-4.7650560366676018</v>
      </c>
      <c r="K528" s="8">
        <f t="shared" si="8"/>
        <v>22.705759032582353</v>
      </c>
    </row>
    <row r="529" spans="1:11" x14ac:dyDescent="0.35">
      <c r="A529" s="8">
        <v>116</v>
      </c>
      <c r="B529" s="8">
        <v>3</v>
      </c>
      <c r="C529" s="8">
        <v>74</v>
      </c>
      <c r="D529" s="8">
        <v>15</v>
      </c>
      <c r="E529" s="8">
        <v>105</v>
      </c>
      <c r="F529" s="8">
        <v>26.3</v>
      </c>
      <c r="G529" s="8">
        <v>0.107</v>
      </c>
      <c r="H529" s="8">
        <v>24</v>
      </c>
      <c r="I529" s="9">
        <v>113.03165782963704</v>
      </c>
      <c r="J529" s="9">
        <v>2.9683421703629591</v>
      </c>
      <c r="K529" s="8">
        <f t="shared" si="8"/>
        <v>8.811055240355083</v>
      </c>
    </row>
    <row r="530" spans="1:11" x14ac:dyDescent="0.35">
      <c r="A530" s="8">
        <v>117</v>
      </c>
      <c r="B530" s="8">
        <v>0</v>
      </c>
      <c r="C530" s="8">
        <v>66</v>
      </c>
      <c r="D530" s="8">
        <v>31</v>
      </c>
      <c r="E530" s="8">
        <v>188</v>
      </c>
      <c r="F530" s="8">
        <v>30.8</v>
      </c>
      <c r="G530" s="8">
        <v>0.49299999999999999</v>
      </c>
      <c r="H530" s="8">
        <v>22</v>
      </c>
      <c r="I530" s="9">
        <v>119.81026745081577</v>
      </c>
      <c r="J530" s="9">
        <v>-2.8102674508157719</v>
      </c>
      <c r="K530" s="8">
        <f t="shared" si="8"/>
        <v>7.8976031451145765</v>
      </c>
    </row>
    <row r="531" spans="1:11" x14ac:dyDescent="0.35">
      <c r="A531" s="8">
        <v>111</v>
      </c>
      <c r="B531" s="8">
        <v>0</v>
      </c>
      <c r="C531" s="8">
        <v>65</v>
      </c>
      <c r="D531" s="8">
        <v>0</v>
      </c>
      <c r="E531" s="8">
        <v>0</v>
      </c>
      <c r="F531" s="8">
        <v>24.6</v>
      </c>
      <c r="G531" s="8">
        <v>0.66</v>
      </c>
      <c r="H531" s="8">
        <v>31</v>
      </c>
      <c r="I531" s="9">
        <v>113.42232296165585</v>
      </c>
      <c r="J531" s="9">
        <v>-2.4223229616558513</v>
      </c>
      <c r="K531" s="8">
        <f t="shared" si="8"/>
        <v>5.8676485305651749</v>
      </c>
    </row>
    <row r="532" spans="1:11" x14ac:dyDescent="0.35">
      <c r="A532" s="8">
        <v>122</v>
      </c>
      <c r="B532" s="8">
        <v>2</v>
      </c>
      <c r="C532" s="8">
        <v>60</v>
      </c>
      <c r="D532" s="8">
        <v>18</v>
      </c>
      <c r="E532" s="8">
        <v>106</v>
      </c>
      <c r="F532" s="8">
        <v>29.8</v>
      </c>
      <c r="G532" s="8">
        <v>0.71699999999999997</v>
      </c>
      <c r="H532" s="8">
        <v>22</v>
      </c>
      <c r="I532" s="9">
        <v>116.27843711951374</v>
      </c>
      <c r="J532" s="9">
        <v>5.7215628804862604</v>
      </c>
      <c r="K532" s="8">
        <f t="shared" si="8"/>
        <v>32.736281795358231</v>
      </c>
    </row>
    <row r="533" spans="1:11" x14ac:dyDescent="0.35">
      <c r="A533" s="8">
        <v>107</v>
      </c>
      <c r="B533" s="8">
        <v>0</v>
      </c>
      <c r="C533" s="8">
        <v>76</v>
      </c>
      <c r="D533" s="8">
        <v>0</v>
      </c>
      <c r="E533" s="8">
        <v>0</v>
      </c>
      <c r="F533" s="8">
        <v>45.3</v>
      </c>
      <c r="G533" s="8">
        <v>0.68600000000000005</v>
      </c>
      <c r="H533" s="8">
        <v>24</v>
      </c>
      <c r="I533" s="9">
        <v>125.37117934804434</v>
      </c>
      <c r="J533" s="9">
        <v>-18.371179348044336</v>
      </c>
      <c r="K533" s="8">
        <f t="shared" si="8"/>
        <v>337.50023063801075</v>
      </c>
    </row>
    <row r="534" spans="1:11" x14ac:dyDescent="0.35">
      <c r="A534" s="8">
        <v>86</v>
      </c>
      <c r="B534" s="8">
        <v>1</v>
      </c>
      <c r="C534" s="8">
        <v>66</v>
      </c>
      <c r="D534" s="8">
        <v>52</v>
      </c>
      <c r="E534" s="8">
        <v>65</v>
      </c>
      <c r="F534" s="8">
        <v>41.3</v>
      </c>
      <c r="G534" s="8">
        <v>0.91700000000000004</v>
      </c>
      <c r="H534" s="8">
        <v>29</v>
      </c>
      <c r="I534" s="9">
        <v>115.56409095581871</v>
      </c>
      <c r="J534" s="9">
        <v>-29.564090955818713</v>
      </c>
      <c r="K534" s="8">
        <f t="shared" si="8"/>
        <v>874.03547404392179</v>
      </c>
    </row>
    <row r="535" spans="1:11" x14ac:dyDescent="0.35">
      <c r="A535" s="8">
        <v>91</v>
      </c>
      <c r="B535" s="8">
        <v>6</v>
      </c>
      <c r="C535" s="8">
        <v>0</v>
      </c>
      <c r="D535" s="8">
        <v>0</v>
      </c>
      <c r="E535" s="8">
        <v>0</v>
      </c>
      <c r="F535" s="8">
        <v>29.8</v>
      </c>
      <c r="G535" s="8">
        <v>0.501</v>
      </c>
      <c r="H535" s="8">
        <v>31</v>
      </c>
      <c r="I535" s="9">
        <v>112.12091330684495</v>
      </c>
      <c r="J535" s="9">
        <v>-21.120913306844955</v>
      </c>
      <c r="K535" s="8">
        <f t="shared" si="8"/>
        <v>446.09297891526029</v>
      </c>
    </row>
    <row r="536" spans="1:11" x14ac:dyDescent="0.35">
      <c r="A536" s="8">
        <v>77</v>
      </c>
      <c r="B536" s="8">
        <v>1</v>
      </c>
      <c r="C536" s="8">
        <v>56</v>
      </c>
      <c r="D536" s="8">
        <v>30</v>
      </c>
      <c r="E536" s="8">
        <v>56</v>
      </c>
      <c r="F536" s="8">
        <v>33.299999999999997</v>
      </c>
      <c r="G536" s="8">
        <v>1.2509999999999999</v>
      </c>
      <c r="H536" s="8">
        <v>24</v>
      </c>
      <c r="I536" s="9">
        <v>114.19390399538284</v>
      </c>
      <c r="J536" s="9">
        <v>-37.19390399538284</v>
      </c>
      <c r="K536" s="8">
        <f t="shared" si="8"/>
        <v>1383.3864944177556</v>
      </c>
    </row>
    <row r="537" spans="1:11" x14ac:dyDescent="0.35">
      <c r="A537" s="8">
        <v>132</v>
      </c>
      <c r="B537" s="8">
        <v>4</v>
      </c>
      <c r="C537" s="8">
        <v>0</v>
      </c>
      <c r="D537" s="8">
        <v>0</v>
      </c>
      <c r="E537" s="8">
        <v>0</v>
      </c>
      <c r="F537" s="8">
        <v>32.9</v>
      </c>
      <c r="G537" s="8">
        <v>0.30199999999999999</v>
      </c>
      <c r="H537" s="8">
        <v>23</v>
      </c>
      <c r="I537" s="9">
        <v>107.90998722902725</v>
      </c>
      <c r="J537" s="9">
        <v>24.090012770972749</v>
      </c>
      <c r="K537" s="8">
        <f t="shared" si="8"/>
        <v>580.32871530563011</v>
      </c>
    </row>
    <row r="538" spans="1:11" x14ac:dyDescent="0.35">
      <c r="A538" s="8">
        <v>105</v>
      </c>
      <c r="B538" s="8">
        <v>0</v>
      </c>
      <c r="C538" s="8">
        <v>90</v>
      </c>
      <c r="D538" s="8">
        <v>0</v>
      </c>
      <c r="E538" s="8">
        <v>0</v>
      </c>
      <c r="F538" s="8">
        <v>29.6</v>
      </c>
      <c r="G538" s="8">
        <v>0.19700000000000001</v>
      </c>
      <c r="H538" s="8">
        <v>46</v>
      </c>
      <c r="I538" s="9">
        <v>125.67909968346157</v>
      </c>
      <c r="J538" s="9">
        <v>-20.679099683461573</v>
      </c>
      <c r="K538" s="8">
        <f t="shared" si="8"/>
        <v>427.62516371854053</v>
      </c>
    </row>
    <row r="539" spans="1:11" x14ac:dyDescent="0.35">
      <c r="A539" s="8">
        <v>57</v>
      </c>
      <c r="B539" s="8">
        <v>0</v>
      </c>
      <c r="C539" s="8">
        <v>60</v>
      </c>
      <c r="D539" s="8">
        <v>0</v>
      </c>
      <c r="E539" s="8">
        <v>0</v>
      </c>
      <c r="F539" s="8">
        <v>21.7</v>
      </c>
      <c r="G539" s="8">
        <v>0.73499999999999999</v>
      </c>
      <c r="H539" s="8">
        <v>67</v>
      </c>
      <c r="I539" s="9">
        <v>134.59939744359829</v>
      </c>
      <c r="J539" s="9">
        <v>-77.599397443598292</v>
      </c>
      <c r="K539" s="8">
        <f t="shared" si="8"/>
        <v>6021.6664836095288</v>
      </c>
    </row>
    <row r="540" spans="1:11" x14ac:dyDescent="0.35">
      <c r="A540" s="8">
        <v>127</v>
      </c>
      <c r="B540" s="8">
        <v>0</v>
      </c>
      <c r="C540" s="8">
        <v>80</v>
      </c>
      <c r="D540" s="8">
        <v>37</v>
      </c>
      <c r="E540" s="8">
        <v>210</v>
      </c>
      <c r="F540" s="8">
        <v>36.299999999999997</v>
      </c>
      <c r="G540" s="8">
        <v>0.80400000000000005</v>
      </c>
      <c r="H540" s="8">
        <v>23</v>
      </c>
      <c r="I540" s="9">
        <v>127.73199100234102</v>
      </c>
      <c r="J540" s="9">
        <v>-0.73199100234101877</v>
      </c>
      <c r="K540" s="8">
        <f t="shared" si="8"/>
        <v>0.5358108275082093</v>
      </c>
    </row>
    <row r="541" spans="1:11" x14ac:dyDescent="0.35">
      <c r="A541" s="8">
        <v>129</v>
      </c>
      <c r="B541" s="8">
        <v>3</v>
      </c>
      <c r="C541" s="8">
        <v>92</v>
      </c>
      <c r="D541" s="8">
        <v>49</v>
      </c>
      <c r="E541" s="8">
        <v>155</v>
      </c>
      <c r="F541" s="8">
        <v>36.4</v>
      </c>
      <c r="G541" s="8">
        <v>0.96799999999999997</v>
      </c>
      <c r="H541" s="8">
        <v>32</v>
      </c>
      <c r="I541" s="9">
        <v>126.1300477641885</v>
      </c>
      <c r="J541" s="9">
        <v>2.8699522358114962</v>
      </c>
      <c r="K541" s="8">
        <f t="shared" si="8"/>
        <v>8.2366258358394049</v>
      </c>
    </row>
    <row r="542" spans="1:11" x14ac:dyDescent="0.35">
      <c r="A542" s="8">
        <v>100</v>
      </c>
      <c r="B542" s="8">
        <v>8</v>
      </c>
      <c r="C542" s="8">
        <v>74</v>
      </c>
      <c r="D542" s="8">
        <v>40</v>
      </c>
      <c r="E542" s="8">
        <v>215</v>
      </c>
      <c r="F542" s="8">
        <v>39.4</v>
      </c>
      <c r="G542" s="8">
        <v>0.66100000000000003</v>
      </c>
      <c r="H542" s="8">
        <v>43</v>
      </c>
      <c r="I542" s="9">
        <v>141.61063204145529</v>
      </c>
      <c r="J542" s="9">
        <v>-41.61063204145529</v>
      </c>
      <c r="K542" s="8">
        <f t="shared" si="8"/>
        <v>1731.4446988893856</v>
      </c>
    </row>
    <row r="543" spans="1:11" x14ac:dyDescent="0.35">
      <c r="A543" s="8">
        <v>128</v>
      </c>
      <c r="B543" s="8">
        <v>3</v>
      </c>
      <c r="C543" s="8">
        <v>72</v>
      </c>
      <c r="D543" s="8">
        <v>25</v>
      </c>
      <c r="E543" s="8">
        <v>190</v>
      </c>
      <c r="F543" s="8">
        <v>32.4</v>
      </c>
      <c r="G543" s="8">
        <v>0.54900000000000004</v>
      </c>
      <c r="H543" s="8">
        <v>27</v>
      </c>
      <c r="I543" s="9">
        <v>127.39413377100306</v>
      </c>
      <c r="J543" s="9">
        <v>0.60586622899694476</v>
      </c>
      <c r="K543" s="8">
        <f t="shared" si="8"/>
        <v>0.36707388743897829</v>
      </c>
    </row>
    <row r="544" spans="1:11" x14ac:dyDescent="0.35">
      <c r="A544" s="8">
        <v>90</v>
      </c>
      <c r="B544" s="8">
        <v>10</v>
      </c>
      <c r="C544" s="8">
        <v>85</v>
      </c>
      <c r="D544" s="8">
        <v>32</v>
      </c>
      <c r="E544" s="8">
        <v>0</v>
      </c>
      <c r="F544" s="8">
        <v>34.9</v>
      </c>
      <c r="G544" s="8">
        <v>0.82499999999999996</v>
      </c>
      <c r="H544" s="8">
        <v>56</v>
      </c>
      <c r="I544" s="9">
        <v>129.61784797150924</v>
      </c>
      <c r="J544" s="9">
        <v>-39.617847971509235</v>
      </c>
      <c r="K544" s="8">
        <f t="shared" si="8"/>
        <v>1569.5738778936184</v>
      </c>
    </row>
    <row r="545" spans="1:11" x14ac:dyDescent="0.35">
      <c r="A545" s="8">
        <v>84</v>
      </c>
      <c r="B545" s="8">
        <v>4</v>
      </c>
      <c r="C545" s="8">
        <v>90</v>
      </c>
      <c r="D545" s="8">
        <v>23</v>
      </c>
      <c r="E545" s="8">
        <v>56</v>
      </c>
      <c r="F545" s="8">
        <v>39.5</v>
      </c>
      <c r="G545" s="8">
        <v>0.159</v>
      </c>
      <c r="H545" s="8">
        <v>25</v>
      </c>
      <c r="I545" s="9">
        <v>117.4912454633301</v>
      </c>
      <c r="J545" s="9">
        <v>-33.491245463330102</v>
      </c>
      <c r="K545" s="8">
        <f t="shared" si="8"/>
        <v>1121.6635226850292</v>
      </c>
    </row>
    <row r="546" spans="1:11" x14ac:dyDescent="0.35">
      <c r="A546" s="8">
        <v>88</v>
      </c>
      <c r="B546" s="8">
        <v>1</v>
      </c>
      <c r="C546" s="8">
        <v>78</v>
      </c>
      <c r="D546" s="8">
        <v>29</v>
      </c>
      <c r="E546" s="8">
        <v>76</v>
      </c>
      <c r="F546" s="8">
        <v>32</v>
      </c>
      <c r="G546" s="8">
        <v>0.36499999999999999</v>
      </c>
      <c r="H546" s="8">
        <v>29</v>
      </c>
      <c r="I546" s="9">
        <v>114.73317192547221</v>
      </c>
      <c r="J546" s="9">
        <v>-26.733171925472206</v>
      </c>
      <c r="K546" s="8">
        <f t="shared" si="8"/>
        <v>714.66248119685531</v>
      </c>
    </row>
    <row r="547" spans="1:11" x14ac:dyDescent="0.35">
      <c r="A547" s="8">
        <v>186</v>
      </c>
      <c r="B547" s="8">
        <v>8</v>
      </c>
      <c r="C547" s="8">
        <v>90</v>
      </c>
      <c r="D547" s="8">
        <v>35</v>
      </c>
      <c r="E547" s="8">
        <v>225</v>
      </c>
      <c r="F547" s="8">
        <v>34.5</v>
      </c>
      <c r="G547" s="8">
        <v>0.42299999999999999</v>
      </c>
      <c r="H547" s="8">
        <v>37</v>
      </c>
      <c r="I547" s="9">
        <v>136.35591557414091</v>
      </c>
      <c r="J547" s="9">
        <v>49.644084425859091</v>
      </c>
      <c r="K547" s="8">
        <f t="shared" si="8"/>
        <v>2464.5351184818251</v>
      </c>
    </row>
    <row r="548" spans="1:11" x14ac:dyDescent="0.35">
      <c r="A548" s="8">
        <v>187</v>
      </c>
      <c r="B548" s="8">
        <v>5</v>
      </c>
      <c r="C548" s="8">
        <v>76</v>
      </c>
      <c r="D548" s="8">
        <v>27</v>
      </c>
      <c r="E548" s="8">
        <v>207</v>
      </c>
      <c r="F548" s="8">
        <v>43.6</v>
      </c>
      <c r="G548" s="8">
        <v>1.034</v>
      </c>
      <c r="H548" s="8">
        <v>53</v>
      </c>
      <c r="I548" s="9">
        <v>157.07517192702474</v>
      </c>
      <c r="J548" s="9">
        <v>29.924828072975259</v>
      </c>
      <c r="K548" s="8">
        <f t="shared" si="8"/>
        <v>895.49533519712816</v>
      </c>
    </row>
    <row r="549" spans="1:11" x14ac:dyDescent="0.35">
      <c r="A549" s="8">
        <v>131</v>
      </c>
      <c r="B549" s="8">
        <v>4</v>
      </c>
      <c r="C549" s="8">
        <v>68</v>
      </c>
      <c r="D549" s="8">
        <v>21</v>
      </c>
      <c r="E549" s="8">
        <v>166</v>
      </c>
      <c r="F549" s="8">
        <v>33.1</v>
      </c>
      <c r="G549" s="8">
        <v>0.16</v>
      </c>
      <c r="H549" s="8">
        <v>28</v>
      </c>
      <c r="I549" s="9">
        <v>124.81187408904351</v>
      </c>
      <c r="J549" s="9">
        <v>6.1881259109564866</v>
      </c>
      <c r="K549" s="8">
        <f t="shared" si="8"/>
        <v>38.29290228985105</v>
      </c>
    </row>
    <row r="550" spans="1:11" x14ac:dyDescent="0.35">
      <c r="A550" s="8">
        <v>164</v>
      </c>
      <c r="B550" s="8">
        <v>1</v>
      </c>
      <c r="C550" s="8">
        <v>82</v>
      </c>
      <c r="D550" s="8">
        <v>43</v>
      </c>
      <c r="E550" s="8">
        <v>67</v>
      </c>
      <c r="F550" s="8">
        <v>32.799999999999997</v>
      </c>
      <c r="G550" s="8">
        <v>0.34100000000000003</v>
      </c>
      <c r="H550" s="8">
        <v>50</v>
      </c>
      <c r="I550" s="9">
        <v>123.42862274604386</v>
      </c>
      <c r="J550" s="9">
        <v>40.571377253956143</v>
      </c>
      <c r="K550" s="8">
        <f t="shared" si="8"/>
        <v>1646.0366522828299</v>
      </c>
    </row>
    <row r="551" spans="1:11" x14ac:dyDescent="0.35">
      <c r="A551" s="8">
        <v>189</v>
      </c>
      <c r="B551" s="8">
        <v>4</v>
      </c>
      <c r="C551" s="8">
        <v>110</v>
      </c>
      <c r="D551" s="8">
        <v>31</v>
      </c>
      <c r="E551" s="8">
        <v>0</v>
      </c>
      <c r="F551" s="8">
        <v>28.5</v>
      </c>
      <c r="G551" s="8">
        <v>0.68</v>
      </c>
      <c r="H551" s="8">
        <v>37</v>
      </c>
      <c r="I551" s="9">
        <v>113.37175770802023</v>
      </c>
      <c r="J551" s="9">
        <v>75.628242291979774</v>
      </c>
      <c r="K551" s="8">
        <f t="shared" si="8"/>
        <v>5719.6310321743977</v>
      </c>
    </row>
    <row r="552" spans="1:11" x14ac:dyDescent="0.35">
      <c r="A552" s="8">
        <v>116</v>
      </c>
      <c r="B552" s="8">
        <v>1</v>
      </c>
      <c r="C552" s="8">
        <v>70</v>
      </c>
      <c r="D552" s="8">
        <v>28</v>
      </c>
      <c r="E552" s="8">
        <v>0</v>
      </c>
      <c r="F552" s="8">
        <v>27.4</v>
      </c>
      <c r="G552" s="8">
        <v>0.20399999999999999</v>
      </c>
      <c r="H552" s="8">
        <v>21</v>
      </c>
      <c r="I552" s="9">
        <v>97.240437474713133</v>
      </c>
      <c r="J552" s="9">
        <v>18.759562525286867</v>
      </c>
      <c r="K552" s="8">
        <f t="shared" si="8"/>
        <v>351.92118614014737</v>
      </c>
    </row>
    <row r="553" spans="1:11" x14ac:dyDescent="0.35">
      <c r="A553" s="8">
        <v>84</v>
      </c>
      <c r="B553" s="8">
        <v>3</v>
      </c>
      <c r="C553" s="8">
        <v>68</v>
      </c>
      <c r="D553" s="8">
        <v>30</v>
      </c>
      <c r="E553" s="8">
        <v>106</v>
      </c>
      <c r="F553" s="8">
        <v>31.9</v>
      </c>
      <c r="G553" s="8">
        <v>0.59099999999999997</v>
      </c>
      <c r="H553" s="8">
        <v>25</v>
      </c>
      <c r="I553" s="9">
        <v>115.60217472564341</v>
      </c>
      <c r="J553" s="9">
        <v>-31.602174725643408</v>
      </c>
      <c r="K553" s="8">
        <f t="shared" si="8"/>
        <v>998.69744739009502</v>
      </c>
    </row>
    <row r="554" spans="1:11" x14ac:dyDescent="0.35">
      <c r="A554" s="8">
        <v>114</v>
      </c>
      <c r="B554" s="8">
        <v>6</v>
      </c>
      <c r="C554" s="8">
        <v>88</v>
      </c>
      <c r="D554" s="8">
        <v>0</v>
      </c>
      <c r="E554" s="8">
        <v>0</v>
      </c>
      <c r="F554" s="8">
        <v>27.8</v>
      </c>
      <c r="G554" s="8">
        <v>0.247</v>
      </c>
      <c r="H554" s="8">
        <v>66</v>
      </c>
      <c r="I554" s="9">
        <v>137.76299466154751</v>
      </c>
      <c r="J554" s="9">
        <v>-23.762994661547509</v>
      </c>
      <c r="K554" s="8">
        <f t="shared" si="8"/>
        <v>564.67991528473544</v>
      </c>
    </row>
    <row r="555" spans="1:11" x14ac:dyDescent="0.35">
      <c r="A555" s="8">
        <v>88</v>
      </c>
      <c r="B555" s="8">
        <v>1</v>
      </c>
      <c r="C555" s="8">
        <v>62</v>
      </c>
      <c r="D555" s="8">
        <v>24</v>
      </c>
      <c r="E555" s="8">
        <v>44</v>
      </c>
      <c r="F555" s="8">
        <v>29.9</v>
      </c>
      <c r="G555" s="8">
        <v>0.42199999999999999</v>
      </c>
      <c r="H555" s="8">
        <v>23</v>
      </c>
      <c r="I555" s="9">
        <v>106.9814253524881</v>
      </c>
      <c r="J555" s="9">
        <v>-18.981425352488102</v>
      </c>
      <c r="K555" s="8">
        <f t="shared" si="8"/>
        <v>360.29450841207807</v>
      </c>
    </row>
    <row r="556" spans="1:11" x14ac:dyDescent="0.35">
      <c r="A556" s="8">
        <v>84</v>
      </c>
      <c r="B556" s="8">
        <v>1</v>
      </c>
      <c r="C556" s="8">
        <v>64</v>
      </c>
      <c r="D556" s="8">
        <v>23</v>
      </c>
      <c r="E556" s="8">
        <v>115</v>
      </c>
      <c r="F556" s="8">
        <v>36.9</v>
      </c>
      <c r="G556" s="8">
        <v>0.47099999999999997</v>
      </c>
      <c r="H556" s="8">
        <v>28</v>
      </c>
      <c r="I556" s="9">
        <v>123.37757523645286</v>
      </c>
      <c r="J556" s="9">
        <v>-39.377575236452856</v>
      </c>
      <c r="K556" s="8">
        <f t="shared" si="8"/>
        <v>1550.5934315025052</v>
      </c>
    </row>
    <row r="557" spans="1:11" x14ac:dyDescent="0.35">
      <c r="A557" s="8">
        <v>124</v>
      </c>
      <c r="B557" s="8">
        <v>7</v>
      </c>
      <c r="C557" s="8">
        <v>70</v>
      </c>
      <c r="D557" s="8">
        <v>33</v>
      </c>
      <c r="E557" s="8">
        <v>215</v>
      </c>
      <c r="F557" s="8">
        <v>25.5</v>
      </c>
      <c r="G557" s="8">
        <v>0.161</v>
      </c>
      <c r="H557" s="8">
        <v>37</v>
      </c>
      <c r="I557" s="9">
        <v>126.1525552030691</v>
      </c>
      <c r="J557" s="9">
        <v>-2.1525552030690989</v>
      </c>
      <c r="K557" s="8">
        <f t="shared" si="8"/>
        <v>4.6334939022598496</v>
      </c>
    </row>
    <row r="558" spans="1:11" x14ac:dyDescent="0.35">
      <c r="A558" s="8">
        <v>97</v>
      </c>
      <c r="B558" s="8">
        <v>1</v>
      </c>
      <c r="C558" s="8">
        <v>70</v>
      </c>
      <c r="D558" s="8">
        <v>40</v>
      </c>
      <c r="E558" s="8">
        <v>0</v>
      </c>
      <c r="F558" s="8">
        <v>38.1</v>
      </c>
      <c r="G558" s="8">
        <v>0.218</v>
      </c>
      <c r="H558" s="8">
        <v>30</v>
      </c>
      <c r="I558" s="9">
        <v>107.15337052217045</v>
      </c>
      <c r="J558" s="9">
        <v>-10.153370522170448</v>
      </c>
      <c r="K558" s="8">
        <f t="shared" si="8"/>
        <v>103.09093296047979</v>
      </c>
    </row>
    <row r="559" spans="1:11" x14ac:dyDescent="0.35">
      <c r="A559" s="8">
        <v>110</v>
      </c>
      <c r="B559" s="8">
        <v>8</v>
      </c>
      <c r="C559" s="8">
        <v>76</v>
      </c>
      <c r="D559" s="8">
        <v>0</v>
      </c>
      <c r="E559" s="8">
        <v>0</v>
      </c>
      <c r="F559" s="8">
        <v>27.8</v>
      </c>
      <c r="G559" s="8">
        <v>0.23699999999999999</v>
      </c>
      <c r="H559" s="8">
        <v>58</v>
      </c>
      <c r="I559" s="9">
        <v>131.81517956995589</v>
      </c>
      <c r="J559" s="9">
        <v>-21.815179569955887</v>
      </c>
      <c r="K559" s="8">
        <f t="shared" si="8"/>
        <v>475.90205966942074</v>
      </c>
    </row>
    <row r="560" spans="1:11" x14ac:dyDescent="0.35">
      <c r="A560" s="8">
        <v>103</v>
      </c>
      <c r="B560" s="8">
        <v>11</v>
      </c>
      <c r="C560" s="8">
        <v>68</v>
      </c>
      <c r="D560" s="8">
        <v>40</v>
      </c>
      <c r="E560" s="8">
        <v>0</v>
      </c>
      <c r="F560" s="8">
        <v>46.2</v>
      </c>
      <c r="G560" s="8">
        <v>0.126</v>
      </c>
      <c r="H560" s="8">
        <v>42</v>
      </c>
      <c r="I560" s="9">
        <v>120.84183861810807</v>
      </c>
      <c r="J560" s="9">
        <v>-17.841838618108071</v>
      </c>
      <c r="K560" s="8">
        <f t="shared" si="8"/>
        <v>318.3312052746125</v>
      </c>
    </row>
    <row r="561" spans="1:11" x14ac:dyDescent="0.35">
      <c r="A561" s="8">
        <v>85</v>
      </c>
      <c r="B561" s="8">
        <v>11</v>
      </c>
      <c r="C561" s="8">
        <v>74</v>
      </c>
      <c r="D561" s="8">
        <v>0</v>
      </c>
      <c r="E561" s="8">
        <v>0</v>
      </c>
      <c r="F561" s="8">
        <v>30.1</v>
      </c>
      <c r="G561" s="8">
        <v>0.3</v>
      </c>
      <c r="H561" s="8">
        <v>35</v>
      </c>
      <c r="I561" s="9">
        <v>119.13446106393518</v>
      </c>
      <c r="J561" s="9">
        <v>-34.134461063935177</v>
      </c>
      <c r="K561" s="8">
        <f t="shared" si="8"/>
        <v>1165.1614321253066</v>
      </c>
    </row>
    <row r="562" spans="1:11" x14ac:dyDescent="0.35">
      <c r="A562" s="8">
        <v>125</v>
      </c>
      <c r="B562" s="8">
        <v>6</v>
      </c>
      <c r="C562" s="8">
        <v>76</v>
      </c>
      <c r="D562" s="8">
        <v>0</v>
      </c>
      <c r="E562" s="8">
        <v>0</v>
      </c>
      <c r="F562" s="8">
        <v>33.799999999999997</v>
      </c>
      <c r="G562" s="8">
        <v>0.121</v>
      </c>
      <c r="H562" s="8">
        <v>54</v>
      </c>
      <c r="I562" s="9">
        <v>132.88539734847205</v>
      </c>
      <c r="J562" s="9">
        <v>-7.8853973484720541</v>
      </c>
      <c r="K562" s="8">
        <f t="shared" si="8"/>
        <v>62.179491343290103</v>
      </c>
    </row>
    <row r="563" spans="1:11" x14ac:dyDescent="0.35">
      <c r="A563" s="8">
        <v>198</v>
      </c>
      <c r="B563" s="8">
        <v>0</v>
      </c>
      <c r="C563" s="8">
        <v>66</v>
      </c>
      <c r="D563" s="8">
        <v>32</v>
      </c>
      <c r="E563" s="8">
        <v>274</v>
      </c>
      <c r="F563" s="8">
        <v>41.3</v>
      </c>
      <c r="G563" s="8">
        <v>0.502</v>
      </c>
      <c r="H563" s="8">
        <v>28</v>
      </c>
      <c r="I563" s="9">
        <v>139.92367307377492</v>
      </c>
      <c r="J563" s="9">
        <v>58.076326926225079</v>
      </c>
      <c r="K563" s="8">
        <f t="shared" si="8"/>
        <v>3372.8597492417762</v>
      </c>
    </row>
    <row r="564" spans="1:11" x14ac:dyDescent="0.35">
      <c r="A564" s="8">
        <v>87</v>
      </c>
      <c r="B564" s="8">
        <v>1</v>
      </c>
      <c r="C564" s="8">
        <v>68</v>
      </c>
      <c r="D564" s="8">
        <v>34</v>
      </c>
      <c r="E564" s="8">
        <v>77</v>
      </c>
      <c r="F564" s="8">
        <v>37.6</v>
      </c>
      <c r="G564" s="8">
        <v>0.40100000000000002</v>
      </c>
      <c r="H564" s="8">
        <v>24</v>
      </c>
      <c r="I564" s="9">
        <v>113.66480949034487</v>
      </c>
      <c r="J564" s="9">
        <v>-26.664809490344865</v>
      </c>
      <c r="K564" s="8">
        <f t="shared" si="8"/>
        <v>711.01206515638557</v>
      </c>
    </row>
    <row r="565" spans="1:11" x14ac:dyDescent="0.35">
      <c r="A565" s="8">
        <v>99</v>
      </c>
      <c r="B565" s="8">
        <v>6</v>
      </c>
      <c r="C565" s="8">
        <v>60</v>
      </c>
      <c r="D565" s="8">
        <v>19</v>
      </c>
      <c r="E565" s="8">
        <v>54</v>
      </c>
      <c r="F565" s="8">
        <v>26.9</v>
      </c>
      <c r="G565" s="8">
        <v>0.497</v>
      </c>
      <c r="H565" s="8">
        <v>32</v>
      </c>
      <c r="I565" s="9">
        <v>113.84212773718761</v>
      </c>
      <c r="J565" s="9">
        <v>-14.84212773718761</v>
      </c>
      <c r="K565" s="8">
        <f t="shared" si="8"/>
        <v>220.2887557669938</v>
      </c>
    </row>
    <row r="566" spans="1:11" x14ac:dyDescent="0.35">
      <c r="A566" s="8">
        <v>91</v>
      </c>
      <c r="B566" s="8">
        <v>0</v>
      </c>
      <c r="C566" s="8">
        <v>80</v>
      </c>
      <c r="D566" s="8">
        <v>0</v>
      </c>
      <c r="E566" s="8">
        <v>0</v>
      </c>
      <c r="F566" s="8">
        <v>32.4</v>
      </c>
      <c r="G566" s="8">
        <v>0.60099999999999998</v>
      </c>
      <c r="H566" s="8">
        <v>27</v>
      </c>
      <c r="I566" s="9">
        <v>117.37141160090751</v>
      </c>
      <c r="J566" s="9">
        <v>-26.371411600907507</v>
      </c>
      <c r="K566" s="8">
        <f t="shared" si="8"/>
        <v>695.45134982447905</v>
      </c>
    </row>
    <row r="567" spans="1:11" x14ac:dyDescent="0.35">
      <c r="A567" s="8">
        <v>95</v>
      </c>
      <c r="B567" s="8">
        <v>2</v>
      </c>
      <c r="C567" s="8">
        <v>54</v>
      </c>
      <c r="D567" s="8">
        <v>14</v>
      </c>
      <c r="E567" s="8">
        <v>88</v>
      </c>
      <c r="F567" s="8">
        <v>26.1</v>
      </c>
      <c r="G567" s="8">
        <v>0.748</v>
      </c>
      <c r="H567" s="8">
        <v>22</v>
      </c>
      <c r="I567" s="9">
        <v>112.80633724575425</v>
      </c>
      <c r="J567" s="9">
        <v>-17.80633724575425</v>
      </c>
      <c r="K567" s="8">
        <f t="shared" si="8"/>
        <v>317.06564610953507</v>
      </c>
    </row>
    <row r="568" spans="1:11" x14ac:dyDescent="0.35">
      <c r="A568" s="8">
        <v>99</v>
      </c>
      <c r="B568" s="8">
        <v>1</v>
      </c>
      <c r="C568" s="8">
        <v>72</v>
      </c>
      <c r="D568" s="8">
        <v>30</v>
      </c>
      <c r="E568" s="8">
        <v>18</v>
      </c>
      <c r="F568" s="8">
        <v>38.6</v>
      </c>
      <c r="G568" s="8">
        <v>0.41199999999999998</v>
      </c>
      <c r="H568" s="8">
        <v>21</v>
      </c>
      <c r="I568" s="9">
        <v>108.23769554267058</v>
      </c>
      <c r="J568" s="9">
        <v>-9.2376955426705791</v>
      </c>
      <c r="K568" s="8">
        <f t="shared" si="8"/>
        <v>85.33501893907588</v>
      </c>
    </row>
    <row r="569" spans="1:11" x14ac:dyDescent="0.35">
      <c r="A569" s="8">
        <v>92</v>
      </c>
      <c r="B569" s="8">
        <v>6</v>
      </c>
      <c r="C569" s="8">
        <v>62</v>
      </c>
      <c r="D569" s="8">
        <v>32</v>
      </c>
      <c r="E569" s="8">
        <v>126</v>
      </c>
      <c r="F569" s="8">
        <v>32</v>
      </c>
      <c r="G569" s="8">
        <v>8.5000000000000006E-2</v>
      </c>
      <c r="H569" s="8">
        <v>46</v>
      </c>
      <c r="I569" s="9">
        <v>127.12926454444377</v>
      </c>
      <c r="J569" s="9">
        <v>-35.129264544443771</v>
      </c>
      <c r="K569" s="8">
        <f t="shared" si="8"/>
        <v>1234.0652274335143</v>
      </c>
    </row>
    <row r="570" spans="1:11" x14ac:dyDescent="0.35">
      <c r="A570" s="8">
        <v>154</v>
      </c>
      <c r="B570" s="8">
        <v>4</v>
      </c>
      <c r="C570" s="8">
        <v>72</v>
      </c>
      <c r="D570" s="8">
        <v>29</v>
      </c>
      <c r="E570" s="8">
        <v>126</v>
      </c>
      <c r="F570" s="8">
        <v>31.3</v>
      </c>
      <c r="G570" s="8">
        <v>0.33800000000000002</v>
      </c>
      <c r="H570" s="8">
        <v>37</v>
      </c>
      <c r="I570" s="9">
        <v>123.97997571158484</v>
      </c>
      <c r="J570" s="9">
        <v>30.020024288415158</v>
      </c>
      <c r="K570" s="8">
        <f t="shared" si="8"/>
        <v>901.20185827703597</v>
      </c>
    </row>
    <row r="571" spans="1:11" x14ac:dyDescent="0.35">
      <c r="A571" s="8">
        <v>121</v>
      </c>
      <c r="B571" s="8">
        <v>0</v>
      </c>
      <c r="C571" s="8">
        <v>66</v>
      </c>
      <c r="D571" s="8">
        <v>30</v>
      </c>
      <c r="E571" s="8">
        <v>165</v>
      </c>
      <c r="F571" s="8">
        <v>34.299999999999997</v>
      </c>
      <c r="G571" s="8">
        <v>0.20300000000000001</v>
      </c>
      <c r="H571" s="8">
        <v>33</v>
      </c>
      <c r="I571" s="9">
        <v>125.72569489653571</v>
      </c>
      <c r="J571" s="9">
        <v>-4.725694896535714</v>
      </c>
      <c r="K571" s="8">
        <f t="shared" si="8"/>
        <v>22.332192255143692</v>
      </c>
    </row>
    <row r="572" spans="1:11" x14ac:dyDescent="0.35">
      <c r="A572" s="8">
        <v>78</v>
      </c>
      <c r="B572" s="8">
        <v>3</v>
      </c>
      <c r="C572" s="8">
        <v>70</v>
      </c>
      <c r="D572" s="8">
        <v>0</v>
      </c>
      <c r="E572" s="8">
        <v>0</v>
      </c>
      <c r="F572" s="8">
        <v>32.5</v>
      </c>
      <c r="G572" s="8">
        <v>0.27</v>
      </c>
      <c r="H572" s="8">
        <v>39</v>
      </c>
      <c r="I572" s="9">
        <v>122.57529700041417</v>
      </c>
      <c r="J572" s="9">
        <v>-44.575297000414167</v>
      </c>
      <c r="K572" s="8">
        <f t="shared" si="8"/>
        <v>1986.9571026751323</v>
      </c>
    </row>
    <row r="573" spans="1:11" x14ac:dyDescent="0.35">
      <c r="A573" s="8">
        <v>130</v>
      </c>
      <c r="B573" s="8">
        <v>2</v>
      </c>
      <c r="C573" s="8">
        <v>96</v>
      </c>
      <c r="D573" s="8">
        <v>0</v>
      </c>
      <c r="E573" s="8">
        <v>0</v>
      </c>
      <c r="F573" s="8">
        <v>22.6</v>
      </c>
      <c r="G573" s="8">
        <v>0.26800000000000002</v>
      </c>
      <c r="H573" s="8">
        <v>21</v>
      </c>
      <c r="I573" s="9">
        <v>105.2820016037366</v>
      </c>
      <c r="J573" s="9">
        <v>24.717998396263397</v>
      </c>
      <c r="K573" s="8">
        <f t="shared" si="8"/>
        <v>610.97944471767983</v>
      </c>
    </row>
    <row r="574" spans="1:11" x14ac:dyDescent="0.35">
      <c r="A574" s="8">
        <v>111</v>
      </c>
      <c r="B574" s="8">
        <v>3</v>
      </c>
      <c r="C574" s="8">
        <v>58</v>
      </c>
      <c r="D574" s="8">
        <v>31</v>
      </c>
      <c r="E574" s="8">
        <v>44</v>
      </c>
      <c r="F574" s="8">
        <v>29.5</v>
      </c>
      <c r="G574" s="8">
        <v>0.43</v>
      </c>
      <c r="H574" s="8">
        <v>22</v>
      </c>
      <c r="I574" s="9">
        <v>103.58452590772178</v>
      </c>
      <c r="J574" s="9">
        <v>7.4154740922782167</v>
      </c>
      <c r="K574" s="8">
        <f t="shared" si="8"/>
        <v>54.989256013249445</v>
      </c>
    </row>
    <row r="575" spans="1:11" x14ac:dyDescent="0.35">
      <c r="A575" s="8">
        <v>98</v>
      </c>
      <c r="B575" s="8">
        <v>2</v>
      </c>
      <c r="C575" s="8">
        <v>60</v>
      </c>
      <c r="D575" s="8">
        <v>17</v>
      </c>
      <c r="E575" s="8">
        <v>120</v>
      </c>
      <c r="F575" s="8">
        <v>34.700000000000003</v>
      </c>
      <c r="G575" s="8">
        <v>0.19800000000000001</v>
      </c>
      <c r="H575" s="8">
        <v>22</v>
      </c>
      <c r="I575" s="9">
        <v>118.41769855937679</v>
      </c>
      <c r="J575" s="9">
        <v>-20.417698559376788</v>
      </c>
      <c r="K575" s="8">
        <f t="shared" si="8"/>
        <v>416.88241446157696</v>
      </c>
    </row>
    <row r="576" spans="1:11" x14ac:dyDescent="0.35">
      <c r="A576" s="8">
        <v>143</v>
      </c>
      <c r="B576" s="8">
        <v>1</v>
      </c>
      <c r="C576" s="8">
        <v>86</v>
      </c>
      <c r="D576" s="8">
        <v>30</v>
      </c>
      <c r="E576" s="8">
        <v>330</v>
      </c>
      <c r="F576" s="8">
        <v>30.1</v>
      </c>
      <c r="G576" s="8">
        <v>0.89200000000000002</v>
      </c>
      <c r="H576" s="8">
        <v>23</v>
      </c>
      <c r="I576" s="9">
        <v>138.5122702577612</v>
      </c>
      <c r="J576" s="9">
        <v>4.4877297422387983</v>
      </c>
      <c r="K576" s="8">
        <f t="shared" si="8"/>
        <v>20.139718239374712</v>
      </c>
    </row>
    <row r="577" spans="1:11" x14ac:dyDescent="0.35">
      <c r="A577" s="8">
        <v>119</v>
      </c>
      <c r="B577" s="8">
        <v>1</v>
      </c>
      <c r="C577" s="8">
        <v>44</v>
      </c>
      <c r="D577" s="8">
        <v>47</v>
      </c>
      <c r="E577" s="8">
        <v>63</v>
      </c>
      <c r="F577" s="8">
        <v>35.5</v>
      </c>
      <c r="G577" s="8">
        <v>0.28000000000000003</v>
      </c>
      <c r="H577" s="8">
        <v>25</v>
      </c>
      <c r="I577" s="9">
        <v>104.53746207435711</v>
      </c>
      <c r="J577" s="9">
        <v>14.462537925642891</v>
      </c>
      <c r="K577" s="8">
        <f t="shared" si="8"/>
        <v>209.165003250659</v>
      </c>
    </row>
    <row r="578" spans="1:11" x14ac:dyDescent="0.35">
      <c r="A578" s="8">
        <v>108</v>
      </c>
      <c r="B578" s="8">
        <v>6</v>
      </c>
      <c r="C578" s="8">
        <v>44</v>
      </c>
      <c r="D578" s="8">
        <v>20</v>
      </c>
      <c r="E578" s="8">
        <v>130</v>
      </c>
      <c r="F578" s="8">
        <v>24</v>
      </c>
      <c r="G578" s="8">
        <v>0.81299999999999994</v>
      </c>
      <c r="H578" s="8">
        <v>35</v>
      </c>
      <c r="I578" s="9">
        <v>121.77958293061644</v>
      </c>
      <c r="J578" s="9">
        <v>-13.779582930616442</v>
      </c>
      <c r="K578" s="8">
        <f t="shared" si="8"/>
        <v>189.87690574173601</v>
      </c>
    </row>
    <row r="579" spans="1:11" x14ac:dyDescent="0.35">
      <c r="A579" s="8">
        <v>118</v>
      </c>
      <c r="B579" s="8">
        <v>2</v>
      </c>
      <c r="C579" s="8">
        <v>80</v>
      </c>
      <c r="D579" s="8">
        <v>0</v>
      </c>
      <c r="E579" s="8">
        <v>0</v>
      </c>
      <c r="F579" s="8">
        <v>42.9</v>
      </c>
      <c r="G579" s="8">
        <v>0.69299999999999995</v>
      </c>
      <c r="H579" s="8">
        <v>21</v>
      </c>
      <c r="I579" s="9">
        <v>122.07685959316113</v>
      </c>
      <c r="J579" s="9">
        <v>-4.0768595931611316</v>
      </c>
      <c r="K579" s="8">
        <f t="shared" ref="K579:K642" si="9">J579*J579</f>
        <v>16.620784142349947</v>
      </c>
    </row>
    <row r="580" spans="1:11" x14ac:dyDescent="0.35">
      <c r="A580" s="8">
        <v>133</v>
      </c>
      <c r="B580" s="8">
        <v>10</v>
      </c>
      <c r="C580" s="8">
        <v>68</v>
      </c>
      <c r="D580" s="8">
        <v>0</v>
      </c>
      <c r="E580" s="8">
        <v>0</v>
      </c>
      <c r="F580" s="8">
        <v>27</v>
      </c>
      <c r="G580" s="8">
        <v>0.245</v>
      </c>
      <c r="H580" s="8">
        <v>36</v>
      </c>
      <c r="I580" s="9">
        <v>116.62730677516059</v>
      </c>
      <c r="J580" s="9">
        <v>16.372693224839409</v>
      </c>
      <c r="K580" s="8">
        <f t="shared" si="9"/>
        <v>268.06508343470227</v>
      </c>
    </row>
    <row r="581" spans="1:11" x14ac:dyDescent="0.35">
      <c r="A581" s="8">
        <v>197</v>
      </c>
      <c r="B581" s="8">
        <v>2</v>
      </c>
      <c r="C581" s="8">
        <v>70</v>
      </c>
      <c r="D581" s="8">
        <v>99</v>
      </c>
      <c r="E581" s="8">
        <v>0</v>
      </c>
      <c r="F581" s="8">
        <v>34.700000000000003</v>
      </c>
      <c r="G581" s="8">
        <v>0.57499999999999996</v>
      </c>
      <c r="H581" s="8">
        <v>62</v>
      </c>
      <c r="I581" s="9">
        <v>107.84381533230597</v>
      </c>
      <c r="J581" s="9">
        <v>89.156184667694035</v>
      </c>
      <c r="K581" s="8">
        <f t="shared" si="9"/>
        <v>7948.8252644999611</v>
      </c>
    </row>
    <row r="582" spans="1:11" x14ac:dyDescent="0.35">
      <c r="A582" s="8">
        <v>151</v>
      </c>
      <c r="B582" s="8">
        <v>0</v>
      </c>
      <c r="C582" s="8">
        <v>90</v>
      </c>
      <c r="D582" s="8">
        <v>46</v>
      </c>
      <c r="E582" s="8">
        <v>0</v>
      </c>
      <c r="F582" s="8">
        <v>42.1</v>
      </c>
      <c r="G582" s="8">
        <v>0.371</v>
      </c>
      <c r="H582" s="8">
        <v>21</v>
      </c>
      <c r="I582" s="9">
        <v>104.64983900214392</v>
      </c>
      <c r="J582" s="9">
        <v>46.350160997856079</v>
      </c>
      <c r="K582" s="8">
        <f t="shared" si="9"/>
        <v>2148.3374245271789</v>
      </c>
    </row>
    <row r="583" spans="1:11" x14ac:dyDescent="0.35">
      <c r="A583" s="8">
        <v>109</v>
      </c>
      <c r="B583" s="8">
        <v>6</v>
      </c>
      <c r="C583" s="8">
        <v>60</v>
      </c>
      <c r="D583" s="8">
        <v>27</v>
      </c>
      <c r="E583" s="8">
        <v>0</v>
      </c>
      <c r="F583" s="8">
        <v>25</v>
      </c>
      <c r="G583" s="8">
        <v>0.20599999999999999</v>
      </c>
      <c r="H583" s="8">
        <v>27</v>
      </c>
      <c r="I583" s="9">
        <v>99.252405869603578</v>
      </c>
      <c r="J583" s="9">
        <v>9.747594130396422</v>
      </c>
      <c r="K583" s="8">
        <f t="shared" si="9"/>
        <v>95.015591330938776</v>
      </c>
    </row>
    <row r="584" spans="1:11" x14ac:dyDescent="0.35">
      <c r="A584" s="8">
        <v>121</v>
      </c>
      <c r="B584" s="8">
        <v>12</v>
      </c>
      <c r="C584" s="8">
        <v>78</v>
      </c>
      <c r="D584" s="8">
        <v>17</v>
      </c>
      <c r="E584" s="8">
        <v>0</v>
      </c>
      <c r="F584" s="8">
        <v>26.5</v>
      </c>
      <c r="G584" s="8">
        <v>0.25900000000000001</v>
      </c>
      <c r="H584" s="8">
        <v>62</v>
      </c>
      <c r="I584" s="9">
        <v>128.25327348058642</v>
      </c>
      <c r="J584" s="9">
        <v>-7.2532734805864152</v>
      </c>
      <c r="K584" s="8">
        <f t="shared" si="9"/>
        <v>52.609976184178173</v>
      </c>
    </row>
    <row r="585" spans="1:11" x14ac:dyDescent="0.35">
      <c r="A585" s="8">
        <v>100</v>
      </c>
      <c r="B585" s="8">
        <v>8</v>
      </c>
      <c r="C585" s="8">
        <v>76</v>
      </c>
      <c r="D585" s="8">
        <v>0</v>
      </c>
      <c r="E585" s="8">
        <v>0</v>
      </c>
      <c r="F585" s="8">
        <v>38.700000000000003</v>
      </c>
      <c r="G585" s="8">
        <v>0.19</v>
      </c>
      <c r="H585" s="8">
        <v>42</v>
      </c>
      <c r="I585" s="9">
        <v>129.37236009922771</v>
      </c>
      <c r="J585" s="9">
        <v>-29.372360099227706</v>
      </c>
      <c r="K585" s="8">
        <f t="shared" si="9"/>
        <v>862.73553779870383</v>
      </c>
    </row>
    <row r="586" spans="1:11" x14ac:dyDescent="0.35">
      <c r="A586" s="8">
        <v>124</v>
      </c>
      <c r="B586" s="8">
        <v>8</v>
      </c>
      <c r="C586" s="8">
        <v>76</v>
      </c>
      <c r="D586" s="8">
        <v>24</v>
      </c>
      <c r="E586" s="8">
        <v>600</v>
      </c>
      <c r="F586" s="8">
        <v>28.7</v>
      </c>
      <c r="G586" s="8">
        <v>0.68700000000000006</v>
      </c>
      <c r="H586" s="8">
        <v>52</v>
      </c>
      <c r="I586" s="9">
        <v>183.72633253179887</v>
      </c>
      <c r="J586" s="9">
        <v>-59.726332531798874</v>
      </c>
      <c r="K586" s="8">
        <f t="shared" si="9"/>
        <v>3567.2347976990163</v>
      </c>
    </row>
    <row r="587" spans="1:11" x14ac:dyDescent="0.35">
      <c r="A587" s="8">
        <v>93</v>
      </c>
      <c r="B587" s="8">
        <v>1</v>
      </c>
      <c r="C587" s="8">
        <v>56</v>
      </c>
      <c r="D587" s="8">
        <v>11</v>
      </c>
      <c r="E587" s="8">
        <v>0</v>
      </c>
      <c r="F587" s="8">
        <v>22.5</v>
      </c>
      <c r="G587" s="8">
        <v>0.41699999999999998</v>
      </c>
      <c r="H587" s="8">
        <v>22</v>
      </c>
      <c r="I587" s="9">
        <v>100.25639069725253</v>
      </c>
      <c r="J587" s="9">
        <v>-7.2563906972525274</v>
      </c>
      <c r="K587" s="8">
        <f t="shared" si="9"/>
        <v>52.655205951173023</v>
      </c>
    </row>
    <row r="588" spans="1:11" x14ac:dyDescent="0.35">
      <c r="A588" s="8">
        <v>143</v>
      </c>
      <c r="B588" s="8">
        <v>8</v>
      </c>
      <c r="C588" s="8">
        <v>66</v>
      </c>
      <c r="D588" s="8">
        <v>0</v>
      </c>
      <c r="E588" s="8">
        <v>0</v>
      </c>
      <c r="F588" s="8">
        <v>34.9</v>
      </c>
      <c r="G588" s="8">
        <v>0.129</v>
      </c>
      <c r="H588" s="8">
        <v>41</v>
      </c>
      <c r="I588" s="9">
        <v>124.79036215390207</v>
      </c>
      <c r="J588" s="9">
        <v>18.209637846097934</v>
      </c>
      <c r="K588" s="8">
        <f t="shared" si="9"/>
        <v>331.59091048604222</v>
      </c>
    </row>
    <row r="589" spans="1:11" x14ac:dyDescent="0.35">
      <c r="A589" s="8">
        <v>103</v>
      </c>
      <c r="B589" s="8">
        <v>6</v>
      </c>
      <c r="C589" s="8">
        <v>66</v>
      </c>
      <c r="D589" s="8">
        <v>0</v>
      </c>
      <c r="E589" s="8">
        <v>0</v>
      </c>
      <c r="F589" s="8">
        <v>24.3</v>
      </c>
      <c r="G589" s="8">
        <v>0.249</v>
      </c>
      <c r="H589" s="8">
        <v>29</v>
      </c>
      <c r="I589" s="9">
        <v>109.73424122072493</v>
      </c>
      <c r="J589" s="9">
        <v>-6.7342412207249254</v>
      </c>
      <c r="K589" s="8">
        <f t="shared" si="9"/>
        <v>45.350004818910733</v>
      </c>
    </row>
    <row r="590" spans="1:11" x14ac:dyDescent="0.35">
      <c r="A590" s="8">
        <v>176</v>
      </c>
      <c r="B590" s="8">
        <v>3</v>
      </c>
      <c r="C590" s="8">
        <v>86</v>
      </c>
      <c r="D590" s="8">
        <v>27</v>
      </c>
      <c r="E590" s="8">
        <v>156</v>
      </c>
      <c r="F590" s="8">
        <v>33.299999999999997</v>
      </c>
      <c r="G590" s="8">
        <v>1.1539999999999999</v>
      </c>
      <c r="H590" s="8">
        <v>52</v>
      </c>
      <c r="I590" s="9">
        <v>144.91792607853105</v>
      </c>
      <c r="J590" s="9">
        <v>31.082073921468947</v>
      </c>
      <c r="K590" s="8">
        <f t="shared" si="9"/>
        <v>966.09531925965996</v>
      </c>
    </row>
    <row r="591" spans="1:11" x14ac:dyDescent="0.35">
      <c r="A591" s="8">
        <v>73</v>
      </c>
      <c r="B591" s="8">
        <v>0</v>
      </c>
      <c r="C591" s="8">
        <v>0</v>
      </c>
      <c r="D591" s="8">
        <v>0</v>
      </c>
      <c r="E591" s="8">
        <v>0</v>
      </c>
      <c r="F591" s="8">
        <v>21.1</v>
      </c>
      <c r="G591" s="8">
        <v>0.34200000000000003</v>
      </c>
      <c r="H591" s="8">
        <v>25</v>
      </c>
      <c r="I591" s="9">
        <v>100.36403536606062</v>
      </c>
      <c r="J591" s="9">
        <v>-27.364035366060619</v>
      </c>
      <c r="K591" s="8">
        <f t="shared" si="9"/>
        <v>748.79043151501639</v>
      </c>
    </row>
    <row r="592" spans="1:11" x14ac:dyDescent="0.35">
      <c r="A592" s="8">
        <v>111</v>
      </c>
      <c r="B592" s="8">
        <v>11</v>
      </c>
      <c r="C592" s="8">
        <v>84</v>
      </c>
      <c r="D592" s="8">
        <v>40</v>
      </c>
      <c r="E592" s="8">
        <v>0</v>
      </c>
      <c r="F592" s="8">
        <v>46.8</v>
      </c>
      <c r="G592" s="8">
        <v>0.92500000000000004</v>
      </c>
      <c r="H592" s="8">
        <v>45</v>
      </c>
      <c r="I592" s="9">
        <v>129.39499893728251</v>
      </c>
      <c r="J592" s="9">
        <v>-18.394998937282509</v>
      </c>
      <c r="K592" s="8">
        <f t="shared" si="9"/>
        <v>338.37598590262462</v>
      </c>
    </row>
    <row r="593" spans="1:11" x14ac:dyDescent="0.35">
      <c r="A593" s="8">
        <v>112</v>
      </c>
      <c r="B593" s="8">
        <v>2</v>
      </c>
      <c r="C593" s="8">
        <v>78</v>
      </c>
      <c r="D593" s="8">
        <v>50</v>
      </c>
      <c r="E593" s="8">
        <v>140</v>
      </c>
      <c r="F593" s="8">
        <v>39.4</v>
      </c>
      <c r="G593" s="8">
        <v>0.17499999999999999</v>
      </c>
      <c r="H593" s="8">
        <v>24</v>
      </c>
      <c r="I593" s="9">
        <v>115.32926986404837</v>
      </c>
      <c r="J593" s="9">
        <v>-3.3292698640483707</v>
      </c>
      <c r="K593" s="8">
        <f t="shared" si="9"/>
        <v>11.084037827660657</v>
      </c>
    </row>
    <row r="594" spans="1:11" x14ac:dyDescent="0.35">
      <c r="A594" s="8">
        <v>132</v>
      </c>
      <c r="B594" s="8">
        <v>3</v>
      </c>
      <c r="C594" s="8">
        <v>80</v>
      </c>
      <c r="D594" s="8">
        <v>0</v>
      </c>
      <c r="E594" s="8">
        <v>0</v>
      </c>
      <c r="F594" s="8">
        <v>34.4</v>
      </c>
      <c r="G594" s="8">
        <v>0.40200000000000002</v>
      </c>
      <c r="H594" s="8">
        <v>44</v>
      </c>
      <c r="I594" s="9">
        <v>128.76123020200293</v>
      </c>
      <c r="J594" s="9">
        <v>3.2387697979970653</v>
      </c>
      <c r="K594" s="8">
        <f t="shared" si="9"/>
        <v>10.489629804417952</v>
      </c>
    </row>
    <row r="595" spans="1:11" x14ac:dyDescent="0.35">
      <c r="A595" s="8">
        <v>82</v>
      </c>
      <c r="B595" s="8">
        <v>2</v>
      </c>
      <c r="C595" s="8">
        <v>52</v>
      </c>
      <c r="D595" s="8">
        <v>22</v>
      </c>
      <c r="E595" s="8">
        <v>115</v>
      </c>
      <c r="F595" s="8">
        <v>28.5</v>
      </c>
      <c r="G595" s="8">
        <v>1.6990000000000001</v>
      </c>
      <c r="H595" s="8">
        <v>25</v>
      </c>
      <c r="I595" s="9">
        <v>122.44843462965767</v>
      </c>
      <c r="J595" s="9">
        <v>-40.448434629657669</v>
      </c>
      <c r="K595" s="8">
        <f t="shared" si="9"/>
        <v>1636.0758639896897</v>
      </c>
    </row>
    <row r="596" spans="1:11" x14ac:dyDescent="0.35">
      <c r="A596" s="8">
        <v>123</v>
      </c>
      <c r="B596" s="8">
        <v>6</v>
      </c>
      <c r="C596" s="8">
        <v>72</v>
      </c>
      <c r="D596" s="8">
        <v>45</v>
      </c>
      <c r="E596" s="8">
        <v>230</v>
      </c>
      <c r="F596" s="8">
        <v>33.6</v>
      </c>
      <c r="G596" s="8">
        <v>0.73299999999999998</v>
      </c>
      <c r="H596" s="8">
        <v>34</v>
      </c>
      <c r="I596" s="9">
        <v>131.4843932530874</v>
      </c>
      <c r="J596" s="9">
        <v>-8.4843932530874042</v>
      </c>
      <c r="K596" s="8">
        <f t="shared" si="9"/>
        <v>71.984928873035059</v>
      </c>
    </row>
    <row r="597" spans="1:11" x14ac:dyDescent="0.35">
      <c r="A597" s="8">
        <v>188</v>
      </c>
      <c r="B597" s="8">
        <v>0</v>
      </c>
      <c r="C597" s="8">
        <v>82</v>
      </c>
      <c r="D597" s="8">
        <v>14</v>
      </c>
      <c r="E597" s="8">
        <v>185</v>
      </c>
      <c r="F597" s="8">
        <v>32</v>
      </c>
      <c r="G597" s="8">
        <v>0.68200000000000005</v>
      </c>
      <c r="H597" s="8">
        <v>22</v>
      </c>
      <c r="I597" s="9">
        <v>128.40571405419982</v>
      </c>
      <c r="J597" s="9">
        <v>59.594285945800181</v>
      </c>
      <c r="K597" s="8">
        <f t="shared" si="9"/>
        <v>3551.4789173897971</v>
      </c>
    </row>
    <row r="598" spans="1:11" x14ac:dyDescent="0.35">
      <c r="A598" s="8">
        <v>67</v>
      </c>
      <c r="B598" s="8">
        <v>0</v>
      </c>
      <c r="C598" s="8">
        <v>76</v>
      </c>
      <c r="D598" s="8">
        <v>0</v>
      </c>
      <c r="E598" s="8">
        <v>0</v>
      </c>
      <c r="F598" s="8">
        <v>45.3</v>
      </c>
      <c r="G598" s="8">
        <v>0.19400000000000001</v>
      </c>
      <c r="H598" s="8">
        <v>46</v>
      </c>
      <c r="I598" s="9">
        <v>136.45931629746497</v>
      </c>
      <c r="J598" s="9">
        <v>-69.459316297464966</v>
      </c>
      <c r="K598" s="8">
        <f t="shared" si="9"/>
        <v>4824.5966205112818</v>
      </c>
    </row>
    <row r="599" spans="1:11" x14ac:dyDescent="0.35">
      <c r="A599" s="8">
        <v>89</v>
      </c>
      <c r="B599" s="8">
        <v>1</v>
      </c>
      <c r="C599" s="8">
        <v>24</v>
      </c>
      <c r="D599" s="8">
        <v>19</v>
      </c>
      <c r="E599" s="8">
        <v>25</v>
      </c>
      <c r="F599" s="8">
        <v>27.8</v>
      </c>
      <c r="G599" s="8">
        <v>0.55900000000000005</v>
      </c>
      <c r="H599" s="8">
        <v>21</v>
      </c>
      <c r="I599" s="9">
        <v>102.08152011089085</v>
      </c>
      <c r="J599" s="9">
        <v>-13.08152011089085</v>
      </c>
      <c r="K599" s="8">
        <f t="shared" si="9"/>
        <v>171.12616841164174</v>
      </c>
    </row>
    <row r="600" spans="1:11" x14ac:dyDescent="0.35">
      <c r="A600" s="8">
        <v>173</v>
      </c>
      <c r="B600" s="8">
        <v>1</v>
      </c>
      <c r="C600" s="8">
        <v>74</v>
      </c>
      <c r="D600" s="8">
        <v>0</v>
      </c>
      <c r="E600" s="8">
        <v>0</v>
      </c>
      <c r="F600" s="8">
        <v>36.799999999999997</v>
      </c>
      <c r="G600" s="8">
        <v>8.7999999999999995E-2</v>
      </c>
      <c r="H600" s="8">
        <v>38</v>
      </c>
      <c r="I600" s="9">
        <v>124.16905424277391</v>
      </c>
      <c r="J600" s="9">
        <v>48.83094575722609</v>
      </c>
      <c r="K600" s="8">
        <f t="shared" si="9"/>
        <v>2384.4612635451567</v>
      </c>
    </row>
    <row r="601" spans="1:11" x14ac:dyDescent="0.35">
      <c r="A601" s="8">
        <v>109</v>
      </c>
      <c r="B601" s="8">
        <v>1</v>
      </c>
      <c r="C601" s="8">
        <v>38</v>
      </c>
      <c r="D601" s="8">
        <v>18</v>
      </c>
      <c r="E601" s="8">
        <v>120</v>
      </c>
      <c r="F601" s="8">
        <v>23.1</v>
      </c>
      <c r="G601" s="8">
        <v>0.40699999999999997</v>
      </c>
      <c r="H601" s="8">
        <v>26</v>
      </c>
      <c r="I601" s="9">
        <v>111.68153708568083</v>
      </c>
      <c r="J601" s="9">
        <v>-2.68153708568083</v>
      </c>
      <c r="K601" s="8">
        <f t="shared" si="9"/>
        <v>7.1906411418816392</v>
      </c>
    </row>
    <row r="602" spans="1:11" x14ac:dyDescent="0.35">
      <c r="A602" s="8">
        <v>108</v>
      </c>
      <c r="B602" s="8">
        <v>1</v>
      </c>
      <c r="C602" s="8">
        <v>88</v>
      </c>
      <c r="D602" s="8">
        <v>19</v>
      </c>
      <c r="E602" s="8">
        <v>0</v>
      </c>
      <c r="F602" s="8">
        <v>27.1</v>
      </c>
      <c r="G602" s="8">
        <v>0.4</v>
      </c>
      <c r="H602" s="8">
        <v>24</v>
      </c>
      <c r="I602" s="9">
        <v>104.45794547644827</v>
      </c>
      <c r="J602" s="9">
        <v>3.5420545235517267</v>
      </c>
      <c r="K602" s="8">
        <f t="shared" si="9"/>
        <v>12.54615024781325</v>
      </c>
    </row>
    <row r="603" spans="1:11" x14ac:dyDescent="0.35">
      <c r="A603" s="8">
        <v>96</v>
      </c>
      <c r="B603" s="8">
        <v>6</v>
      </c>
      <c r="C603" s="8">
        <v>0</v>
      </c>
      <c r="D603" s="8">
        <v>0</v>
      </c>
      <c r="E603" s="8">
        <v>0</v>
      </c>
      <c r="F603" s="8">
        <v>23.7</v>
      </c>
      <c r="G603" s="8">
        <v>0.19</v>
      </c>
      <c r="H603" s="8">
        <v>28</v>
      </c>
      <c r="I603" s="9">
        <v>103.64398392910054</v>
      </c>
      <c r="J603" s="9">
        <v>-7.6439839291005427</v>
      </c>
      <c r="K603" s="8">
        <f t="shared" si="9"/>
        <v>58.430490308347373</v>
      </c>
    </row>
    <row r="604" spans="1:11" x14ac:dyDescent="0.35">
      <c r="A604" s="8">
        <v>124</v>
      </c>
      <c r="B604" s="8">
        <v>1</v>
      </c>
      <c r="C604" s="8">
        <v>74</v>
      </c>
      <c r="D604" s="8">
        <v>36</v>
      </c>
      <c r="E604" s="8">
        <v>0</v>
      </c>
      <c r="F604" s="8">
        <v>27.8</v>
      </c>
      <c r="G604" s="8">
        <v>0.1</v>
      </c>
      <c r="H604" s="8">
        <v>30</v>
      </c>
      <c r="I604" s="9">
        <v>100.29714772160234</v>
      </c>
      <c r="J604" s="9">
        <v>23.702852278397657</v>
      </c>
      <c r="K604" s="8">
        <f t="shared" si="9"/>
        <v>561.82520613154099</v>
      </c>
    </row>
    <row r="605" spans="1:11" x14ac:dyDescent="0.35">
      <c r="A605" s="8">
        <v>150</v>
      </c>
      <c r="B605" s="8">
        <v>7</v>
      </c>
      <c r="C605" s="8">
        <v>78</v>
      </c>
      <c r="D605" s="8">
        <v>29</v>
      </c>
      <c r="E605" s="8">
        <v>126</v>
      </c>
      <c r="F605" s="8">
        <v>35.200000000000003</v>
      </c>
      <c r="G605" s="8">
        <v>0.69199999999999995</v>
      </c>
      <c r="H605" s="8">
        <v>54</v>
      </c>
      <c r="I605" s="9">
        <v>140.70843293877633</v>
      </c>
      <c r="J605" s="9">
        <v>9.2915670612236738</v>
      </c>
      <c r="K605" s="8">
        <f t="shared" si="9"/>
        <v>86.333218453216745</v>
      </c>
    </row>
    <row r="606" spans="1:11" x14ac:dyDescent="0.35">
      <c r="A606" s="8">
        <v>183</v>
      </c>
      <c r="B606" s="8">
        <v>4</v>
      </c>
      <c r="C606" s="8">
        <v>0</v>
      </c>
      <c r="D606" s="8">
        <v>0</v>
      </c>
      <c r="E606" s="8">
        <v>0</v>
      </c>
      <c r="F606" s="8">
        <v>28.4</v>
      </c>
      <c r="G606" s="8">
        <v>0.21199999999999999</v>
      </c>
      <c r="H606" s="8">
        <v>36</v>
      </c>
      <c r="I606" s="9">
        <v>112.35358510759576</v>
      </c>
      <c r="J606" s="9">
        <v>70.646414892404238</v>
      </c>
      <c r="K606" s="8">
        <f t="shared" si="9"/>
        <v>4990.9159371497153</v>
      </c>
    </row>
    <row r="607" spans="1:11" x14ac:dyDescent="0.35">
      <c r="A607" s="8">
        <v>124</v>
      </c>
      <c r="B607" s="8">
        <v>1</v>
      </c>
      <c r="C607" s="8">
        <v>60</v>
      </c>
      <c r="D607" s="8">
        <v>32</v>
      </c>
      <c r="E607" s="8">
        <v>0</v>
      </c>
      <c r="F607" s="8">
        <v>35.799999999999997</v>
      </c>
      <c r="G607" s="8">
        <v>0.51400000000000001</v>
      </c>
      <c r="H607" s="8">
        <v>21</v>
      </c>
      <c r="I607" s="9">
        <v>103.46362286502332</v>
      </c>
      <c r="J607" s="9">
        <v>20.536377134976675</v>
      </c>
      <c r="K607" s="8">
        <f t="shared" si="9"/>
        <v>421.74278582999278</v>
      </c>
    </row>
    <row r="608" spans="1:11" x14ac:dyDescent="0.35">
      <c r="A608" s="8">
        <v>181</v>
      </c>
      <c r="B608" s="8">
        <v>1</v>
      </c>
      <c r="C608" s="8">
        <v>78</v>
      </c>
      <c r="D608" s="8">
        <v>42</v>
      </c>
      <c r="E608" s="8">
        <v>293</v>
      </c>
      <c r="F608" s="8">
        <v>40</v>
      </c>
      <c r="G608" s="8">
        <v>1.258</v>
      </c>
      <c r="H608" s="8">
        <v>22</v>
      </c>
      <c r="I608" s="9">
        <v>139.31771366628431</v>
      </c>
      <c r="J608" s="9">
        <v>41.682286333715695</v>
      </c>
      <c r="K608" s="8">
        <f t="shared" si="9"/>
        <v>1737.4129940058622</v>
      </c>
    </row>
    <row r="609" spans="1:11" x14ac:dyDescent="0.35">
      <c r="A609" s="8">
        <v>92</v>
      </c>
      <c r="B609" s="8">
        <v>1</v>
      </c>
      <c r="C609" s="8">
        <v>62</v>
      </c>
      <c r="D609" s="8">
        <v>25</v>
      </c>
      <c r="E609" s="8">
        <v>41</v>
      </c>
      <c r="F609" s="8">
        <v>19.5</v>
      </c>
      <c r="G609" s="8">
        <v>0.48199999999999998</v>
      </c>
      <c r="H609" s="8">
        <v>25</v>
      </c>
      <c r="I609" s="9">
        <v>100.21217305773347</v>
      </c>
      <c r="J609" s="9">
        <v>-8.212173057733466</v>
      </c>
      <c r="K609" s="8">
        <f t="shared" si="9"/>
        <v>67.439786330163429</v>
      </c>
    </row>
    <row r="610" spans="1:11" x14ac:dyDescent="0.35">
      <c r="A610" s="8">
        <v>152</v>
      </c>
      <c r="B610" s="8">
        <v>0</v>
      </c>
      <c r="C610" s="8">
        <v>82</v>
      </c>
      <c r="D610" s="8">
        <v>39</v>
      </c>
      <c r="E610" s="8">
        <v>272</v>
      </c>
      <c r="F610" s="8">
        <v>41.5</v>
      </c>
      <c r="G610" s="8">
        <v>0.27</v>
      </c>
      <c r="H610" s="8">
        <v>27</v>
      </c>
      <c r="I610" s="9">
        <v>136.54292646065724</v>
      </c>
      <c r="J610" s="9">
        <v>15.457073539342758</v>
      </c>
      <c r="K610" s="8">
        <f t="shared" si="9"/>
        <v>238.92112240065006</v>
      </c>
    </row>
    <row r="611" spans="1:11" x14ac:dyDescent="0.35">
      <c r="A611" s="8">
        <v>111</v>
      </c>
      <c r="B611" s="8">
        <v>1</v>
      </c>
      <c r="C611" s="8">
        <v>62</v>
      </c>
      <c r="D611" s="8">
        <v>13</v>
      </c>
      <c r="E611" s="8">
        <v>182</v>
      </c>
      <c r="F611" s="8">
        <v>24</v>
      </c>
      <c r="G611" s="8">
        <v>0.13800000000000001</v>
      </c>
      <c r="H611" s="8">
        <v>23</v>
      </c>
      <c r="I611" s="9">
        <v>118.30365215908968</v>
      </c>
      <c r="J611" s="9">
        <v>-7.3036521590896797</v>
      </c>
      <c r="K611" s="8">
        <f t="shared" si="9"/>
        <v>53.343334860975339</v>
      </c>
    </row>
    <row r="612" spans="1:11" x14ac:dyDescent="0.35">
      <c r="A612" s="8">
        <v>106</v>
      </c>
      <c r="B612" s="8">
        <v>3</v>
      </c>
      <c r="C612" s="8">
        <v>54</v>
      </c>
      <c r="D612" s="8">
        <v>21</v>
      </c>
      <c r="E612" s="8">
        <v>158</v>
      </c>
      <c r="F612" s="8">
        <v>30.9</v>
      </c>
      <c r="G612" s="8">
        <v>0.29199999999999998</v>
      </c>
      <c r="H612" s="8">
        <v>24</v>
      </c>
      <c r="I612" s="9">
        <v>119.57073009438061</v>
      </c>
      <c r="J612" s="9">
        <v>-13.570730094380608</v>
      </c>
      <c r="K612" s="8">
        <f t="shared" si="9"/>
        <v>184.1647152945275</v>
      </c>
    </row>
    <row r="613" spans="1:11" x14ac:dyDescent="0.35">
      <c r="A613" s="8">
        <v>174</v>
      </c>
      <c r="B613" s="8">
        <v>3</v>
      </c>
      <c r="C613" s="8">
        <v>58</v>
      </c>
      <c r="D613" s="8">
        <v>22</v>
      </c>
      <c r="E613" s="8">
        <v>194</v>
      </c>
      <c r="F613" s="8">
        <v>32.9</v>
      </c>
      <c r="G613" s="8">
        <v>0.59299999999999997</v>
      </c>
      <c r="H613" s="8">
        <v>36</v>
      </c>
      <c r="I613" s="9">
        <v>134.278742121222</v>
      </c>
      <c r="J613" s="9">
        <v>39.721257878778005</v>
      </c>
      <c r="K613" s="8">
        <f t="shared" si="9"/>
        <v>1577.7783274723838</v>
      </c>
    </row>
    <row r="614" spans="1:11" x14ac:dyDescent="0.35">
      <c r="A614" s="8">
        <v>168</v>
      </c>
      <c r="B614" s="8">
        <v>7</v>
      </c>
      <c r="C614" s="8">
        <v>88</v>
      </c>
      <c r="D614" s="8">
        <v>42</v>
      </c>
      <c r="E614" s="8">
        <v>321</v>
      </c>
      <c r="F614" s="8">
        <v>38.200000000000003</v>
      </c>
      <c r="G614" s="8">
        <v>0.78700000000000003</v>
      </c>
      <c r="H614" s="8">
        <v>40</v>
      </c>
      <c r="I614" s="9">
        <v>150.47411708942568</v>
      </c>
      <c r="J614" s="9">
        <v>17.525882910574325</v>
      </c>
      <c r="K614" s="8">
        <f t="shared" si="9"/>
        <v>307.15657179516114</v>
      </c>
    </row>
    <row r="615" spans="1:11" x14ac:dyDescent="0.35">
      <c r="A615" s="8">
        <v>105</v>
      </c>
      <c r="B615" s="8">
        <v>6</v>
      </c>
      <c r="C615" s="8">
        <v>80</v>
      </c>
      <c r="D615" s="8">
        <v>28</v>
      </c>
      <c r="E615" s="8">
        <v>0</v>
      </c>
      <c r="F615" s="8">
        <v>32.5</v>
      </c>
      <c r="G615" s="8">
        <v>0.878</v>
      </c>
      <c r="H615" s="8">
        <v>26</v>
      </c>
      <c r="I615" s="9">
        <v>109.54527581451978</v>
      </c>
      <c r="J615" s="9">
        <v>-4.5452758145197834</v>
      </c>
      <c r="K615" s="8">
        <f t="shared" si="9"/>
        <v>20.659532230058481</v>
      </c>
    </row>
    <row r="616" spans="1:11" x14ac:dyDescent="0.35">
      <c r="A616" s="8">
        <v>138</v>
      </c>
      <c r="B616" s="8">
        <v>11</v>
      </c>
      <c r="C616" s="8">
        <v>74</v>
      </c>
      <c r="D616" s="8">
        <v>26</v>
      </c>
      <c r="E616" s="8">
        <v>144</v>
      </c>
      <c r="F616" s="8">
        <v>36.1</v>
      </c>
      <c r="G616" s="8">
        <v>0.55700000000000005</v>
      </c>
      <c r="H616" s="8">
        <v>50</v>
      </c>
      <c r="I616" s="9">
        <v>140.71684053583928</v>
      </c>
      <c r="J616" s="9">
        <v>-2.7168405358392818</v>
      </c>
      <c r="K616" s="8">
        <f t="shared" si="9"/>
        <v>7.3812224971794755</v>
      </c>
    </row>
    <row r="617" spans="1:11" x14ac:dyDescent="0.35">
      <c r="A617" s="8">
        <v>106</v>
      </c>
      <c r="B617" s="8">
        <v>3</v>
      </c>
      <c r="C617" s="8">
        <v>72</v>
      </c>
      <c r="D617" s="8">
        <v>0</v>
      </c>
      <c r="E617" s="8">
        <v>0</v>
      </c>
      <c r="F617" s="8">
        <v>25.8</v>
      </c>
      <c r="G617" s="8">
        <v>0.20699999999999999</v>
      </c>
      <c r="H617" s="8">
        <v>27</v>
      </c>
      <c r="I617" s="9">
        <v>109.54734121862317</v>
      </c>
      <c r="J617" s="9">
        <v>-3.5473412186231741</v>
      </c>
      <c r="K617" s="8">
        <f t="shared" si="9"/>
        <v>12.583629721342946</v>
      </c>
    </row>
    <row r="618" spans="1:11" x14ac:dyDescent="0.35">
      <c r="A618" s="8">
        <v>117</v>
      </c>
      <c r="B618" s="8">
        <v>6</v>
      </c>
      <c r="C618" s="8">
        <v>96</v>
      </c>
      <c r="D618" s="8">
        <v>0</v>
      </c>
      <c r="E618" s="8">
        <v>0</v>
      </c>
      <c r="F618" s="8">
        <v>28.7</v>
      </c>
      <c r="G618" s="8">
        <v>0.157</v>
      </c>
      <c r="H618" s="8">
        <v>30</v>
      </c>
      <c r="I618" s="9">
        <v>115.20068576251728</v>
      </c>
      <c r="J618" s="9">
        <v>1.7993142374827187</v>
      </c>
      <c r="K618" s="8">
        <f t="shared" si="9"/>
        <v>3.2375317252080174</v>
      </c>
    </row>
    <row r="619" spans="1:11" x14ac:dyDescent="0.35">
      <c r="A619" s="8">
        <v>68</v>
      </c>
      <c r="B619" s="8">
        <v>2</v>
      </c>
      <c r="C619" s="8">
        <v>62</v>
      </c>
      <c r="D619" s="8">
        <v>13</v>
      </c>
      <c r="E619" s="8">
        <v>15</v>
      </c>
      <c r="F619" s="8">
        <v>20.100000000000001</v>
      </c>
      <c r="G619" s="8">
        <v>0.25700000000000001</v>
      </c>
      <c r="H619" s="8">
        <v>23</v>
      </c>
      <c r="I619" s="9">
        <v>99.408133407656237</v>
      </c>
      <c r="J619" s="9">
        <v>-31.408133407656237</v>
      </c>
      <c r="K619" s="8">
        <f t="shared" si="9"/>
        <v>986.47084415313179</v>
      </c>
    </row>
    <row r="620" spans="1:11" x14ac:dyDescent="0.35">
      <c r="A620" s="8">
        <v>112</v>
      </c>
      <c r="B620" s="8">
        <v>9</v>
      </c>
      <c r="C620" s="8">
        <v>82</v>
      </c>
      <c r="D620" s="8">
        <v>24</v>
      </c>
      <c r="E620" s="8">
        <v>0</v>
      </c>
      <c r="F620" s="8">
        <v>28.2</v>
      </c>
      <c r="G620" s="8">
        <v>1.282</v>
      </c>
      <c r="H620" s="8">
        <v>50</v>
      </c>
      <c r="I620" s="9">
        <v>126.01081829471448</v>
      </c>
      <c r="J620" s="9">
        <v>-14.010818294714483</v>
      </c>
      <c r="K620" s="8">
        <f t="shared" si="9"/>
        <v>196.30302928750604</v>
      </c>
    </row>
    <row r="621" spans="1:11" x14ac:dyDescent="0.35">
      <c r="A621" s="8">
        <v>119</v>
      </c>
      <c r="B621" s="8">
        <v>0</v>
      </c>
      <c r="C621" s="8">
        <v>0</v>
      </c>
      <c r="D621" s="8">
        <v>0</v>
      </c>
      <c r="E621" s="8">
        <v>0</v>
      </c>
      <c r="F621" s="8">
        <v>32.4</v>
      </c>
      <c r="G621" s="8">
        <v>0.14099999999999999</v>
      </c>
      <c r="H621" s="8">
        <v>24</v>
      </c>
      <c r="I621" s="9">
        <v>106.92753812329148</v>
      </c>
      <c r="J621" s="9">
        <v>12.072461876708516</v>
      </c>
      <c r="K621" s="8">
        <f t="shared" si="9"/>
        <v>145.74433576458051</v>
      </c>
    </row>
    <row r="622" spans="1:11" x14ac:dyDescent="0.35">
      <c r="A622" s="8">
        <v>112</v>
      </c>
      <c r="B622" s="8">
        <v>2</v>
      </c>
      <c r="C622" s="8">
        <v>86</v>
      </c>
      <c r="D622" s="8">
        <v>42</v>
      </c>
      <c r="E622" s="8">
        <v>160</v>
      </c>
      <c r="F622" s="8">
        <v>38.4</v>
      </c>
      <c r="G622" s="8">
        <v>0.246</v>
      </c>
      <c r="H622" s="8">
        <v>28</v>
      </c>
      <c r="I622" s="9">
        <v>122.8522956787817</v>
      </c>
      <c r="J622" s="9">
        <v>-10.852295678781701</v>
      </c>
      <c r="K622" s="8">
        <f t="shared" si="9"/>
        <v>117.77232149970398</v>
      </c>
    </row>
    <row r="623" spans="1:11" x14ac:dyDescent="0.35">
      <c r="A623" s="8">
        <v>92</v>
      </c>
      <c r="B623" s="8">
        <v>2</v>
      </c>
      <c r="C623" s="8">
        <v>76</v>
      </c>
      <c r="D623" s="8">
        <v>20</v>
      </c>
      <c r="E623" s="8">
        <v>0</v>
      </c>
      <c r="F623" s="8">
        <v>24.2</v>
      </c>
      <c r="G623" s="8">
        <v>1.698</v>
      </c>
      <c r="H623" s="8">
        <v>28</v>
      </c>
      <c r="I623" s="9">
        <v>111.9458862810404</v>
      </c>
      <c r="J623" s="9">
        <v>-19.945886281040401</v>
      </c>
      <c r="K623" s="8">
        <f t="shared" si="9"/>
        <v>397.8383795361957</v>
      </c>
    </row>
    <row r="624" spans="1:11" x14ac:dyDescent="0.35">
      <c r="A624" s="8">
        <v>183</v>
      </c>
      <c r="B624" s="8">
        <v>6</v>
      </c>
      <c r="C624" s="8">
        <v>94</v>
      </c>
      <c r="D624" s="8">
        <v>0</v>
      </c>
      <c r="E624" s="8">
        <v>0</v>
      </c>
      <c r="F624" s="8">
        <v>40.799999999999997</v>
      </c>
      <c r="G624" s="8">
        <v>1.4610000000000001</v>
      </c>
      <c r="H624" s="8">
        <v>45</v>
      </c>
      <c r="I624" s="9">
        <v>142.05447097596135</v>
      </c>
      <c r="J624" s="9">
        <v>40.945529024038649</v>
      </c>
      <c r="K624" s="8">
        <f t="shared" si="9"/>
        <v>1676.5363470583914</v>
      </c>
    </row>
    <row r="625" spans="1:11" x14ac:dyDescent="0.35">
      <c r="A625" s="8">
        <v>94</v>
      </c>
      <c r="B625" s="8">
        <v>0</v>
      </c>
      <c r="C625" s="8">
        <v>70</v>
      </c>
      <c r="D625" s="8">
        <v>27</v>
      </c>
      <c r="E625" s="8">
        <v>115</v>
      </c>
      <c r="F625" s="8">
        <v>43.5</v>
      </c>
      <c r="G625" s="8">
        <v>0.34699999999999998</v>
      </c>
      <c r="H625" s="8">
        <v>21</v>
      </c>
      <c r="I625" s="9">
        <v>122.05377049737065</v>
      </c>
      <c r="J625" s="9">
        <v>-28.05377049737065</v>
      </c>
      <c r="K625" s="8">
        <f t="shared" si="9"/>
        <v>787.01403911914383</v>
      </c>
    </row>
    <row r="626" spans="1:11" x14ac:dyDescent="0.35">
      <c r="A626" s="8">
        <v>108</v>
      </c>
      <c r="B626" s="8">
        <v>2</v>
      </c>
      <c r="C626" s="8">
        <v>64</v>
      </c>
      <c r="D626" s="8">
        <v>0</v>
      </c>
      <c r="E626" s="8">
        <v>0</v>
      </c>
      <c r="F626" s="8">
        <v>30.8</v>
      </c>
      <c r="G626" s="8">
        <v>0.158</v>
      </c>
      <c r="H626" s="8">
        <v>21</v>
      </c>
      <c r="I626" s="9">
        <v>108.49858172174356</v>
      </c>
      <c r="J626" s="9">
        <v>-0.49858172174356241</v>
      </c>
      <c r="K626" s="8">
        <f t="shared" si="9"/>
        <v>0.2485837332567751</v>
      </c>
    </row>
    <row r="627" spans="1:11" x14ac:dyDescent="0.35">
      <c r="A627" s="8">
        <v>90</v>
      </c>
      <c r="B627" s="8">
        <v>4</v>
      </c>
      <c r="C627" s="8">
        <v>88</v>
      </c>
      <c r="D627" s="8">
        <v>47</v>
      </c>
      <c r="E627" s="8">
        <v>54</v>
      </c>
      <c r="F627" s="8">
        <v>37.700000000000003</v>
      </c>
      <c r="G627" s="8">
        <v>0.36199999999999999</v>
      </c>
      <c r="H627" s="8">
        <v>29</v>
      </c>
      <c r="I627" s="9">
        <v>111.64095327059533</v>
      </c>
      <c r="J627" s="9">
        <v>-21.640953270595332</v>
      </c>
      <c r="K627" s="8">
        <f t="shared" si="9"/>
        <v>468.33085846009084</v>
      </c>
    </row>
    <row r="628" spans="1:11" x14ac:dyDescent="0.35">
      <c r="A628" s="8">
        <v>125</v>
      </c>
      <c r="B628" s="8">
        <v>0</v>
      </c>
      <c r="C628" s="8">
        <v>68</v>
      </c>
      <c r="D628" s="8">
        <v>0</v>
      </c>
      <c r="E628" s="8">
        <v>0</v>
      </c>
      <c r="F628" s="8">
        <v>24.7</v>
      </c>
      <c r="G628" s="8">
        <v>0.20599999999999999</v>
      </c>
      <c r="H628" s="8">
        <v>21</v>
      </c>
      <c r="I628" s="9">
        <v>104.38727232612888</v>
      </c>
      <c r="J628" s="9">
        <v>20.61272767387112</v>
      </c>
      <c r="K628" s="8">
        <f t="shared" si="9"/>
        <v>424.88454215717235</v>
      </c>
    </row>
    <row r="629" spans="1:11" x14ac:dyDescent="0.35">
      <c r="A629" s="8">
        <v>132</v>
      </c>
      <c r="B629" s="8">
        <v>0</v>
      </c>
      <c r="C629" s="8">
        <v>78</v>
      </c>
      <c r="D629" s="8">
        <v>0</v>
      </c>
      <c r="E629" s="8">
        <v>0</v>
      </c>
      <c r="F629" s="8">
        <v>32.4</v>
      </c>
      <c r="G629" s="8">
        <v>0.39300000000000002</v>
      </c>
      <c r="H629" s="8">
        <v>21</v>
      </c>
      <c r="I629" s="9">
        <v>112.04600514394153</v>
      </c>
      <c r="J629" s="9">
        <v>19.953994856058472</v>
      </c>
      <c r="K629" s="8">
        <f t="shared" si="9"/>
        <v>398.16191071560797</v>
      </c>
    </row>
    <row r="630" spans="1:11" x14ac:dyDescent="0.35">
      <c r="A630" s="8">
        <v>128</v>
      </c>
      <c r="B630" s="8">
        <v>5</v>
      </c>
      <c r="C630" s="8">
        <v>80</v>
      </c>
      <c r="D630" s="8">
        <v>0</v>
      </c>
      <c r="E630" s="8">
        <v>0</v>
      </c>
      <c r="F630" s="8">
        <v>34.6</v>
      </c>
      <c r="G630" s="8">
        <v>0.14399999999999999</v>
      </c>
      <c r="H630" s="8">
        <v>45</v>
      </c>
      <c r="I630" s="9">
        <v>128.04478227941715</v>
      </c>
      <c r="J630" s="9">
        <v>-4.4782279417148629E-2</v>
      </c>
      <c r="K630" s="8">
        <f t="shared" si="9"/>
        <v>2.0054525497955737E-3</v>
      </c>
    </row>
    <row r="631" spans="1:11" x14ac:dyDescent="0.35">
      <c r="A631" s="8">
        <v>94</v>
      </c>
      <c r="B631" s="8">
        <v>4</v>
      </c>
      <c r="C631" s="8">
        <v>65</v>
      </c>
      <c r="D631" s="8">
        <v>22</v>
      </c>
      <c r="E631" s="8">
        <v>0</v>
      </c>
      <c r="F631" s="8">
        <v>24.7</v>
      </c>
      <c r="G631" s="8">
        <v>0.14799999999999999</v>
      </c>
      <c r="H631" s="8">
        <v>21</v>
      </c>
      <c r="I631" s="9">
        <v>96.692998798384295</v>
      </c>
      <c r="J631" s="9">
        <v>-2.6929987983842949</v>
      </c>
      <c r="K631" s="8">
        <f t="shared" si="9"/>
        <v>7.2522425280992566</v>
      </c>
    </row>
    <row r="632" spans="1:11" x14ac:dyDescent="0.35">
      <c r="A632" s="8">
        <v>114</v>
      </c>
      <c r="B632" s="8">
        <v>7</v>
      </c>
      <c r="C632" s="8">
        <v>64</v>
      </c>
      <c r="D632" s="8">
        <v>0</v>
      </c>
      <c r="E632" s="8">
        <v>0</v>
      </c>
      <c r="F632" s="8">
        <v>27.4</v>
      </c>
      <c r="G632" s="8">
        <v>0.73199999999999998</v>
      </c>
      <c r="H632" s="8">
        <v>34</v>
      </c>
      <c r="I632" s="9">
        <v>118.25604792863707</v>
      </c>
      <c r="J632" s="9">
        <v>-4.2560479286370736</v>
      </c>
      <c r="K632" s="8">
        <f t="shared" si="9"/>
        <v>18.113943970855924</v>
      </c>
    </row>
    <row r="633" spans="1:11" x14ac:dyDescent="0.35">
      <c r="A633" s="8">
        <v>102</v>
      </c>
      <c r="B633" s="8">
        <v>0</v>
      </c>
      <c r="C633" s="8">
        <v>78</v>
      </c>
      <c r="D633" s="8">
        <v>40</v>
      </c>
      <c r="E633" s="8">
        <v>90</v>
      </c>
      <c r="F633" s="8">
        <v>34.5</v>
      </c>
      <c r="G633" s="8">
        <v>0.23799999999999999</v>
      </c>
      <c r="H633" s="8">
        <v>24</v>
      </c>
      <c r="I633" s="9">
        <v>110.25149092920449</v>
      </c>
      <c r="J633" s="9">
        <v>-8.2514909292044933</v>
      </c>
      <c r="K633" s="8">
        <f t="shared" si="9"/>
        <v>68.087102554744035</v>
      </c>
    </row>
    <row r="634" spans="1:11" x14ac:dyDescent="0.35">
      <c r="A634" s="8">
        <v>111</v>
      </c>
      <c r="B634" s="8">
        <v>2</v>
      </c>
      <c r="C634" s="8">
        <v>60</v>
      </c>
      <c r="D634" s="8">
        <v>0</v>
      </c>
      <c r="E634" s="8">
        <v>0</v>
      </c>
      <c r="F634" s="8">
        <v>26.2</v>
      </c>
      <c r="G634" s="8">
        <v>0.34300000000000003</v>
      </c>
      <c r="H634" s="8">
        <v>23</v>
      </c>
      <c r="I634" s="9">
        <v>107.22612170745819</v>
      </c>
      <c r="J634" s="9">
        <v>3.7738782925418093</v>
      </c>
      <c r="K634" s="8">
        <f t="shared" si="9"/>
        <v>14.242157366918281</v>
      </c>
    </row>
    <row r="635" spans="1:11" x14ac:dyDescent="0.35">
      <c r="A635" s="8">
        <v>128</v>
      </c>
      <c r="B635" s="8">
        <v>1</v>
      </c>
      <c r="C635" s="8">
        <v>82</v>
      </c>
      <c r="D635" s="8">
        <v>17</v>
      </c>
      <c r="E635" s="8">
        <v>183</v>
      </c>
      <c r="F635" s="8">
        <v>27.5</v>
      </c>
      <c r="G635" s="8">
        <v>0.115</v>
      </c>
      <c r="H635" s="8">
        <v>22</v>
      </c>
      <c r="I635" s="9">
        <v>120.30328621041257</v>
      </c>
      <c r="J635" s="9">
        <v>7.6967137895874345</v>
      </c>
      <c r="K635" s="8">
        <f t="shared" si="9"/>
        <v>59.239403158825368</v>
      </c>
    </row>
    <row r="636" spans="1:11" x14ac:dyDescent="0.35">
      <c r="A636" s="8">
        <v>92</v>
      </c>
      <c r="B636" s="8">
        <v>10</v>
      </c>
      <c r="C636" s="8">
        <v>62</v>
      </c>
      <c r="D636" s="8">
        <v>0</v>
      </c>
      <c r="E636" s="8">
        <v>0</v>
      </c>
      <c r="F636" s="8">
        <v>25.9</v>
      </c>
      <c r="G636" s="8">
        <v>0.16700000000000001</v>
      </c>
      <c r="H636" s="8">
        <v>31</v>
      </c>
      <c r="I636" s="9">
        <v>111.66281734269796</v>
      </c>
      <c r="J636" s="9">
        <v>-19.662817342697963</v>
      </c>
      <c r="K636" s="8">
        <f t="shared" si="9"/>
        <v>386.62638585230377</v>
      </c>
    </row>
    <row r="637" spans="1:11" x14ac:dyDescent="0.35">
      <c r="A637" s="8">
        <v>104</v>
      </c>
      <c r="B637" s="8">
        <v>13</v>
      </c>
      <c r="C637" s="8">
        <v>72</v>
      </c>
      <c r="D637" s="8">
        <v>0</v>
      </c>
      <c r="E637" s="8">
        <v>0</v>
      </c>
      <c r="F637" s="8">
        <v>31.2</v>
      </c>
      <c r="G637" s="8">
        <v>0.46500000000000002</v>
      </c>
      <c r="H637" s="8">
        <v>38</v>
      </c>
      <c r="I637" s="9">
        <v>122.91550437207457</v>
      </c>
      <c r="J637" s="9">
        <v>-18.915504372074565</v>
      </c>
      <c r="K637" s="8">
        <f t="shared" si="9"/>
        <v>357.796305649972</v>
      </c>
    </row>
    <row r="638" spans="1:11" x14ac:dyDescent="0.35">
      <c r="A638" s="8">
        <v>104</v>
      </c>
      <c r="B638" s="8">
        <v>5</v>
      </c>
      <c r="C638" s="8">
        <v>74</v>
      </c>
      <c r="D638" s="8">
        <v>0</v>
      </c>
      <c r="E638" s="8">
        <v>0</v>
      </c>
      <c r="F638" s="8">
        <v>28.8</v>
      </c>
      <c r="G638" s="8">
        <v>0.153</v>
      </c>
      <c r="H638" s="8">
        <v>48</v>
      </c>
      <c r="I638" s="9">
        <v>125.26550491591324</v>
      </c>
      <c r="J638" s="9">
        <v>-21.26550491591324</v>
      </c>
      <c r="K638" s="8">
        <f t="shared" si="9"/>
        <v>452.22169932873021</v>
      </c>
    </row>
    <row r="639" spans="1:11" x14ac:dyDescent="0.35">
      <c r="A639" s="8">
        <v>94</v>
      </c>
      <c r="B639" s="8">
        <v>2</v>
      </c>
      <c r="C639" s="8">
        <v>76</v>
      </c>
      <c r="D639" s="8">
        <v>18</v>
      </c>
      <c r="E639" s="8">
        <v>66</v>
      </c>
      <c r="F639" s="8">
        <v>31.6</v>
      </c>
      <c r="G639" s="8">
        <v>0.64900000000000002</v>
      </c>
      <c r="H639" s="8">
        <v>23</v>
      </c>
      <c r="I639" s="9">
        <v>114.94610590184689</v>
      </c>
      <c r="J639" s="9">
        <v>-20.946105901846892</v>
      </c>
      <c r="K639" s="8">
        <f t="shared" si="9"/>
        <v>438.73935245138517</v>
      </c>
    </row>
    <row r="640" spans="1:11" x14ac:dyDescent="0.35">
      <c r="A640" s="8">
        <v>97</v>
      </c>
      <c r="B640" s="8">
        <v>7</v>
      </c>
      <c r="C640" s="8">
        <v>76</v>
      </c>
      <c r="D640" s="8">
        <v>32</v>
      </c>
      <c r="E640" s="8">
        <v>91</v>
      </c>
      <c r="F640" s="8">
        <v>40.9</v>
      </c>
      <c r="G640" s="8">
        <v>0.871</v>
      </c>
      <c r="H640" s="8">
        <v>32</v>
      </c>
      <c r="I640" s="9">
        <v>127.26042916480623</v>
      </c>
      <c r="J640" s="9">
        <v>-30.260429164806226</v>
      </c>
      <c r="K640" s="8">
        <f t="shared" si="9"/>
        <v>915.69357323825523</v>
      </c>
    </row>
    <row r="641" spans="1:11" x14ac:dyDescent="0.35">
      <c r="A641" s="8">
        <v>100</v>
      </c>
      <c r="B641" s="8">
        <v>1</v>
      </c>
      <c r="C641" s="8">
        <v>74</v>
      </c>
      <c r="D641" s="8">
        <v>12</v>
      </c>
      <c r="E641" s="8">
        <v>46</v>
      </c>
      <c r="F641" s="8">
        <v>19.5</v>
      </c>
      <c r="G641" s="8">
        <v>0.14899999999999999</v>
      </c>
      <c r="H641" s="8">
        <v>28</v>
      </c>
      <c r="I641" s="9">
        <v>105.73266927432979</v>
      </c>
      <c r="J641" s="9">
        <v>-5.732669274329794</v>
      </c>
      <c r="K641" s="8">
        <f t="shared" si="9"/>
        <v>32.863497008844888</v>
      </c>
    </row>
    <row r="642" spans="1:11" x14ac:dyDescent="0.35">
      <c r="A642" s="8">
        <v>102</v>
      </c>
      <c r="B642" s="8">
        <v>0</v>
      </c>
      <c r="C642" s="8">
        <v>86</v>
      </c>
      <c r="D642" s="8">
        <v>17</v>
      </c>
      <c r="E642" s="8">
        <v>105</v>
      </c>
      <c r="F642" s="8">
        <v>29.3</v>
      </c>
      <c r="G642" s="8">
        <v>0.69499999999999995</v>
      </c>
      <c r="H642" s="8">
        <v>27</v>
      </c>
      <c r="I642" s="9">
        <v>120.92743313388421</v>
      </c>
      <c r="J642" s="9">
        <v>-18.927433133884207</v>
      </c>
      <c r="K642" s="8">
        <f t="shared" si="9"/>
        <v>358.24772503765774</v>
      </c>
    </row>
    <row r="643" spans="1:11" x14ac:dyDescent="0.35">
      <c r="A643" s="8">
        <v>128</v>
      </c>
      <c r="B643" s="8">
        <v>4</v>
      </c>
      <c r="C643" s="8">
        <v>70</v>
      </c>
      <c r="D643" s="8">
        <v>0</v>
      </c>
      <c r="E643" s="8">
        <v>0</v>
      </c>
      <c r="F643" s="8">
        <v>34.299999999999997</v>
      </c>
      <c r="G643" s="8">
        <v>0.30299999999999999</v>
      </c>
      <c r="H643" s="8">
        <v>24</v>
      </c>
      <c r="I643" s="9">
        <v>114.51426904659139</v>
      </c>
      <c r="J643" s="9">
        <v>13.485730953408606</v>
      </c>
      <c r="K643" s="8">
        <f t="shared" ref="K643:K706" si="10">J643*J643</f>
        <v>181.86493934772298</v>
      </c>
    </row>
    <row r="644" spans="1:11" x14ac:dyDescent="0.35">
      <c r="A644" s="8">
        <v>147</v>
      </c>
      <c r="B644" s="8">
        <v>6</v>
      </c>
      <c r="C644" s="8">
        <v>80</v>
      </c>
      <c r="D644" s="8">
        <v>0</v>
      </c>
      <c r="E644" s="8">
        <v>0</v>
      </c>
      <c r="F644" s="8">
        <v>29.5</v>
      </c>
      <c r="G644" s="8">
        <v>0.17799999999999999</v>
      </c>
      <c r="H644" s="8">
        <v>50</v>
      </c>
      <c r="I644" s="9">
        <v>127.71824624294224</v>
      </c>
      <c r="J644" s="9">
        <v>19.281753757057757</v>
      </c>
      <c r="K644" s="8">
        <f t="shared" si="10"/>
        <v>371.78602794781091</v>
      </c>
    </row>
    <row r="645" spans="1:11" x14ac:dyDescent="0.35">
      <c r="A645" s="8">
        <v>90</v>
      </c>
      <c r="B645" s="8">
        <v>4</v>
      </c>
      <c r="C645" s="8">
        <v>0</v>
      </c>
      <c r="D645" s="8">
        <v>0</v>
      </c>
      <c r="E645" s="8">
        <v>0</v>
      </c>
      <c r="F645" s="8">
        <v>28</v>
      </c>
      <c r="G645" s="8">
        <v>0.61</v>
      </c>
      <c r="H645" s="8">
        <v>31</v>
      </c>
      <c r="I645" s="9">
        <v>111.34103015124902</v>
      </c>
      <c r="J645" s="9">
        <v>-21.341030151249015</v>
      </c>
      <c r="K645" s="8">
        <f t="shared" si="10"/>
        <v>455.43956791651954</v>
      </c>
    </row>
    <row r="646" spans="1:11" x14ac:dyDescent="0.35">
      <c r="A646" s="8">
        <v>103</v>
      </c>
      <c r="B646" s="8">
        <v>3</v>
      </c>
      <c r="C646" s="8">
        <v>72</v>
      </c>
      <c r="D646" s="8">
        <v>30</v>
      </c>
      <c r="E646" s="8">
        <v>152</v>
      </c>
      <c r="F646" s="8">
        <v>27.6</v>
      </c>
      <c r="G646" s="8">
        <v>0.73</v>
      </c>
      <c r="H646" s="8">
        <v>27</v>
      </c>
      <c r="I646" s="9">
        <v>119.44653039209102</v>
      </c>
      <c r="J646" s="9">
        <v>-16.44653039209102</v>
      </c>
      <c r="K646" s="8">
        <f t="shared" si="10"/>
        <v>270.48836193797359</v>
      </c>
    </row>
    <row r="647" spans="1:11" x14ac:dyDescent="0.35">
      <c r="A647" s="8">
        <v>157</v>
      </c>
      <c r="B647" s="8">
        <v>2</v>
      </c>
      <c r="C647" s="8">
        <v>74</v>
      </c>
      <c r="D647" s="8">
        <v>35</v>
      </c>
      <c r="E647" s="8">
        <v>440</v>
      </c>
      <c r="F647" s="8">
        <v>39.4</v>
      </c>
      <c r="G647" s="8">
        <v>0.13400000000000001</v>
      </c>
      <c r="H647" s="8">
        <v>30</v>
      </c>
      <c r="I647" s="9">
        <v>153.81903135635196</v>
      </c>
      <c r="J647" s="9">
        <v>3.1809686436480433</v>
      </c>
      <c r="K647" s="8">
        <f t="shared" si="10"/>
        <v>10.118561511872073</v>
      </c>
    </row>
    <row r="648" spans="1:11" x14ac:dyDescent="0.35">
      <c r="A648" s="8">
        <v>167</v>
      </c>
      <c r="B648" s="8">
        <v>1</v>
      </c>
      <c r="C648" s="8">
        <v>74</v>
      </c>
      <c r="D648" s="8">
        <v>17</v>
      </c>
      <c r="E648" s="8">
        <v>144</v>
      </c>
      <c r="F648" s="8">
        <v>23.4</v>
      </c>
      <c r="G648" s="8">
        <v>0.44700000000000001</v>
      </c>
      <c r="H648" s="8">
        <v>33</v>
      </c>
      <c r="I648" s="9">
        <v>121.94301096955562</v>
      </c>
      <c r="J648" s="9">
        <v>45.056989030444385</v>
      </c>
      <c r="K648" s="8">
        <f t="shared" si="10"/>
        <v>2030.1322604895856</v>
      </c>
    </row>
    <row r="649" spans="1:11" x14ac:dyDescent="0.35">
      <c r="A649" s="8">
        <v>179</v>
      </c>
      <c r="B649" s="8">
        <v>0</v>
      </c>
      <c r="C649" s="8">
        <v>50</v>
      </c>
      <c r="D649" s="8">
        <v>36</v>
      </c>
      <c r="E649" s="8">
        <v>159</v>
      </c>
      <c r="F649" s="8">
        <v>37.799999999999997</v>
      </c>
      <c r="G649" s="8">
        <v>0.45500000000000002</v>
      </c>
      <c r="H649" s="8">
        <v>22</v>
      </c>
      <c r="I649" s="9">
        <v>119.11666480764981</v>
      </c>
      <c r="J649" s="9">
        <v>59.883335192350188</v>
      </c>
      <c r="K649" s="8">
        <f t="shared" si="10"/>
        <v>3586.0138337593667</v>
      </c>
    </row>
    <row r="650" spans="1:11" x14ac:dyDescent="0.35">
      <c r="A650" s="8">
        <v>136</v>
      </c>
      <c r="B650" s="8">
        <v>11</v>
      </c>
      <c r="C650" s="8">
        <v>84</v>
      </c>
      <c r="D650" s="8">
        <v>35</v>
      </c>
      <c r="E650" s="8">
        <v>130</v>
      </c>
      <c r="F650" s="8">
        <v>28.3</v>
      </c>
      <c r="G650" s="8">
        <v>0.26</v>
      </c>
      <c r="H650" s="8">
        <v>42</v>
      </c>
      <c r="I650" s="9">
        <v>124.11192211432554</v>
      </c>
      <c r="J650" s="9">
        <v>11.888077885674463</v>
      </c>
      <c r="K650" s="8">
        <f t="shared" si="10"/>
        <v>141.32639581586221</v>
      </c>
    </row>
    <row r="651" spans="1:11" x14ac:dyDescent="0.35">
      <c r="A651" s="8">
        <v>107</v>
      </c>
      <c r="B651" s="8">
        <v>0</v>
      </c>
      <c r="C651" s="8">
        <v>60</v>
      </c>
      <c r="D651" s="8">
        <v>25</v>
      </c>
      <c r="E651" s="8">
        <v>0</v>
      </c>
      <c r="F651" s="8">
        <v>26.4</v>
      </c>
      <c r="G651" s="8">
        <v>0.13300000000000001</v>
      </c>
      <c r="H651" s="8">
        <v>23</v>
      </c>
      <c r="I651" s="9">
        <v>97.575718455408207</v>
      </c>
      <c r="J651" s="9">
        <v>9.4242815445917927</v>
      </c>
      <c r="K651" s="8">
        <f t="shared" si="10"/>
        <v>88.81708263173347</v>
      </c>
    </row>
    <row r="652" spans="1:11" x14ac:dyDescent="0.35">
      <c r="A652" s="8">
        <v>91</v>
      </c>
      <c r="B652" s="8">
        <v>1</v>
      </c>
      <c r="C652" s="8">
        <v>54</v>
      </c>
      <c r="D652" s="8">
        <v>25</v>
      </c>
      <c r="E652" s="8">
        <v>100</v>
      </c>
      <c r="F652" s="8">
        <v>25.2</v>
      </c>
      <c r="G652" s="8">
        <v>0.23400000000000001</v>
      </c>
      <c r="H652" s="8">
        <v>23</v>
      </c>
      <c r="I652" s="9">
        <v>106.99987404521171</v>
      </c>
      <c r="J652" s="9">
        <v>-15.999874045211712</v>
      </c>
      <c r="K652" s="8">
        <f t="shared" si="10"/>
        <v>255.99596946263938</v>
      </c>
    </row>
    <row r="653" spans="1:11" x14ac:dyDescent="0.35">
      <c r="A653" s="8">
        <v>117</v>
      </c>
      <c r="B653" s="8">
        <v>1</v>
      </c>
      <c r="C653" s="8">
        <v>60</v>
      </c>
      <c r="D653" s="8">
        <v>23</v>
      </c>
      <c r="E653" s="8">
        <v>106</v>
      </c>
      <c r="F653" s="8">
        <v>33.799999999999997</v>
      </c>
      <c r="G653" s="8">
        <v>0.46600000000000003</v>
      </c>
      <c r="H653" s="8">
        <v>27</v>
      </c>
      <c r="I653" s="9">
        <v>119.19038281693366</v>
      </c>
      <c r="J653" s="9">
        <v>-2.1903828169336634</v>
      </c>
      <c r="K653" s="8">
        <f t="shared" si="10"/>
        <v>4.7977768847182505</v>
      </c>
    </row>
    <row r="654" spans="1:11" x14ac:dyDescent="0.35">
      <c r="A654" s="8">
        <v>123</v>
      </c>
      <c r="B654" s="8">
        <v>5</v>
      </c>
      <c r="C654" s="8">
        <v>74</v>
      </c>
      <c r="D654" s="8">
        <v>40</v>
      </c>
      <c r="E654" s="8">
        <v>77</v>
      </c>
      <c r="F654" s="8">
        <v>34.1</v>
      </c>
      <c r="G654" s="8">
        <v>0.26900000000000002</v>
      </c>
      <c r="H654" s="8">
        <v>28</v>
      </c>
      <c r="I654" s="9">
        <v>111.43642514065715</v>
      </c>
      <c r="J654" s="9">
        <v>11.56357485934285</v>
      </c>
      <c r="K654" s="8">
        <f t="shared" si="10"/>
        <v>133.71626352762601</v>
      </c>
    </row>
    <row r="655" spans="1:11" x14ac:dyDescent="0.35">
      <c r="A655" s="8">
        <v>120</v>
      </c>
      <c r="B655" s="8">
        <v>2</v>
      </c>
      <c r="C655" s="8">
        <v>54</v>
      </c>
      <c r="D655" s="8">
        <v>0</v>
      </c>
      <c r="E655" s="8">
        <v>0</v>
      </c>
      <c r="F655" s="8">
        <v>26.8</v>
      </c>
      <c r="G655" s="8">
        <v>0.45500000000000002</v>
      </c>
      <c r="H655" s="8">
        <v>27</v>
      </c>
      <c r="I655" s="9">
        <v>110.5445626982051</v>
      </c>
      <c r="J655" s="9">
        <v>9.4554373017949018</v>
      </c>
      <c r="K655" s="8">
        <f t="shared" si="10"/>
        <v>89.405294568174455</v>
      </c>
    </row>
    <row r="656" spans="1:11" x14ac:dyDescent="0.35">
      <c r="A656" s="8">
        <v>106</v>
      </c>
      <c r="B656" s="8">
        <v>1</v>
      </c>
      <c r="C656" s="8">
        <v>70</v>
      </c>
      <c r="D656" s="8">
        <v>28</v>
      </c>
      <c r="E656" s="8">
        <v>135</v>
      </c>
      <c r="F656" s="8">
        <v>34.200000000000003</v>
      </c>
      <c r="G656" s="8">
        <v>0.14199999999999999</v>
      </c>
      <c r="H656" s="8">
        <v>22</v>
      </c>
      <c r="I656" s="9">
        <v>116.16069532608232</v>
      </c>
      <c r="J656" s="9">
        <v>-10.160695326082319</v>
      </c>
      <c r="K656" s="8">
        <f t="shared" si="10"/>
        <v>103.23972950947108</v>
      </c>
    </row>
    <row r="657" spans="1:11" x14ac:dyDescent="0.35">
      <c r="A657" s="8">
        <v>155</v>
      </c>
      <c r="B657" s="8">
        <v>2</v>
      </c>
      <c r="C657" s="8">
        <v>52</v>
      </c>
      <c r="D657" s="8">
        <v>27</v>
      </c>
      <c r="E657" s="8">
        <v>540</v>
      </c>
      <c r="F657" s="8">
        <v>38.700000000000003</v>
      </c>
      <c r="G657" s="8">
        <v>0.24</v>
      </c>
      <c r="H657" s="8">
        <v>25</v>
      </c>
      <c r="I657" s="9">
        <v>161.91817042082016</v>
      </c>
      <c r="J657" s="9">
        <v>-6.9181704208201609</v>
      </c>
      <c r="K657" s="8">
        <f t="shared" si="10"/>
        <v>47.861081971510998</v>
      </c>
    </row>
    <row r="658" spans="1:11" x14ac:dyDescent="0.35">
      <c r="A658" s="8">
        <v>101</v>
      </c>
      <c r="B658" s="8">
        <v>2</v>
      </c>
      <c r="C658" s="8">
        <v>58</v>
      </c>
      <c r="D658" s="8">
        <v>35</v>
      </c>
      <c r="E658" s="8">
        <v>90</v>
      </c>
      <c r="F658" s="8">
        <v>21.8</v>
      </c>
      <c r="G658" s="8">
        <v>0.155</v>
      </c>
      <c r="H658" s="8">
        <v>22</v>
      </c>
      <c r="I658" s="9">
        <v>99.296395534577016</v>
      </c>
      <c r="J658" s="9">
        <v>1.703604465422984</v>
      </c>
      <c r="K658" s="8">
        <f t="shared" si="10"/>
        <v>2.9022681746091314</v>
      </c>
    </row>
    <row r="659" spans="1:11" x14ac:dyDescent="0.35">
      <c r="A659" s="8">
        <v>120</v>
      </c>
      <c r="B659" s="8">
        <v>1</v>
      </c>
      <c r="C659" s="8">
        <v>80</v>
      </c>
      <c r="D659" s="8">
        <v>48</v>
      </c>
      <c r="E659" s="8">
        <v>200</v>
      </c>
      <c r="F659" s="8">
        <v>38.9</v>
      </c>
      <c r="G659" s="8">
        <v>1.1619999999999999</v>
      </c>
      <c r="H659" s="8">
        <v>41</v>
      </c>
      <c r="I659" s="9">
        <v>138.93604521703472</v>
      </c>
      <c r="J659" s="9">
        <v>-18.936045217034717</v>
      </c>
      <c r="K659" s="8">
        <f t="shared" si="10"/>
        <v>358.57380846158338</v>
      </c>
    </row>
    <row r="660" spans="1:11" x14ac:dyDescent="0.35">
      <c r="A660" s="8">
        <v>127</v>
      </c>
      <c r="B660" s="8">
        <v>11</v>
      </c>
      <c r="C660" s="8">
        <v>106</v>
      </c>
      <c r="D660" s="8">
        <v>0</v>
      </c>
      <c r="E660" s="8">
        <v>0</v>
      </c>
      <c r="F660" s="8">
        <v>39</v>
      </c>
      <c r="G660" s="8">
        <v>0.19</v>
      </c>
      <c r="H660" s="8">
        <v>51</v>
      </c>
      <c r="I660" s="9">
        <v>137.68250994426708</v>
      </c>
      <c r="J660" s="9">
        <v>-10.682509944267082</v>
      </c>
      <c r="K660" s="8">
        <f t="shared" si="10"/>
        <v>114.11601870936509</v>
      </c>
    </row>
    <row r="661" spans="1:11" x14ac:dyDescent="0.35">
      <c r="A661" s="8">
        <v>80</v>
      </c>
      <c r="B661" s="8">
        <v>3</v>
      </c>
      <c r="C661" s="8">
        <v>82</v>
      </c>
      <c r="D661" s="8">
        <v>31</v>
      </c>
      <c r="E661" s="8">
        <v>70</v>
      </c>
      <c r="F661" s="8">
        <v>34.200000000000003</v>
      </c>
      <c r="G661" s="8">
        <v>1.292</v>
      </c>
      <c r="H661" s="8">
        <v>27</v>
      </c>
      <c r="I661" s="9">
        <v>120.07504172861339</v>
      </c>
      <c r="J661" s="9">
        <v>-40.075041728613385</v>
      </c>
      <c r="K661" s="8">
        <f t="shared" si="10"/>
        <v>1606.0089695501042</v>
      </c>
    </row>
    <row r="662" spans="1:11" x14ac:dyDescent="0.35">
      <c r="A662" s="8">
        <v>162</v>
      </c>
      <c r="B662" s="8">
        <v>10</v>
      </c>
      <c r="C662" s="8">
        <v>84</v>
      </c>
      <c r="D662" s="8">
        <v>0</v>
      </c>
      <c r="E662" s="8">
        <v>0</v>
      </c>
      <c r="F662" s="8">
        <v>27.7</v>
      </c>
      <c r="G662" s="8">
        <v>0.182</v>
      </c>
      <c r="H662" s="8">
        <v>54</v>
      </c>
      <c r="I662" s="9">
        <v>129.48980075136484</v>
      </c>
      <c r="J662" s="9">
        <v>32.510199248635161</v>
      </c>
      <c r="K662" s="8">
        <f t="shared" si="10"/>
        <v>1056.9130551859582</v>
      </c>
    </row>
    <row r="663" spans="1:11" x14ac:dyDescent="0.35">
      <c r="A663" s="8">
        <v>199</v>
      </c>
      <c r="B663" s="8">
        <v>1</v>
      </c>
      <c r="C663" s="8">
        <v>76</v>
      </c>
      <c r="D663" s="8">
        <v>43</v>
      </c>
      <c r="E663" s="8">
        <v>0</v>
      </c>
      <c r="F663" s="8">
        <v>42.9</v>
      </c>
      <c r="G663" s="8">
        <v>1.3939999999999999</v>
      </c>
      <c r="H663" s="8">
        <v>22</v>
      </c>
      <c r="I663" s="9">
        <v>112.43805234691538</v>
      </c>
      <c r="J663" s="9">
        <v>86.561947653084616</v>
      </c>
      <c r="K663" s="8">
        <f t="shared" si="10"/>
        <v>7492.9707814953608</v>
      </c>
    </row>
    <row r="664" spans="1:11" x14ac:dyDescent="0.35">
      <c r="A664" s="8">
        <v>167</v>
      </c>
      <c r="B664" s="8">
        <v>8</v>
      </c>
      <c r="C664" s="8">
        <v>106</v>
      </c>
      <c r="D664" s="8">
        <v>46</v>
      </c>
      <c r="E664" s="8">
        <v>231</v>
      </c>
      <c r="F664" s="8">
        <v>37.6</v>
      </c>
      <c r="G664" s="8">
        <v>0.16500000000000001</v>
      </c>
      <c r="H664" s="8">
        <v>43</v>
      </c>
      <c r="I664" s="9">
        <v>138.97045533060086</v>
      </c>
      <c r="J664" s="9">
        <v>28.029544669399144</v>
      </c>
      <c r="K664" s="8">
        <f t="shared" si="10"/>
        <v>785.65537437384194</v>
      </c>
    </row>
    <row r="665" spans="1:11" x14ac:dyDescent="0.35">
      <c r="A665" s="8">
        <v>145</v>
      </c>
      <c r="B665" s="8">
        <v>9</v>
      </c>
      <c r="C665" s="8">
        <v>80</v>
      </c>
      <c r="D665" s="8">
        <v>46</v>
      </c>
      <c r="E665" s="8">
        <v>130</v>
      </c>
      <c r="F665" s="8">
        <v>37.9</v>
      </c>
      <c r="G665" s="8">
        <v>0.63700000000000001</v>
      </c>
      <c r="H665" s="8">
        <v>40</v>
      </c>
      <c r="I665" s="9">
        <v>128.33075772019535</v>
      </c>
      <c r="J665" s="9">
        <v>16.669242279804649</v>
      </c>
      <c r="K665" s="8">
        <f t="shared" si="10"/>
        <v>277.86363818282689</v>
      </c>
    </row>
    <row r="666" spans="1:11" x14ac:dyDescent="0.35">
      <c r="A666" s="8">
        <v>115</v>
      </c>
      <c r="B666" s="8">
        <v>6</v>
      </c>
      <c r="C666" s="8">
        <v>60</v>
      </c>
      <c r="D666" s="8">
        <v>39</v>
      </c>
      <c r="E666" s="8">
        <v>0</v>
      </c>
      <c r="F666" s="8">
        <v>33.700000000000003</v>
      </c>
      <c r="G666" s="8">
        <v>0.245</v>
      </c>
      <c r="H666" s="8">
        <v>40</v>
      </c>
      <c r="I666" s="9">
        <v>110.4036975324674</v>
      </c>
      <c r="J666" s="9">
        <v>4.5963024675325954</v>
      </c>
      <c r="K666" s="8">
        <f t="shared" si="10"/>
        <v>21.125996373046224</v>
      </c>
    </row>
    <row r="667" spans="1:11" x14ac:dyDescent="0.35">
      <c r="A667" s="8">
        <v>112</v>
      </c>
      <c r="B667" s="8">
        <v>1</v>
      </c>
      <c r="C667" s="8">
        <v>80</v>
      </c>
      <c r="D667" s="8">
        <v>45</v>
      </c>
      <c r="E667" s="8">
        <v>132</v>
      </c>
      <c r="F667" s="8">
        <v>34.799999999999997</v>
      </c>
      <c r="G667" s="8">
        <v>0.217</v>
      </c>
      <c r="H667" s="8">
        <v>24</v>
      </c>
      <c r="I667" s="9">
        <v>113.09176829425006</v>
      </c>
      <c r="J667" s="9">
        <v>-1.0917682942500591</v>
      </c>
      <c r="K667" s="8">
        <f t="shared" si="10"/>
        <v>1.1919580083296835</v>
      </c>
    </row>
    <row r="668" spans="1:11" x14ac:dyDescent="0.35">
      <c r="A668" s="8">
        <v>145</v>
      </c>
      <c r="B668" s="8">
        <v>4</v>
      </c>
      <c r="C668" s="8">
        <v>82</v>
      </c>
      <c r="D668" s="8">
        <v>18</v>
      </c>
      <c r="E668" s="8">
        <v>0</v>
      </c>
      <c r="F668" s="8">
        <v>32.5</v>
      </c>
      <c r="G668" s="8">
        <v>0.23499999999999999</v>
      </c>
      <c r="H668" s="8">
        <v>70</v>
      </c>
      <c r="I668" s="9">
        <v>137.24012164509489</v>
      </c>
      <c r="J668" s="9">
        <v>7.759878354905112</v>
      </c>
      <c r="K668" s="8">
        <f t="shared" si="10"/>
        <v>60.215712082924867</v>
      </c>
    </row>
    <row r="669" spans="1:11" x14ac:dyDescent="0.35">
      <c r="A669" s="8">
        <v>111</v>
      </c>
      <c r="B669" s="8">
        <v>10</v>
      </c>
      <c r="C669" s="8">
        <v>70</v>
      </c>
      <c r="D669" s="8">
        <v>27</v>
      </c>
      <c r="E669" s="8">
        <v>0</v>
      </c>
      <c r="F669" s="8">
        <v>27.5</v>
      </c>
      <c r="G669" s="8">
        <v>0.14099999999999999</v>
      </c>
      <c r="H669" s="8">
        <v>40</v>
      </c>
      <c r="I669" s="9">
        <v>110.04194607606588</v>
      </c>
      <c r="J669" s="9">
        <v>0.95805392393411637</v>
      </c>
      <c r="K669" s="8">
        <f t="shared" si="10"/>
        <v>0.91786732116555758</v>
      </c>
    </row>
    <row r="670" spans="1:11" x14ac:dyDescent="0.35">
      <c r="A670" s="8">
        <v>98</v>
      </c>
      <c r="B670" s="8">
        <v>6</v>
      </c>
      <c r="C670" s="8">
        <v>58</v>
      </c>
      <c r="D670" s="8">
        <v>33</v>
      </c>
      <c r="E670" s="8">
        <v>190</v>
      </c>
      <c r="F670" s="8">
        <v>34</v>
      </c>
      <c r="G670" s="8">
        <v>0.43</v>
      </c>
      <c r="H670" s="8">
        <v>43</v>
      </c>
      <c r="I670" s="9">
        <v>134.68942224952548</v>
      </c>
      <c r="J670" s="9">
        <v>-36.689422249525478</v>
      </c>
      <c r="K670" s="8">
        <f t="shared" si="10"/>
        <v>1346.1137050039752</v>
      </c>
    </row>
    <row r="671" spans="1:11" x14ac:dyDescent="0.35">
      <c r="A671" s="8">
        <v>154</v>
      </c>
      <c r="B671" s="8">
        <v>9</v>
      </c>
      <c r="C671" s="8">
        <v>78</v>
      </c>
      <c r="D671" s="8">
        <v>30</v>
      </c>
      <c r="E671" s="8">
        <v>100</v>
      </c>
      <c r="F671" s="8">
        <v>30.9</v>
      </c>
      <c r="G671" s="8">
        <v>0.16400000000000001</v>
      </c>
      <c r="H671" s="8">
        <v>45</v>
      </c>
      <c r="I671" s="9">
        <v>125.51097915970675</v>
      </c>
      <c r="J671" s="9">
        <v>28.48902084029325</v>
      </c>
      <c r="K671" s="8">
        <f t="shared" si="10"/>
        <v>811.62430843866309</v>
      </c>
    </row>
    <row r="672" spans="1:11" x14ac:dyDescent="0.35">
      <c r="A672" s="8">
        <v>165</v>
      </c>
      <c r="B672" s="8">
        <v>6</v>
      </c>
      <c r="C672" s="8">
        <v>68</v>
      </c>
      <c r="D672" s="8">
        <v>26</v>
      </c>
      <c r="E672" s="8">
        <v>168</v>
      </c>
      <c r="F672" s="8">
        <v>33.6</v>
      </c>
      <c r="G672" s="8">
        <v>0.63100000000000001</v>
      </c>
      <c r="H672" s="8">
        <v>49</v>
      </c>
      <c r="I672" s="9">
        <v>140.35997524316667</v>
      </c>
      <c r="J672" s="9">
        <v>24.640024756833327</v>
      </c>
      <c r="K672" s="8">
        <f t="shared" si="10"/>
        <v>607.13082001735927</v>
      </c>
    </row>
    <row r="673" spans="1:11" x14ac:dyDescent="0.35">
      <c r="A673" s="8">
        <v>99</v>
      </c>
      <c r="B673" s="8">
        <v>1</v>
      </c>
      <c r="C673" s="8">
        <v>58</v>
      </c>
      <c r="D673" s="8">
        <v>10</v>
      </c>
      <c r="E673" s="8">
        <v>0</v>
      </c>
      <c r="F673" s="8">
        <v>25.4</v>
      </c>
      <c r="G673" s="8">
        <v>0.55100000000000005</v>
      </c>
      <c r="H673" s="8">
        <v>21</v>
      </c>
      <c r="I673" s="9">
        <v>103.10767561045306</v>
      </c>
      <c r="J673" s="9">
        <v>-4.1076756104530574</v>
      </c>
      <c r="K673" s="8">
        <f t="shared" si="10"/>
        <v>16.872998920710899</v>
      </c>
    </row>
    <row r="674" spans="1:11" x14ac:dyDescent="0.35">
      <c r="A674" s="8">
        <v>68</v>
      </c>
      <c r="B674" s="8">
        <v>10</v>
      </c>
      <c r="C674" s="8">
        <v>106</v>
      </c>
      <c r="D674" s="8">
        <v>23</v>
      </c>
      <c r="E674" s="8">
        <v>49</v>
      </c>
      <c r="F674" s="8">
        <v>35.5</v>
      </c>
      <c r="G674" s="8">
        <v>0.28499999999999998</v>
      </c>
      <c r="H674" s="8">
        <v>47</v>
      </c>
      <c r="I674" s="9">
        <v>130.25228764267769</v>
      </c>
      <c r="J674" s="9">
        <v>-62.252287642677686</v>
      </c>
      <c r="K674" s="8">
        <f t="shared" si="10"/>
        <v>3875.3473167466809</v>
      </c>
    </row>
    <row r="675" spans="1:11" x14ac:dyDescent="0.35">
      <c r="A675" s="8">
        <v>123</v>
      </c>
      <c r="B675" s="8">
        <v>3</v>
      </c>
      <c r="C675" s="8">
        <v>100</v>
      </c>
      <c r="D675" s="8">
        <v>35</v>
      </c>
      <c r="E675" s="8">
        <v>240</v>
      </c>
      <c r="F675" s="8">
        <v>57.3</v>
      </c>
      <c r="G675" s="8">
        <v>0.88</v>
      </c>
      <c r="H675" s="8">
        <v>22</v>
      </c>
      <c r="I675" s="9">
        <v>148.58319452627515</v>
      </c>
      <c r="J675" s="9">
        <v>-25.58319452627515</v>
      </c>
      <c r="K675" s="8">
        <f t="shared" si="10"/>
        <v>654.49984216923485</v>
      </c>
    </row>
    <row r="676" spans="1:11" x14ac:dyDescent="0.35">
      <c r="A676" s="8">
        <v>91</v>
      </c>
      <c r="B676" s="8">
        <v>8</v>
      </c>
      <c r="C676" s="8">
        <v>82</v>
      </c>
      <c r="D676" s="8">
        <v>0</v>
      </c>
      <c r="E676" s="8">
        <v>0</v>
      </c>
      <c r="F676" s="8">
        <v>35.6</v>
      </c>
      <c r="G676" s="8">
        <v>0.58699999999999997</v>
      </c>
      <c r="H676" s="8">
        <v>68</v>
      </c>
      <c r="I676" s="9">
        <v>146.75096238791795</v>
      </c>
      <c r="J676" s="9">
        <v>-55.750962387917951</v>
      </c>
      <c r="K676" s="8">
        <f t="shared" si="10"/>
        <v>3108.169807179042</v>
      </c>
    </row>
    <row r="677" spans="1:11" x14ac:dyDescent="0.35">
      <c r="A677" s="8">
        <v>195</v>
      </c>
      <c r="B677" s="8">
        <v>6</v>
      </c>
      <c r="C677" s="8">
        <v>70</v>
      </c>
      <c r="D677" s="8">
        <v>0</v>
      </c>
      <c r="E677" s="8">
        <v>0</v>
      </c>
      <c r="F677" s="8">
        <v>30.9</v>
      </c>
      <c r="G677" s="8">
        <v>0.32800000000000001</v>
      </c>
      <c r="H677" s="8">
        <v>31</v>
      </c>
      <c r="I677" s="9">
        <v>116.75582005306222</v>
      </c>
      <c r="J677" s="9">
        <v>78.244179946937777</v>
      </c>
      <c r="K677" s="8">
        <f t="shared" si="10"/>
        <v>6122.1516955687794</v>
      </c>
    </row>
    <row r="678" spans="1:11" x14ac:dyDescent="0.35">
      <c r="A678" s="8">
        <v>156</v>
      </c>
      <c r="B678" s="8">
        <v>9</v>
      </c>
      <c r="C678" s="8">
        <v>86</v>
      </c>
      <c r="D678" s="8">
        <v>0</v>
      </c>
      <c r="E678" s="8">
        <v>0</v>
      </c>
      <c r="F678" s="8">
        <v>24.8</v>
      </c>
      <c r="G678" s="8">
        <v>0.23</v>
      </c>
      <c r="H678" s="8">
        <v>53</v>
      </c>
      <c r="I678" s="9">
        <v>127.05301967688088</v>
      </c>
      <c r="J678" s="9">
        <v>28.946980323119121</v>
      </c>
      <c r="K678" s="8">
        <f t="shared" si="10"/>
        <v>837.92766982704552</v>
      </c>
    </row>
    <row r="679" spans="1:11" x14ac:dyDescent="0.35">
      <c r="A679" s="8">
        <v>93</v>
      </c>
      <c r="B679" s="8">
        <v>0</v>
      </c>
      <c r="C679" s="8">
        <v>60</v>
      </c>
      <c r="D679" s="8">
        <v>0</v>
      </c>
      <c r="E679" s="8">
        <v>0</v>
      </c>
      <c r="F679" s="8">
        <v>35.299999999999997</v>
      </c>
      <c r="G679" s="8">
        <v>0.26300000000000001</v>
      </c>
      <c r="H679" s="8">
        <v>25</v>
      </c>
      <c r="I679" s="9">
        <v>114.72119959735822</v>
      </c>
      <c r="J679" s="9">
        <v>-21.721199597358222</v>
      </c>
      <c r="K679" s="8">
        <f t="shared" si="10"/>
        <v>471.81051194827501</v>
      </c>
    </row>
    <row r="680" spans="1:11" x14ac:dyDescent="0.35">
      <c r="A680" s="8">
        <v>121</v>
      </c>
      <c r="B680" s="8">
        <v>3</v>
      </c>
      <c r="C680" s="8">
        <v>52</v>
      </c>
      <c r="D680" s="8">
        <v>0</v>
      </c>
      <c r="E680" s="8">
        <v>0</v>
      </c>
      <c r="F680" s="8">
        <v>36</v>
      </c>
      <c r="G680" s="8">
        <v>0.127</v>
      </c>
      <c r="H680" s="8">
        <v>25</v>
      </c>
      <c r="I680" s="9">
        <v>114.00386994512738</v>
      </c>
      <c r="J680" s="9">
        <v>6.9961300548726228</v>
      </c>
      <c r="K680" s="8">
        <f t="shared" si="10"/>
        <v>48.945835744692012</v>
      </c>
    </row>
    <row r="681" spans="1:11" x14ac:dyDescent="0.35">
      <c r="A681" s="8">
        <v>101</v>
      </c>
      <c r="B681" s="8">
        <v>2</v>
      </c>
      <c r="C681" s="8">
        <v>58</v>
      </c>
      <c r="D681" s="8">
        <v>17</v>
      </c>
      <c r="E681" s="8">
        <v>265</v>
      </c>
      <c r="F681" s="8">
        <v>24.2</v>
      </c>
      <c r="G681" s="8">
        <v>0.61399999999999999</v>
      </c>
      <c r="H681" s="8">
        <v>23</v>
      </c>
      <c r="I681" s="9">
        <v>128.24174534842143</v>
      </c>
      <c r="J681" s="9">
        <v>-27.241745348421432</v>
      </c>
      <c r="K681" s="8">
        <f t="shared" si="10"/>
        <v>742.11268962824067</v>
      </c>
    </row>
    <row r="682" spans="1:11" x14ac:dyDescent="0.35">
      <c r="A682" s="8">
        <v>56</v>
      </c>
      <c r="B682" s="8">
        <v>2</v>
      </c>
      <c r="C682" s="8">
        <v>56</v>
      </c>
      <c r="D682" s="8">
        <v>28</v>
      </c>
      <c r="E682" s="8">
        <v>45</v>
      </c>
      <c r="F682" s="8">
        <v>24.2</v>
      </c>
      <c r="G682" s="8">
        <v>0.33200000000000002</v>
      </c>
      <c r="H682" s="8">
        <v>22</v>
      </c>
      <c r="I682" s="9">
        <v>99.893221687106319</v>
      </c>
      <c r="J682" s="9">
        <v>-43.893221687106319</v>
      </c>
      <c r="K682" s="8">
        <f t="shared" si="10"/>
        <v>1926.6149100734606</v>
      </c>
    </row>
    <row r="683" spans="1:11" x14ac:dyDescent="0.35">
      <c r="A683" s="8">
        <v>162</v>
      </c>
      <c r="B683" s="8">
        <v>0</v>
      </c>
      <c r="C683" s="8">
        <v>76</v>
      </c>
      <c r="D683" s="8">
        <v>36</v>
      </c>
      <c r="E683" s="8">
        <v>0</v>
      </c>
      <c r="F683" s="8">
        <v>49.6</v>
      </c>
      <c r="G683" s="8">
        <v>0.36399999999999999</v>
      </c>
      <c r="H683" s="8">
        <v>26</v>
      </c>
      <c r="I683" s="9">
        <v>115.82116857905888</v>
      </c>
      <c r="J683" s="9">
        <v>46.178831420941123</v>
      </c>
      <c r="K683" s="8">
        <f t="shared" si="10"/>
        <v>2132.484471403699</v>
      </c>
    </row>
    <row r="684" spans="1:11" x14ac:dyDescent="0.35">
      <c r="A684" s="8">
        <v>95</v>
      </c>
      <c r="B684" s="8">
        <v>0</v>
      </c>
      <c r="C684" s="8">
        <v>64</v>
      </c>
      <c r="D684" s="8">
        <v>39</v>
      </c>
      <c r="E684" s="8">
        <v>105</v>
      </c>
      <c r="F684" s="8">
        <v>44.6</v>
      </c>
      <c r="G684" s="8">
        <v>0.36599999999999999</v>
      </c>
      <c r="H684" s="8">
        <v>22</v>
      </c>
      <c r="I684" s="9">
        <v>118.20839241127931</v>
      </c>
      <c r="J684" s="9">
        <v>-23.208392411279306</v>
      </c>
      <c r="K684" s="8">
        <f t="shared" si="10"/>
        <v>538.62947831592692</v>
      </c>
    </row>
    <row r="685" spans="1:11" x14ac:dyDescent="0.35">
      <c r="A685" s="8">
        <v>125</v>
      </c>
      <c r="B685" s="8">
        <v>4</v>
      </c>
      <c r="C685" s="8">
        <v>80</v>
      </c>
      <c r="D685" s="8">
        <v>0</v>
      </c>
      <c r="E685" s="8">
        <v>0</v>
      </c>
      <c r="F685" s="8">
        <v>32.299999999999997</v>
      </c>
      <c r="G685" s="8">
        <v>0.53600000000000003</v>
      </c>
      <c r="H685" s="8">
        <v>27</v>
      </c>
      <c r="I685" s="9">
        <v>117.12147341567872</v>
      </c>
      <c r="J685" s="9">
        <v>7.8785265843212784</v>
      </c>
      <c r="K685" s="8">
        <f t="shared" si="10"/>
        <v>62.07118113985711</v>
      </c>
    </row>
    <row r="686" spans="1:11" x14ac:dyDescent="0.35">
      <c r="A686" s="8">
        <v>136</v>
      </c>
      <c r="B686" s="8">
        <v>5</v>
      </c>
      <c r="C686" s="8">
        <v>82</v>
      </c>
      <c r="D686" s="8">
        <v>0</v>
      </c>
      <c r="E686" s="8">
        <v>0</v>
      </c>
      <c r="F686" s="8">
        <v>0</v>
      </c>
      <c r="G686" s="8">
        <v>0.64</v>
      </c>
      <c r="H686" s="8">
        <v>69</v>
      </c>
      <c r="I686" s="9">
        <v>120.84376356197043</v>
      </c>
      <c r="J686" s="9">
        <v>15.156236438029566</v>
      </c>
      <c r="K686" s="8">
        <f t="shared" si="10"/>
        <v>229.71150296545514</v>
      </c>
    </row>
    <row r="687" spans="1:11" x14ac:dyDescent="0.35">
      <c r="A687" s="8">
        <v>129</v>
      </c>
      <c r="B687" s="8">
        <v>2</v>
      </c>
      <c r="C687" s="8">
        <v>74</v>
      </c>
      <c r="D687" s="8">
        <v>26</v>
      </c>
      <c r="E687" s="8">
        <v>205</v>
      </c>
      <c r="F687" s="8">
        <v>33.200000000000003</v>
      </c>
      <c r="G687" s="8">
        <v>0.59099999999999997</v>
      </c>
      <c r="H687" s="8">
        <v>25</v>
      </c>
      <c r="I687" s="9">
        <v>128.22321343675068</v>
      </c>
      <c r="J687" s="9">
        <v>0.77678656324931694</v>
      </c>
      <c r="K687" s="8">
        <f t="shared" si="10"/>
        <v>0.60339736484468509</v>
      </c>
    </row>
    <row r="688" spans="1:11" x14ac:dyDescent="0.35">
      <c r="A688" s="8">
        <v>130</v>
      </c>
      <c r="B688" s="8">
        <v>3</v>
      </c>
      <c r="C688" s="8">
        <v>64</v>
      </c>
      <c r="D688" s="8">
        <v>0</v>
      </c>
      <c r="E688" s="8">
        <v>0</v>
      </c>
      <c r="F688" s="8">
        <v>23.1</v>
      </c>
      <c r="G688" s="8">
        <v>0.314</v>
      </c>
      <c r="H688" s="8">
        <v>22</v>
      </c>
      <c r="I688" s="9">
        <v>104.41082004876796</v>
      </c>
      <c r="J688" s="9">
        <v>25.58917995123204</v>
      </c>
      <c r="K688" s="8">
        <f t="shared" si="10"/>
        <v>654.80613057653579</v>
      </c>
    </row>
    <row r="689" spans="1:11" x14ac:dyDescent="0.35">
      <c r="A689" s="8">
        <v>107</v>
      </c>
      <c r="B689" s="8">
        <v>1</v>
      </c>
      <c r="C689" s="8">
        <v>50</v>
      </c>
      <c r="D689" s="8">
        <v>19</v>
      </c>
      <c r="E689" s="8">
        <v>0</v>
      </c>
      <c r="F689" s="8">
        <v>28.3</v>
      </c>
      <c r="G689" s="8">
        <v>0.18099999999999999</v>
      </c>
      <c r="H689" s="8">
        <v>29</v>
      </c>
      <c r="I689" s="9">
        <v>104.54009889209601</v>
      </c>
      <c r="J689" s="9">
        <v>2.4599011079039883</v>
      </c>
      <c r="K689" s="8">
        <f t="shared" si="10"/>
        <v>6.0511134606672687</v>
      </c>
    </row>
    <row r="690" spans="1:11" x14ac:dyDescent="0.35">
      <c r="A690" s="8">
        <v>140</v>
      </c>
      <c r="B690" s="8">
        <v>1</v>
      </c>
      <c r="C690" s="8">
        <v>74</v>
      </c>
      <c r="D690" s="8">
        <v>26</v>
      </c>
      <c r="E690" s="8">
        <v>180</v>
      </c>
      <c r="F690" s="8">
        <v>24.1</v>
      </c>
      <c r="G690" s="8">
        <v>0.82799999999999996</v>
      </c>
      <c r="H690" s="8">
        <v>23</v>
      </c>
      <c r="I690" s="9">
        <v>119.03108712702901</v>
      </c>
      <c r="J690" s="9">
        <v>20.968912872970989</v>
      </c>
      <c r="K690" s="8">
        <f t="shared" si="10"/>
        <v>439.69530707424849</v>
      </c>
    </row>
    <row r="691" spans="1:11" x14ac:dyDescent="0.35">
      <c r="A691" s="8">
        <v>144</v>
      </c>
      <c r="B691" s="8">
        <v>1</v>
      </c>
      <c r="C691" s="8">
        <v>82</v>
      </c>
      <c r="D691" s="8">
        <v>46</v>
      </c>
      <c r="E691" s="8">
        <v>180</v>
      </c>
      <c r="F691" s="8">
        <v>46.1</v>
      </c>
      <c r="G691" s="8">
        <v>0.33500000000000002</v>
      </c>
      <c r="H691" s="8">
        <v>46</v>
      </c>
      <c r="I691" s="9">
        <v>141.1399276095336</v>
      </c>
      <c r="J691" s="9">
        <v>2.8600723904663994</v>
      </c>
      <c r="K691" s="8">
        <f t="shared" si="10"/>
        <v>8.1800140787081848</v>
      </c>
    </row>
    <row r="692" spans="1:11" x14ac:dyDescent="0.35">
      <c r="A692" s="8">
        <v>107</v>
      </c>
      <c r="B692" s="8">
        <v>8</v>
      </c>
      <c r="C692" s="8">
        <v>80</v>
      </c>
      <c r="D692" s="8">
        <v>0</v>
      </c>
      <c r="E692" s="8">
        <v>0</v>
      </c>
      <c r="F692" s="8">
        <v>24.6</v>
      </c>
      <c r="G692" s="8">
        <v>0.85599999999999998</v>
      </c>
      <c r="H692" s="8">
        <v>34</v>
      </c>
      <c r="I692" s="9">
        <v>118.11787329467258</v>
      </c>
      <c r="J692" s="9">
        <v>-11.117873294672577</v>
      </c>
      <c r="K692" s="8">
        <f t="shared" si="10"/>
        <v>123.60710659639366</v>
      </c>
    </row>
    <row r="693" spans="1:11" x14ac:dyDescent="0.35">
      <c r="A693" s="8">
        <v>158</v>
      </c>
      <c r="B693" s="8">
        <v>13</v>
      </c>
      <c r="C693" s="8">
        <v>114</v>
      </c>
      <c r="D693" s="8">
        <v>0</v>
      </c>
      <c r="E693" s="8">
        <v>0</v>
      </c>
      <c r="F693" s="8">
        <v>42.3</v>
      </c>
      <c r="G693" s="8">
        <v>0.25700000000000001</v>
      </c>
      <c r="H693" s="8">
        <v>44</v>
      </c>
      <c r="I693" s="9">
        <v>136.74293298266122</v>
      </c>
      <c r="J693" s="9">
        <v>21.257067017338784</v>
      </c>
      <c r="K693" s="8">
        <f t="shared" si="10"/>
        <v>451.8628981796324</v>
      </c>
    </row>
    <row r="694" spans="1:11" x14ac:dyDescent="0.35">
      <c r="A694" s="8">
        <v>121</v>
      </c>
      <c r="B694" s="8">
        <v>2</v>
      </c>
      <c r="C694" s="8">
        <v>70</v>
      </c>
      <c r="D694" s="8">
        <v>32</v>
      </c>
      <c r="E694" s="8">
        <v>95</v>
      </c>
      <c r="F694" s="8">
        <v>39.1</v>
      </c>
      <c r="G694" s="8">
        <v>0.88600000000000001</v>
      </c>
      <c r="H694" s="8">
        <v>23</v>
      </c>
      <c r="I694" s="9">
        <v>119.88445790553892</v>
      </c>
      <c r="J694" s="9">
        <v>1.1155420944610768</v>
      </c>
      <c r="K694" s="8">
        <f t="shared" si="10"/>
        <v>1.244434164514606</v>
      </c>
    </row>
    <row r="695" spans="1:11" x14ac:dyDescent="0.35">
      <c r="A695" s="8">
        <v>129</v>
      </c>
      <c r="B695" s="8">
        <v>7</v>
      </c>
      <c r="C695" s="8">
        <v>68</v>
      </c>
      <c r="D695" s="8">
        <v>49</v>
      </c>
      <c r="E695" s="8">
        <v>125</v>
      </c>
      <c r="F695" s="8">
        <v>38.5</v>
      </c>
      <c r="G695" s="8">
        <v>0.439</v>
      </c>
      <c r="H695" s="8">
        <v>43</v>
      </c>
      <c r="I695" s="9">
        <v>127.00274287979691</v>
      </c>
      <c r="J695" s="9">
        <v>1.9972571202030878</v>
      </c>
      <c r="K695" s="8">
        <f t="shared" si="10"/>
        <v>3.9890360042019313</v>
      </c>
    </row>
    <row r="696" spans="1:11" x14ac:dyDescent="0.35">
      <c r="A696" s="8">
        <v>90</v>
      </c>
      <c r="B696" s="8">
        <v>2</v>
      </c>
      <c r="C696" s="8">
        <v>60</v>
      </c>
      <c r="D696" s="8">
        <v>0</v>
      </c>
      <c r="E696" s="8">
        <v>0</v>
      </c>
      <c r="F696" s="8">
        <v>23.5</v>
      </c>
      <c r="G696" s="8">
        <v>0.191</v>
      </c>
      <c r="H696" s="8">
        <v>25</v>
      </c>
      <c r="I696" s="9">
        <v>105.53077832298801</v>
      </c>
      <c r="J696" s="9">
        <v>-15.530778322988013</v>
      </c>
      <c r="K696" s="8">
        <f t="shared" si="10"/>
        <v>241.20507531779435</v>
      </c>
    </row>
    <row r="697" spans="1:11" x14ac:dyDescent="0.35">
      <c r="A697" s="8">
        <v>142</v>
      </c>
      <c r="B697" s="8">
        <v>7</v>
      </c>
      <c r="C697" s="8">
        <v>90</v>
      </c>
      <c r="D697" s="8">
        <v>24</v>
      </c>
      <c r="E697" s="8">
        <v>480</v>
      </c>
      <c r="F697" s="8">
        <v>30.4</v>
      </c>
      <c r="G697" s="8">
        <v>0.128</v>
      </c>
      <c r="H697" s="8">
        <v>43</v>
      </c>
      <c r="I697" s="9">
        <v>164.52783266711327</v>
      </c>
      <c r="J697" s="9">
        <v>-22.527832667113273</v>
      </c>
      <c r="K697" s="8">
        <f t="shared" si="10"/>
        <v>507.50324467745594</v>
      </c>
    </row>
    <row r="698" spans="1:11" x14ac:dyDescent="0.35">
      <c r="A698" s="8">
        <v>169</v>
      </c>
      <c r="B698" s="8">
        <v>3</v>
      </c>
      <c r="C698" s="8">
        <v>74</v>
      </c>
      <c r="D698" s="8">
        <v>19</v>
      </c>
      <c r="E698" s="8">
        <v>125</v>
      </c>
      <c r="F698" s="8">
        <v>29.9</v>
      </c>
      <c r="G698" s="8">
        <v>0.26800000000000002</v>
      </c>
      <c r="H698" s="8">
        <v>31</v>
      </c>
      <c r="I698" s="9">
        <v>121.93903023192229</v>
      </c>
      <c r="J698" s="9">
        <v>47.060969768077712</v>
      </c>
      <c r="K698" s="8">
        <f t="shared" si="10"/>
        <v>2214.7348755119242</v>
      </c>
    </row>
    <row r="699" spans="1:11" x14ac:dyDescent="0.35">
      <c r="A699" s="8">
        <v>99</v>
      </c>
      <c r="B699" s="8">
        <v>0</v>
      </c>
      <c r="C699" s="8">
        <v>0</v>
      </c>
      <c r="D699" s="8">
        <v>0</v>
      </c>
      <c r="E699" s="8">
        <v>0</v>
      </c>
      <c r="F699" s="8">
        <v>25</v>
      </c>
      <c r="G699" s="8">
        <v>0.253</v>
      </c>
      <c r="H699" s="8">
        <v>22</v>
      </c>
      <c r="I699" s="9">
        <v>100.79225715728249</v>
      </c>
      <c r="J699" s="9">
        <v>-1.7922571572824921</v>
      </c>
      <c r="K699" s="8">
        <f t="shared" si="10"/>
        <v>3.2121857178303199</v>
      </c>
    </row>
    <row r="700" spans="1:11" x14ac:dyDescent="0.35">
      <c r="A700" s="8">
        <v>127</v>
      </c>
      <c r="B700" s="8">
        <v>4</v>
      </c>
      <c r="C700" s="8">
        <v>88</v>
      </c>
      <c r="D700" s="8">
        <v>11</v>
      </c>
      <c r="E700" s="8">
        <v>155</v>
      </c>
      <c r="F700" s="8">
        <v>34.5</v>
      </c>
      <c r="G700" s="8">
        <v>0.59799999999999998</v>
      </c>
      <c r="H700" s="8">
        <v>28</v>
      </c>
      <c r="I700" s="9">
        <v>132.26668321738765</v>
      </c>
      <c r="J700" s="9">
        <v>-5.2666832173876514</v>
      </c>
      <c r="K700" s="8">
        <f t="shared" si="10"/>
        <v>27.737952112312744</v>
      </c>
    </row>
    <row r="701" spans="1:11" x14ac:dyDescent="0.35">
      <c r="A701" s="8">
        <v>118</v>
      </c>
      <c r="B701" s="8">
        <v>4</v>
      </c>
      <c r="C701" s="8">
        <v>70</v>
      </c>
      <c r="D701" s="8">
        <v>0</v>
      </c>
      <c r="E701" s="8">
        <v>0</v>
      </c>
      <c r="F701" s="8">
        <v>44.5</v>
      </c>
      <c r="G701" s="8">
        <v>0.90400000000000003</v>
      </c>
      <c r="H701" s="8">
        <v>26</v>
      </c>
      <c r="I701" s="9">
        <v>127.25385609201307</v>
      </c>
      <c r="J701" s="9">
        <v>-9.2538560920130664</v>
      </c>
      <c r="K701" s="8">
        <f t="shared" si="10"/>
        <v>85.633852571687342</v>
      </c>
    </row>
    <row r="702" spans="1:11" x14ac:dyDescent="0.35">
      <c r="A702" s="8">
        <v>122</v>
      </c>
      <c r="B702" s="8">
        <v>2</v>
      </c>
      <c r="C702" s="8">
        <v>76</v>
      </c>
      <c r="D702" s="8">
        <v>27</v>
      </c>
      <c r="E702" s="8">
        <v>200</v>
      </c>
      <c r="F702" s="8">
        <v>35.9</v>
      </c>
      <c r="G702" s="8">
        <v>0.48299999999999998</v>
      </c>
      <c r="H702" s="8">
        <v>26</v>
      </c>
      <c r="I702" s="9">
        <v>129.51553850283733</v>
      </c>
      <c r="J702" s="9">
        <v>-7.5155385028373303</v>
      </c>
      <c r="K702" s="8">
        <f t="shared" si="10"/>
        <v>56.483318987630376</v>
      </c>
    </row>
    <row r="703" spans="1:11" x14ac:dyDescent="0.35">
      <c r="A703" s="8">
        <v>125</v>
      </c>
      <c r="B703" s="8">
        <v>6</v>
      </c>
      <c r="C703" s="8">
        <v>78</v>
      </c>
      <c r="D703" s="8">
        <v>31</v>
      </c>
      <c r="E703" s="8">
        <v>0</v>
      </c>
      <c r="F703" s="8">
        <v>27.6</v>
      </c>
      <c r="G703" s="8">
        <v>0.56499999999999995</v>
      </c>
      <c r="H703" s="8">
        <v>49</v>
      </c>
      <c r="I703" s="9">
        <v>117.59002474903338</v>
      </c>
      <c r="J703" s="9">
        <v>7.4099752509666246</v>
      </c>
      <c r="K703" s="8">
        <f t="shared" si="10"/>
        <v>54.907733219937889</v>
      </c>
    </row>
    <row r="704" spans="1:11" x14ac:dyDescent="0.35">
      <c r="A704" s="8">
        <v>168</v>
      </c>
      <c r="B704" s="8">
        <v>1</v>
      </c>
      <c r="C704" s="8">
        <v>88</v>
      </c>
      <c r="D704" s="8">
        <v>29</v>
      </c>
      <c r="E704" s="8">
        <v>0</v>
      </c>
      <c r="F704" s="8">
        <v>35</v>
      </c>
      <c r="G704" s="8">
        <v>0.90500000000000003</v>
      </c>
      <c r="H704" s="8">
        <v>52</v>
      </c>
      <c r="I704" s="9">
        <v>128.29977496034479</v>
      </c>
      <c r="J704" s="9">
        <v>39.700225039655209</v>
      </c>
      <c r="K704" s="8">
        <f t="shared" si="10"/>
        <v>1576.1078681992665</v>
      </c>
    </row>
    <row r="705" spans="1:11" x14ac:dyDescent="0.35">
      <c r="A705" s="8">
        <v>129</v>
      </c>
      <c r="B705" s="8">
        <v>2</v>
      </c>
      <c r="C705" s="8">
        <v>0</v>
      </c>
      <c r="D705" s="8">
        <v>0</v>
      </c>
      <c r="E705" s="8">
        <v>0</v>
      </c>
      <c r="F705" s="8">
        <v>38.5</v>
      </c>
      <c r="G705" s="8">
        <v>0.30399999999999999</v>
      </c>
      <c r="H705" s="8">
        <v>41</v>
      </c>
      <c r="I705" s="9">
        <v>123.62113252826968</v>
      </c>
      <c r="J705" s="9">
        <v>5.3788674717303167</v>
      </c>
      <c r="K705" s="8">
        <f t="shared" si="10"/>
        <v>28.932215278438488</v>
      </c>
    </row>
    <row r="706" spans="1:11" x14ac:dyDescent="0.35">
      <c r="A706" s="8">
        <v>110</v>
      </c>
      <c r="B706" s="8">
        <v>4</v>
      </c>
      <c r="C706" s="8">
        <v>76</v>
      </c>
      <c r="D706" s="8">
        <v>20</v>
      </c>
      <c r="E706" s="8">
        <v>100</v>
      </c>
      <c r="F706" s="8">
        <v>28.4</v>
      </c>
      <c r="G706" s="8">
        <v>0.11799999999999999</v>
      </c>
      <c r="H706" s="8">
        <v>27</v>
      </c>
      <c r="I706" s="9">
        <v>114.63787527911748</v>
      </c>
      <c r="J706" s="9">
        <v>-4.6378752791174804</v>
      </c>
      <c r="K706" s="8">
        <f t="shared" si="10"/>
        <v>21.509887104649046</v>
      </c>
    </row>
    <row r="707" spans="1:11" x14ac:dyDescent="0.35">
      <c r="A707" s="8">
        <v>80</v>
      </c>
      <c r="B707" s="8">
        <v>6</v>
      </c>
      <c r="C707" s="8">
        <v>80</v>
      </c>
      <c r="D707" s="8">
        <v>36</v>
      </c>
      <c r="E707" s="8">
        <v>0</v>
      </c>
      <c r="F707" s="8">
        <v>39.799999999999997</v>
      </c>
      <c r="G707" s="8">
        <v>0.17699999999999999</v>
      </c>
      <c r="H707" s="8">
        <v>28</v>
      </c>
      <c r="I707" s="9">
        <v>109.21126724739877</v>
      </c>
      <c r="J707" s="9">
        <v>-29.211267247398766</v>
      </c>
      <c r="K707" s="8">
        <f t="shared" ref="K707:K769" si="11">J707*J707</f>
        <v>853.29813419895186</v>
      </c>
    </row>
    <row r="708" spans="1:11" x14ac:dyDescent="0.35">
      <c r="A708" s="8">
        <v>115</v>
      </c>
      <c r="B708" s="8">
        <v>10</v>
      </c>
      <c r="C708" s="8">
        <v>0</v>
      </c>
      <c r="D708" s="8">
        <v>0</v>
      </c>
      <c r="E708" s="8">
        <v>0</v>
      </c>
      <c r="F708" s="8">
        <v>0</v>
      </c>
      <c r="G708" s="8">
        <v>0.26100000000000001</v>
      </c>
      <c r="H708" s="8">
        <v>30</v>
      </c>
      <c r="I708" s="9">
        <v>87.836625009934451</v>
      </c>
      <c r="J708" s="9">
        <v>27.163374990065549</v>
      </c>
      <c r="K708" s="8">
        <f t="shared" si="11"/>
        <v>737.84894085091855</v>
      </c>
    </row>
    <row r="709" spans="1:11" x14ac:dyDescent="0.35">
      <c r="A709" s="8">
        <v>127</v>
      </c>
      <c r="B709" s="8">
        <v>2</v>
      </c>
      <c r="C709" s="8">
        <v>46</v>
      </c>
      <c r="D709" s="8">
        <v>21</v>
      </c>
      <c r="E709" s="8">
        <v>335</v>
      </c>
      <c r="F709" s="8">
        <v>34.4</v>
      </c>
      <c r="G709" s="8">
        <v>0.17599999999999999</v>
      </c>
      <c r="H709" s="8">
        <v>22</v>
      </c>
      <c r="I709" s="9">
        <v>137.33908226411842</v>
      </c>
      <c r="J709" s="9">
        <v>-10.339082264118417</v>
      </c>
      <c r="K709" s="8">
        <f t="shared" si="11"/>
        <v>106.89662206420802</v>
      </c>
    </row>
    <row r="710" spans="1:11" x14ac:dyDescent="0.35">
      <c r="A710" s="8">
        <v>164</v>
      </c>
      <c r="B710" s="8">
        <v>9</v>
      </c>
      <c r="C710" s="8">
        <v>78</v>
      </c>
      <c r="D710" s="8">
        <v>0</v>
      </c>
      <c r="E710" s="8">
        <v>0</v>
      </c>
      <c r="F710" s="8">
        <v>32.799999999999997</v>
      </c>
      <c r="G710" s="8">
        <v>0.14799999999999999</v>
      </c>
      <c r="H710" s="8">
        <v>45</v>
      </c>
      <c r="I710" s="9">
        <v>126.81509868894764</v>
      </c>
      <c r="J710" s="9">
        <v>37.184901311052357</v>
      </c>
      <c r="K710" s="8">
        <f t="shared" si="11"/>
        <v>1382.7168855127034</v>
      </c>
    </row>
    <row r="711" spans="1:11" x14ac:dyDescent="0.35">
      <c r="A711" s="8">
        <v>93</v>
      </c>
      <c r="B711" s="8">
        <v>2</v>
      </c>
      <c r="C711" s="8">
        <v>64</v>
      </c>
      <c r="D711" s="8">
        <v>32</v>
      </c>
      <c r="E711" s="8">
        <v>160</v>
      </c>
      <c r="F711" s="8">
        <v>38</v>
      </c>
      <c r="G711" s="8">
        <v>0.67400000000000004</v>
      </c>
      <c r="H711" s="8">
        <v>23</v>
      </c>
      <c r="I711" s="9">
        <v>123.83099842134529</v>
      </c>
      <c r="J711" s="9">
        <v>-30.830998421345285</v>
      </c>
      <c r="K711" s="8">
        <f t="shared" si="11"/>
        <v>950.55046365699548</v>
      </c>
    </row>
    <row r="712" spans="1:11" x14ac:dyDescent="0.35">
      <c r="A712" s="8">
        <v>158</v>
      </c>
      <c r="B712" s="8">
        <v>3</v>
      </c>
      <c r="C712" s="8">
        <v>64</v>
      </c>
      <c r="D712" s="8">
        <v>13</v>
      </c>
      <c r="E712" s="8">
        <v>387</v>
      </c>
      <c r="F712" s="8">
        <v>31.2</v>
      </c>
      <c r="G712" s="8">
        <v>0.29499999999999998</v>
      </c>
      <c r="H712" s="8">
        <v>24</v>
      </c>
      <c r="I712" s="9">
        <v>146.19867137905052</v>
      </c>
      <c r="J712" s="9">
        <v>11.801328620949477</v>
      </c>
      <c r="K712" s="8">
        <f t="shared" si="11"/>
        <v>139.27135721964126</v>
      </c>
    </row>
    <row r="713" spans="1:11" x14ac:dyDescent="0.35">
      <c r="A713" s="8">
        <v>126</v>
      </c>
      <c r="B713" s="8">
        <v>5</v>
      </c>
      <c r="C713" s="8">
        <v>78</v>
      </c>
      <c r="D713" s="8">
        <v>27</v>
      </c>
      <c r="E713" s="8">
        <v>22</v>
      </c>
      <c r="F713" s="8">
        <v>29.6</v>
      </c>
      <c r="G713" s="8">
        <v>0.439</v>
      </c>
      <c r="H713" s="8">
        <v>40</v>
      </c>
      <c r="I713" s="9">
        <v>115.9760359472232</v>
      </c>
      <c r="J713" s="9">
        <v>10.023964052776805</v>
      </c>
      <c r="K713" s="8">
        <f t="shared" si="11"/>
        <v>100.47985533136158</v>
      </c>
    </row>
    <row r="714" spans="1:11" x14ac:dyDescent="0.35">
      <c r="A714" s="8">
        <v>129</v>
      </c>
      <c r="B714" s="8">
        <v>10</v>
      </c>
      <c r="C714" s="8">
        <v>62</v>
      </c>
      <c r="D714" s="8">
        <v>36</v>
      </c>
      <c r="E714" s="8">
        <v>0</v>
      </c>
      <c r="F714" s="8">
        <v>41.2</v>
      </c>
      <c r="G714" s="8">
        <v>0.441</v>
      </c>
      <c r="H714" s="8">
        <v>38</v>
      </c>
      <c r="I714" s="9">
        <v>117.35682919256224</v>
      </c>
      <c r="J714" s="9">
        <v>11.643170807437755</v>
      </c>
      <c r="K714" s="8">
        <f t="shared" si="11"/>
        <v>135.56342645117076</v>
      </c>
    </row>
    <row r="715" spans="1:11" x14ac:dyDescent="0.35">
      <c r="A715" s="8">
        <v>134</v>
      </c>
      <c r="B715" s="8">
        <v>0</v>
      </c>
      <c r="C715" s="8">
        <v>58</v>
      </c>
      <c r="D715" s="8">
        <v>20</v>
      </c>
      <c r="E715" s="8">
        <v>291</v>
      </c>
      <c r="F715" s="8">
        <v>26.4</v>
      </c>
      <c r="G715" s="8">
        <v>0.35199999999999998</v>
      </c>
      <c r="H715" s="8">
        <v>21</v>
      </c>
      <c r="I715" s="9">
        <v>128.43888776206597</v>
      </c>
      <c r="J715" s="9">
        <v>5.5611122379340259</v>
      </c>
      <c r="K715" s="8">
        <f t="shared" si="11"/>
        <v>30.92596932289959</v>
      </c>
    </row>
    <row r="716" spans="1:11" x14ac:dyDescent="0.35">
      <c r="A716" s="8">
        <v>102</v>
      </c>
      <c r="B716" s="8">
        <v>3</v>
      </c>
      <c r="C716" s="8">
        <v>74</v>
      </c>
      <c r="D716" s="8">
        <v>0</v>
      </c>
      <c r="E716" s="8">
        <v>0</v>
      </c>
      <c r="F716" s="8">
        <v>29.5</v>
      </c>
      <c r="G716" s="8">
        <v>0.121</v>
      </c>
      <c r="H716" s="8">
        <v>32</v>
      </c>
      <c r="I716" s="9">
        <v>115.14660148274558</v>
      </c>
      <c r="J716" s="9">
        <v>-13.146601482745581</v>
      </c>
      <c r="K716" s="8">
        <f t="shared" si="11"/>
        <v>172.8331305461283</v>
      </c>
    </row>
    <row r="717" spans="1:11" x14ac:dyDescent="0.35">
      <c r="A717" s="8">
        <v>187</v>
      </c>
      <c r="B717" s="8">
        <v>7</v>
      </c>
      <c r="C717" s="8">
        <v>50</v>
      </c>
      <c r="D717" s="8">
        <v>33</v>
      </c>
      <c r="E717" s="8">
        <v>392</v>
      </c>
      <c r="F717" s="8">
        <v>33.9</v>
      </c>
      <c r="G717" s="8">
        <v>0.82599999999999996</v>
      </c>
      <c r="H717" s="8">
        <v>34</v>
      </c>
      <c r="I717" s="9">
        <v>151.10359479402734</v>
      </c>
      <c r="J717" s="9">
        <v>35.896405205972655</v>
      </c>
      <c r="K717" s="8">
        <f t="shared" si="11"/>
        <v>1288.5519067113808</v>
      </c>
    </row>
    <row r="718" spans="1:11" x14ac:dyDescent="0.35">
      <c r="A718" s="8">
        <v>173</v>
      </c>
      <c r="B718" s="8">
        <v>3</v>
      </c>
      <c r="C718" s="8">
        <v>78</v>
      </c>
      <c r="D718" s="8">
        <v>39</v>
      </c>
      <c r="E718" s="8">
        <v>185</v>
      </c>
      <c r="F718" s="8">
        <v>33.799999999999997</v>
      </c>
      <c r="G718" s="8">
        <v>0.97</v>
      </c>
      <c r="H718" s="8">
        <v>31</v>
      </c>
      <c r="I718" s="9">
        <v>128.9230425184889</v>
      </c>
      <c r="J718" s="9">
        <v>44.076957481511101</v>
      </c>
      <c r="K718" s="8">
        <f t="shared" si="11"/>
        <v>1942.7781808269374</v>
      </c>
    </row>
    <row r="719" spans="1:11" x14ac:dyDescent="0.35">
      <c r="A719" s="8">
        <v>94</v>
      </c>
      <c r="B719" s="8">
        <v>10</v>
      </c>
      <c r="C719" s="8">
        <v>72</v>
      </c>
      <c r="D719" s="8">
        <v>18</v>
      </c>
      <c r="E719" s="8">
        <v>0</v>
      </c>
      <c r="F719" s="8">
        <v>23.1</v>
      </c>
      <c r="G719" s="8">
        <v>0.59499999999999997</v>
      </c>
      <c r="H719" s="8">
        <v>56</v>
      </c>
      <c r="I719" s="9">
        <v>123.08069832963631</v>
      </c>
      <c r="J719" s="9">
        <v>-29.080698329636306</v>
      </c>
      <c r="K719" s="8">
        <f t="shared" si="11"/>
        <v>845.68701533931187</v>
      </c>
    </row>
    <row r="720" spans="1:11" x14ac:dyDescent="0.35">
      <c r="A720" s="8">
        <v>108</v>
      </c>
      <c r="B720" s="8">
        <v>1</v>
      </c>
      <c r="C720" s="8">
        <v>60</v>
      </c>
      <c r="D720" s="8">
        <v>46</v>
      </c>
      <c r="E720" s="8">
        <v>178</v>
      </c>
      <c r="F720" s="8">
        <v>35.5</v>
      </c>
      <c r="G720" s="8">
        <v>0.41499999999999998</v>
      </c>
      <c r="H720" s="8">
        <v>24</v>
      </c>
      <c r="I720" s="9">
        <v>117.75469888809549</v>
      </c>
      <c r="J720" s="9">
        <v>-9.7546988880954899</v>
      </c>
      <c r="K720" s="8">
        <f t="shared" si="11"/>
        <v>95.154150397411385</v>
      </c>
    </row>
    <row r="721" spans="1:11" x14ac:dyDescent="0.35">
      <c r="A721" s="8">
        <v>97</v>
      </c>
      <c r="B721" s="8">
        <v>5</v>
      </c>
      <c r="C721" s="8">
        <v>76</v>
      </c>
      <c r="D721" s="8">
        <v>27</v>
      </c>
      <c r="E721" s="8">
        <v>0</v>
      </c>
      <c r="F721" s="8">
        <v>35.6</v>
      </c>
      <c r="G721" s="8">
        <v>0.378</v>
      </c>
      <c r="H721" s="8">
        <v>52</v>
      </c>
      <c r="I721" s="9">
        <v>125.48504370019833</v>
      </c>
      <c r="J721" s="9">
        <v>-28.485043700198332</v>
      </c>
      <c r="K721" s="8">
        <f t="shared" si="11"/>
        <v>811.39771460220868</v>
      </c>
    </row>
    <row r="722" spans="1:11" x14ac:dyDescent="0.35">
      <c r="A722" s="8">
        <v>83</v>
      </c>
      <c r="B722" s="8">
        <v>4</v>
      </c>
      <c r="C722" s="8">
        <v>86</v>
      </c>
      <c r="D722" s="8">
        <v>19</v>
      </c>
      <c r="E722" s="8">
        <v>0</v>
      </c>
      <c r="F722" s="8">
        <v>29.3</v>
      </c>
      <c r="G722" s="8">
        <v>0.317</v>
      </c>
      <c r="H722" s="8">
        <v>34</v>
      </c>
      <c r="I722" s="9">
        <v>112.07361894256724</v>
      </c>
      <c r="J722" s="9">
        <v>-29.073618942567236</v>
      </c>
      <c r="K722" s="8">
        <f t="shared" si="11"/>
        <v>845.27531841760447</v>
      </c>
    </row>
    <row r="723" spans="1:11" x14ac:dyDescent="0.35">
      <c r="A723" s="8">
        <v>114</v>
      </c>
      <c r="B723" s="8">
        <v>1</v>
      </c>
      <c r="C723" s="8">
        <v>66</v>
      </c>
      <c r="D723" s="8">
        <v>36</v>
      </c>
      <c r="E723" s="8">
        <v>200</v>
      </c>
      <c r="F723" s="8">
        <v>38.1</v>
      </c>
      <c r="G723" s="8">
        <v>0.28899999999999998</v>
      </c>
      <c r="H723" s="8">
        <v>21</v>
      </c>
      <c r="I723" s="9">
        <v>122.94705205730997</v>
      </c>
      <c r="J723" s="9">
        <v>-8.9470520573099748</v>
      </c>
      <c r="K723" s="8">
        <f t="shared" si="11"/>
        <v>80.049740516214655</v>
      </c>
    </row>
    <row r="724" spans="1:11" x14ac:dyDescent="0.35">
      <c r="A724" s="8">
        <v>149</v>
      </c>
      <c r="B724" s="8">
        <v>1</v>
      </c>
      <c r="C724" s="8">
        <v>68</v>
      </c>
      <c r="D724" s="8">
        <v>29</v>
      </c>
      <c r="E724" s="8">
        <v>127</v>
      </c>
      <c r="F724" s="8">
        <v>29.3</v>
      </c>
      <c r="G724" s="8">
        <v>0.34899999999999998</v>
      </c>
      <c r="H724" s="8">
        <v>42</v>
      </c>
      <c r="I724" s="9">
        <v>125.4187795172496</v>
      </c>
      <c r="J724" s="9">
        <v>23.581220482750396</v>
      </c>
      <c r="K724" s="8">
        <f t="shared" si="11"/>
        <v>556.07395945608687</v>
      </c>
    </row>
    <row r="725" spans="1:11" x14ac:dyDescent="0.35">
      <c r="A725" s="8">
        <v>117</v>
      </c>
      <c r="B725" s="8">
        <v>5</v>
      </c>
      <c r="C725" s="8">
        <v>86</v>
      </c>
      <c r="D725" s="8">
        <v>30</v>
      </c>
      <c r="E725" s="8">
        <v>105</v>
      </c>
      <c r="F725" s="8">
        <v>39.1</v>
      </c>
      <c r="G725" s="8">
        <v>0.251</v>
      </c>
      <c r="H725" s="8">
        <v>42</v>
      </c>
      <c r="I725" s="9">
        <v>131.10413380829868</v>
      </c>
      <c r="J725" s="9">
        <v>-14.104133808298684</v>
      </c>
      <c r="K725" s="8">
        <f t="shared" si="11"/>
        <v>198.92659048239395</v>
      </c>
    </row>
    <row r="726" spans="1:11" x14ac:dyDescent="0.35">
      <c r="A726" s="8">
        <v>111</v>
      </c>
      <c r="B726" s="8">
        <v>1</v>
      </c>
      <c r="C726" s="8">
        <v>94</v>
      </c>
      <c r="D726" s="8">
        <v>0</v>
      </c>
      <c r="E726" s="8">
        <v>0</v>
      </c>
      <c r="F726" s="8">
        <v>32.799999999999997</v>
      </c>
      <c r="G726" s="8">
        <v>0.26500000000000001</v>
      </c>
      <c r="H726" s="8">
        <v>45</v>
      </c>
      <c r="I726" s="9">
        <v>128.20332907583645</v>
      </c>
      <c r="J726" s="9">
        <v>-17.20332907583645</v>
      </c>
      <c r="K726" s="8">
        <f t="shared" si="11"/>
        <v>295.9545312915198</v>
      </c>
    </row>
    <row r="727" spans="1:11" x14ac:dyDescent="0.35">
      <c r="A727" s="8">
        <v>112</v>
      </c>
      <c r="B727" s="8">
        <v>4</v>
      </c>
      <c r="C727" s="8">
        <v>78</v>
      </c>
      <c r="D727" s="8">
        <v>40</v>
      </c>
      <c r="E727" s="8">
        <v>0</v>
      </c>
      <c r="F727" s="8">
        <v>39.4</v>
      </c>
      <c r="G727" s="8">
        <v>0.23599999999999999</v>
      </c>
      <c r="H727" s="8">
        <v>38</v>
      </c>
      <c r="I727" s="9">
        <v>114.1415262577419</v>
      </c>
      <c r="J727" s="9">
        <v>-2.1415262577419014</v>
      </c>
      <c r="K727" s="8">
        <f t="shared" si="11"/>
        <v>4.5861347125980325</v>
      </c>
    </row>
    <row r="728" spans="1:11" x14ac:dyDescent="0.35">
      <c r="A728" s="8">
        <v>116</v>
      </c>
      <c r="B728" s="8">
        <v>1</v>
      </c>
      <c r="C728" s="8">
        <v>78</v>
      </c>
      <c r="D728" s="8">
        <v>29</v>
      </c>
      <c r="E728" s="8">
        <v>180</v>
      </c>
      <c r="F728" s="8">
        <v>36.1</v>
      </c>
      <c r="G728" s="8">
        <v>0.496</v>
      </c>
      <c r="H728" s="8">
        <v>25</v>
      </c>
      <c r="I728" s="9">
        <v>126.50553307360413</v>
      </c>
      <c r="J728" s="9">
        <v>-10.505533073604127</v>
      </c>
      <c r="K728" s="8">
        <f t="shared" si="11"/>
        <v>110.36622516059018</v>
      </c>
    </row>
    <row r="729" spans="1:11" x14ac:dyDescent="0.35">
      <c r="A729" s="8">
        <v>141</v>
      </c>
      <c r="B729" s="8">
        <v>0</v>
      </c>
      <c r="C729" s="8">
        <v>84</v>
      </c>
      <c r="D729" s="8">
        <v>26</v>
      </c>
      <c r="E729" s="8">
        <v>0</v>
      </c>
      <c r="F729" s="8">
        <v>32.4</v>
      </c>
      <c r="G729" s="8">
        <v>0.433</v>
      </c>
      <c r="H729" s="8">
        <v>22</v>
      </c>
      <c r="I729" s="9">
        <v>104.67363515915696</v>
      </c>
      <c r="J729" s="9">
        <v>36.326364840843041</v>
      </c>
      <c r="K729" s="8">
        <f t="shared" si="11"/>
        <v>1319.6047825500375</v>
      </c>
    </row>
    <row r="730" spans="1:11" x14ac:dyDescent="0.35">
      <c r="A730" s="8">
        <v>175</v>
      </c>
      <c r="B730" s="8">
        <v>2</v>
      </c>
      <c r="C730" s="8">
        <v>88</v>
      </c>
      <c r="D730" s="8">
        <v>0</v>
      </c>
      <c r="E730" s="8">
        <v>0</v>
      </c>
      <c r="F730" s="8">
        <v>22.9</v>
      </c>
      <c r="G730" s="8">
        <v>0.32600000000000001</v>
      </c>
      <c r="H730" s="8">
        <v>22</v>
      </c>
      <c r="I730" s="9">
        <v>105.95843041794188</v>
      </c>
      <c r="J730" s="9">
        <v>69.041569582058116</v>
      </c>
      <c r="K730" s="8">
        <f t="shared" si="11"/>
        <v>4766.7383303541728</v>
      </c>
    </row>
    <row r="731" spans="1:11" x14ac:dyDescent="0.35">
      <c r="A731" s="8">
        <v>92</v>
      </c>
      <c r="B731" s="8">
        <v>2</v>
      </c>
      <c r="C731" s="8">
        <v>52</v>
      </c>
      <c r="D731" s="8">
        <v>0</v>
      </c>
      <c r="E731" s="8">
        <v>0</v>
      </c>
      <c r="F731" s="8">
        <v>30.1</v>
      </c>
      <c r="G731" s="8">
        <v>0.14099999999999999</v>
      </c>
      <c r="H731" s="8">
        <v>22</v>
      </c>
      <c r="I731" s="9">
        <v>107.67086675534368</v>
      </c>
      <c r="J731" s="9">
        <v>-15.670866755343681</v>
      </c>
      <c r="K731" s="8">
        <f t="shared" si="11"/>
        <v>245.57606486373578</v>
      </c>
    </row>
    <row r="732" spans="1:11" x14ac:dyDescent="0.35">
      <c r="A732" s="8">
        <v>130</v>
      </c>
      <c r="B732" s="8">
        <v>3</v>
      </c>
      <c r="C732" s="8">
        <v>78</v>
      </c>
      <c r="D732" s="8">
        <v>23</v>
      </c>
      <c r="E732" s="8">
        <v>79</v>
      </c>
      <c r="F732" s="8">
        <v>28.4</v>
      </c>
      <c r="G732" s="8">
        <v>0.32300000000000001</v>
      </c>
      <c r="H732" s="8">
        <v>34</v>
      </c>
      <c r="I732" s="9">
        <v>117.4178851519423</v>
      </c>
      <c r="J732" s="9">
        <v>12.582114848057699</v>
      </c>
      <c r="K732" s="8">
        <f t="shared" si="11"/>
        <v>158.30961404971401</v>
      </c>
    </row>
    <row r="733" spans="1:11" x14ac:dyDescent="0.35">
      <c r="A733" s="8">
        <v>120</v>
      </c>
      <c r="B733" s="8">
        <v>8</v>
      </c>
      <c r="C733" s="8">
        <v>86</v>
      </c>
      <c r="D733" s="8">
        <v>0</v>
      </c>
      <c r="E733" s="8">
        <v>0</v>
      </c>
      <c r="F733" s="8">
        <v>28.4</v>
      </c>
      <c r="G733" s="8">
        <v>0.25900000000000001</v>
      </c>
      <c r="H733" s="8">
        <v>22</v>
      </c>
      <c r="I733" s="9">
        <v>109.87526706928577</v>
      </c>
      <c r="J733" s="9">
        <v>10.124732930714231</v>
      </c>
      <c r="K733" s="8">
        <f t="shared" si="11"/>
        <v>102.51021691828917</v>
      </c>
    </row>
    <row r="734" spans="1:11" x14ac:dyDescent="0.35">
      <c r="A734" s="8">
        <v>174</v>
      </c>
      <c r="B734" s="8">
        <v>2</v>
      </c>
      <c r="C734" s="8">
        <v>88</v>
      </c>
      <c r="D734" s="8">
        <v>37</v>
      </c>
      <c r="E734" s="8">
        <v>120</v>
      </c>
      <c r="F734" s="8">
        <v>44.5</v>
      </c>
      <c r="G734" s="8">
        <v>0.64600000000000002</v>
      </c>
      <c r="H734" s="8">
        <v>24</v>
      </c>
      <c r="I734" s="9">
        <v>125.16671769667175</v>
      </c>
      <c r="J734" s="9">
        <v>48.833282303328247</v>
      </c>
      <c r="K734" s="8">
        <f t="shared" si="11"/>
        <v>2384.6894605165517</v>
      </c>
    </row>
    <row r="735" spans="1:11" x14ac:dyDescent="0.35">
      <c r="A735" s="8">
        <v>106</v>
      </c>
      <c r="B735" s="8">
        <v>2</v>
      </c>
      <c r="C735" s="8">
        <v>56</v>
      </c>
      <c r="D735" s="8">
        <v>27</v>
      </c>
      <c r="E735" s="8">
        <v>165</v>
      </c>
      <c r="F735" s="8">
        <v>29</v>
      </c>
      <c r="G735" s="8">
        <v>0.42599999999999999</v>
      </c>
      <c r="H735" s="8">
        <v>22</v>
      </c>
      <c r="I735" s="9">
        <v>116.48003517932074</v>
      </c>
      <c r="J735" s="9">
        <v>-10.480035179320737</v>
      </c>
      <c r="K735" s="8">
        <f t="shared" si="11"/>
        <v>109.83113735980022</v>
      </c>
    </row>
    <row r="736" spans="1:11" x14ac:dyDescent="0.35">
      <c r="A736" s="8">
        <v>105</v>
      </c>
      <c r="B736" s="8">
        <v>2</v>
      </c>
      <c r="C736" s="8">
        <v>75</v>
      </c>
      <c r="D736" s="8">
        <v>0</v>
      </c>
      <c r="E736" s="8">
        <v>0</v>
      </c>
      <c r="F736" s="8">
        <v>23.3</v>
      </c>
      <c r="G736" s="8">
        <v>0.56000000000000005</v>
      </c>
      <c r="H736" s="8">
        <v>53</v>
      </c>
      <c r="I736" s="9">
        <v>126.82919548009879</v>
      </c>
      <c r="J736" s="9">
        <v>-21.82919548009879</v>
      </c>
      <c r="K736" s="8">
        <f t="shared" si="11"/>
        <v>476.51377530836544</v>
      </c>
    </row>
    <row r="737" spans="1:11" x14ac:dyDescent="0.35">
      <c r="A737" s="8">
        <v>95</v>
      </c>
      <c r="B737" s="8">
        <v>4</v>
      </c>
      <c r="C737" s="8">
        <v>60</v>
      </c>
      <c r="D737" s="8">
        <v>32</v>
      </c>
      <c r="E737" s="8">
        <v>0</v>
      </c>
      <c r="F737" s="8">
        <v>35.4</v>
      </c>
      <c r="G737" s="8">
        <v>0.28399999999999997</v>
      </c>
      <c r="H737" s="8">
        <v>28</v>
      </c>
      <c r="I737" s="9">
        <v>106.40432716463022</v>
      </c>
      <c r="J737" s="9">
        <v>-11.404327164630217</v>
      </c>
      <c r="K737" s="8">
        <f t="shared" si="11"/>
        <v>130.05867807792268</v>
      </c>
    </row>
    <row r="738" spans="1:11" x14ac:dyDescent="0.35">
      <c r="A738" s="8">
        <v>126</v>
      </c>
      <c r="B738" s="8">
        <v>0</v>
      </c>
      <c r="C738" s="8">
        <v>86</v>
      </c>
      <c r="D738" s="8">
        <v>27</v>
      </c>
      <c r="E738" s="8">
        <v>120</v>
      </c>
      <c r="F738" s="8">
        <v>27.4</v>
      </c>
      <c r="G738" s="8">
        <v>0.51500000000000001</v>
      </c>
      <c r="H738" s="8">
        <v>21</v>
      </c>
      <c r="I738" s="9">
        <v>112.65807438210177</v>
      </c>
      <c r="J738" s="9">
        <v>13.341925617898227</v>
      </c>
      <c r="K738" s="8">
        <f t="shared" si="11"/>
        <v>178.00697919352896</v>
      </c>
    </row>
    <row r="739" spans="1:11" x14ac:dyDescent="0.35">
      <c r="A739" s="8">
        <v>65</v>
      </c>
      <c r="B739" s="8">
        <v>8</v>
      </c>
      <c r="C739" s="8">
        <v>72</v>
      </c>
      <c r="D739" s="8">
        <v>23</v>
      </c>
      <c r="E739" s="8">
        <v>0</v>
      </c>
      <c r="F739" s="8">
        <v>32</v>
      </c>
      <c r="G739" s="8">
        <v>0.6</v>
      </c>
      <c r="H739" s="8">
        <v>42</v>
      </c>
      <c r="I739" s="9">
        <v>118.96718621200415</v>
      </c>
      <c r="J739" s="9">
        <v>-53.967186212004151</v>
      </c>
      <c r="K739" s="8">
        <f t="shared" si="11"/>
        <v>2912.457187641131</v>
      </c>
    </row>
    <row r="740" spans="1:11" x14ac:dyDescent="0.35">
      <c r="A740" s="8">
        <v>99</v>
      </c>
      <c r="B740" s="8">
        <v>2</v>
      </c>
      <c r="C740" s="8">
        <v>60</v>
      </c>
      <c r="D740" s="8">
        <v>17</v>
      </c>
      <c r="E740" s="8">
        <v>160</v>
      </c>
      <c r="F740" s="8">
        <v>36.6</v>
      </c>
      <c r="G740" s="8">
        <v>0.45300000000000001</v>
      </c>
      <c r="H740" s="8">
        <v>21</v>
      </c>
      <c r="I740" s="9">
        <v>124.82778105796285</v>
      </c>
      <c r="J740" s="9">
        <v>-25.827781057962852</v>
      </c>
      <c r="K740" s="8">
        <f t="shared" si="11"/>
        <v>667.07427437806473</v>
      </c>
    </row>
    <row r="741" spans="1:11" x14ac:dyDescent="0.35">
      <c r="A741" s="8">
        <v>102</v>
      </c>
      <c r="B741" s="8">
        <v>1</v>
      </c>
      <c r="C741" s="8">
        <v>74</v>
      </c>
      <c r="D741" s="8">
        <v>0</v>
      </c>
      <c r="E741" s="8">
        <v>0</v>
      </c>
      <c r="F741" s="8">
        <v>39.5</v>
      </c>
      <c r="G741" s="8">
        <v>0.29299999999999998</v>
      </c>
      <c r="H741" s="8">
        <v>42</v>
      </c>
      <c r="I741" s="9">
        <v>130.07072087134</v>
      </c>
      <c r="J741" s="9">
        <v>-28.070720871340001</v>
      </c>
      <c r="K741" s="8">
        <f t="shared" si="11"/>
        <v>787.96537023668316</v>
      </c>
    </row>
    <row r="742" spans="1:11" x14ac:dyDescent="0.35">
      <c r="A742" s="8">
        <v>120</v>
      </c>
      <c r="B742" s="8">
        <v>11</v>
      </c>
      <c r="C742" s="8">
        <v>80</v>
      </c>
      <c r="D742" s="8">
        <v>37</v>
      </c>
      <c r="E742" s="8">
        <v>150</v>
      </c>
      <c r="F742" s="8">
        <v>42.3</v>
      </c>
      <c r="G742" s="8">
        <v>0.78500000000000003</v>
      </c>
      <c r="H742" s="8">
        <v>48</v>
      </c>
      <c r="I742" s="9">
        <v>142.86457682314511</v>
      </c>
      <c r="J742" s="9">
        <v>-22.864576823145114</v>
      </c>
      <c r="K742" s="8">
        <f t="shared" si="11"/>
        <v>522.78887330150474</v>
      </c>
    </row>
    <row r="743" spans="1:11" x14ac:dyDescent="0.35">
      <c r="A743" s="8">
        <v>102</v>
      </c>
      <c r="B743" s="8">
        <v>3</v>
      </c>
      <c r="C743" s="8">
        <v>44</v>
      </c>
      <c r="D743" s="8">
        <v>20</v>
      </c>
      <c r="E743" s="8">
        <v>94</v>
      </c>
      <c r="F743" s="8">
        <v>30.8</v>
      </c>
      <c r="G743" s="8">
        <v>0.4</v>
      </c>
      <c r="H743" s="8">
        <v>26</v>
      </c>
      <c r="I743" s="9">
        <v>114.67167119662231</v>
      </c>
      <c r="J743" s="9">
        <v>-12.671671196622313</v>
      </c>
      <c r="K743" s="8">
        <f t="shared" si="11"/>
        <v>160.57125091530756</v>
      </c>
    </row>
    <row r="744" spans="1:11" x14ac:dyDescent="0.35">
      <c r="A744" s="8">
        <v>109</v>
      </c>
      <c r="B744" s="8">
        <v>1</v>
      </c>
      <c r="C744" s="8">
        <v>58</v>
      </c>
      <c r="D744" s="8">
        <v>18</v>
      </c>
      <c r="E744" s="8">
        <v>116</v>
      </c>
      <c r="F744" s="8">
        <v>28.5</v>
      </c>
      <c r="G744" s="8">
        <v>0.219</v>
      </c>
      <c r="H744" s="8">
        <v>22</v>
      </c>
      <c r="I744" s="9">
        <v>112.96337315349557</v>
      </c>
      <c r="J744" s="9">
        <v>-3.9633731534955672</v>
      </c>
      <c r="K744" s="8">
        <f t="shared" si="11"/>
        <v>15.708326753849397</v>
      </c>
    </row>
    <row r="745" spans="1:11" x14ac:dyDescent="0.35">
      <c r="A745" s="8">
        <v>140</v>
      </c>
      <c r="B745" s="8">
        <v>9</v>
      </c>
      <c r="C745" s="8">
        <v>94</v>
      </c>
      <c r="D745" s="8">
        <v>0</v>
      </c>
      <c r="E745" s="8">
        <v>0</v>
      </c>
      <c r="F745" s="8">
        <v>32.700000000000003</v>
      </c>
      <c r="G745" s="8">
        <v>0.73399999999999999</v>
      </c>
      <c r="H745" s="8">
        <v>45</v>
      </c>
      <c r="I745" s="9">
        <v>131.56191185946841</v>
      </c>
      <c r="J745" s="9">
        <v>8.4380881405315904</v>
      </c>
      <c r="K745" s="8">
        <f t="shared" si="11"/>
        <v>71.201331467379873</v>
      </c>
    </row>
    <row r="746" spans="1:11" x14ac:dyDescent="0.35">
      <c r="A746" s="8">
        <v>153</v>
      </c>
      <c r="B746" s="8">
        <v>13</v>
      </c>
      <c r="C746" s="8">
        <v>88</v>
      </c>
      <c r="D746" s="8">
        <v>37</v>
      </c>
      <c r="E746" s="8">
        <v>140</v>
      </c>
      <c r="F746" s="8">
        <v>40.6</v>
      </c>
      <c r="G746" s="8">
        <v>1.1739999999999999</v>
      </c>
      <c r="H746" s="8">
        <v>39</v>
      </c>
      <c r="I746" s="9">
        <v>137.9120514966832</v>
      </c>
      <c r="J746" s="9">
        <v>15.087948503316795</v>
      </c>
      <c r="K746" s="8">
        <f t="shared" si="11"/>
        <v>227.64619003873952</v>
      </c>
    </row>
    <row r="747" spans="1:11" x14ac:dyDescent="0.35">
      <c r="A747" s="8">
        <v>100</v>
      </c>
      <c r="B747" s="8">
        <v>12</v>
      </c>
      <c r="C747" s="8">
        <v>84</v>
      </c>
      <c r="D747" s="8">
        <v>33</v>
      </c>
      <c r="E747" s="8">
        <v>105</v>
      </c>
      <c r="F747" s="8">
        <v>30</v>
      </c>
      <c r="G747" s="8">
        <v>0.48799999999999999</v>
      </c>
      <c r="H747" s="8">
        <v>46</v>
      </c>
      <c r="I747" s="9">
        <v>127.62401449174232</v>
      </c>
      <c r="J747" s="9">
        <v>-27.624014491742315</v>
      </c>
      <c r="K747" s="8">
        <f t="shared" si="11"/>
        <v>763.08617663998939</v>
      </c>
    </row>
    <row r="748" spans="1:11" x14ac:dyDescent="0.35">
      <c r="A748" s="8">
        <v>147</v>
      </c>
      <c r="B748" s="8">
        <v>1</v>
      </c>
      <c r="C748" s="8">
        <v>94</v>
      </c>
      <c r="D748" s="8">
        <v>41</v>
      </c>
      <c r="E748" s="8">
        <v>0</v>
      </c>
      <c r="F748" s="8">
        <v>49.3</v>
      </c>
      <c r="G748" s="8">
        <v>0.35799999999999998</v>
      </c>
      <c r="H748" s="8">
        <v>27</v>
      </c>
      <c r="I748" s="9">
        <v>115.85169901092559</v>
      </c>
      <c r="J748" s="9">
        <v>31.148300989074414</v>
      </c>
      <c r="K748" s="8">
        <f t="shared" si="11"/>
        <v>970.21665450597413</v>
      </c>
    </row>
    <row r="749" spans="1:11" x14ac:dyDescent="0.35">
      <c r="A749" s="8">
        <v>81</v>
      </c>
      <c r="B749" s="8">
        <v>1</v>
      </c>
      <c r="C749" s="8">
        <v>74</v>
      </c>
      <c r="D749" s="8">
        <v>41</v>
      </c>
      <c r="E749" s="8">
        <v>57</v>
      </c>
      <c r="F749" s="8">
        <v>46.3</v>
      </c>
      <c r="G749" s="8">
        <v>1.0960000000000001</v>
      </c>
      <c r="H749" s="8">
        <v>32</v>
      </c>
      <c r="I749" s="9">
        <v>125.81512615735554</v>
      </c>
      <c r="J749" s="9">
        <v>-44.815126157355536</v>
      </c>
      <c r="K749" s="8">
        <f t="shared" si="11"/>
        <v>2008.3955324996923</v>
      </c>
    </row>
    <row r="750" spans="1:11" x14ac:dyDescent="0.35">
      <c r="A750" s="8">
        <v>187</v>
      </c>
      <c r="B750" s="8">
        <v>3</v>
      </c>
      <c r="C750" s="8">
        <v>70</v>
      </c>
      <c r="D750" s="8">
        <v>22</v>
      </c>
      <c r="E750" s="8">
        <v>200</v>
      </c>
      <c r="F750" s="8">
        <v>36.4</v>
      </c>
      <c r="G750" s="8">
        <v>0.40799999999999997</v>
      </c>
      <c r="H750" s="8">
        <v>36</v>
      </c>
      <c r="I750" s="9">
        <v>137.17953218421013</v>
      </c>
      <c r="J750" s="9">
        <v>49.820467815789868</v>
      </c>
      <c r="K750" s="8">
        <f t="shared" si="11"/>
        <v>2482.0790133841542</v>
      </c>
    </row>
    <row r="751" spans="1:11" x14ac:dyDescent="0.35">
      <c r="A751" s="8">
        <v>162</v>
      </c>
      <c r="B751" s="8">
        <v>6</v>
      </c>
      <c r="C751" s="8">
        <v>62</v>
      </c>
      <c r="D751" s="8">
        <v>0</v>
      </c>
      <c r="E751" s="8">
        <v>0</v>
      </c>
      <c r="F751" s="8">
        <v>24.3</v>
      </c>
      <c r="G751" s="8">
        <v>0.17799999999999999</v>
      </c>
      <c r="H751" s="8">
        <v>50</v>
      </c>
      <c r="I751" s="9">
        <v>122.55612516280669</v>
      </c>
      <c r="J751" s="9">
        <v>39.443874837193306</v>
      </c>
      <c r="K751" s="8">
        <f t="shared" si="11"/>
        <v>1555.8192621721712</v>
      </c>
    </row>
    <row r="752" spans="1:11" x14ac:dyDescent="0.35">
      <c r="A752" s="8">
        <v>136</v>
      </c>
      <c r="B752" s="8">
        <v>4</v>
      </c>
      <c r="C752" s="8">
        <v>70</v>
      </c>
      <c r="D752" s="8">
        <v>0</v>
      </c>
      <c r="E752" s="8">
        <v>0</v>
      </c>
      <c r="F752" s="8">
        <v>31.2</v>
      </c>
      <c r="G752" s="8">
        <v>1.1819999999999999</v>
      </c>
      <c r="H752" s="8">
        <v>22</v>
      </c>
      <c r="I752" s="9">
        <v>116.44981307046464</v>
      </c>
      <c r="J752" s="9">
        <v>19.550186929535357</v>
      </c>
      <c r="K752" s="8">
        <f t="shared" si="11"/>
        <v>382.20980897977512</v>
      </c>
    </row>
    <row r="753" spans="1:11" x14ac:dyDescent="0.35">
      <c r="A753" s="8">
        <v>121</v>
      </c>
      <c r="B753" s="8">
        <v>1</v>
      </c>
      <c r="C753" s="8">
        <v>78</v>
      </c>
      <c r="D753" s="8">
        <v>39</v>
      </c>
      <c r="E753" s="8">
        <v>74</v>
      </c>
      <c r="F753" s="8">
        <v>39</v>
      </c>
      <c r="G753" s="8">
        <v>0.26100000000000001</v>
      </c>
      <c r="H753" s="8">
        <v>28</v>
      </c>
      <c r="I753" s="9">
        <v>115.13963577612954</v>
      </c>
      <c r="J753" s="9">
        <v>5.8603642238704623</v>
      </c>
      <c r="K753" s="8">
        <f t="shared" si="11"/>
        <v>34.343868836420846</v>
      </c>
    </row>
    <row r="754" spans="1:11" x14ac:dyDescent="0.35">
      <c r="A754" s="8">
        <v>108</v>
      </c>
      <c r="B754" s="8">
        <v>3</v>
      </c>
      <c r="C754" s="8">
        <v>62</v>
      </c>
      <c r="D754" s="8">
        <v>24</v>
      </c>
      <c r="E754" s="8">
        <v>0</v>
      </c>
      <c r="F754" s="8">
        <v>26</v>
      </c>
      <c r="G754" s="8">
        <v>0.223</v>
      </c>
      <c r="H754" s="8">
        <v>25</v>
      </c>
      <c r="I754" s="9">
        <v>99.78563324417766</v>
      </c>
      <c r="J754" s="9">
        <v>8.2143667558223399</v>
      </c>
      <c r="K754" s="8">
        <f t="shared" si="11"/>
        <v>67.475821199159228</v>
      </c>
    </row>
    <row r="755" spans="1:11" x14ac:dyDescent="0.35">
      <c r="A755" s="8">
        <v>181</v>
      </c>
      <c r="B755" s="8">
        <v>0</v>
      </c>
      <c r="C755" s="8">
        <v>88</v>
      </c>
      <c r="D755" s="8">
        <v>44</v>
      </c>
      <c r="E755" s="8">
        <v>510</v>
      </c>
      <c r="F755" s="8">
        <v>43.3</v>
      </c>
      <c r="G755" s="8">
        <v>0.222</v>
      </c>
      <c r="H755" s="8">
        <v>26</v>
      </c>
      <c r="I755" s="9">
        <v>159.60785817250405</v>
      </c>
      <c r="J755" s="9">
        <v>21.392141827495948</v>
      </c>
      <c r="K755" s="8">
        <f t="shared" si="11"/>
        <v>457.62373196770164</v>
      </c>
    </row>
    <row r="756" spans="1:11" x14ac:dyDescent="0.35">
      <c r="A756" s="8">
        <v>154</v>
      </c>
      <c r="B756" s="8">
        <v>8</v>
      </c>
      <c r="C756" s="8">
        <v>78</v>
      </c>
      <c r="D756" s="8">
        <v>32</v>
      </c>
      <c r="E756" s="8">
        <v>0</v>
      </c>
      <c r="F756" s="8">
        <v>32.4</v>
      </c>
      <c r="G756" s="8">
        <v>0.443</v>
      </c>
      <c r="H756" s="8">
        <v>45</v>
      </c>
      <c r="I756" s="9">
        <v>117.62338962361002</v>
      </c>
      <c r="J756" s="9">
        <v>36.376610376389976</v>
      </c>
      <c r="K756" s="8">
        <f t="shared" si="11"/>
        <v>1323.2577824756829</v>
      </c>
    </row>
    <row r="757" spans="1:11" x14ac:dyDescent="0.35">
      <c r="A757" s="8">
        <v>128</v>
      </c>
      <c r="B757" s="8">
        <v>1</v>
      </c>
      <c r="C757" s="8">
        <v>88</v>
      </c>
      <c r="D757" s="8">
        <v>39</v>
      </c>
      <c r="E757" s="8">
        <v>110</v>
      </c>
      <c r="F757" s="8">
        <v>36.5</v>
      </c>
      <c r="G757" s="8">
        <v>1.0569999999999999</v>
      </c>
      <c r="H757" s="8">
        <v>37</v>
      </c>
      <c r="I757" s="9">
        <v>128.41652733809582</v>
      </c>
      <c r="J757" s="9">
        <v>-0.41652733809581832</v>
      </c>
      <c r="K757" s="8">
        <f t="shared" si="11"/>
        <v>0.17349502338118813</v>
      </c>
    </row>
    <row r="758" spans="1:11" x14ac:dyDescent="0.35">
      <c r="A758" s="8">
        <v>137</v>
      </c>
      <c r="B758" s="8">
        <v>7</v>
      </c>
      <c r="C758" s="8">
        <v>90</v>
      </c>
      <c r="D758" s="8">
        <v>41</v>
      </c>
      <c r="E758" s="8">
        <v>0</v>
      </c>
      <c r="F758" s="8">
        <v>32</v>
      </c>
      <c r="G758" s="8">
        <v>0.39100000000000001</v>
      </c>
      <c r="H758" s="8">
        <v>39</v>
      </c>
      <c r="I758" s="9">
        <v>110.89650419525871</v>
      </c>
      <c r="J758" s="9">
        <v>26.103495804741286</v>
      </c>
      <c r="K758" s="8">
        <f t="shared" si="11"/>
        <v>681.3924932281459</v>
      </c>
    </row>
    <row r="759" spans="1:11" x14ac:dyDescent="0.35">
      <c r="A759" s="8">
        <v>123</v>
      </c>
      <c r="B759" s="8">
        <v>0</v>
      </c>
      <c r="C759" s="8">
        <v>72</v>
      </c>
      <c r="D759" s="8">
        <v>0</v>
      </c>
      <c r="E759" s="8">
        <v>0</v>
      </c>
      <c r="F759" s="8">
        <v>36.299999999999997</v>
      </c>
      <c r="G759" s="8">
        <v>0.25800000000000001</v>
      </c>
      <c r="H759" s="8">
        <v>52</v>
      </c>
      <c r="I759" s="9">
        <v>133.70233654456777</v>
      </c>
      <c r="J759" s="9">
        <v>-10.702336544567771</v>
      </c>
      <c r="K759" s="8">
        <f t="shared" si="11"/>
        <v>114.54000751319082</v>
      </c>
    </row>
    <row r="760" spans="1:11" x14ac:dyDescent="0.35">
      <c r="A760" s="8">
        <v>106</v>
      </c>
      <c r="B760" s="8">
        <v>1</v>
      </c>
      <c r="C760" s="8">
        <v>76</v>
      </c>
      <c r="D760" s="8">
        <v>0</v>
      </c>
      <c r="E760" s="8">
        <v>0</v>
      </c>
      <c r="F760" s="8">
        <v>37.5</v>
      </c>
      <c r="G760" s="8">
        <v>0.19700000000000001</v>
      </c>
      <c r="H760" s="8">
        <v>26</v>
      </c>
      <c r="I760" s="9">
        <v>117.77967172385192</v>
      </c>
      <c r="J760" s="9">
        <v>-11.779671723851919</v>
      </c>
      <c r="K760" s="8">
        <f t="shared" si="11"/>
        <v>138.76066592171645</v>
      </c>
    </row>
    <row r="761" spans="1:11" x14ac:dyDescent="0.35">
      <c r="A761" s="8">
        <v>190</v>
      </c>
      <c r="B761" s="8">
        <v>6</v>
      </c>
      <c r="C761" s="8">
        <v>92</v>
      </c>
      <c r="D761" s="8">
        <v>0</v>
      </c>
      <c r="E761" s="8">
        <v>0</v>
      </c>
      <c r="F761" s="8">
        <v>35.5</v>
      </c>
      <c r="G761" s="8">
        <v>0.27800000000000002</v>
      </c>
      <c r="H761" s="8">
        <v>66</v>
      </c>
      <c r="I761" s="9">
        <v>144.01619700275523</v>
      </c>
      <c r="J761" s="9">
        <v>45.983802997244766</v>
      </c>
      <c r="K761" s="8">
        <f t="shared" si="11"/>
        <v>2114.5101380894166</v>
      </c>
    </row>
    <row r="762" spans="1:11" x14ac:dyDescent="0.35">
      <c r="A762" s="8">
        <v>88</v>
      </c>
      <c r="B762" s="8">
        <v>2</v>
      </c>
      <c r="C762" s="8">
        <v>58</v>
      </c>
      <c r="D762" s="8">
        <v>26</v>
      </c>
      <c r="E762" s="8">
        <v>16</v>
      </c>
      <c r="F762" s="8">
        <v>28.4</v>
      </c>
      <c r="G762" s="8">
        <v>0.76600000000000001</v>
      </c>
      <c r="H762" s="8">
        <v>22</v>
      </c>
      <c r="I762" s="9">
        <v>103.68039450941839</v>
      </c>
      <c r="J762" s="9">
        <v>-15.680394509418392</v>
      </c>
      <c r="K762" s="8">
        <f t="shared" si="11"/>
        <v>245.87477197099844</v>
      </c>
    </row>
    <row r="763" spans="1:11" x14ac:dyDescent="0.35">
      <c r="A763" s="8">
        <v>170</v>
      </c>
      <c r="B763" s="8">
        <v>9</v>
      </c>
      <c r="C763" s="8">
        <v>74</v>
      </c>
      <c r="D763" s="8">
        <v>31</v>
      </c>
      <c r="E763" s="8">
        <v>0</v>
      </c>
      <c r="F763" s="8">
        <v>44</v>
      </c>
      <c r="G763" s="8">
        <v>0.40300000000000002</v>
      </c>
      <c r="H763" s="8">
        <v>43</v>
      </c>
      <c r="I763" s="9">
        <v>124.89666535620658</v>
      </c>
      <c r="J763" s="9">
        <v>45.103334643793417</v>
      </c>
      <c r="K763" s="8">
        <f t="shared" si="11"/>
        <v>2034.3107959900155</v>
      </c>
    </row>
    <row r="764" spans="1:11" x14ac:dyDescent="0.35">
      <c r="A764" s="8">
        <v>89</v>
      </c>
      <c r="B764" s="8">
        <v>9</v>
      </c>
      <c r="C764" s="8">
        <v>62</v>
      </c>
      <c r="D764" s="8">
        <v>0</v>
      </c>
      <c r="E764" s="8">
        <v>0</v>
      </c>
      <c r="F764" s="8">
        <v>22.5</v>
      </c>
      <c r="G764" s="8">
        <v>0.14199999999999999</v>
      </c>
      <c r="H764" s="8">
        <v>33</v>
      </c>
      <c r="I764" s="9">
        <v>110.18551891890971</v>
      </c>
      <c r="J764" s="9">
        <v>-21.185518918909708</v>
      </c>
      <c r="K764" s="8">
        <f t="shared" si="11"/>
        <v>448.82621186348115</v>
      </c>
    </row>
    <row r="765" spans="1:11" x14ac:dyDescent="0.35">
      <c r="A765" s="8">
        <v>101</v>
      </c>
      <c r="B765" s="8">
        <v>10</v>
      </c>
      <c r="C765" s="8">
        <v>76</v>
      </c>
      <c r="D765" s="8">
        <v>48</v>
      </c>
      <c r="E765" s="8">
        <v>180</v>
      </c>
      <c r="F765" s="8">
        <v>32.9</v>
      </c>
      <c r="G765" s="8">
        <v>0.17100000000000001</v>
      </c>
      <c r="H765" s="8">
        <v>63</v>
      </c>
      <c r="I765" s="9">
        <v>140.61111394937944</v>
      </c>
      <c r="J765" s="9">
        <v>-39.611113949379444</v>
      </c>
      <c r="K765" s="8">
        <f t="shared" si="11"/>
        <v>1569.0403483107227</v>
      </c>
    </row>
    <row r="766" spans="1:11" x14ac:dyDescent="0.35">
      <c r="A766" s="8">
        <v>122</v>
      </c>
      <c r="B766" s="8">
        <v>2</v>
      </c>
      <c r="C766" s="8">
        <v>70</v>
      </c>
      <c r="D766" s="8">
        <v>27</v>
      </c>
      <c r="E766" s="8">
        <v>0</v>
      </c>
      <c r="F766" s="8">
        <v>36.799999999999997</v>
      </c>
      <c r="G766" s="8">
        <v>0.34</v>
      </c>
      <c r="H766" s="8">
        <v>27</v>
      </c>
      <c r="I766" s="9">
        <v>109.41693823763377</v>
      </c>
      <c r="J766" s="9">
        <v>12.583061762366228</v>
      </c>
      <c r="K766" s="8">
        <f t="shared" si="11"/>
        <v>158.33344331552308</v>
      </c>
    </row>
    <row r="767" spans="1:11" x14ac:dyDescent="0.35">
      <c r="A767" s="8">
        <v>121</v>
      </c>
      <c r="B767" s="8">
        <v>5</v>
      </c>
      <c r="C767" s="8">
        <v>72</v>
      </c>
      <c r="D767" s="8">
        <v>23</v>
      </c>
      <c r="E767" s="8">
        <v>112</v>
      </c>
      <c r="F767" s="8">
        <v>26.2</v>
      </c>
      <c r="G767" s="8">
        <v>0.245</v>
      </c>
      <c r="H767" s="8">
        <v>30</v>
      </c>
      <c r="I767" s="9">
        <v>115.70694723886096</v>
      </c>
      <c r="J767" s="9">
        <v>5.2930527611390374</v>
      </c>
      <c r="K767" s="8">
        <f t="shared" si="11"/>
        <v>28.016407532201587</v>
      </c>
    </row>
    <row r="768" spans="1:11" x14ac:dyDescent="0.35">
      <c r="A768" s="8">
        <v>126</v>
      </c>
      <c r="B768" s="8">
        <v>1</v>
      </c>
      <c r="C768" s="8">
        <v>60</v>
      </c>
      <c r="D768" s="8">
        <v>0</v>
      </c>
      <c r="E768" s="8">
        <v>0</v>
      </c>
      <c r="F768" s="8">
        <v>30.1</v>
      </c>
      <c r="G768" s="8">
        <v>0.34899999999999998</v>
      </c>
      <c r="H768" s="8">
        <v>47</v>
      </c>
      <c r="I768" s="9">
        <v>125.61750542246899</v>
      </c>
      <c r="J768" s="9">
        <v>0.38249457753100558</v>
      </c>
      <c r="K768" s="8">
        <f t="shared" si="11"/>
        <v>0.14630210184062242</v>
      </c>
    </row>
    <row r="769" spans="1:11" x14ac:dyDescent="0.35">
      <c r="A769" s="8">
        <v>93</v>
      </c>
      <c r="B769" s="8">
        <v>1</v>
      </c>
      <c r="C769" s="8">
        <v>70</v>
      </c>
      <c r="D769" s="8">
        <v>31</v>
      </c>
      <c r="E769" s="8">
        <v>0</v>
      </c>
      <c r="F769" s="8">
        <v>30.4</v>
      </c>
      <c r="G769" s="8">
        <v>0.315</v>
      </c>
      <c r="H769" s="8">
        <v>23</v>
      </c>
      <c r="I769" s="9">
        <v>100.48019750515701</v>
      </c>
      <c r="J769" s="9">
        <v>-7.4801975051570082</v>
      </c>
      <c r="K769" s="8">
        <f t="shared" si="11"/>
        <v>55.953354716157129</v>
      </c>
    </row>
    <row r="770" spans="1:11" x14ac:dyDescent="0.35">
      <c r="I770" s="5"/>
      <c r="J770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554E-19A0-4530-AFAF-CAF52312E592}">
  <dimension ref="A1:I798"/>
  <sheetViews>
    <sheetView workbookViewId="0">
      <selection activeCell="K10" sqref="K10"/>
    </sheetView>
  </sheetViews>
  <sheetFormatPr defaultRowHeight="14.5" x14ac:dyDescent="0.35"/>
  <cols>
    <col min="1" max="1" width="22.453125" bestFit="1" customWidth="1"/>
    <col min="2" max="2" width="23.54296875" bestFit="1" customWidth="1"/>
    <col min="3" max="3" width="13.453125" bestFit="1" customWidth="1"/>
    <col min="4" max="4" width="12.6328125" bestFit="1" customWidth="1"/>
    <col min="5" max="5" width="12" bestFit="1" customWidth="1"/>
    <col min="6" max="9" width="12.6328125" bestFit="1" customWidth="1"/>
  </cols>
  <sheetData>
    <row r="1" spans="1:9" x14ac:dyDescent="0.35">
      <c r="A1" t="s">
        <v>11</v>
      </c>
    </row>
    <row r="2" spans="1:9" ht="15" thickBot="1" x14ac:dyDescent="0.4"/>
    <row r="3" spans="1:9" x14ac:dyDescent="0.35">
      <c r="A3" s="4" t="s">
        <v>12</v>
      </c>
      <c r="B3" s="4"/>
    </row>
    <row r="4" spans="1:9" x14ac:dyDescent="0.35">
      <c r="A4" s="1" t="s">
        <v>13</v>
      </c>
      <c r="B4" s="1">
        <v>0.32032902592815859</v>
      </c>
    </row>
    <row r="5" spans="1:9" x14ac:dyDescent="0.35">
      <c r="A5" s="1" t="s">
        <v>14</v>
      </c>
      <c r="B5" s="1">
        <v>0.10261068485208291</v>
      </c>
    </row>
    <row r="6" spans="1:9" x14ac:dyDescent="0.35">
      <c r="A6" s="1" t="s">
        <v>15</v>
      </c>
      <c r="B6" s="1">
        <v>9.4345256949404724E-2</v>
      </c>
    </row>
    <row r="7" spans="1:9" x14ac:dyDescent="0.35">
      <c r="A7" s="1" t="s">
        <v>16</v>
      </c>
      <c r="B7" s="1">
        <v>0.18927656056471226</v>
      </c>
    </row>
    <row r="8" spans="1:9" ht="15" thickBot="1" x14ac:dyDescent="0.4">
      <c r="A8" s="2" t="s">
        <v>17</v>
      </c>
      <c r="B8" s="2">
        <v>768</v>
      </c>
    </row>
    <row r="10" spans="1:9" ht="15" thickBot="1" x14ac:dyDescent="0.4">
      <c r="A10" t="s">
        <v>18</v>
      </c>
    </row>
    <row r="11" spans="1:9" x14ac:dyDescent="0.35">
      <c r="A11" s="3"/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</row>
    <row r="12" spans="1:9" x14ac:dyDescent="0.35">
      <c r="A12" s="1" t="s">
        <v>19</v>
      </c>
      <c r="B12" s="1">
        <v>7</v>
      </c>
      <c r="C12" s="1">
        <v>3.1132855463044073</v>
      </c>
      <c r="D12" s="1">
        <v>0.44475507804348674</v>
      </c>
      <c r="E12" s="1">
        <v>12.414443155306545</v>
      </c>
      <c r="F12" s="1">
        <v>4.155681517105571E-15</v>
      </c>
    </row>
    <row r="13" spans="1:9" x14ac:dyDescent="0.35">
      <c r="A13" s="1" t="s">
        <v>10</v>
      </c>
      <c r="B13" s="1">
        <v>760</v>
      </c>
      <c r="C13" s="1">
        <v>27.227468448197463</v>
      </c>
      <c r="D13" s="1">
        <v>3.5825616379207191E-2</v>
      </c>
      <c r="E13" s="1"/>
      <c r="F13" s="1"/>
    </row>
    <row r="14" spans="1:9" ht="15" thickBot="1" x14ac:dyDescent="0.4">
      <c r="A14" s="2" t="s">
        <v>20</v>
      </c>
      <c r="B14" s="2">
        <v>767</v>
      </c>
      <c r="C14" s="2">
        <v>30.34075399450187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27</v>
      </c>
      <c r="C16" s="3" t="s">
        <v>16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 x14ac:dyDescent="0.35">
      <c r="A17" s="1" t="s">
        <v>21</v>
      </c>
      <c r="B17" s="1">
        <v>1.8574751299250634</v>
      </c>
      <c r="C17" s="1">
        <v>3.7068999816453736E-2</v>
      </c>
      <c r="D17" s="1">
        <v>50.108585047406372</v>
      </c>
      <c r="E17" s="1">
        <v>4.5262652809321501E-243</v>
      </c>
      <c r="F17" s="1">
        <v>1.7847053364559278</v>
      </c>
      <c r="G17" s="1">
        <v>1.930244923394199</v>
      </c>
      <c r="H17" s="1">
        <v>1.7847053364559278</v>
      </c>
      <c r="I17" s="1">
        <v>1.930244923394199</v>
      </c>
    </row>
    <row r="18" spans="1:9" x14ac:dyDescent="0.35">
      <c r="A18" s="1" t="s">
        <v>0</v>
      </c>
      <c r="B18" s="1">
        <v>9.5204134878081742E-4</v>
      </c>
      <c r="C18" s="1">
        <v>2.426143270325178E-3</v>
      </c>
      <c r="D18" s="1">
        <v>0.39240936857501185</v>
      </c>
      <c r="E18" s="1">
        <v>0.69486578893631312</v>
      </c>
      <c r="F18" s="1">
        <v>-3.8106969387985455E-3</v>
      </c>
      <c r="G18" s="1">
        <v>5.7147796363601804E-3</v>
      </c>
      <c r="H18" s="1">
        <v>-3.8106969387985455E-3</v>
      </c>
      <c r="I18" s="1">
        <v>5.7147796363601804E-3</v>
      </c>
    </row>
    <row r="19" spans="1:9" x14ac:dyDescent="0.35">
      <c r="A19" s="1" t="s">
        <v>1</v>
      </c>
      <c r="B19" s="1">
        <v>3.3415305477066582E-4</v>
      </c>
      <c r="C19" s="1">
        <v>3.8347937198195402E-4</v>
      </c>
      <c r="D19" s="1">
        <v>0.87137165434387587</v>
      </c>
      <c r="E19" s="1">
        <v>0.3838264274431672</v>
      </c>
      <c r="F19" s="1">
        <v>-4.1865157543179767E-4</v>
      </c>
      <c r="G19" s="1">
        <v>1.0869576849731294E-3</v>
      </c>
      <c r="H19" s="1">
        <v>-4.1865157543179767E-4</v>
      </c>
      <c r="I19" s="1">
        <v>1.0869576849731294E-3</v>
      </c>
    </row>
    <row r="20" spans="1:9" x14ac:dyDescent="0.35">
      <c r="A20" s="1" t="s">
        <v>2</v>
      </c>
      <c r="B20" s="1">
        <v>-1.9516145358026921E-3</v>
      </c>
      <c r="C20" s="1">
        <v>5.1967233776613146E-4</v>
      </c>
      <c r="D20" s="1">
        <v>-3.7554712729023083</v>
      </c>
      <c r="E20" s="1">
        <v>1.8623352498625944E-4</v>
      </c>
      <c r="F20" s="1">
        <v>-2.9717782542227071E-3</v>
      </c>
      <c r="G20" s="1">
        <v>-9.3145081738267707E-4</v>
      </c>
      <c r="H20" s="1">
        <v>-2.9717782542227071E-3</v>
      </c>
      <c r="I20" s="1">
        <v>-9.3145081738267707E-4</v>
      </c>
    </row>
    <row r="21" spans="1:9" x14ac:dyDescent="0.35">
      <c r="A21" s="1" t="s">
        <v>3</v>
      </c>
      <c r="B21" s="1">
        <v>4.5402487361927569E-4</v>
      </c>
      <c r="C21" s="1">
        <v>6.6492863665966286E-5</v>
      </c>
      <c r="D21" s="1">
        <v>6.8281744624523339</v>
      </c>
      <c r="E21" s="1">
        <v>1.7608394496379636E-11</v>
      </c>
      <c r="F21" s="1">
        <v>3.2349337883651034E-4</v>
      </c>
      <c r="G21" s="1">
        <v>5.8455636840204104E-4</v>
      </c>
      <c r="H21" s="1">
        <v>3.2349337883651034E-4</v>
      </c>
      <c r="I21" s="1">
        <v>5.8455636840204104E-4</v>
      </c>
    </row>
    <row r="22" spans="1:9" x14ac:dyDescent="0.35">
      <c r="A22" s="1" t="s">
        <v>4</v>
      </c>
      <c r="B22" s="1">
        <v>2.7172499414775241E-3</v>
      </c>
      <c r="C22" s="1">
        <v>9.703238014752522E-4</v>
      </c>
      <c r="D22" s="1">
        <v>2.8003537966875554</v>
      </c>
      <c r="E22" s="1">
        <v>5.234253624492871E-3</v>
      </c>
      <c r="F22" s="1">
        <v>8.1241671206303445E-4</v>
      </c>
      <c r="G22" s="1">
        <v>4.622083170892014E-3</v>
      </c>
      <c r="H22" s="1">
        <v>8.1241671206303445E-4</v>
      </c>
      <c r="I22" s="1">
        <v>4.622083170892014E-3</v>
      </c>
    </row>
    <row r="23" spans="1:9" x14ac:dyDescent="0.35">
      <c r="A23" s="1" t="s">
        <v>5</v>
      </c>
      <c r="B23" s="1">
        <v>2.8604491257058325E-2</v>
      </c>
      <c r="C23" s="1">
        <v>2.1252264831011856E-2</v>
      </c>
      <c r="D23" s="1">
        <v>1.3459502544556055</v>
      </c>
      <c r="E23" s="1">
        <v>0.17871990756068151</v>
      </c>
      <c r="F23" s="1">
        <v>-1.311562339835939E-2</v>
      </c>
      <c r="G23" s="1">
        <v>7.0324605912476038E-2</v>
      </c>
      <c r="H23" s="1">
        <v>-1.311562339835939E-2</v>
      </c>
      <c r="I23" s="1">
        <v>7.0324605912476038E-2</v>
      </c>
    </row>
    <row r="24" spans="1:9" ht="15" thickBot="1" x14ac:dyDescent="0.4">
      <c r="A24" s="2" t="s">
        <v>6</v>
      </c>
      <c r="B24" s="2">
        <v>2.3292666606842256E-3</v>
      </c>
      <c r="C24" s="2">
        <v>7.1534872027872131E-4</v>
      </c>
      <c r="D24" s="2">
        <v>3.2561275286501856</v>
      </c>
      <c r="E24" s="2">
        <v>1.1795049507933703E-3</v>
      </c>
      <c r="F24" s="2">
        <v>9.2497253646058888E-4</v>
      </c>
      <c r="G24" s="2">
        <v>3.7335607849078621E-3</v>
      </c>
      <c r="H24" s="2">
        <v>9.2497253646058888E-4</v>
      </c>
      <c r="I24" s="2">
        <v>3.7335607849078621E-3</v>
      </c>
    </row>
    <row r="28" spans="1:9" x14ac:dyDescent="0.35">
      <c r="A28" t="s">
        <v>34</v>
      </c>
    </row>
    <row r="29" spans="1:9" ht="15" thickBot="1" x14ac:dyDescent="0.4"/>
    <row r="30" spans="1:9" x14ac:dyDescent="0.35">
      <c r="A30" s="3" t="s">
        <v>35</v>
      </c>
      <c r="B30" s="3" t="s">
        <v>41</v>
      </c>
      <c r="C30" s="3" t="s">
        <v>37</v>
      </c>
    </row>
    <row r="31" spans="1:9" x14ac:dyDescent="0.35">
      <c r="A31" s="1">
        <v>1</v>
      </c>
      <c r="B31" s="1">
        <v>2.0446378362941737</v>
      </c>
      <c r="C31" s="1">
        <v>0.12562387910078376</v>
      </c>
    </row>
    <row r="32" spans="1:9" x14ac:dyDescent="0.35">
      <c r="A32" s="1">
        <v>2</v>
      </c>
      <c r="B32" s="1">
        <v>1.9784107427061706</v>
      </c>
      <c r="C32" s="1">
        <v>-4.8991816991877934E-2</v>
      </c>
    </row>
    <row r="33" spans="1:3" x14ac:dyDescent="0.35">
      <c r="A33" s="1">
        <v>3</v>
      </c>
      <c r="B33" s="1">
        <v>2.0435479311236975</v>
      </c>
      <c r="C33" s="1">
        <v>0.21890315860673182</v>
      </c>
    </row>
    <row r="34" spans="1:3" x14ac:dyDescent="0.35">
      <c r="A34" s="1">
        <v>4</v>
      </c>
      <c r="B34" s="1">
        <v>2.0083187499552739</v>
      </c>
      <c r="C34" s="1">
        <v>-5.8928743310361131E-2</v>
      </c>
    </row>
    <row r="35" spans="1:3" x14ac:dyDescent="0.35">
      <c r="A35" s="1">
        <v>5</v>
      </c>
      <c r="B35" s="1">
        <v>2.1382372704072443</v>
      </c>
      <c r="C35" s="1">
        <v>-1.5167032508376366E-3</v>
      </c>
    </row>
    <row r="36" spans="1:3" x14ac:dyDescent="0.35">
      <c r="A36" s="1">
        <v>6</v>
      </c>
      <c r="B36" s="1">
        <v>2.0321517637870166</v>
      </c>
      <c r="C36" s="1">
        <v>3.2306225439902025E-2</v>
      </c>
    </row>
    <row r="37" spans="1:3" x14ac:dyDescent="0.35">
      <c r="A37" s="1">
        <v>7</v>
      </c>
      <c r="B37" s="1">
        <v>2.0064310256380926</v>
      </c>
      <c r="C37" s="1">
        <v>-0.11433642294761226</v>
      </c>
    </row>
    <row r="38" spans="1:3" x14ac:dyDescent="0.35">
      <c r="A38" s="1">
        <v>8</v>
      </c>
      <c r="B38" s="1">
        <v>2.0342962013353163</v>
      </c>
      <c r="C38" s="1">
        <v>2.6401639018295509E-2</v>
      </c>
    </row>
    <row r="39" spans="1:3" x14ac:dyDescent="0.35">
      <c r="A39" s="1">
        <v>9</v>
      </c>
      <c r="B39" s="1">
        <v>2.2523295445706606</v>
      </c>
      <c r="C39" s="1">
        <v>4.2136681590932312E-2</v>
      </c>
    </row>
    <row r="40" spans="1:3" x14ac:dyDescent="0.35">
      <c r="A40" s="1">
        <v>10</v>
      </c>
      <c r="B40" s="1">
        <v>2.0295867956218796</v>
      </c>
      <c r="C40" s="1">
        <v>6.7323217386176637E-2</v>
      </c>
    </row>
    <row r="41" spans="1:3" x14ac:dyDescent="0.35">
      <c r="A41" s="1">
        <v>11</v>
      </c>
      <c r="B41" s="1">
        <v>2.0695354318092676</v>
      </c>
      <c r="C41" s="1">
        <v>-2.814274665104266E-2</v>
      </c>
    </row>
    <row r="42" spans="1:3" x14ac:dyDescent="0.35">
      <c r="A42" s="1">
        <v>12</v>
      </c>
      <c r="B42" s="1">
        <v>2.0895340455103506</v>
      </c>
      <c r="C42" s="1">
        <v>0.13577523621551224</v>
      </c>
    </row>
    <row r="43" spans="1:3" x14ac:dyDescent="0.35">
      <c r="A43" s="1">
        <v>13</v>
      </c>
      <c r="B43" s="1">
        <v>2.1413525327689875</v>
      </c>
      <c r="C43" s="1">
        <v>1.6622674851074493E-3</v>
      </c>
    </row>
    <row r="44" spans="1:3" x14ac:dyDescent="0.35">
      <c r="A44" s="1">
        <v>14</v>
      </c>
      <c r="B44" s="1">
        <v>2.4482948070576818</v>
      </c>
      <c r="C44" s="1">
        <v>-0.17183300288443748</v>
      </c>
    </row>
    <row r="45" spans="1:3" x14ac:dyDescent="0.35">
      <c r="A45" s="1">
        <v>15</v>
      </c>
      <c r="B45" s="1">
        <v>2.1343565178684867</v>
      </c>
      <c r="C45" s="1">
        <v>8.5751570171568314E-2</v>
      </c>
    </row>
    <row r="46" spans="1:3" x14ac:dyDescent="0.35">
      <c r="A46" s="1">
        <v>16</v>
      </c>
      <c r="B46" s="1">
        <v>2.0340380245211662</v>
      </c>
      <c r="C46" s="1">
        <v>-3.4038024521166221E-2</v>
      </c>
    </row>
    <row r="47" spans="1:3" x14ac:dyDescent="0.35">
      <c r="A47" s="1">
        <v>17</v>
      </c>
      <c r="B47" s="1">
        <v>2.1106622127590269</v>
      </c>
      <c r="C47" s="1">
        <v>-3.8780205452901395E-2</v>
      </c>
    </row>
    <row r="48" spans="1:3" x14ac:dyDescent="0.35">
      <c r="A48" s="1">
        <v>18</v>
      </c>
      <c r="B48" s="1">
        <v>2.0487701509477967</v>
      </c>
      <c r="C48" s="1">
        <v>-1.9386373262586964E-2</v>
      </c>
    </row>
    <row r="49" spans="1:3" x14ac:dyDescent="0.35">
      <c r="A49" s="1">
        <v>19</v>
      </c>
      <c r="B49" s="1">
        <v>2.0317318192354596</v>
      </c>
      <c r="C49" s="1">
        <v>-1.8894594530287634E-2</v>
      </c>
    </row>
    <row r="50" spans="1:3" x14ac:dyDescent="0.35">
      <c r="A50" s="1">
        <v>20</v>
      </c>
      <c r="B50" s="1">
        <v>2.0505409938931622</v>
      </c>
      <c r="C50" s="1">
        <v>1.0156846460449565E-2</v>
      </c>
    </row>
    <row r="51" spans="1:3" x14ac:dyDescent="0.35">
      <c r="A51" s="1">
        <v>21</v>
      </c>
      <c r="B51" s="1">
        <v>2.1062320565073533</v>
      </c>
      <c r="C51" s="1">
        <v>-5.8615113897904081E-3</v>
      </c>
    </row>
    <row r="52" spans="1:3" x14ac:dyDescent="0.35">
      <c r="A52" s="1">
        <v>22</v>
      </c>
      <c r="B52" s="1">
        <v>2.1169128408863003</v>
      </c>
      <c r="C52" s="1">
        <v>-0.12127764628875037</v>
      </c>
    </row>
    <row r="53" spans="1:3" x14ac:dyDescent="0.35">
      <c r="A53" s="1">
        <v>23</v>
      </c>
      <c r="B53" s="1">
        <v>2.1107603006116813</v>
      </c>
      <c r="C53" s="1">
        <v>0.18149577074479462</v>
      </c>
    </row>
    <row r="54" spans="1:3" x14ac:dyDescent="0.35">
      <c r="A54" s="1">
        <v>24</v>
      </c>
      <c r="B54" s="1">
        <v>1.9783412003559468</v>
      </c>
      <c r="C54" s="1">
        <v>9.7205761036583738E-2</v>
      </c>
    </row>
    <row r="55" spans="1:3" x14ac:dyDescent="0.35">
      <c r="A55" s="1">
        <v>25</v>
      </c>
      <c r="B55" s="1">
        <v>2.1267518121092861</v>
      </c>
      <c r="C55" s="1">
        <v>2.8584225355775761E-2</v>
      </c>
    </row>
    <row r="56" spans="1:3" x14ac:dyDescent="0.35">
      <c r="A56" s="1">
        <v>26</v>
      </c>
      <c r="B56" s="1">
        <v>2.077727466757866</v>
      </c>
      <c r="C56" s="1">
        <v>1.9182546250190224E-2</v>
      </c>
    </row>
    <row r="57" spans="1:3" x14ac:dyDescent="0.35">
      <c r="A57" s="1">
        <v>27</v>
      </c>
      <c r="B57" s="1">
        <v>2.1041045198857997</v>
      </c>
      <c r="C57" s="1">
        <v>6.3212814862376288E-2</v>
      </c>
    </row>
    <row r="58" spans="1:3" x14ac:dyDescent="0.35">
      <c r="A58" s="1">
        <v>28</v>
      </c>
      <c r="B58" s="1">
        <v>2.0429849895778851</v>
      </c>
      <c r="C58" s="1">
        <v>-5.6213255311640342E-2</v>
      </c>
    </row>
    <row r="59" spans="1:3" x14ac:dyDescent="0.35">
      <c r="A59" s="1">
        <v>29</v>
      </c>
      <c r="B59" s="1">
        <v>2.1102135265860591</v>
      </c>
      <c r="C59" s="1">
        <v>5.1154475648915732E-2</v>
      </c>
    </row>
    <row r="60" spans="1:3" x14ac:dyDescent="0.35">
      <c r="A60" s="1">
        <v>30</v>
      </c>
      <c r="B60" s="1">
        <v>2.0837874873718811</v>
      </c>
      <c r="C60" s="1">
        <v>-1.5601625625719429E-2</v>
      </c>
    </row>
    <row r="61" spans="1:3" x14ac:dyDescent="0.35">
      <c r="A61" s="1">
        <v>31</v>
      </c>
      <c r="B61" s="1">
        <v>2.0897498876064957</v>
      </c>
      <c r="C61" s="1">
        <v>-5.2323389665871911E-2</v>
      </c>
    </row>
    <row r="62" spans="1:3" x14ac:dyDescent="0.35">
      <c r="A62" s="1">
        <v>32</v>
      </c>
      <c r="B62" s="1">
        <v>2.1021318435914069</v>
      </c>
      <c r="C62" s="1">
        <v>9.6525243363015711E-2</v>
      </c>
    </row>
    <row r="63" spans="1:3" x14ac:dyDescent="0.35">
      <c r="A63" s="1">
        <v>33</v>
      </c>
      <c r="B63" s="1">
        <v>2.0090307786790458</v>
      </c>
      <c r="C63" s="1">
        <v>-6.4548106528877103E-2</v>
      </c>
    </row>
    <row r="64" spans="1:3" x14ac:dyDescent="0.35">
      <c r="A64" s="1">
        <v>34</v>
      </c>
      <c r="B64" s="1">
        <v>2.0185998437475372</v>
      </c>
      <c r="C64" s="1">
        <v>-5.4812016401981856E-2</v>
      </c>
    </row>
    <row r="65" spans="1:3" x14ac:dyDescent="0.35">
      <c r="A65" s="1">
        <v>35</v>
      </c>
      <c r="B65" s="1">
        <v>2.0270180287142838</v>
      </c>
      <c r="C65" s="1">
        <v>5.9341801960464569E-2</v>
      </c>
    </row>
    <row r="66" spans="1:3" x14ac:dyDescent="0.35">
      <c r="A66" s="1">
        <v>36</v>
      </c>
      <c r="B66" s="1">
        <v>2.0738137116121971</v>
      </c>
      <c r="C66" s="1">
        <v>-6.0976486907025063E-2</v>
      </c>
    </row>
    <row r="67" spans="1:3" x14ac:dyDescent="0.35">
      <c r="A67" s="1">
        <v>37</v>
      </c>
      <c r="B67" s="1">
        <v>2.0770941344331892</v>
      </c>
      <c r="C67" s="1">
        <v>6.2784951968047231E-2</v>
      </c>
    </row>
    <row r="68" spans="1:3" x14ac:dyDescent="0.35">
      <c r="A68" s="1">
        <v>38</v>
      </c>
      <c r="B68" s="1">
        <v>2.0347951725539901</v>
      </c>
      <c r="C68" s="1">
        <v>-2.6195000792072598E-2</v>
      </c>
    </row>
    <row r="69" spans="1:3" x14ac:dyDescent="0.35">
      <c r="A69" s="1">
        <v>39</v>
      </c>
      <c r="B69" s="1">
        <v>1.9812110165485328</v>
      </c>
      <c r="C69" s="1">
        <v>-2.696850710920784E-2</v>
      </c>
    </row>
    <row r="70" spans="1:3" x14ac:dyDescent="0.35">
      <c r="A70" s="1">
        <v>40</v>
      </c>
      <c r="B70" s="1">
        <v>2.1586087295945817</v>
      </c>
      <c r="C70" s="1">
        <v>-0.11328575080792413</v>
      </c>
    </row>
    <row r="71" spans="1:3" x14ac:dyDescent="0.35">
      <c r="A71" s="1">
        <v>41</v>
      </c>
      <c r="B71" s="1">
        <v>2.0254076755536987</v>
      </c>
      <c r="C71" s="1">
        <v>0.2298648295496073</v>
      </c>
    </row>
    <row r="72" spans="1:3" x14ac:dyDescent="0.35">
      <c r="A72" s="1">
        <v>42</v>
      </c>
      <c r="B72" s="1">
        <v>2.1075333159748904</v>
      </c>
      <c r="C72" s="1">
        <v>1.6318324992195432E-2</v>
      </c>
    </row>
    <row r="73" spans="1:3" x14ac:dyDescent="0.35">
      <c r="A73" s="1">
        <v>43</v>
      </c>
      <c r="B73" s="1">
        <v>2.0399608675907728</v>
      </c>
      <c r="C73" s="1">
        <v>-1.4655002326002364E-2</v>
      </c>
    </row>
    <row r="74" spans="1:3" x14ac:dyDescent="0.35">
      <c r="A74" s="1">
        <v>44</v>
      </c>
      <c r="B74" s="1">
        <v>2.2346949441145925</v>
      </c>
      <c r="C74" s="1">
        <v>-1.6988337224388417E-3</v>
      </c>
    </row>
    <row r="75" spans="1:3" x14ac:dyDescent="0.35">
      <c r="A75" s="1">
        <v>45</v>
      </c>
      <c r="B75" s="1">
        <v>2.0615582501252803</v>
      </c>
      <c r="C75" s="1">
        <v>0.13983887419517105</v>
      </c>
    </row>
    <row r="76" spans="1:3" x14ac:dyDescent="0.35">
      <c r="A76" s="1">
        <v>46</v>
      </c>
      <c r="B76" s="1">
        <v>2.0299207306523952</v>
      </c>
      <c r="C76" s="1">
        <v>0.22535177445091081</v>
      </c>
    </row>
    <row r="77" spans="1:3" x14ac:dyDescent="0.35">
      <c r="A77" s="1">
        <v>47</v>
      </c>
      <c r="B77" s="1">
        <v>2.0415237318317074</v>
      </c>
      <c r="C77" s="1">
        <v>0.12282912395272971</v>
      </c>
    </row>
    <row r="78" spans="1:3" x14ac:dyDescent="0.35">
      <c r="A78" s="1">
        <v>48</v>
      </c>
      <c r="B78" s="1">
        <v>1.9741654307629588</v>
      </c>
      <c r="C78" s="1">
        <v>-0.12290708204388356</v>
      </c>
    </row>
    <row r="79" spans="1:3" x14ac:dyDescent="0.35">
      <c r="A79" s="1">
        <v>49</v>
      </c>
      <c r="B79" s="1">
        <v>2.0120335400211169</v>
      </c>
      <c r="C79" s="1">
        <v>8.0368468405511706E-4</v>
      </c>
    </row>
    <row r="80" spans="1:3" x14ac:dyDescent="0.35">
      <c r="A80" s="1">
        <v>50</v>
      </c>
      <c r="B80" s="1">
        <v>1.9287661890563532</v>
      </c>
      <c r="C80" s="1">
        <v>9.2423110013585053E-2</v>
      </c>
    </row>
    <row r="81" spans="1:3" x14ac:dyDescent="0.35">
      <c r="A81" s="1">
        <v>51</v>
      </c>
      <c r="B81" s="1">
        <v>2.0189250160053813</v>
      </c>
      <c r="C81" s="1">
        <v>-6.0877913002093109E-3</v>
      </c>
    </row>
    <row r="82" spans="1:3" x14ac:dyDescent="0.35">
      <c r="A82" s="1">
        <v>52</v>
      </c>
      <c r="B82" s="1">
        <v>2.0035698455883892</v>
      </c>
      <c r="C82" s="1">
        <v>7.5152819425339246E-4</v>
      </c>
    </row>
    <row r="83" spans="1:3" x14ac:dyDescent="0.35">
      <c r="A83" s="1">
        <v>53</v>
      </c>
      <c r="B83" s="1">
        <v>1.9997097395277104</v>
      </c>
      <c r="C83" s="1">
        <v>-5.5227067377541683E-2</v>
      </c>
    </row>
    <row r="84" spans="1:3" x14ac:dyDescent="0.35">
      <c r="A84" s="1">
        <v>54</v>
      </c>
      <c r="B84" s="1">
        <v>2.2050448902776849</v>
      </c>
      <c r="C84" s="1">
        <v>4.0467777536465022E-2</v>
      </c>
    </row>
    <row r="85" spans="1:3" x14ac:dyDescent="0.35">
      <c r="A85" s="1">
        <v>55</v>
      </c>
      <c r="B85" s="1">
        <v>2.1721580146960475</v>
      </c>
      <c r="C85" s="1">
        <v>3.9332443596338251E-3</v>
      </c>
    </row>
    <row r="86" spans="1:3" x14ac:dyDescent="0.35">
      <c r="A86" s="1">
        <v>56</v>
      </c>
      <c r="B86" s="1">
        <v>1.9741239410144531</v>
      </c>
      <c r="C86" s="1">
        <v>-0.11080108089399721</v>
      </c>
    </row>
    <row r="87" spans="1:3" x14ac:dyDescent="0.35">
      <c r="A87" s="1">
        <v>57</v>
      </c>
      <c r="B87" s="1">
        <v>2.1539782184359377</v>
      </c>
      <c r="C87" s="1">
        <v>0.11786338810056129</v>
      </c>
    </row>
    <row r="88" spans="1:3" x14ac:dyDescent="0.35">
      <c r="A88" s="1">
        <v>58</v>
      </c>
      <c r="B88" s="1">
        <v>2.0466185470264899</v>
      </c>
      <c r="C88" s="1">
        <v>-4.6618547026489932E-2</v>
      </c>
    </row>
    <row r="89" spans="1:3" x14ac:dyDescent="0.35">
      <c r="A89" s="1">
        <v>59</v>
      </c>
      <c r="B89" s="1">
        <v>2.1483566350450247</v>
      </c>
      <c r="C89" s="1">
        <v>1.5996220739412426E-2</v>
      </c>
    </row>
    <row r="90" spans="1:3" x14ac:dyDescent="0.35">
      <c r="A90" s="1">
        <v>60</v>
      </c>
      <c r="B90" s="1">
        <v>2.032274577610254</v>
      </c>
      <c r="C90" s="1">
        <v>-1.1085278540315713E-2</v>
      </c>
    </row>
    <row r="91" spans="1:3" x14ac:dyDescent="0.35">
      <c r="A91" s="1">
        <v>61</v>
      </c>
      <c r="B91" s="1">
        <v>1.9169895778391395</v>
      </c>
      <c r="C91" s="1">
        <v>7.2897082227421084E-3</v>
      </c>
    </row>
    <row r="92" spans="1:3" x14ac:dyDescent="0.35">
      <c r="A92" s="1">
        <v>62</v>
      </c>
      <c r="B92" s="1">
        <v>2.077112616139499</v>
      </c>
      <c r="C92" s="1">
        <v>4.6739024827586739E-2</v>
      </c>
    </row>
    <row r="93" spans="1:3" x14ac:dyDescent="0.35">
      <c r="A93" s="1">
        <v>63</v>
      </c>
      <c r="B93" s="1">
        <v>2.0515285107542121</v>
      </c>
      <c r="C93" s="1">
        <v>-0.40807583426802463</v>
      </c>
    </row>
    <row r="94" spans="1:3" x14ac:dyDescent="0.35">
      <c r="A94" s="1">
        <v>64</v>
      </c>
      <c r="B94" s="1">
        <v>2.0154354671639334</v>
      </c>
      <c r="C94" s="1">
        <v>0.13378364549144628</v>
      </c>
    </row>
    <row r="95" spans="1:3" x14ac:dyDescent="0.35">
      <c r="A95" s="1">
        <v>65</v>
      </c>
      <c r="B95" s="1">
        <v>2.080528477554914</v>
      </c>
      <c r="C95" s="1">
        <v>-2.3623626218441274E-2</v>
      </c>
    </row>
    <row r="96" spans="1:3" x14ac:dyDescent="0.35">
      <c r="A96" s="1">
        <v>66</v>
      </c>
      <c r="B96" s="1">
        <v>1.9934125634252502</v>
      </c>
      <c r="C96" s="1">
        <v>2.222631172299705E-3</v>
      </c>
    </row>
    <row r="97" spans="1:3" x14ac:dyDescent="0.35">
      <c r="A97" s="1">
        <v>67</v>
      </c>
      <c r="B97" s="1">
        <v>2.0296117588996063</v>
      </c>
      <c r="C97" s="1">
        <v>7.8147390410174822E-3</v>
      </c>
    </row>
    <row r="98" spans="1:3" x14ac:dyDescent="0.35">
      <c r="A98" s="1">
        <v>68</v>
      </c>
      <c r="B98" s="1">
        <v>2.1560990609517789</v>
      </c>
      <c r="C98" s="1">
        <v>-0.11867256301115514</v>
      </c>
    </row>
    <row r="99" spans="1:3" x14ac:dyDescent="0.35">
      <c r="A99" s="1">
        <v>69</v>
      </c>
      <c r="B99" s="1">
        <v>1.9934068945707282</v>
      </c>
      <c r="C99" s="1">
        <v>-1.5683289281880342E-2</v>
      </c>
    </row>
    <row r="100" spans="1:3" x14ac:dyDescent="0.35">
      <c r="A100" s="1">
        <v>70</v>
      </c>
      <c r="B100" s="1">
        <v>2.0292201718657066</v>
      </c>
      <c r="C100" s="1">
        <v>0.13513268391873057</v>
      </c>
    </row>
    <row r="101" spans="1:3" x14ac:dyDescent="0.35">
      <c r="A101" s="1">
        <v>71</v>
      </c>
      <c r="B101" s="1">
        <v>2.0626803456408083</v>
      </c>
      <c r="C101" s="1">
        <v>-6.2680345640808266E-2</v>
      </c>
    </row>
    <row r="102" spans="1:3" x14ac:dyDescent="0.35">
      <c r="A102" s="1">
        <v>72</v>
      </c>
      <c r="B102" s="1">
        <v>2.0289088331385923</v>
      </c>
      <c r="C102" s="1">
        <v>0.11410596711550269</v>
      </c>
    </row>
    <row r="103" spans="1:3" x14ac:dyDescent="0.35">
      <c r="A103" s="1">
        <v>73</v>
      </c>
      <c r="B103" s="1">
        <v>2.1323597080003012</v>
      </c>
      <c r="C103" s="1">
        <v>-3.1989162882738231E-2</v>
      </c>
    </row>
    <row r="104" spans="1:3" x14ac:dyDescent="0.35">
      <c r="A104" s="1">
        <v>74</v>
      </c>
      <c r="B104" s="1">
        <v>2.1291311268135931</v>
      </c>
      <c r="C104" s="1">
        <v>-1.8541416514344267E-2</v>
      </c>
    </row>
    <row r="105" spans="1:3" x14ac:dyDescent="0.35">
      <c r="A105" s="1">
        <v>75</v>
      </c>
      <c r="B105" s="1">
        <v>1.9744634575076925</v>
      </c>
      <c r="C105" s="1">
        <v>-7.6836366217251095E-2</v>
      </c>
    </row>
    <row r="106" spans="1:3" x14ac:dyDescent="0.35">
      <c r="A106" s="1">
        <v>76</v>
      </c>
      <c r="B106" s="1">
        <v>1.9577987960523182</v>
      </c>
      <c r="C106" s="1">
        <v>-1.9577987960523182</v>
      </c>
    </row>
    <row r="107" spans="1:3" x14ac:dyDescent="0.35">
      <c r="A107" s="1">
        <v>77</v>
      </c>
      <c r="B107" s="1">
        <v>2.0854699949003712</v>
      </c>
      <c r="C107" s="1">
        <v>-0.29307830540211732</v>
      </c>
    </row>
    <row r="108" spans="1:3" x14ac:dyDescent="0.35">
      <c r="A108" s="1">
        <v>78</v>
      </c>
      <c r="B108" s="1">
        <v>1.9978052613282551</v>
      </c>
      <c r="C108" s="1">
        <v>-2.0081656039407259E-2</v>
      </c>
    </row>
    <row r="109" spans="1:3" x14ac:dyDescent="0.35">
      <c r="A109" s="1">
        <v>79</v>
      </c>
      <c r="B109" s="1">
        <v>2.0431444732140878</v>
      </c>
      <c r="C109" s="1">
        <v>7.4126822441676676E-2</v>
      </c>
    </row>
    <row r="110" spans="1:3" x14ac:dyDescent="0.35">
      <c r="A110" s="1">
        <v>80</v>
      </c>
      <c r="B110" s="1">
        <v>1.971113021659106</v>
      </c>
      <c r="C110" s="1">
        <v>7.8105001011075537E-2</v>
      </c>
    </row>
    <row r="111" spans="1:3" x14ac:dyDescent="0.35">
      <c r="A111" s="1">
        <v>81</v>
      </c>
      <c r="B111" s="1">
        <v>1.9657778934160177</v>
      </c>
      <c r="C111" s="1">
        <v>8.7300550067401783E-2</v>
      </c>
    </row>
    <row r="112" spans="1:3" x14ac:dyDescent="0.35">
      <c r="A112" s="1">
        <v>82</v>
      </c>
      <c r="B112" s="1">
        <v>1.9135407372658979</v>
      </c>
      <c r="C112" s="1">
        <v>-4.4309017534921669E-2</v>
      </c>
    </row>
    <row r="113" spans="1:3" x14ac:dyDescent="0.35">
      <c r="A113" s="1">
        <v>83</v>
      </c>
      <c r="B113" s="1">
        <v>2.0571058135988269</v>
      </c>
      <c r="C113" s="1">
        <v>-0.13802772122275297</v>
      </c>
    </row>
    <row r="114" spans="1:3" x14ac:dyDescent="0.35">
      <c r="A114" s="1">
        <v>84</v>
      </c>
      <c r="B114" s="1">
        <v>1.949417351006004</v>
      </c>
      <c r="C114" s="1">
        <v>5.4904022776638639E-2</v>
      </c>
    </row>
    <row r="115" spans="1:3" x14ac:dyDescent="0.35">
      <c r="A115" s="1">
        <v>85</v>
      </c>
      <c r="B115" s="1">
        <v>2.1236017496889712</v>
      </c>
      <c r="C115" s="1">
        <v>1.3118817467435484E-2</v>
      </c>
    </row>
    <row r="116" spans="1:3" x14ac:dyDescent="0.35">
      <c r="A116" s="1">
        <v>86</v>
      </c>
      <c r="B116" s="1">
        <v>2.0551578591795581</v>
      </c>
      <c r="C116" s="1">
        <v>-1.3765174021333149E-2</v>
      </c>
    </row>
    <row r="117" spans="1:3" x14ac:dyDescent="0.35">
      <c r="A117" s="1">
        <v>87</v>
      </c>
      <c r="B117" s="1">
        <v>1.9978834495019806</v>
      </c>
      <c r="C117" s="1">
        <v>2.7422415762789809E-2</v>
      </c>
    </row>
    <row r="118" spans="1:3" x14ac:dyDescent="0.35">
      <c r="A118" s="1">
        <v>88</v>
      </c>
      <c r="B118" s="1">
        <v>2.0399899340708929</v>
      </c>
      <c r="C118" s="1">
        <v>-3.9989934070892907E-2</v>
      </c>
    </row>
    <row r="119" spans="1:3" x14ac:dyDescent="0.35">
      <c r="A119" s="1">
        <v>89</v>
      </c>
      <c r="B119" s="1">
        <v>2.0879824613437243</v>
      </c>
      <c r="C119" s="1">
        <v>4.5556447026493085E-2</v>
      </c>
    </row>
    <row r="120" spans="1:3" x14ac:dyDescent="0.35">
      <c r="A120" s="1">
        <v>90</v>
      </c>
      <c r="B120" s="1">
        <v>1.9766981671809889</v>
      </c>
      <c r="C120" s="1">
        <v>5.2685610504220826E-2</v>
      </c>
    </row>
    <row r="121" spans="1:3" x14ac:dyDescent="0.35">
      <c r="A121" s="1">
        <v>91</v>
      </c>
      <c r="B121" s="1">
        <v>1.9849996217871415</v>
      </c>
      <c r="C121" s="1">
        <v>-8.1909634795197972E-2</v>
      </c>
    </row>
    <row r="122" spans="1:3" x14ac:dyDescent="0.35">
      <c r="A122" s="1">
        <v>92</v>
      </c>
      <c r="B122" s="1">
        <v>2.1174685536392133</v>
      </c>
      <c r="C122" s="1">
        <v>-2.7563442199815213E-2</v>
      </c>
    </row>
    <row r="123" spans="1:3" x14ac:dyDescent="0.35">
      <c r="A123" s="1">
        <v>93</v>
      </c>
      <c r="B123" s="1">
        <v>2.0661225143740887</v>
      </c>
      <c r="C123" s="1">
        <v>-0.15763749549543893</v>
      </c>
    </row>
    <row r="124" spans="1:3" x14ac:dyDescent="0.35">
      <c r="A124" s="1">
        <v>94</v>
      </c>
      <c r="B124" s="1">
        <v>2.0976923075900982</v>
      </c>
      <c r="C124" s="1">
        <v>2.9412490774709532E-2</v>
      </c>
    </row>
    <row r="125" spans="1:3" x14ac:dyDescent="0.35">
      <c r="A125" s="1">
        <v>95</v>
      </c>
      <c r="B125" s="1">
        <v>2.0185069846564896</v>
      </c>
      <c r="C125" s="1">
        <v>0.13378135972656668</v>
      </c>
    </row>
    <row r="126" spans="1:3" x14ac:dyDescent="0.35">
      <c r="A126" s="1">
        <v>96</v>
      </c>
      <c r="B126" s="1">
        <v>2.1306500613937653</v>
      </c>
      <c r="C126" s="1">
        <v>2.7712430701484436E-2</v>
      </c>
    </row>
    <row r="127" spans="1:3" x14ac:dyDescent="0.35">
      <c r="A127" s="1">
        <v>97</v>
      </c>
      <c r="B127" s="1">
        <v>1.9709375768864594</v>
      </c>
      <c r="C127" s="1">
        <v>-7.1497495409040823E-3</v>
      </c>
    </row>
    <row r="128" spans="1:3" x14ac:dyDescent="0.35">
      <c r="A128" s="1">
        <v>98</v>
      </c>
      <c r="B128" s="1">
        <v>1.9897583626706772</v>
      </c>
      <c r="C128" s="1">
        <v>-0.13850001395160194</v>
      </c>
    </row>
    <row r="129" spans="1:3" x14ac:dyDescent="0.35">
      <c r="A129" s="1">
        <v>99</v>
      </c>
      <c r="B129" s="1">
        <v>1.9921455919974895</v>
      </c>
      <c r="C129" s="1">
        <v>-2.366264344355451E-2</v>
      </c>
    </row>
    <row r="130" spans="1:3" x14ac:dyDescent="0.35">
      <c r="A130" s="1">
        <v>100</v>
      </c>
      <c r="B130" s="1">
        <v>2.1054051253046957</v>
      </c>
      <c r="C130" s="1">
        <v>-1.9045294629947307E-2</v>
      </c>
    </row>
    <row r="131" spans="1:3" x14ac:dyDescent="0.35">
      <c r="A131" s="1">
        <v>101</v>
      </c>
      <c r="B131" s="1">
        <v>2.1002794270536604</v>
      </c>
      <c r="C131" s="1">
        <v>0.11190817735029723</v>
      </c>
    </row>
    <row r="132" spans="1:3" x14ac:dyDescent="0.35">
      <c r="A132" s="1">
        <v>102</v>
      </c>
      <c r="B132" s="1">
        <v>2.0057606485027137</v>
      </c>
      <c r="C132" s="1">
        <v>0.17321629879045553</v>
      </c>
    </row>
    <row r="133" spans="1:3" x14ac:dyDescent="0.35">
      <c r="A133" s="1">
        <v>103</v>
      </c>
      <c r="B133" s="1">
        <v>2.0071009234500097</v>
      </c>
      <c r="C133" s="1">
        <v>8.9809089558046562E-2</v>
      </c>
    </row>
    <row r="134" spans="1:3" x14ac:dyDescent="0.35">
      <c r="A134" s="1">
        <v>104</v>
      </c>
      <c r="B134" s="1">
        <v>2.0017944438431257</v>
      </c>
      <c r="C134" s="1">
        <v>-9.3309424964475918E-2</v>
      </c>
    </row>
    <row r="135" spans="1:3" x14ac:dyDescent="0.35">
      <c r="A135" s="1">
        <v>105</v>
      </c>
      <c r="B135" s="1">
        <v>2.0781946355727663</v>
      </c>
      <c r="C135" s="1">
        <v>-0.14877570985847366</v>
      </c>
    </row>
    <row r="136" spans="1:3" x14ac:dyDescent="0.35">
      <c r="A136" s="1">
        <v>106</v>
      </c>
      <c r="B136" s="1">
        <v>2.0393665722845302</v>
      </c>
      <c r="C136" s="1">
        <v>6.1003972833032716E-2</v>
      </c>
    </row>
    <row r="137" spans="1:3" x14ac:dyDescent="0.35">
      <c r="A137" s="1">
        <v>107</v>
      </c>
      <c r="B137" s="1">
        <v>2.0288715721736472</v>
      </c>
      <c r="C137" s="1">
        <v>-4.6600339134078794E-2</v>
      </c>
    </row>
    <row r="138" spans="1:3" x14ac:dyDescent="0.35">
      <c r="A138" s="1">
        <v>108</v>
      </c>
      <c r="B138" s="1">
        <v>2.0641336765107874</v>
      </c>
      <c r="C138" s="1">
        <v>9.4228815584462389E-2</v>
      </c>
    </row>
    <row r="139" spans="1:3" x14ac:dyDescent="0.35">
      <c r="A139" s="1">
        <v>109</v>
      </c>
      <c r="B139" s="1">
        <v>1.9884289768355243</v>
      </c>
      <c r="C139" s="1">
        <v>-6.9350884459450368E-2</v>
      </c>
    </row>
    <row r="140" spans="1:3" x14ac:dyDescent="0.35">
      <c r="A140" s="1">
        <v>110</v>
      </c>
      <c r="B140" s="1">
        <v>2.0180255286439706</v>
      </c>
      <c r="C140" s="1">
        <v>-4.0301923355122726E-2</v>
      </c>
    </row>
    <row r="141" spans="1:3" x14ac:dyDescent="0.35">
      <c r="A141" s="1">
        <v>111</v>
      </c>
      <c r="B141" s="1">
        <v>2.0333594688397847</v>
      </c>
      <c r="C141" s="1">
        <v>0.19963664155236893</v>
      </c>
    </row>
    <row r="142" spans="1:3" x14ac:dyDescent="0.35">
      <c r="A142" s="1">
        <v>112</v>
      </c>
      <c r="B142" s="1">
        <v>2.2748742877760555</v>
      </c>
      <c r="C142" s="1">
        <v>-8.4542589605764107E-2</v>
      </c>
    </row>
    <row r="143" spans="1:3" x14ac:dyDescent="0.35">
      <c r="A143" s="1">
        <v>113</v>
      </c>
      <c r="B143" s="1">
        <v>1.9781102232342276</v>
      </c>
      <c r="C143" s="1">
        <v>-2.8720216589314784E-2</v>
      </c>
    </row>
    <row r="144" spans="1:3" x14ac:dyDescent="0.35">
      <c r="A144" s="1">
        <v>114</v>
      </c>
      <c r="B144" s="1">
        <v>2.0438033053248192</v>
      </c>
      <c r="C144" s="1">
        <v>-0.16298971304402787</v>
      </c>
    </row>
    <row r="145" spans="1:3" x14ac:dyDescent="0.35">
      <c r="A145" s="1">
        <v>115</v>
      </c>
      <c r="B145" s="1">
        <v>2.0897233359027316</v>
      </c>
      <c r="C145" s="1">
        <v>0.11439664675319294</v>
      </c>
    </row>
    <row r="146" spans="1:3" x14ac:dyDescent="0.35">
      <c r="A146" s="1">
        <v>116</v>
      </c>
      <c r="B146" s="1">
        <v>2.1343066616224786</v>
      </c>
      <c r="C146" s="1">
        <v>3.0046194161958528E-2</v>
      </c>
    </row>
    <row r="147" spans="1:3" x14ac:dyDescent="0.35">
      <c r="A147" s="1">
        <v>117</v>
      </c>
      <c r="B147" s="1">
        <v>2.0741542819147858</v>
      </c>
      <c r="C147" s="1">
        <v>1.9267403247449355E-2</v>
      </c>
    </row>
    <row r="148" spans="1:3" x14ac:dyDescent="0.35">
      <c r="A148" s="1">
        <v>118</v>
      </c>
      <c r="B148" s="1">
        <v>2.0467850101249736</v>
      </c>
      <c r="C148" s="1">
        <v>-0.15469040743449325</v>
      </c>
    </row>
    <row r="149" spans="1:3" x14ac:dyDescent="0.35">
      <c r="A149" s="1">
        <v>119</v>
      </c>
      <c r="B149" s="1">
        <v>1.9769874487945607</v>
      </c>
      <c r="C149" s="1">
        <v>9.7842854716840844E-3</v>
      </c>
    </row>
    <row r="150" spans="1:3" x14ac:dyDescent="0.35">
      <c r="A150" s="1">
        <v>120</v>
      </c>
      <c r="B150" s="1">
        <v>1.9988935780672712</v>
      </c>
      <c r="C150" s="1">
        <v>-3.2583834697212932E-3</v>
      </c>
    </row>
    <row r="151" spans="1:3" x14ac:dyDescent="0.35">
      <c r="A151" s="1">
        <v>121</v>
      </c>
      <c r="B151" s="1">
        <v>2.0434830077124277</v>
      </c>
      <c r="C151" s="1">
        <v>0.16603200683020303</v>
      </c>
    </row>
    <row r="152" spans="1:3" x14ac:dyDescent="0.35">
      <c r="A152" s="1">
        <v>122</v>
      </c>
      <c r="B152" s="1">
        <v>1.964729722208554</v>
      </c>
      <c r="C152" s="1">
        <v>8.0593256578103567E-2</v>
      </c>
    </row>
    <row r="153" spans="1:3" x14ac:dyDescent="0.35">
      <c r="A153" s="1">
        <v>123</v>
      </c>
      <c r="B153" s="1">
        <v>2.0273895356607348</v>
      </c>
      <c r="C153" s="1">
        <v>1.994242024474957E-3</v>
      </c>
    </row>
    <row r="154" spans="1:3" x14ac:dyDescent="0.35">
      <c r="A154" s="1">
        <v>124</v>
      </c>
      <c r="B154" s="1">
        <v>2.1278297144432425</v>
      </c>
      <c r="C154" s="1">
        <v>-7.2557832373925102E-3</v>
      </c>
    </row>
    <row r="155" spans="1:3" x14ac:dyDescent="0.35">
      <c r="A155" s="1">
        <v>125</v>
      </c>
      <c r="B155" s="1">
        <v>2.034880366904035</v>
      </c>
      <c r="C155" s="1">
        <v>1.8198076579384548E-2</v>
      </c>
    </row>
    <row r="156" spans="1:3" x14ac:dyDescent="0.35">
      <c r="A156" s="1">
        <v>126</v>
      </c>
      <c r="B156" s="1">
        <v>2.0556299225241141</v>
      </c>
      <c r="C156" s="1">
        <v>-0.11114725037394546</v>
      </c>
    </row>
    <row r="157" spans="1:3" x14ac:dyDescent="0.35">
      <c r="A157" s="1">
        <v>127</v>
      </c>
      <c r="B157" s="1">
        <v>2.0858441420279772</v>
      </c>
      <c r="C157" s="1">
        <v>-6.6628959803525234E-3</v>
      </c>
    </row>
    <row r="158" spans="1:3" x14ac:dyDescent="0.35">
      <c r="A158" s="1">
        <v>128</v>
      </c>
      <c r="B158" s="1">
        <v>2.0017515917468884</v>
      </c>
      <c r="C158" s="1">
        <v>7.0130415559237047E-2</v>
      </c>
    </row>
    <row r="159" spans="1:3" x14ac:dyDescent="0.35">
      <c r="A159" s="1">
        <v>129</v>
      </c>
      <c r="B159" s="1">
        <v>2.1052708972941314</v>
      </c>
      <c r="C159" s="1">
        <v>-3.7085035547969714E-2</v>
      </c>
    </row>
    <row r="160" spans="1:3" x14ac:dyDescent="0.35">
      <c r="A160" s="1">
        <v>130</v>
      </c>
      <c r="B160" s="1">
        <v>2.1269657208769241</v>
      </c>
      <c r="C160" s="1">
        <v>-0.10577642180698588</v>
      </c>
    </row>
    <row r="161" spans="1:3" x14ac:dyDescent="0.35">
      <c r="A161" s="1">
        <v>131</v>
      </c>
      <c r="B161" s="1">
        <v>2.101521928829194</v>
      </c>
      <c r="C161" s="1">
        <v>0.13652417429960151</v>
      </c>
    </row>
    <row r="162" spans="1:3" x14ac:dyDescent="0.35">
      <c r="A162" s="1">
        <v>132</v>
      </c>
      <c r="B162" s="1">
        <v>2.0839716992453918</v>
      </c>
      <c r="C162" s="1">
        <v>2.3881314293565659E-3</v>
      </c>
    </row>
    <row r="163" spans="1:3" x14ac:dyDescent="0.35">
      <c r="A163" s="1">
        <v>133</v>
      </c>
      <c r="B163" s="1">
        <v>2.0854692299053803</v>
      </c>
      <c r="C163" s="1">
        <v>0.1449796914728938</v>
      </c>
    </row>
    <row r="164" spans="1:3" x14ac:dyDescent="0.35">
      <c r="A164" s="1">
        <v>134</v>
      </c>
      <c r="B164" s="1">
        <v>2.0373030611882053</v>
      </c>
      <c r="C164" s="1">
        <v>-0.11302377512632367</v>
      </c>
    </row>
    <row r="165" spans="1:3" x14ac:dyDescent="0.35">
      <c r="A165" s="1">
        <v>135</v>
      </c>
      <c r="B165" s="1">
        <v>2.0153798629752222</v>
      </c>
      <c r="C165" s="1">
        <v>-3.3108629935653777E-2</v>
      </c>
    </row>
    <row r="166" spans="1:3" x14ac:dyDescent="0.35">
      <c r="A166" s="1">
        <v>136</v>
      </c>
      <c r="B166" s="1">
        <v>2.0705270972332821</v>
      </c>
      <c r="C166" s="1">
        <v>2.6382915774774141E-2</v>
      </c>
    </row>
    <row r="167" spans="1:3" x14ac:dyDescent="0.35">
      <c r="A167" s="1">
        <v>137</v>
      </c>
      <c r="B167" s="1">
        <v>2.002507888861444</v>
      </c>
      <c r="C167" s="1">
        <v>-2.5078888614440409E-3</v>
      </c>
    </row>
    <row r="168" spans="1:3" x14ac:dyDescent="0.35">
      <c r="A168" s="1">
        <v>138</v>
      </c>
      <c r="B168" s="1">
        <v>2.0149507673934224</v>
      </c>
      <c r="C168" s="1">
        <v>-4.6467818839487363E-2</v>
      </c>
    </row>
    <row r="169" spans="1:3" x14ac:dyDescent="0.35">
      <c r="A169" s="1">
        <v>139</v>
      </c>
      <c r="B169" s="1">
        <v>2.0566432629943701</v>
      </c>
      <c r="C169" s="1">
        <v>5.3946447304878742E-2</v>
      </c>
    </row>
    <row r="170" spans="1:3" x14ac:dyDescent="0.35">
      <c r="A170" s="1">
        <v>140</v>
      </c>
      <c r="B170" s="1">
        <v>2.1472897224499934</v>
      </c>
      <c r="C170" s="1">
        <v>-0.12610042338005512</v>
      </c>
    </row>
    <row r="171" spans="1:3" x14ac:dyDescent="0.35">
      <c r="A171" s="1">
        <v>141</v>
      </c>
      <c r="B171" s="1">
        <v>2.0795048360032173</v>
      </c>
      <c r="C171" s="1">
        <v>2.7705133644650992E-2</v>
      </c>
    </row>
    <row r="172" spans="1:3" x14ac:dyDescent="0.35">
      <c r="A172" s="1">
        <v>142</v>
      </c>
      <c r="B172" s="1">
        <v>2.0351118413799627</v>
      </c>
      <c r="C172" s="1">
        <v>-9.8059761151922942E-3</v>
      </c>
    </row>
    <row r="173" spans="1:3" x14ac:dyDescent="0.35">
      <c r="A173" s="1">
        <v>143</v>
      </c>
      <c r="B173" s="1">
        <v>2.003267478430661</v>
      </c>
      <c r="C173" s="1">
        <v>3.0156277056288872E-2</v>
      </c>
    </row>
    <row r="174" spans="1:3" x14ac:dyDescent="0.35">
      <c r="A174" s="1">
        <v>144</v>
      </c>
      <c r="B174" s="1">
        <v>2.0826981645022644</v>
      </c>
      <c r="C174" s="1">
        <v>-4.9274409015314546E-2</v>
      </c>
    </row>
    <row r="175" spans="1:3" x14ac:dyDescent="0.35">
      <c r="A175" s="1">
        <v>145</v>
      </c>
      <c r="B175" s="1">
        <v>2.0999219939180818</v>
      </c>
      <c r="C175" s="1">
        <v>8.7598726918381331E-2</v>
      </c>
    </row>
    <row r="176" spans="1:3" x14ac:dyDescent="0.35">
      <c r="A176" s="1">
        <v>146</v>
      </c>
      <c r="B176" s="1">
        <v>1.9029258435828076</v>
      </c>
      <c r="C176" s="1">
        <v>0.10567432817910993</v>
      </c>
    </row>
    <row r="177" spans="1:3" x14ac:dyDescent="0.35">
      <c r="A177" s="1">
        <v>147</v>
      </c>
      <c r="B177" s="1">
        <v>2.007937770950238</v>
      </c>
      <c r="C177" s="1">
        <v>-0.25206291527774649</v>
      </c>
    </row>
    <row r="178" spans="1:3" x14ac:dyDescent="0.35">
      <c r="A178" s="1">
        <v>148</v>
      </c>
      <c r="B178" s="1">
        <v>2.0686049367737569</v>
      </c>
      <c r="C178" s="1">
        <v>-4.3299071508986486E-2</v>
      </c>
    </row>
    <row r="179" spans="1:3" x14ac:dyDescent="0.35">
      <c r="A179" s="1">
        <v>149</v>
      </c>
      <c r="B179" s="1">
        <v>2.1375087100073853</v>
      </c>
      <c r="C179" s="1">
        <v>2.9808624740790712E-2</v>
      </c>
    </row>
    <row r="180" spans="1:3" x14ac:dyDescent="0.35">
      <c r="A180" s="1">
        <v>150</v>
      </c>
      <c r="B180" s="1">
        <v>1.9774486510421654</v>
      </c>
      <c r="C180" s="1">
        <v>-2.3206141602840402E-2</v>
      </c>
    </row>
    <row r="181" spans="1:3" x14ac:dyDescent="0.35">
      <c r="A181" s="1">
        <v>151</v>
      </c>
      <c r="B181" s="1">
        <v>2.0471355844343182</v>
      </c>
      <c r="C181" s="1">
        <v>8.6403323935899223E-2</v>
      </c>
    </row>
    <row r="182" spans="1:3" x14ac:dyDescent="0.35">
      <c r="A182" s="1">
        <v>152</v>
      </c>
      <c r="B182" s="1">
        <v>2.041051024267003</v>
      </c>
      <c r="C182" s="1">
        <v>1.5853827069469695E-2</v>
      </c>
    </row>
    <row r="183" spans="1:3" x14ac:dyDescent="0.35">
      <c r="A183" s="1">
        <v>153</v>
      </c>
      <c r="B183" s="1">
        <v>2.1355509260289391</v>
      </c>
      <c r="C183" s="1">
        <v>5.7573672325522463E-2</v>
      </c>
    </row>
    <row r="184" spans="1:3" x14ac:dyDescent="0.35">
      <c r="A184" s="1">
        <v>154</v>
      </c>
      <c r="B184" s="1">
        <v>2.207606741279998</v>
      </c>
      <c r="C184" s="1">
        <v>-2.2915310462399141E-2</v>
      </c>
    </row>
    <row r="185" spans="1:3" x14ac:dyDescent="0.35">
      <c r="A185" s="1">
        <v>155</v>
      </c>
      <c r="B185" s="1">
        <v>2.1253889528958338</v>
      </c>
      <c r="C185" s="1">
        <v>0.14876889636784618</v>
      </c>
    </row>
    <row r="186" spans="1:3" x14ac:dyDescent="0.35">
      <c r="A186" s="1">
        <v>156</v>
      </c>
      <c r="B186" s="1">
        <v>2.0370296590231662</v>
      </c>
      <c r="C186" s="1">
        <v>0.14481392892160638</v>
      </c>
    </row>
    <row r="187" spans="1:3" x14ac:dyDescent="0.35">
      <c r="A187" s="1">
        <v>157</v>
      </c>
      <c r="B187" s="1">
        <v>2.0241393009193329</v>
      </c>
      <c r="C187" s="1">
        <v>-2.8504106321783018E-2</v>
      </c>
    </row>
    <row r="188" spans="1:3" x14ac:dyDescent="0.35">
      <c r="A188" s="1">
        <v>158</v>
      </c>
      <c r="B188" s="1">
        <v>2.0433245679658474</v>
      </c>
      <c r="C188" s="1">
        <v>-5.8980700252235785E-3</v>
      </c>
    </row>
    <row r="189" spans="1:3" x14ac:dyDescent="0.35">
      <c r="A189" s="1">
        <v>159</v>
      </c>
      <c r="B189" s="1">
        <v>2.0076837241329919</v>
      </c>
      <c r="C189" s="1">
        <v>-6.320105198282322E-2</v>
      </c>
    </row>
    <row r="190" spans="1:3" x14ac:dyDescent="0.35">
      <c r="A190" s="1">
        <v>160</v>
      </c>
      <c r="B190" s="1">
        <v>2.1134424174381183</v>
      </c>
      <c r="C190" s="1">
        <v>9.8745186965839338E-2</v>
      </c>
    </row>
    <row r="191" spans="1:3" x14ac:dyDescent="0.35">
      <c r="A191" s="1">
        <v>161</v>
      </c>
      <c r="B191" s="1">
        <v>1.9901613613651341</v>
      </c>
      <c r="C191" s="1">
        <v>0.18881558592803516</v>
      </c>
    </row>
    <row r="192" spans="1:3" x14ac:dyDescent="0.35">
      <c r="A192" s="1">
        <v>162</v>
      </c>
      <c r="B192" s="1">
        <v>2.0702087894876682</v>
      </c>
      <c r="C192" s="1">
        <v>-6.1608617725750658E-2</v>
      </c>
    </row>
    <row r="193" spans="1:3" x14ac:dyDescent="0.35">
      <c r="A193" s="1">
        <v>163</v>
      </c>
      <c r="B193" s="1">
        <v>2.1350191663626279</v>
      </c>
      <c r="C193" s="1">
        <v>-7.8114315026155179E-2</v>
      </c>
    </row>
    <row r="194" spans="1:3" x14ac:dyDescent="0.35">
      <c r="A194" s="1">
        <v>164</v>
      </c>
      <c r="B194" s="1">
        <v>1.9760212497233343</v>
      </c>
      <c r="C194" s="1">
        <v>2.3978750276665739E-2</v>
      </c>
    </row>
    <row r="195" spans="1:3" x14ac:dyDescent="0.35">
      <c r="A195" s="1">
        <v>165</v>
      </c>
      <c r="B195" s="1">
        <v>2.068535367041461</v>
      </c>
      <c r="C195" s="1">
        <v>4.8735928614303425E-2</v>
      </c>
    </row>
    <row r="196" spans="1:3" x14ac:dyDescent="0.35">
      <c r="A196" s="1">
        <v>166</v>
      </c>
      <c r="B196" s="1">
        <v>2.1210116717367633</v>
      </c>
      <c r="C196" s="1">
        <v>-0.10397833243798305</v>
      </c>
    </row>
    <row r="197" spans="1:3" x14ac:dyDescent="0.35">
      <c r="A197" s="1">
        <v>167</v>
      </c>
      <c r="B197" s="1">
        <v>1.9804722315860819</v>
      </c>
      <c r="C197" s="1">
        <v>0.18978948380887561</v>
      </c>
    </row>
    <row r="198" spans="1:3" x14ac:dyDescent="0.35">
      <c r="A198" s="1">
        <v>168</v>
      </c>
      <c r="B198" s="1">
        <v>2.0639119520768445</v>
      </c>
      <c r="C198" s="1">
        <v>1.526929397078014E-2</v>
      </c>
    </row>
    <row r="199" spans="1:3" x14ac:dyDescent="0.35">
      <c r="A199" s="1">
        <v>169</v>
      </c>
      <c r="B199" s="1">
        <v>2.0510391186101002</v>
      </c>
      <c r="C199" s="1">
        <v>-9.6464334518753247E-3</v>
      </c>
    </row>
    <row r="200" spans="1:3" x14ac:dyDescent="0.35">
      <c r="A200" s="1">
        <v>170</v>
      </c>
      <c r="B200" s="1">
        <v>2.0612774492834851</v>
      </c>
      <c r="C200" s="1">
        <v>-1.5954470496827522E-2</v>
      </c>
    </row>
    <row r="201" spans="1:3" x14ac:dyDescent="0.35">
      <c r="A201" s="1">
        <v>171</v>
      </c>
      <c r="B201" s="1">
        <v>2.0632816349173533</v>
      </c>
      <c r="C201" s="1">
        <v>-5.4681463155435761E-2</v>
      </c>
    </row>
    <row r="202" spans="1:3" x14ac:dyDescent="0.35">
      <c r="A202" s="1">
        <v>172</v>
      </c>
      <c r="B202" s="1">
        <v>2.0799572064482112</v>
      </c>
      <c r="C202" s="1">
        <v>4.7147591916596454E-2</v>
      </c>
    </row>
    <row r="203" spans="1:3" x14ac:dyDescent="0.35">
      <c r="A203" s="1">
        <v>173</v>
      </c>
      <c r="B203" s="1">
        <v>1.9733635398666753</v>
      </c>
      <c r="C203" s="1">
        <v>-3.3844287248056881E-2</v>
      </c>
    </row>
    <row r="204" spans="1:3" x14ac:dyDescent="0.35">
      <c r="A204" s="1">
        <v>174</v>
      </c>
      <c r="B204" s="1">
        <v>2.0094690887123914</v>
      </c>
      <c r="C204" s="1">
        <v>-0.11184199742195</v>
      </c>
    </row>
    <row r="205" spans="1:3" x14ac:dyDescent="0.35">
      <c r="A205" s="1">
        <v>175</v>
      </c>
      <c r="B205" s="1">
        <v>2.0270494121473166</v>
      </c>
      <c r="C205" s="1">
        <v>-0.1519881487556165</v>
      </c>
    </row>
    <row r="206" spans="1:3" x14ac:dyDescent="0.35">
      <c r="A206" s="1">
        <v>176</v>
      </c>
      <c r="B206" s="1">
        <v>2.0594802058103627</v>
      </c>
      <c r="C206" s="1">
        <v>0.19337282516953058</v>
      </c>
    </row>
    <row r="207" spans="1:3" x14ac:dyDescent="0.35">
      <c r="A207" s="1">
        <v>177</v>
      </c>
      <c r="B207" s="1">
        <v>2.0827856298728928</v>
      </c>
      <c r="C207" s="1">
        <v>-0.15336670415860021</v>
      </c>
    </row>
    <row r="208" spans="1:3" x14ac:dyDescent="0.35">
      <c r="A208" s="1">
        <v>178</v>
      </c>
      <c r="B208" s="1">
        <v>2.1154941678353518</v>
      </c>
      <c r="C208" s="1">
        <v>-4.904457536103024E-3</v>
      </c>
    </row>
    <row r="209" spans="1:3" x14ac:dyDescent="0.35">
      <c r="A209" s="1">
        <v>179</v>
      </c>
      <c r="B209" s="1">
        <v>2.1254859086985678</v>
      </c>
      <c r="C209" s="1">
        <v>2.9850128766494066E-2</v>
      </c>
    </row>
    <row r="210" spans="1:3" x14ac:dyDescent="0.35">
      <c r="A210" s="1">
        <v>180</v>
      </c>
      <c r="B210" s="1">
        <v>2.1094091199589973</v>
      </c>
      <c r="C210" s="1">
        <v>4.5342323478396729E-3</v>
      </c>
    </row>
    <row r="211" spans="1:3" x14ac:dyDescent="0.35">
      <c r="A211" s="1">
        <v>181</v>
      </c>
      <c r="B211" s="1">
        <v>2.0298991314491683</v>
      </c>
      <c r="C211" s="1">
        <v>-9.0379878830549876E-2</v>
      </c>
    </row>
    <row r="212" spans="1:3" x14ac:dyDescent="0.35">
      <c r="A212" s="1">
        <v>182</v>
      </c>
      <c r="B212" s="1">
        <v>2.054645564473581</v>
      </c>
      <c r="C212" s="1">
        <v>2.0901396918949544E-2</v>
      </c>
    </row>
    <row r="213" spans="1:3" x14ac:dyDescent="0.35">
      <c r="A213" s="1">
        <v>183</v>
      </c>
      <c r="B213" s="1">
        <v>1.9872999448432196</v>
      </c>
      <c r="C213" s="1">
        <v>-1.9872999448432196</v>
      </c>
    </row>
    <row r="214" spans="1:3" x14ac:dyDescent="0.35">
      <c r="A214" s="1">
        <v>184</v>
      </c>
      <c r="B214" s="1">
        <v>2.0256630218821705</v>
      </c>
      <c r="C214" s="1">
        <v>-0.16234016176171462</v>
      </c>
    </row>
    <row r="215" spans="1:3" x14ac:dyDescent="0.35">
      <c r="A215" s="1">
        <v>185</v>
      </c>
      <c r="B215" s="1">
        <v>2.0611568820520865</v>
      </c>
      <c r="C215" s="1">
        <v>8.8062230603293212E-2</v>
      </c>
    </row>
    <row r="216" spans="1:3" x14ac:dyDescent="0.35">
      <c r="A216" s="1">
        <v>186</v>
      </c>
      <c r="B216" s="1">
        <v>2.0465761720620637</v>
      </c>
      <c r="C216" s="1">
        <v>0.24122555786816235</v>
      </c>
    </row>
    <row r="217" spans="1:3" x14ac:dyDescent="0.35">
      <c r="A217" s="1">
        <v>187</v>
      </c>
      <c r="B217" s="1">
        <v>2.2814350425949779</v>
      </c>
      <c r="C217" s="1">
        <v>-2.3756467725793318E-2</v>
      </c>
    </row>
    <row r="218" spans="1:3" x14ac:dyDescent="0.35">
      <c r="A218" s="1">
        <v>188</v>
      </c>
      <c r="B218" s="1">
        <v>2.0390957482238115</v>
      </c>
      <c r="C218" s="1">
        <v>6.8114221424056876E-2</v>
      </c>
    </row>
    <row r="219" spans="1:3" x14ac:dyDescent="0.35">
      <c r="A219" s="1">
        <v>189</v>
      </c>
      <c r="B219" s="1">
        <v>2.0324583758271242</v>
      </c>
      <c r="C219" s="1">
        <v>4.9681221134996179E-3</v>
      </c>
    </row>
    <row r="220" spans="1:3" x14ac:dyDescent="0.35">
      <c r="A220" s="1">
        <v>190</v>
      </c>
      <c r="B220" s="1">
        <v>2.0477280380882039</v>
      </c>
      <c r="C220" s="1">
        <v>9.5286762165891048E-2</v>
      </c>
    </row>
    <row r="221" spans="1:3" x14ac:dyDescent="0.35">
      <c r="A221" s="1">
        <v>191</v>
      </c>
      <c r="B221" s="1">
        <v>1.9954350296774501</v>
      </c>
      <c r="C221" s="1">
        <v>4.9887949109207463E-2</v>
      </c>
    </row>
    <row r="222" spans="1:3" x14ac:dyDescent="0.35">
      <c r="A222" s="1">
        <v>192</v>
      </c>
      <c r="B222" s="1">
        <v>2.0400512336633456</v>
      </c>
      <c r="C222" s="1">
        <v>4.9853877776052435E-2</v>
      </c>
    </row>
    <row r="223" spans="1:3" x14ac:dyDescent="0.35">
      <c r="A223" s="1">
        <v>193</v>
      </c>
      <c r="B223" s="1">
        <v>2.0636070391383949</v>
      </c>
      <c r="C223" s="1">
        <v>0.13779008518205638</v>
      </c>
    </row>
    <row r="224" spans="1:3" x14ac:dyDescent="0.35">
      <c r="A224" s="1">
        <v>194</v>
      </c>
      <c r="B224" s="1">
        <v>2.1197638190748758</v>
      </c>
      <c r="C224" s="1">
        <v>1.0569949420130342E-2</v>
      </c>
    </row>
    <row r="225" spans="1:3" x14ac:dyDescent="0.35">
      <c r="A225" s="1">
        <v>195</v>
      </c>
      <c r="B225" s="1">
        <v>2.012457897143392</v>
      </c>
      <c r="C225" s="1">
        <v>-8.3038971429099329E-2</v>
      </c>
    </row>
    <row r="226" spans="1:3" x14ac:dyDescent="0.35">
      <c r="A226" s="1">
        <v>196</v>
      </c>
      <c r="B226" s="1">
        <v>2.0915403756624356</v>
      </c>
      <c r="C226" s="1">
        <v>0.10711671129198708</v>
      </c>
    </row>
    <row r="227" spans="1:3" x14ac:dyDescent="0.35">
      <c r="A227" s="1">
        <v>197</v>
      </c>
      <c r="B227" s="1">
        <v>1.9981008617678853</v>
      </c>
      <c r="C227" s="1">
        <v>2.3088437302053011E-2</v>
      </c>
    </row>
    <row r="228" spans="1:3" x14ac:dyDescent="0.35">
      <c r="A228" s="1">
        <v>198</v>
      </c>
      <c r="B228" s="1">
        <v>2.0126629502633353</v>
      </c>
      <c r="C228" s="1">
        <v>1.6720827421874418E-2</v>
      </c>
    </row>
    <row r="229" spans="1:3" x14ac:dyDescent="0.35">
      <c r="A229" s="1">
        <v>199</v>
      </c>
      <c r="B229" s="1">
        <v>2.0227548094673446</v>
      </c>
      <c r="C229" s="1">
        <v>1.4671688473279154E-2</v>
      </c>
    </row>
    <row r="230" spans="1:3" x14ac:dyDescent="0.35">
      <c r="A230" s="1">
        <v>200</v>
      </c>
      <c r="B230" s="1">
        <v>2.1288212259907406</v>
      </c>
      <c r="C230" s="1">
        <v>4.1440489404216851E-2</v>
      </c>
    </row>
    <row r="231" spans="1:3" x14ac:dyDescent="0.35">
      <c r="A231" s="1">
        <v>201</v>
      </c>
      <c r="B231" s="1">
        <v>2.0111312151527145</v>
      </c>
      <c r="C231" s="1">
        <v>4.1947228330704966E-2</v>
      </c>
    </row>
    <row r="232" spans="1:3" x14ac:dyDescent="0.35">
      <c r="A232" s="1">
        <v>202</v>
      </c>
      <c r="B232" s="1">
        <v>2.0667595708541113</v>
      </c>
      <c r="C232" s="1">
        <v>7.3119515547125147E-2</v>
      </c>
    </row>
    <row r="233" spans="1:3" x14ac:dyDescent="0.35">
      <c r="A233" s="1">
        <v>203</v>
      </c>
      <c r="B233" s="1">
        <v>2.0123944380969512</v>
      </c>
      <c r="C233" s="1">
        <v>2.1029317389998692E-2</v>
      </c>
    </row>
    <row r="234" spans="1:3" x14ac:dyDescent="0.35">
      <c r="A234" s="1">
        <v>204</v>
      </c>
      <c r="B234" s="1">
        <v>1.9965653424130008</v>
      </c>
      <c r="C234" s="1">
        <v>-9.3014781545086578E-4</v>
      </c>
    </row>
    <row r="235" spans="1:3" x14ac:dyDescent="0.35">
      <c r="A235" s="1">
        <v>205</v>
      </c>
      <c r="B235" s="1">
        <v>2.1508773031018347</v>
      </c>
      <c r="C235" s="1">
        <v>-0.13804007839666266</v>
      </c>
    </row>
    <row r="236" spans="1:3" x14ac:dyDescent="0.35">
      <c r="A236" s="1">
        <v>206</v>
      </c>
      <c r="B236" s="1">
        <v>1.9711236509913896</v>
      </c>
      <c r="C236" s="1">
        <v>7.4199327795267944E-2</v>
      </c>
    </row>
    <row r="237" spans="1:3" x14ac:dyDescent="0.35">
      <c r="A237" s="1">
        <v>207</v>
      </c>
      <c r="B237" s="1">
        <v>2.212988025627928</v>
      </c>
      <c r="C237" s="1">
        <v>7.9268045728547953E-2</v>
      </c>
    </row>
    <row r="238" spans="1:3" x14ac:dyDescent="0.35">
      <c r="A238" s="1">
        <v>208</v>
      </c>
      <c r="B238" s="1">
        <v>2.1248687216942148</v>
      </c>
      <c r="C238" s="1">
        <v>8.464629284841596E-2</v>
      </c>
    </row>
    <row r="239" spans="1:3" x14ac:dyDescent="0.35">
      <c r="A239" s="1">
        <v>209</v>
      </c>
      <c r="B239" s="1">
        <v>2.0140135342220837</v>
      </c>
      <c r="C239" s="1">
        <v>-3.1742301182515309E-2</v>
      </c>
    </row>
    <row r="240" spans="1:3" x14ac:dyDescent="0.35">
      <c r="A240" s="1">
        <v>210</v>
      </c>
      <c r="B240" s="1">
        <v>2.029921896692537</v>
      </c>
      <c r="C240" s="1">
        <v>0.2348959263169994</v>
      </c>
    </row>
    <row r="241" spans="1:3" x14ac:dyDescent="0.35">
      <c r="A241" s="1">
        <v>211</v>
      </c>
      <c r="B241" s="1">
        <v>1.9782876684817856</v>
      </c>
      <c r="C241" s="1">
        <v>-6.9802649603135869E-2</v>
      </c>
    </row>
    <row r="242" spans="1:3" x14ac:dyDescent="0.35">
      <c r="A242" s="1">
        <v>212</v>
      </c>
      <c r="B242" s="1">
        <v>1.9634183362202808</v>
      </c>
      <c r="C242" s="1">
        <v>0.20389899852789517</v>
      </c>
    </row>
    <row r="243" spans="1:3" x14ac:dyDescent="0.35">
      <c r="A243" s="1">
        <v>213</v>
      </c>
      <c r="B243" s="1">
        <v>2.072760993165601</v>
      </c>
      <c r="C243" s="1">
        <v>0.18009203781429228</v>
      </c>
    </row>
    <row r="244" spans="1:3" x14ac:dyDescent="0.35">
      <c r="A244" s="1">
        <v>214</v>
      </c>
      <c r="B244" s="1">
        <v>2.0714621172199483</v>
      </c>
      <c r="C244" s="1">
        <v>7.4665918458289848E-2</v>
      </c>
    </row>
    <row r="245" spans="1:3" x14ac:dyDescent="0.35">
      <c r="A245" s="1">
        <v>215</v>
      </c>
      <c r="B245" s="1">
        <v>2.0946674558029708</v>
      </c>
      <c r="C245" s="1">
        <v>-4.5449433132789263E-2</v>
      </c>
    </row>
    <row r="246" spans="1:3" x14ac:dyDescent="0.35">
      <c r="A246" s="1">
        <v>216</v>
      </c>
      <c r="B246" s="1">
        <v>2.1605842124355941</v>
      </c>
      <c r="C246" s="1">
        <v>1.8392734857575199E-2</v>
      </c>
    </row>
    <row r="247" spans="1:3" x14ac:dyDescent="0.35">
      <c r="A247" s="1">
        <v>217</v>
      </c>
      <c r="B247" s="1">
        <v>2.0317177617218536</v>
      </c>
      <c r="C247" s="1">
        <v>5.7087362187702162E-3</v>
      </c>
    </row>
    <row r="248" spans="1:3" x14ac:dyDescent="0.35">
      <c r="A248" s="1">
        <v>218</v>
      </c>
      <c r="B248" s="1">
        <v>2.0511708498318817</v>
      </c>
      <c r="C248" s="1">
        <v>4.5739163176174547E-2</v>
      </c>
    </row>
    <row r="249" spans="1:3" x14ac:dyDescent="0.35">
      <c r="A249" s="1">
        <v>219</v>
      </c>
      <c r="B249" s="1">
        <v>2.0323758216777201</v>
      </c>
      <c r="C249" s="1">
        <v>-0.1029568959634275</v>
      </c>
    </row>
    <row r="250" spans="1:3" x14ac:dyDescent="0.35">
      <c r="A250" s="1">
        <v>220</v>
      </c>
      <c r="B250" s="1">
        <v>2.089967191377827</v>
      </c>
      <c r="C250" s="1">
        <v>-4.0749168707645556E-2</v>
      </c>
    </row>
    <row r="251" spans="1:3" x14ac:dyDescent="0.35">
      <c r="A251" s="1">
        <v>221</v>
      </c>
      <c r="B251" s="1">
        <v>2.2115468437400967</v>
      </c>
      <c r="C251" s="1">
        <v>3.6426422621710142E-2</v>
      </c>
    </row>
    <row r="252" spans="1:3" x14ac:dyDescent="0.35">
      <c r="A252" s="1">
        <v>222</v>
      </c>
      <c r="B252" s="1">
        <v>2.1520763007697656</v>
      </c>
      <c r="C252" s="1">
        <v>4.6580786184656997E-2</v>
      </c>
    </row>
    <row r="253" spans="1:3" x14ac:dyDescent="0.35">
      <c r="A253" s="1">
        <v>223</v>
      </c>
      <c r="B253" s="1">
        <v>2.0247753230098042</v>
      </c>
      <c r="C253" s="1">
        <v>5.0771638382726358E-2</v>
      </c>
    </row>
    <row r="254" spans="1:3" x14ac:dyDescent="0.35">
      <c r="A254" s="1">
        <v>224</v>
      </c>
      <c r="B254" s="1">
        <v>2.1460433990688323</v>
      </c>
      <c r="C254" s="1">
        <v>6.2449453142239264E-3</v>
      </c>
    </row>
    <row r="255" spans="1:3" x14ac:dyDescent="0.35">
      <c r="A255" s="1">
        <v>225</v>
      </c>
      <c r="B255" s="1">
        <v>2.0203710707482072</v>
      </c>
      <c r="C255" s="1">
        <v>-2.037107074820721E-2</v>
      </c>
    </row>
    <row r="256" spans="1:3" x14ac:dyDescent="0.35">
      <c r="A256" s="1">
        <v>226</v>
      </c>
      <c r="B256" s="1">
        <v>1.9944760811622386</v>
      </c>
      <c r="C256" s="1">
        <v>-5.4956828543620162E-2</v>
      </c>
    </row>
    <row r="257" spans="1:3" x14ac:dyDescent="0.35">
      <c r="A257" s="1">
        <v>227</v>
      </c>
      <c r="B257" s="1">
        <v>2.0461012074450688</v>
      </c>
      <c r="C257" s="1">
        <v>-4.1779833662426213E-2</v>
      </c>
    </row>
    <row r="258" spans="1:3" x14ac:dyDescent="0.35">
      <c r="A258" s="1">
        <v>228</v>
      </c>
      <c r="B258" s="1">
        <v>1.9791800864379656</v>
      </c>
      <c r="C258" s="1">
        <v>0.23033492810466516</v>
      </c>
    </row>
    <row r="259" spans="1:3" x14ac:dyDescent="0.35">
      <c r="A259" s="1">
        <v>229</v>
      </c>
      <c r="B259" s="1">
        <v>2.3849057477016942</v>
      </c>
      <c r="C259" s="1">
        <v>-9.0439521540101264E-2</v>
      </c>
    </row>
    <row r="260" spans="1:3" x14ac:dyDescent="0.35">
      <c r="A260" s="1">
        <v>230</v>
      </c>
      <c r="B260" s="1">
        <v>2.0290385389317387</v>
      </c>
      <c r="C260" s="1">
        <v>3.9147322814423013E-2</v>
      </c>
    </row>
    <row r="261" spans="1:3" x14ac:dyDescent="0.35">
      <c r="A261" s="1">
        <v>231</v>
      </c>
      <c r="B261" s="1">
        <v>2.0792732188513301</v>
      </c>
      <c r="C261" s="1">
        <v>7.3015125531726177E-2</v>
      </c>
    </row>
    <row r="262" spans="1:3" x14ac:dyDescent="0.35">
      <c r="A262" s="1">
        <v>232</v>
      </c>
      <c r="B262" s="1">
        <v>2.22519017042075</v>
      </c>
      <c r="C262" s="1">
        <v>-9.8085372055942255E-2</v>
      </c>
    </row>
    <row r="263" spans="1:3" x14ac:dyDescent="0.35">
      <c r="A263" s="1">
        <v>233</v>
      </c>
      <c r="B263" s="1">
        <v>1.9901064060357905</v>
      </c>
      <c r="C263" s="1">
        <v>-9.2479314745349095E-2</v>
      </c>
    </row>
    <row r="264" spans="1:3" x14ac:dyDescent="0.35">
      <c r="A264" s="1">
        <v>234</v>
      </c>
      <c r="B264" s="1">
        <v>2.0579283537114286</v>
      </c>
      <c r="C264" s="1">
        <v>2.8431476963319824E-2</v>
      </c>
    </row>
    <row r="265" spans="1:3" x14ac:dyDescent="0.35">
      <c r="A265" s="1">
        <v>235</v>
      </c>
      <c r="B265" s="1">
        <v>1.9914961464021408</v>
      </c>
      <c r="C265" s="1">
        <v>-0.12226442667116455</v>
      </c>
    </row>
    <row r="266" spans="1:3" x14ac:dyDescent="0.35">
      <c r="A266" s="1">
        <v>236</v>
      </c>
      <c r="B266" s="1">
        <v>2.0780768972020152</v>
      </c>
      <c r="C266" s="1">
        <v>0.15491921319013846</v>
      </c>
    </row>
    <row r="267" spans="1:3" x14ac:dyDescent="0.35">
      <c r="A267" s="1">
        <v>237</v>
      </c>
      <c r="B267" s="1">
        <v>2.1715012509208842</v>
      </c>
      <c r="C267" s="1">
        <v>8.6177323948300355E-2</v>
      </c>
    </row>
    <row r="268" spans="1:3" x14ac:dyDescent="0.35">
      <c r="A268" s="1">
        <v>238</v>
      </c>
      <c r="B268" s="1">
        <v>2.0278818490049888</v>
      </c>
      <c r="C268" s="1">
        <v>0.22497118197490451</v>
      </c>
    </row>
    <row r="269" spans="1:3" x14ac:dyDescent="0.35">
      <c r="A269" s="1">
        <v>239</v>
      </c>
      <c r="B269" s="1">
        <v>2.0351266169869882</v>
      </c>
      <c r="C269" s="1">
        <v>0.1797172310607098</v>
      </c>
    </row>
    <row r="270" spans="1:3" x14ac:dyDescent="0.35">
      <c r="A270" s="1">
        <v>240</v>
      </c>
      <c r="B270" s="1">
        <v>2.0124061747609021</v>
      </c>
      <c r="C270" s="1">
        <v>4.6271645378781479E-3</v>
      </c>
    </row>
    <row r="271" spans="1:3" x14ac:dyDescent="0.35">
      <c r="A271" s="1">
        <v>241</v>
      </c>
      <c r="B271" s="1">
        <v>1.9667245784067702</v>
      </c>
      <c r="C271" s="1">
        <v>-7.6831860856765299E-3</v>
      </c>
    </row>
    <row r="272" spans="1:3" x14ac:dyDescent="0.35">
      <c r="A272" s="1">
        <v>242</v>
      </c>
      <c r="B272" s="1">
        <v>2.0161189755855502</v>
      </c>
      <c r="C272" s="1">
        <v>-5.7077583264456555E-2</v>
      </c>
    </row>
    <row r="273" spans="1:3" x14ac:dyDescent="0.35">
      <c r="A273" s="1">
        <v>243</v>
      </c>
      <c r="B273" s="1">
        <v>2.0106799894512366</v>
      </c>
      <c r="C273" s="1">
        <v>0.13233481080285836</v>
      </c>
    </row>
    <row r="274" spans="1:3" x14ac:dyDescent="0.35">
      <c r="A274" s="1">
        <v>244</v>
      </c>
      <c r="B274" s="1">
        <v>2.1050718814190379</v>
      </c>
      <c r="C274" s="1">
        <v>-2.9524920026507306E-2</v>
      </c>
    </row>
    <row r="275" spans="1:3" x14ac:dyDescent="0.35">
      <c r="A275" s="1">
        <v>245</v>
      </c>
      <c r="B275" s="1">
        <v>2.0853077200620969</v>
      </c>
      <c r="C275" s="1">
        <v>7.9045135722340287E-2</v>
      </c>
    </row>
    <row r="276" spans="1:3" x14ac:dyDescent="0.35">
      <c r="A276" s="1">
        <v>246</v>
      </c>
      <c r="B276" s="1">
        <v>2.0955211061952213</v>
      </c>
      <c r="C276" s="1">
        <v>0.16929671681431513</v>
      </c>
    </row>
    <row r="277" spans="1:3" x14ac:dyDescent="0.35">
      <c r="A277" s="1">
        <v>247</v>
      </c>
      <c r="B277" s="1">
        <v>2.0773760411437499</v>
      </c>
      <c r="C277" s="1">
        <v>8.9837895309985427E-3</v>
      </c>
    </row>
    <row r="278" spans="1:3" x14ac:dyDescent="0.35">
      <c r="A278" s="1">
        <v>248</v>
      </c>
      <c r="B278" s="1">
        <v>2.3397819621358176</v>
      </c>
      <c r="C278" s="1">
        <v>-0.12229801792191131</v>
      </c>
    </row>
    <row r="279" spans="1:3" x14ac:dyDescent="0.35">
      <c r="A279" s="1">
        <v>249</v>
      </c>
      <c r="B279" s="1">
        <v>2.191001116337556</v>
      </c>
      <c r="C279" s="1">
        <v>-9.7579431175320863E-2</v>
      </c>
    </row>
    <row r="280" spans="1:3" x14ac:dyDescent="0.35">
      <c r="A280" s="1">
        <v>250</v>
      </c>
      <c r="B280" s="1">
        <v>1.9895364564878404</v>
      </c>
      <c r="C280" s="1">
        <v>5.5786522298817198E-2</v>
      </c>
    </row>
    <row r="281" spans="1:3" x14ac:dyDescent="0.35">
      <c r="A281" s="1">
        <v>251</v>
      </c>
      <c r="B281" s="1">
        <v>2.0768965655126834</v>
      </c>
      <c r="C281" s="1">
        <v>-5.1590700247913013E-2</v>
      </c>
    </row>
    <row r="282" spans="1:3" x14ac:dyDescent="0.35">
      <c r="A282" s="1">
        <v>252</v>
      </c>
      <c r="B282" s="1">
        <v>2.0345449429402103</v>
      </c>
      <c r="C282" s="1">
        <v>7.6044767359038534E-2</v>
      </c>
    </row>
    <row r="283" spans="1:3" x14ac:dyDescent="0.35">
      <c r="A283" s="1">
        <v>253</v>
      </c>
      <c r="B283" s="1">
        <v>2.0130860383035811</v>
      </c>
      <c r="C283" s="1">
        <v>-5.8843528864256145E-2</v>
      </c>
    </row>
    <row r="284" spans="1:3" x14ac:dyDescent="0.35">
      <c r="A284" s="1">
        <v>254</v>
      </c>
      <c r="B284" s="1">
        <v>1.9800629558449634</v>
      </c>
      <c r="C284" s="1">
        <v>-4.5564504601395717E-2</v>
      </c>
    </row>
    <row r="285" spans="1:3" x14ac:dyDescent="0.35">
      <c r="A285" s="1">
        <v>255</v>
      </c>
      <c r="B285" s="1">
        <v>2.1970658215082901</v>
      </c>
      <c r="C285" s="1">
        <v>-0.23327799416273476</v>
      </c>
    </row>
    <row r="286" spans="1:3" x14ac:dyDescent="0.35">
      <c r="A286" s="1">
        <v>256</v>
      </c>
      <c r="B286" s="1">
        <v>1.967252894686669</v>
      </c>
      <c r="C286" s="1">
        <v>8.5825548796750528E-2</v>
      </c>
    </row>
    <row r="287" spans="1:3" x14ac:dyDescent="0.35">
      <c r="A287" s="1">
        <v>257</v>
      </c>
      <c r="B287" s="1">
        <v>1.97053078283144</v>
      </c>
      <c r="C287" s="1">
        <v>7.4792195955217577E-2</v>
      </c>
    </row>
    <row r="288" spans="1:3" x14ac:dyDescent="0.35">
      <c r="A288" s="1">
        <v>258</v>
      </c>
      <c r="B288" s="1">
        <v>1.978014453592531</v>
      </c>
      <c r="C288" s="1">
        <v>7.8890397743941687E-2</v>
      </c>
    </row>
    <row r="289" spans="1:3" x14ac:dyDescent="0.35">
      <c r="A289" s="1">
        <v>259</v>
      </c>
      <c r="B289" s="1">
        <v>2.1591834341608251</v>
      </c>
      <c r="C289" s="1">
        <v>0.12637387484694873</v>
      </c>
    </row>
    <row r="290" spans="1:3" x14ac:dyDescent="0.35">
      <c r="A290" s="1">
        <v>260</v>
      </c>
      <c r="B290" s="1">
        <v>2.1547806403815359</v>
      </c>
      <c r="C290" s="1">
        <v>3.5551057788755447E-2</v>
      </c>
    </row>
    <row r="291" spans="1:3" x14ac:dyDescent="0.35">
      <c r="A291" s="1">
        <v>261</v>
      </c>
      <c r="B291" s="1">
        <v>2.0845135097700562</v>
      </c>
      <c r="C291" s="1">
        <v>0.19651985747767142</v>
      </c>
    </row>
    <row r="292" spans="1:3" x14ac:dyDescent="0.35">
      <c r="A292" s="1">
        <v>262</v>
      </c>
      <c r="B292" s="1">
        <v>2.0265069699008267</v>
      </c>
      <c r="C292" s="1">
        <v>0.122712142754553</v>
      </c>
    </row>
    <row r="293" spans="1:3" x14ac:dyDescent="0.35">
      <c r="A293" s="1">
        <v>263</v>
      </c>
      <c r="B293" s="1">
        <v>1.9828544156356167</v>
      </c>
      <c r="C293" s="1">
        <v>-5.130810346768877E-3</v>
      </c>
    </row>
    <row r="294" spans="1:3" x14ac:dyDescent="0.35">
      <c r="A294" s="1">
        <v>264</v>
      </c>
      <c r="B294" s="1">
        <v>2.0982928762944084</v>
      </c>
      <c r="C294" s="1">
        <v>5.3995468088647858E-2</v>
      </c>
    </row>
    <row r="295" spans="1:3" x14ac:dyDescent="0.35">
      <c r="A295" s="1">
        <v>265</v>
      </c>
      <c r="B295" s="1">
        <v>2.0569417309912916</v>
      </c>
      <c r="C295" s="1">
        <v>3.2963380448106427E-2</v>
      </c>
    </row>
    <row r="296" spans="1:3" x14ac:dyDescent="0.35">
      <c r="A296" s="1">
        <v>266</v>
      </c>
      <c r="B296" s="1">
        <v>2.1022300098363935</v>
      </c>
      <c r="C296" s="1">
        <v>-0.1199587767968251</v>
      </c>
    </row>
    <row r="297" spans="1:3" x14ac:dyDescent="0.35">
      <c r="A297" s="1">
        <v>267</v>
      </c>
      <c r="B297" s="1">
        <v>2.0410309596606386</v>
      </c>
      <c r="C297" s="1">
        <v>9.8848126740597841E-2</v>
      </c>
    </row>
    <row r="298" spans="1:3" x14ac:dyDescent="0.35">
      <c r="A298" s="1">
        <v>268</v>
      </c>
      <c r="B298" s="1">
        <v>1.9948831400137781</v>
      </c>
      <c r="C298" s="1">
        <v>0.11232682963409024</v>
      </c>
    </row>
    <row r="299" spans="1:3" x14ac:dyDescent="0.35">
      <c r="A299" s="1">
        <v>269</v>
      </c>
      <c r="B299" s="1">
        <v>1.9941998124966431</v>
      </c>
      <c r="C299" s="1">
        <v>1.4400359265274387E-2</v>
      </c>
    </row>
    <row r="300" spans="1:3" x14ac:dyDescent="0.35">
      <c r="A300" s="1">
        <v>270</v>
      </c>
      <c r="B300" s="1">
        <v>2.0061881304141091</v>
      </c>
      <c r="C300" s="1">
        <v>0.158164725370328</v>
      </c>
    </row>
    <row r="301" spans="1:3" x14ac:dyDescent="0.35">
      <c r="A301" s="1">
        <v>271</v>
      </c>
      <c r="B301" s="1">
        <v>2.0684364008038432</v>
      </c>
      <c r="C301" s="1">
        <v>-6.4115027021200532E-2</v>
      </c>
    </row>
    <row r="302" spans="1:3" x14ac:dyDescent="0.35">
      <c r="A302" s="1">
        <v>272</v>
      </c>
      <c r="B302" s="1">
        <v>1.9641211030759056</v>
      </c>
      <c r="C302" s="1">
        <v>6.9302652411044274E-2</v>
      </c>
    </row>
    <row r="303" spans="1:3" x14ac:dyDescent="0.35">
      <c r="A303" s="1">
        <v>273</v>
      </c>
      <c r="B303" s="1">
        <v>2.0493281481041628</v>
      </c>
      <c r="C303" s="1">
        <v>3.7031682570585644E-2</v>
      </c>
    </row>
    <row r="304" spans="1:3" x14ac:dyDescent="0.35">
      <c r="A304" s="1">
        <v>274</v>
      </c>
      <c r="B304" s="1">
        <v>1.9585398953105904</v>
      </c>
      <c r="C304" s="1">
        <v>-0.10728154659151512</v>
      </c>
    </row>
    <row r="305" spans="1:3" x14ac:dyDescent="0.35">
      <c r="A305" s="1">
        <v>275</v>
      </c>
      <c r="B305" s="1">
        <v>2.1144739229527931</v>
      </c>
      <c r="C305" s="1">
        <v>-8.9168057688022717E-2</v>
      </c>
    </row>
    <row r="306" spans="1:3" x14ac:dyDescent="0.35">
      <c r="A306" s="1">
        <v>276</v>
      </c>
      <c r="B306" s="1">
        <v>1.994810918119104</v>
      </c>
      <c r="C306" s="1">
        <v>5.1890818808959516E-3</v>
      </c>
    </row>
    <row r="307" spans="1:3" x14ac:dyDescent="0.35">
      <c r="A307" s="1">
        <v>277</v>
      </c>
      <c r="B307" s="1">
        <v>1.9853726398145906</v>
      </c>
      <c r="C307" s="1">
        <v>3.9933225450179854E-2</v>
      </c>
    </row>
    <row r="308" spans="1:3" x14ac:dyDescent="0.35">
      <c r="A308" s="1">
        <v>278</v>
      </c>
      <c r="B308" s="1">
        <v>2.0287397970462768</v>
      </c>
      <c r="C308" s="1">
        <v>-1.1706457747496568E-2</v>
      </c>
    </row>
    <row r="309" spans="1:3" x14ac:dyDescent="0.35">
      <c r="A309" s="1">
        <v>279</v>
      </c>
      <c r="B309" s="1">
        <v>2.1086721274190392</v>
      </c>
      <c r="C309" s="1">
        <v>-5.1767276082566482E-2</v>
      </c>
    </row>
    <row r="310" spans="1:3" x14ac:dyDescent="0.35">
      <c r="A310" s="1">
        <v>280</v>
      </c>
      <c r="B310" s="1">
        <v>2.131990318378441</v>
      </c>
      <c r="C310" s="1">
        <v>-9.8566562891491127E-2</v>
      </c>
    </row>
    <row r="311" spans="1:3" x14ac:dyDescent="0.35">
      <c r="A311" s="1">
        <v>281</v>
      </c>
      <c r="B311" s="1">
        <v>2.0586229831200238</v>
      </c>
      <c r="C311" s="1">
        <v>0.10572987266441336</v>
      </c>
    </row>
    <row r="312" spans="1:3" x14ac:dyDescent="0.35">
      <c r="A312" s="1">
        <v>282</v>
      </c>
      <c r="B312" s="1">
        <v>2.0895369333722225</v>
      </c>
      <c r="C312" s="1">
        <v>2.105277692702634E-2</v>
      </c>
    </row>
    <row r="313" spans="1:3" x14ac:dyDescent="0.35">
      <c r="A313" s="1">
        <v>283</v>
      </c>
      <c r="B313" s="1">
        <v>2.1163606668188324</v>
      </c>
      <c r="C313" s="1">
        <v>7.4909741482533931E-3</v>
      </c>
    </row>
    <row r="314" spans="1:3" x14ac:dyDescent="0.35">
      <c r="A314" s="1">
        <v>284</v>
      </c>
      <c r="B314" s="1">
        <v>2.0896762544072964</v>
      </c>
      <c r="C314" s="1">
        <v>0.11714962162455311</v>
      </c>
    </row>
    <row r="315" spans="1:3" x14ac:dyDescent="0.35">
      <c r="A315" s="1">
        <v>285</v>
      </c>
      <c r="B315" s="1">
        <v>2.0880076350153289</v>
      </c>
      <c r="C315" s="1">
        <v>-5.4583879528379065E-2</v>
      </c>
    </row>
    <row r="316" spans="1:3" x14ac:dyDescent="0.35">
      <c r="A316" s="1">
        <v>286</v>
      </c>
      <c r="B316" s="1">
        <v>2.1073663294439182</v>
      </c>
      <c r="C316" s="1">
        <v>2.6172578926299206E-2</v>
      </c>
    </row>
    <row r="317" spans="1:3" x14ac:dyDescent="0.35">
      <c r="A317" s="1">
        <v>287</v>
      </c>
      <c r="B317" s="1">
        <v>2.2539355291034533</v>
      </c>
      <c r="C317" s="1">
        <v>-6.3603830933161909E-2</v>
      </c>
    </row>
    <row r="318" spans="1:3" x14ac:dyDescent="0.35">
      <c r="A318" s="1">
        <v>288</v>
      </c>
      <c r="B318" s="1">
        <v>2.125504598710978</v>
      </c>
      <c r="C318" s="1">
        <v>-4.9957637318447379E-2</v>
      </c>
    </row>
    <row r="319" spans="1:3" x14ac:dyDescent="0.35">
      <c r="A319" s="1">
        <v>289</v>
      </c>
      <c r="B319" s="1">
        <v>1.9958708970739649</v>
      </c>
      <c r="C319" s="1">
        <v>-1.3599664034396497E-2</v>
      </c>
    </row>
    <row r="320" spans="1:3" x14ac:dyDescent="0.35">
      <c r="A320" s="1">
        <v>290</v>
      </c>
      <c r="B320" s="1">
        <v>2.01890830098491</v>
      </c>
      <c r="C320" s="1">
        <v>1.4515454502039837E-2</v>
      </c>
    </row>
    <row r="321" spans="1:3" x14ac:dyDescent="0.35">
      <c r="A321" s="1">
        <v>291</v>
      </c>
      <c r="B321" s="1">
        <v>2.0100402440718272</v>
      </c>
      <c r="C321" s="1">
        <v>-0.11794564138134689</v>
      </c>
    </row>
    <row r="322" spans="1:3" x14ac:dyDescent="0.35">
      <c r="A322" s="1">
        <v>292</v>
      </c>
      <c r="B322" s="1">
        <v>2.0325786381513664</v>
      </c>
      <c r="C322" s="1">
        <v>-3.1948604661566904E-3</v>
      </c>
    </row>
    <row r="323" spans="1:3" x14ac:dyDescent="0.35">
      <c r="A323" s="1">
        <v>293</v>
      </c>
      <c r="B323" s="1">
        <v>2.1207420263145726</v>
      </c>
      <c r="C323" s="1">
        <v>-1.3532056666704317E-2</v>
      </c>
    </row>
    <row r="324" spans="1:3" x14ac:dyDescent="0.35">
      <c r="A324" s="1">
        <v>294</v>
      </c>
      <c r="B324" s="1">
        <v>2.0582102649006924</v>
      </c>
      <c r="C324" s="1">
        <v>4.8999704747175965E-2</v>
      </c>
    </row>
    <row r="325" spans="1:3" x14ac:dyDescent="0.35">
      <c r="A325" s="1">
        <v>295</v>
      </c>
      <c r="B325" s="1">
        <v>2.0923584301057216</v>
      </c>
      <c r="C325" s="1">
        <v>0.1144674459261279</v>
      </c>
    </row>
    <row r="326" spans="1:3" x14ac:dyDescent="0.35">
      <c r="A326" s="1">
        <v>296</v>
      </c>
      <c r="B326" s="1">
        <v>2.059363949009454</v>
      </c>
      <c r="C326" s="1">
        <v>0.1196129982837153</v>
      </c>
    </row>
    <row r="327" spans="1:3" x14ac:dyDescent="0.35">
      <c r="A327" s="1">
        <v>297</v>
      </c>
      <c r="B327" s="1">
        <v>2.1253289736738505</v>
      </c>
      <c r="C327" s="1">
        <v>3.9023882110586605E-2</v>
      </c>
    </row>
    <row r="328" spans="1:3" x14ac:dyDescent="0.35">
      <c r="A328" s="1">
        <v>298</v>
      </c>
      <c r="B328" s="1">
        <v>2.080758821329117</v>
      </c>
      <c r="C328" s="1">
        <v>1.9611723788445889E-2</v>
      </c>
    </row>
    <row r="329" spans="1:3" x14ac:dyDescent="0.35">
      <c r="A329" s="1">
        <v>299</v>
      </c>
      <c r="B329" s="1">
        <v>2.150000525078446</v>
      </c>
      <c r="C329" s="1">
        <v>-0.15000052507844597</v>
      </c>
    </row>
    <row r="330" spans="1:3" x14ac:dyDescent="0.35">
      <c r="A330" s="1">
        <v>300</v>
      </c>
      <c r="B330" s="1">
        <v>2.1124028182532815</v>
      </c>
      <c r="C330" s="1">
        <v>-6.3184795583099973E-2</v>
      </c>
    </row>
    <row r="331" spans="1:3" x14ac:dyDescent="0.35">
      <c r="A331" s="1">
        <v>301</v>
      </c>
      <c r="B331" s="1">
        <v>2.039119471019986</v>
      </c>
      <c r="C331" s="1">
        <v>0.18359700012759728</v>
      </c>
    </row>
    <row r="332" spans="1:3" x14ac:dyDescent="0.35">
      <c r="A332" s="1">
        <v>302</v>
      </c>
      <c r="B332" s="1">
        <v>2.0318180280347105</v>
      </c>
      <c r="C332" s="1">
        <v>0.12654446406053932</v>
      </c>
    </row>
    <row r="333" spans="1:3" x14ac:dyDescent="0.35">
      <c r="A333" s="1">
        <v>303</v>
      </c>
      <c r="B333" s="1">
        <v>2.0119529175492055</v>
      </c>
      <c r="C333" s="1">
        <v>-0.12546219237672362</v>
      </c>
    </row>
    <row r="334" spans="1:3" x14ac:dyDescent="0.35">
      <c r="A334" s="1">
        <v>304</v>
      </c>
      <c r="B334" s="1">
        <v>2.1099226631125374</v>
      </c>
      <c r="C334" s="1">
        <v>-4.922482275892559E-2</v>
      </c>
    </row>
    <row r="335" spans="1:3" x14ac:dyDescent="0.35">
      <c r="A335" s="1">
        <v>305</v>
      </c>
      <c r="B335" s="1">
        <v>2.0348931310405316</v>
      </c>
      <c r="C335" s="1">
        <v>0.14119812801514975</v>
      </c>
    </row>
    <row r="336" spans="1:3" x14ac:dyDescent="0.35">
      <c r="A336" s="1">
        <v>306</v>
      </c>
      <c r="B336" s="1">
        <v>2.0418112401472874</v>
      </c>
      <c r="C336" s="1">
        <v>3.7370005900337233E-2</v>
      </c>
    </row>
    <row r="337" spans="1:3" x14ac:dyDescent="0.35">
      <c r="A337" s="1">
        <v>307</v>
      </c>
      <c r="B337" s="1">
        <v>2.0928525708411954</v>
      </c>
      <c r="C337" s="1">
        <v>0.11397330519065418</v>
      </c>
    </row>
    <row r="338" spans="1:3" x14ac:dyDescent="0.35">
      <c r="A338" s="1">
        <v>308</v>
      </c>
      <c r="B338" s="1">
        <v>2.0404634561166546</v>
      </c>
      <c r="C338" s="1">
        <v>9.6257111039752097E-2</v>
      </c>
    </row>
    <row r="339" spans="1:3" x14ac:dyDescent="0.35">
      <c r="A339" s="1">
        <v>309</v>
      </c>
      <c r="B339" s="1">
        <v>2.105737975791425</v>
      </c>
      <c r="C339" s="1">
        <v>1.4719938564433654E-3</v>
      </c>
    </row>
    <row r="340" spans="1:3" x14ac:dyDescent="0.35">
      <c r="A340" s="1">
        <v>310</v>
      </c>
      <c r="B340" s="1">
        <v>2.1048359651815698</v>
      </c>
      <c r="C340" s="1">
        <v>-1.1414280019334644E-2</v>
      </c>
    </row>
    <row r="341" spans="1:3" x14ac:dyDescent="0.35">
      <c r="A341" s="1">
        <v>311</v>
      </c>
      <c r="B341" s="1">
        <v>2.0023381308767552</v>
      </c>
      <c r="C341" s="1">
        <v>-9.9248143884811624E-2</v>
      </c>
    </row>
    <row r="342" spans="1:3" x14ac:dyDescent="0.35">
      <c r="A342" s="1">
        <v>312</v>
      </c>
      <c r="B342" s="1">
        <v>2.0514610186697513</v>
      </c>
      <c r="C342" s="1">
        <v>-2.6155153404980869E-2</v>
      </c>
    </row>
    <row r="343" spans="1:3" x14ac:dyDescent="0.35">
      <c r="A343" s="1">
        <v>313</v>
      </c>
      <c r="B343" s="1">
        <v>2.0420702724305415</v>
      </c>
      <c r="C343" s="1">
        <v>0.14826142573974987</v>
      </c>
    </row>
    <row r="344" spans="1:3" x14ac:dyDescent="0.35">
      <c r="A344" s="1">
        <v>314</v>
      </c>
      <c r="B344" s="1">
        <v>2.0524118269271616</v>
      </c>
      <c r="C344" s="1">
        <v>6.6661655625788185E-4</v>
      </c>
    </row>
    <row r="345" spans="1:3" x14ac:dyDescent="0.35">
      <c r="A345" s="1">
        <v>315</v>
      </c>
      <c r="B345" s="1">
        <v>2.0603166140934683</v>
      </c>
      <c r="C345" s="1">
        <v>-2.2890116152844531E-2</v>
      </c>
    </row>
    <row r="346" spans="1:3" x14ac:dyDescent="0.35">
      <c r="A346" s="1">
        <v>316</v>
      </c>
      <c r="B346" s="1">
        <v>2.0440740096077294</v>
      </c>
      <c r="C346" s="1">
        <v>5.1440130624520464E-3</v>
      </c>
    </row>
    <row r="347" spans="1:3" x14ac:dyDescent="0.35">
      <c r="A347" s="1">
        <v>317</v>
      </c>
      <c r="B347" s="1">
        <v>2.0250979295789109</v>
      </c>
      <c r="C347" s="1">
        <v>-2.9462734981360983E-2</v>
      </c>
    </row>
    <row r="348" spans="1:3" x14ac:dyDescent="0.35">
      <c r="A348" s="1">
        <v>318</v>
      </c>
      <c r="B348" s="1">
        <v>2.0453519858830274</v>
      </c>
      <c r="C348" s="1">
        <v>0.21471940210204732</v>
      </c>
    </row>
    <row r="349" spans="1:3" x14ac:dyDescent="0.35">
      <c r="A349" s="1">
        <v>319</v>
      </c>
      <c r="B349" s="1">
        <v>2.042873233954674</v>
      </c>
      <c r="C349" s="1">
        <v>1.7824606398937792E-2</v>
      </c>
    </row>
    <row r="350" spans="1:3" x14ac:dyDescent="0.35">
      <c r="A350" s="1">
        <v>320</v>
      </c>
      <c r="B350" s="1">
        <v>2.094223402267112</v>
      </c>
      <c r="C350" s="1">
        <v>0.193578327663114</v>
      </c>
    </row>
    <row r="351" spans="1:3" x14ac:dyDescent="0.35">
      <c r="A351" s="1">
        <v>321</v>
      </c>
      <c r="B351" s="1">
        <v>2.1247990567471593</v>
      </c>
      <c r="C351" s="1">
        <v>-1.4209346447910498E-2</v>
      </c>
    </row>
    <row r="352" spans="1:3" x14ac:dyDescent="0.35">
      <c r="A352" s="1">
        <v>322</v>
      </c>
      <c r="B352" s="1">
        <v>1.9762419933957902</v>
      </c>
      <c r="C352" s="1">
        <v>7.2976029274391285E-2</v>
      </c>
    </row>
    <row r="353" spans="1:3" x14ac:dyDescent="0.35">
      <c r="A353" s="1">
        <v>323</v>
      </c>
      <c r="B353" s="1">
        <v>2.0074053420033651</v>
      </c>
      <c r="C353" s="1">
        <v>8.6016343158870079E-2</v>
      </c>
    </row>
    <row r="354" spans="1:3" x14ac:dyDescent="0.35">
      <c r="A354" s="1">
        <v>324</v>
      </c>
      <c r="B354" s="1">
        <v>2.0425795319919731</v>
      </c>
      <c r="C354" s="1">
        <v>0.13926405595279956</v>
      </c>
    </row>
    <row r="355" spans="1:3" x14ac:dyDescent="0.35">
      <c r="A355" s="1">
        <v>325</v>
      </c>
      <c r="B355" s="1">
        <v>1.9721429140758997</v>
      </c>
      <c r="C355" s="1">
        <v>7.7075108594281794E-2</v>
      </c>
    </row>
    <row r="356" spans="1:3" x14ac:dyDescent="0.35">
      <c r="A356" s="1">
        <v>326</v>
      </c>
      <c r="B356" s="1">
        <v>2.0467608155163779</v>
      </c>
      <c r="C356" s="1">
        <v>0.14913883689285568</v>
      </c>
    </row>
    <row r="357" spans="1:3" x14ac:dyDescent="0.35">
      <c r="A357" s="1">
        <v>327</v>
      </c>
      <c r="B357" s="1">
        <v>2.0732369626343603</v>
      </c>
      <c r="C357" s="1">
        <v>1.3122868040388092E-2</v>
      </c>
    </row>
    <row r="358" spans="1:3" x14ac:dyDescent="0.35">
      <c r="A358" s="1">
        <v>328</v>
      </c>
      <c r="B358" s="1">
        <v>2.0776654948894073</v>
      </c>
      <c r="C358" s="1">
        <v>0.17518753609048598</v>
      </c>
    </row>
    <row r="359" spans="1:3" x14ac:dyDescent="0.35">
      <c r="A359" s="1">
        <v>329</v>
      </c>
      <c r="B359" s="1">
        <v>2.0531820128009293</v>
      </c>
      <c r="C359" s="1">
        <v>-4.4581841039011749E-2</v>
      </c>
    </row>
    <row r="360" spans="1:3" x14ac:dyDescent="0.35">
      <c r="A360" s="1">
        <v>330</v>
      </c>
      <c r="B360" s="1">
        <v>2.0283640306883046</v>
      </c>
      <c r="C360" s="1">
        <v>-7.1747316183663479E-3</v>
      </c>
    </row>
    <row r="361" spans="1:3" x14ac:dyDescent="0.35">
      <c r="A361" s="1">
        <v>331</v>
      </c>
      <c r="B361" s="1">
        <v>2.0642047736135702</v>
      </c>
      <c r="C361" s="1">
        <v>7.6772336925552409E-3</v>
      </c>
    </row>
    <row r="362" spans="1:3" x14ac:dyDescent="0.35">
      <c r="A362" s="1">
        <v>332</v>
      </c>
      <c r="B362" s="1">
        <v>2.0229776358067748</v>
      </c>
      <c r="C362" s="1">
        <v>-8.3458383188156349E-2</v>
      </c>
    </row>
    <row r="363" spans="1:3" x14ac:dyDescent="0.35">
      <c r="A363" s="1">
        <v>333</v>
      </c>
      <c r="B363" s="1">
        <v>2.0796504933623647</v>
      </c>
      <c r="C363" s="1">
        <v>0.17562201174094128</v>
      </c>
    </row>
    <row r="364" spans="1:3" x14ac:dyDescent="0.35">
      <c r="A364" s="1">
        <v>334</v>
      </c>
      <c r="B364" s="1">
        <v>2.0661655174832787</v>
      </c>
      <c r="C364" s="1">
        <v>-4.0859652218508291E-2</v>
      </c>
    </row>
    <row r="365" spans="1:3" x14ac:dyDescent="0.35">
      <c r="A365" s="1">
        <v>335</v>
      </c>
      <c r="B365" s="1">
        <v>1.9933040434487548</v>
      </c>
      <c r="C365" s="1">
        <v>-1.5580438159906951E-2</v>
      </c>
    </row>
    <row r="366" spans="1:3" x14ac:dyDescent="0.35">
      <c r="A366" s="1">
        <v>336</v>
      </c>
      <c r="B366" s="1">
        <v>2.1128534484311747</v>
      </c>
      <c r="C366" s="1">
        <v>0.10463049578273154</v>
      </c>
    </row>
    <row r="367" spans="1:3" x14ac:dyDescent="0.35">
      <c r="A367" s="1">
        <v>337</v>
      </c>
      <c r="B367" s="1">
        <v>2.0784652968686879</v>
      </c>
      <c r="C367" s="1">
        <v>-1.0279435122526159E-2</v>
      </c>
    </row>
    <row r="368" spans="1:3" x14ac:dyDescent="0.35">
      <c r="A368" s="1">
        <v>338</v>
      </c>
      <c r="B368" s="1">
        <v>2.0847082405769135</v>
      </c>
      <c r="C368" s="1">
        <v>-2.4010400223301698E-2</v>
      </c>
    </row>
    <row r="369" spans="1:3" x14ac:dyDescent="0.35">
      <c r="A369" s="1">
        <v>339</v>
      </c>
      <c r="B369" s="1">
        <v>2.0987303580014709</v>
      </c>
      <c r="C369" s="1">
        <v>8.3113229943301725E-2</v>
      </c>
    </row>
    <row r="370" spans="1:3" x14ac:dyDescent="0.35">
      <c r="A370" s="1">
        <v>340</v>
      </c>
      <c r="B370" s="1">
        <v>2.1055945683263579</v>
      </c>
      <c r="C370" s="1">
        <v>0.14482543398253611</v>
      </c>
    </row>
    <row r="371" spans="1:3" x14ac:dyDescent="0.35">
      <c r="A371" s="1">
        <v>341</v>
      </c>
      <c r="B371" s="1">
        <v>2.0392414677650321</v>
      </c>
      <c r="C371" s="1">
        <v>7.4701884541804819E-2</v>
      </c>
    </row>
    <row r="372" spans="1:3" x14ac:dyDescent="0.35">
      <c r="A372" s="1">
        <v>342</v>
      </c>
      <c r="B372" s="1">
        <v>2.0487956037341242</v>
      </c>
      <c r="C372" s="1">
        <v>-7.1071998445276341E-2</v>
      </c>
    </row>
    <row r="373" spans="1:3" x14ac:dyDescent="0.35">
      <c r="A373" s="1">
        <v>343</v>
      </c>
      <c r="B373" s="1">
        <v>1.9621660820064848</v>
      </c>
      <c r="C373" s="1">
        <v>-1.9621660820064848</v>
      </c>
    </row>
    <row r="374" spans="1:3" x14ac:dyDescent="0.35">
      <c r="A374" s="1">
        <v>344</v>
      </c>
      <c r="B374" s="1">
        <v>2.0704221746156413</v>
      </c>
      <c r="C374" s="1">
        <v>1.593765605910713E-2</v>
      </c>
    </row>
    <row r="375" spans="1:3" x14ac:dyDescent="0.35">
      <c r="A375" s="1">
        <v>345</v>
      </c>
      <c r="B375" s="1">
        <v>2.135786656423845</v>
      </c>
      <c r="C375" s="1">
        <v>-0.15806305113499719</v>
      </c>
    </row>
    <row r="376" spans="1:3" x14ac:dyDescent="0.35">
      <c r="A376" s="1">
        <v>346</v>
      </c>
      <c r="B376" s="1">
        <v>2.1020046491662385</v>
      </c>
      <c r="C376" s="1">
        <v>-1.6341040486755887E-3</v>
      </c>
    </row>
    <row r="377" spans="1:3" x14ac:dyDescent="0.35">
      <c r="A377" s="1">
        <v>347</v>
      </c>
      <c r="B377" s="1">
        <v>2.0223378772610179</v>
      </c>
      <c r="C377" s="1">
        <v>0.12067692299307708</v>
      </c>
    </row>
    <row r="378" spans="1:3" x14ac:dyDescent="0.35">
      <c r="A378" s="1">
        <v>348</v>
      </c>
      <c r="B378" s="1">
        <v>1.9831088006569348</v>
      </c>
      <c r="C378" s="1">
        <v>8.1349188569983744E-2</v>
      </c>
    </row>
    <row r="379" spans="1:3" x14ac:dyDescent="0.35">
      <c r="A379" s="1">
        <v>349</v>
      </c>
      <c r="B379" s="1">
        <v>2.0053435427974815</v>
      </c>
      <c r="C379" s="1">
        <v>-9.7083481999316046E-3</v>
      </c>
    </row>
    <row r="380" spans="1:3" x14ac:dyDescent="0.35">
      <c r="A380" s="1">
        <v>350</v>
      </c>
      <c r="B380" s="1">
        <v>2.0340031839257717</v>
      </c>
      <c r="C380" s="1">
        <v>-2.0340031839257717</v>
      </c>
    </row>
    <row r="381" spans="1:3" x14ac:dyDescent="0.35">
      <c r="A381" s="1">
        <v>351</v>
      </c>
      <c r="B381" s="1">
        <v>2.0770114848199568</v>
      </c>
      <c r="C381" s="1">
        <v>-0.11322365747440144</v>
      </c>
    </row>
    <row r="382" spans="1:3" x14ac:dyDescent="0.35">
      <c r="A382" s="1">
        <v>352</v>
      </c>
      <c r="B382" s="1">
        <v>2.0512166817123263</v>
      </c>
      <c r="C382" s="1">
        <v>8.5503885444080385E-2</v>
      </c>
    </row>
    <row r="383" spans="1:3" x14ac:dyDescent="0.35">
      <c r="A383" s="1">
        <v>353</v>
      </c>
      <c r="B383" s="1">
        <v>2.0406571532138913</v>
      </c>
      <c r="C383" s="1">
        <v>-0.25532731820312415</v>
      </c>
    </row>
    <row r="384" spans="1:3" x14ac:dyDescent="0.35">
      <c r="A384" s="1">
        <v>354</v>
      </c>
      <c r="B384" s="1">
        <v>2.0216505589993261</v>
      </c>
      <c r="C384" s="1">
        <v>-6.7408049560001126E-2</v>
      </c>
    </row>
    <row r="385" spans="1:3" x14ac:dyDescent="0.35">
      <c r="A385" s="1">
        <v>355</v>
      </c>
      <c r="B385" s="1">
        <v>2.0673262752316726</v>
      </c>
      <c r="C385" s="1">
        <v>-0.11308376579234758</v>
      </c>
    </row>
    <row r="386" spans="1:3" x14ac:dyDescent="0.35">
      <c r="A386" s="1">
        <v>356</v>
      </c>
      <c r="B386" s="1">
        <v>2.1008259918379846</v>
      </c>
      <c r="C386" s="1">
        <v>0.11665795237592169</v>
      </c>
    </row>
    <row r="387" spans="1:3" x14ac:dyDescent="0.35">
      <c r="A387" s="1">
        <v>357</v>
      </c>
      <c r="B387" s="1">
        <v>2.0561138066143387</v>
      </c>
      <c r="C387" s="1">
        <v>4.0796206393717505E-2</v>
      </c>
    </row>
    <row r="388" spans="1:3" x14ac:dyDescent="0.35">
      <c r="A388" s="1">
        <v>358</v>
      </c>
      <c r="B388" s="1">
        <v>2.0384851926454588</v>
      </c>
      <c r="C388" s="1">
        <v>7.2104517653790001E-2</v>
      </c>
    </row>
    <row r="389" spans="1:3" x14ac:dyDescent="0.35">
      <c r="A389" s="1">
        <v>359</v>
      </c>
      <c r="B389" s="1">
        <v>2.0586159342489627</v>
      </c>
      <c r="C389" s="1">
        <v>-0.11413326209879404</v>
      </c>
    </row>
    <row r="390" spans="1:3" x14ac:dyDescent="0.35">
      <c r="A390" s="1">
        <v>360</v>
      </c>
      <c r="B390" s="1">
        <v>2.1183741595524159</v>
      </c>
      <c r="C390" s="1">
        <v>0.17388191180405999</v>
      </c>
    </row>
    <row r="391" spans="1:3" x14ac:dyDescent="0.35">
      <c r="A391" s="1">
        <v>361</v>
      </c>
      <c r="B391" s="1">
        <v>2.1357792861558726</v>
      </c>
      <c r="C391" s="1">
        <v>0.14068251801737164</v>
      </c>
    </row>
    <row r="392" spans="1:3" x14ac:dyDescent="0.35">
      <c r="A392" s="1">
        <v>362</v>
      </c>
      <c r="B392" s="1">
        <v>2.1192650280722614</v>
      </c>
      <c r="C392" s="1">
        <v>7.9392058882161276E-2</v>
      </c>
    </row>
    <row r="393" spans="1:3" x14ac:dyDescent="0.35">
      <c r="A393" s="1">
        <v>363</v>
      </c>
      <c r="B393" s="1">
        <v>2.092757029243296</v>
      </c>
      <c r="C393" s="1">
        <v>-7.9919804538123973E-2</v>
      </c>
    </row>
    <row r="394" spans="1:3" x14ac:dyDescent="0.35">
      <c r="A394" s="1">
        <v>364</v>
      </c>
      <c r="B394" s="1">
        <v>2.1628965580586965</v>
      </c>
      <c r="C394" s="1">
        <v>1.4562977257406295E-3</v>
      </c>
    </row>
    <row r="395" spans="1:3" x14ac:dyDescent="0.35">
      <c r="A395" s="1">
        <v>365</v>
      </c>
      <c r="B395" s="1">
        <v>2.1459722978606561</v>
      </c>
      <c r="C395" s="1">
        <v>2.1345036887519875E-2</v>
      </c>
    </row>
    <row r="396" spans="1:3" x14ac:dyDescent="0.35">
      <c r="A396" s="1">
        <v>366</v>
      </c>
      <c r="B396" s="1">
        <v>2.0398565981025425</v>
      </c>
      <c r="C396" s="1">
        <v>-4.4221403504992596E-2</v>
      </c>
    </row>
    <row r="397" spans="1:3" x14ac:dyDescent="0.35">
      <c r="A397" s="1">
        <v>367</v>
      </c>
      <c r="B397" s="1">
        <v>2.0403176822884559</v>
      </c>
      <c r="C397" s="1">
        <v>5.3104002873779255E-2</v>
      </c>
    </row>
    <row r="398" spans="1:3" x14ac:dyDescent="0.35">
      <c r="A398" s="1">
        <v>368</v>
      </c>
      <c r="B398" s="1">
        <v>1.9588686587639157</v>
      </c>
      <c r="C398" s="1">
        <v>4.5452715018726941E-2</v>
      </c>
    </row>
    <row r="399" spans="1:3" x14ac:dyDescent="0.35">
      <c r="A399" s="1">
        <v>369</v>
      </c>
      <c r="B399" s="1">
        <v>2.0225294400180571</v>
      </c>
      <c r="C399" s="1">
        <v>-0.11404442113940738</v>
      </c>
    </row>
    <row r="400" spans="1:3" x14ac:dyDescent="0.35">
      <c r="A400" s="1">
        <v>370</v>
      </c>
      <c r="B400" s="1">
        <v>2.1020653069300796</v>
      </c>
      <c r="C400" s="1">
        <v>2.1786334037006139E-2</v>
      </c>
    </row>
    <row r="401" spans="1:3" x14ac:dyDescent="0.35">
      <c r="A401" s="1">
        <v>371</v>
      </c>
      <c r="B401" s="1">
        <v>2.2288777350632105</v>
      </c>
      <c r="C401" s="1">
        <v>9.1683680655849642E-3</v>
      </c>
    </row>
    <row r="402" spans="1:3" x14ac:dyDescent="0.35">
      <c r="A402" s="1">
        <v>372</v>
      </c>
      <c r="B402" s="1">
        <v>1.9728109790993766</v>
      </c>
      <c r="C402" s="1">
        <v>9.9071028206748846E-2</v>
      </c>
    </row>
    <row r="403" spans="1:3" x14ac:dyDescent="0.35">
      <c r="A403" s="1">
        <v>373</v>
      </c>
      <c r="B403" s="1">
        <v>2.0276726428159599</v>
      </c>
      <c r="C403" s="1">
        <v>-0.10339335675407835</v>
      </c>
    </row>
    <row r="404" spans="1:3" x14ac:dyDescent="0.35">
      <c r="A404" s="1">
        <v>374</v>
      </c>
      <c r="B404" s="1">
        <v>2.002873546494937</v>
      </c>
      <c r="C404" s="1">
        <v>1.8315752575001287E-2</v>
      </c>
    </row>
    <row r="405" spans="1:3" x14ac:dyDescent="0.35">
      <c r="A405" s="1">
        <v>375</v>
      </c>
      <c r="B405" s="1">
        <v>2.0514968557094337</v>
      </c>
      <c r="C405" s="1">
        <v>3.4862974965314653E-2</v>
      </c>
    </row>
    <row r="406" spans="1:3" x14ac:dyDescent="0.35">
      <c r="A406" s="1">
        <v>376</v>
      </c>
      <c r="B406" s="1">
        <v>2.2166556708977074</v>
      </c>
      <c r="C406" s="1">
        <v>-7.0527635219469254E-2</v>
      </c>
    </row>
    <row r="407" spans="1:3" x14ac:dyDescent="0.35">
      <c r="A407" s="1">
        <v>377</v>
      </c>
      <c r="B407" s="1">
        <v>2.0220108597093835</v>
      </c>
      <c r="C407" s="1">
        <v>-3.0784784016888667E-2</v>
      </c>
    </row>
    <row r="408" spans="1:3" x14ac:dyDescent="0.35">
      <c r="A408" s="1">
        <v>378</v>
      </c>
      <c r="B408" s="1">
        <v>2.0072037326646899</v>
      </c>
      <c r="C408" s="1">
        <v>-6.7684480046071416E-2</v>
      </c>
    </row>
    <row r="409" spans="1:3" x14ac:dyDescent="0.35">
      <c r="A409" s="1">
        <v>379</v>
      </c>
      <c r="B409" s="1">
        <v>2.0989323486624261</v>
      </c>
      <c r="C409" s="1">
        <v>9.4192249692035546E-2</v>
      </c>
    </row>
    <row r="410" spans="1:3" x14ac:dyDescent="0.35">
      <c r="A410" s="1">
        <v>380</v>
      </c>
      <c r="B410" s="1">
        <v>2.0761254255639416</v>
      </c>
      <c r="C410" s="1">
        <v>-0.10764247701000662</v>
      </c>
    </row>
    <row r="411" spans="1:3" x14ac:dyDescent="0.35">
      <c r="A411" s="1">
        <v>381</v>
      </c>
      <c r="B411" s="1">
        <v>2.0242457801560061</v>
      </c>
      <c r="C411" s="1">
        <v>5.1379975292036306E-3</v>
      </c>
    </row>
    <row r="412" spans="1:3" x14ac:dyDescent="0.35">
      <c r="A412" s="1">
        <v>382</v>
      </c>
      <c r="B412" s="1">
        <v>1.9496015431630787</v>
      </c>
      <c r="C412" s="1">
        <v>7.1587755906859618E-2</v>
      </c>
    </row>
    <row r="413" spans="1:3" x14ac:dyDescent="0.35">
      <c r="A413" s="1">
        <v>383</v>
      </c>
      <c r="B413" s="1">
        <v>2.0905171668807028</v>
      </c>
      <c r="C413" s="1">
        <v>-5.3090668940078967E-2</v>
      </c>
    </row>
    <row r="414" spans="1:3" x14ac:dyDescent="0.35">
      <c r="A414" s="1">
        <v>384</v>
      </c>
      <c r="B414" s="1">
        <v>2.0335082015308559</v>
      </c>
      <c r="C414" s="1">
        <v>-7.9265692091530893E-2</v>
      </c>
    </row>
    <row r="415" spans="1:3" x14ac:dyDescent="0.35">
      <c r="A415" s="1">
        <v>385</v>
      </c>
      <c r="B415" s="1">
        <v>2.0155043050094661</v>
      </c>
      <c r="C415" s="1">
        <v>8.1405707998590149E-2</v>
      </c>
    </row>
    <row r="416" spans="1:3" x14ac:dyDescent="0.35">
      <c r="A416" s="1">
        <v>386</v>
      </c>
      <c r="B416" s="1">
        <v>1.9961626852060561</v>
      </c>
      <c r="C416" s="1">
        <v>7.9384276186474478E-2</v>
      </c>
    </row>
    <row r="417" spans="1:3" x14ac:dyDescent="0.35">
      <c r="A417" s="1">
        <v>387</v>
      </c>
      <c r="B417" s="1">
        <v>2.0185363116470487</v>
      </c>
      <c r="C417" s="1">
        <v>4.5921677579869868E-2</v>
      </c>
    </row>
    <row r="418" spans="1:3" x14ac:dyDescent="0.35">
      <c r="A418" s="1">
        <v>388</v>
      </c>
      <c r="B418" s="1">
        <v>2.0575590385106834</v>
      </c>
      <c r="C418" s="1">
        <v>-3.6369739440745175E-2</v>
      </c>
    </row>
    <row r="419" spans="1:3" x14ac:dyDescent="0.35">
      <c r="A419" s="1">
        <v>389</v>
      </c>
      <c r="B419" s="1">
        <v>2.2032696927059416</v>
      </c>
      <c r="C419" s="1">
        <v>-4.4907200610691866E-2</v>
      </c>
    </row>
    <row r="420" spans="1:3" x14ac:dyDescent="0.35">
      <c r="A420" s="1">
        <v>390</v>
      </c>
      <c r="B420" s="1">
        <v>2.0531727689883068</v>
      </c>
      <c r="C420" s="1">
        <v>-5.3172768988306807E-2</v>
      </c>
    </row>
    <row r="421" spans="1:3" x14ac:dyDescent="0.35">
      <c r="A421" s="1">
        <v>391</v>
      </c>
      <c r="B421" s="1">
        <v>2.1103549185739601</v>
      </c>
      <c r="C421" s="1">
        <v>-0.11035491857396007</v>
      </c>
    </row>
    <row r="422" spans="1:3" x14ac:dyDescent="0.35">
      <c r="A422" s="1">
        <v>392</v>
      </c>
      <c r="B422" s="1">
        <v>2.0844250180229351</v>
      </c>
      <c r="C422" s="1">
        <v>0.13568307001711988</v>
      </c>
    </row>
    <row r="423" spans="1:3" x14ac:dyDescent="0.35">
      <c r="A423" s="1">
        <v>393</v>
      </c>
      <c r="B423" s="1">
        <v>2.1653512564163107</v>
      </c>
      <c r="C423" s="1">
        <v>-4.8079960760546214E-2</v>
      </c>
    </row>
    <row r="424" spans="1:3" x14ac:dyDescent="0.35">
      <c r="A424" s="1">
        <v>394</v>
      </c>
      <c r="B424" s="1">
        <v>2.0609010744429068</v>
      </c>
      <c r="C424" s="1">
        <v>3.5569147840117665E-3</v>
      </c>
    </row>
    <row r="425" spans="1:3" x14ac:dyDescent="0.35">
      <c r="A425" s="1">
        <v>395</v>
      </c>
      <c r="B425" s="1">
        <v>2.0719214296275377</v>
      </c>
      <c r="C425" s="1">
        <v>0.12673565732688497</v>
      </c>
    </row>
    <row r="426" spans="1:3" x14ac:dyDescent="0.35">
      <c r="A426" s="1">
        <v>396</v>
      </c>
      <c r="B426" s="1">
        <v>2.1360448570926858</v>
      </c>
      <c r="C426" s="1">
        <v>-3.2241136136728965E-2</v>
      </c>
    </row>
    <row r="427" spans="1:3" x14ac:dyDescent="0.35">
      <c r="A427" s="1">
        <v>397</v>
      </c>
      <c r="B427" s="1">
        <v>2.0498619043553306</v>
      </c>
      <c r="C427" s="1">
        <v>-6.759067131576213E-2</v>
      </c>
    </row>
    <row r="428" spans="1:3" x14ac:dyDescent="0.35">
      <c r="A428" s="1">
        <v>398</v>
      </c>
      <c r="B428" s="1">
        <v>1.9515166699219348</v>
      </c>
      <c r="C428" s="1">
        <v>0.1657546257338296</v>
      </c>
    </row>
    <row r="429" spans="1:3" x14ac:dyDescent="0.35">
      <c r="A429" s="1">
        <v>399</v>
      </c>
      <c r="B429" s="1">
        <v>2.0104147551866296</v>
      </c>
      <c r="C429" s="1">
        <v>-9.6600902802912891E-2</v>
      </c>
    </row>
    <row r="430" spans="1:3" x14ac:dyDescent="0.35">
      <c r="A430" s="1">
        <v>400</v>
      </c>
      <c r="B430" s="1">
        <v>1.9831792890630915</v>
      </c>
      <c r="C430" s="1">
        <v>0.30237801994468239</v>
      </c>
    </row>
    <row r="431" spans="1:3" x14ac:dyDescent="0.35">
      <c r="A431" s="1">
        <v>401</v>
      </c>
      <c r="B431" s="1">
        <v>2.0464336785263875</v>
      </c>
      <c r="C431" s="1">
        <v>-6.8710073237539637E-2</v>
      </c>
    </row>
    <row r="432" spans="1:3" x14ac:dyDescent="0.35">
      <c r="A432" s="1">
        <v>402</v>
      </c>
      <c r="B432" s="1">
        <v>2.0817571074599632</v>
      </c>
      <c r="C432" s="1">
        <v>5.4963459696443451E-2</v>
      </c>
    </row>
    <row r="433" spans="1:3" x14ac:dyDescent="0.35">
      <c r="A433" s="1">
        <v>403</v>
      </c>
      <c r="B433" s="1">
        <v>2.0350511517554688</v>
      </c>
      <c r="C433" s="1">
        <v>9.8487756614748623E-2</v>
      </c>
    </row>
    <row r="434" spans="1:3" x14ac:dyDescent="0.35">
      <c r="A434" s="1">
        <v>404</v>
      </c>
      <c r="B434" s="1">
        <v>2.0257035657498017</v>
      </c>
      <c r="C434" s="1">
        <v>-0.16837106931853318</v>
      </c>
    </row>
    <row r="435" spans="1:3" x14ac:dyDescent="0.35">
      <c r="A435" s="1">
        <v>405</v>
      </c>
      <c r="B435" s="1">
        <v>2.0723801946566565</v>
      </c>
      <c r="C435" s="1">
        <v>0.15292908706920638</v>
      </c>
    </row>
    <row r="436" spans="1:3" x14ac:dyDescent="0.35">
      <c r="A436" s="1">
        <v>406</v>
      </c>
      <c r="B436" s="1">
        <v>2.0777124894207755</v>
      </c>
      <c r="C436" s="1">
        <v>1.219262201862259E-2</v>
      </c>
    </row>
    <row r="437" spans="1:3" x14ac:dyDescent="0.35">
      <c r="A437" s="1">
        <v>407</v>
      </c>
      <c r="B437" s="1">
        <v>2.0817723936765034</v>
      </c>
      <c r="C437" s="1">
        <v>-2.1074553322891543E-2</v>
      </c>
    </row>
    <row r="438" spans="1:3" x14ac:dyDescent="0.35">
      <c r="A438" s="1">
        <v>408</v>
      </c>
      <c r="B438" s="1">
        <v>2.0055431686186798</v>
      </c>
      <c r="C438" s="1">
        <v>-1.2217948360371267E-3</v>
      </c>
    </row>
    <row r="439" spans="1:3" x14ac:dyDescent="0.35">
      <c r="A439" s="1">
        <v>409</v>
      </c>
      <c r="B439" s="1">
        <v>2.0851049091064482</v>
      </c>
      <c r="C439" s="1">
        <v>0.20936131705514471</v>
      </c>
    </row>
    <row r="440" spans="1:3" x14ac:dyDescent="0.35">
      <c r="A440" s="1">
        <v>410</v>
      </c>
      <c r="B440" s="1">
        <v>2.2489120854497382</v>
      </c>
      <c r="C440" s="1">
        <v>-1.3383638542189491E-2</v>
      </c>
    </row>
    <row r="441" spans="1:3" x14ac:dyDescent="0.35">
      <c r="A441" s="1">
        <v>411</v>
      </c>
      <c r="B441" s="1">
        <v>1.9986529025679667</v>
      </c>
      <c r="C441" s="1">
        <v>9.9472691939508362E-3</v>
      </c>
    </row>
    <row r="442" spans="1:3" x14ac:dyDescent="0.35">
      <c r="A442" s="1">
        <v>412</v>
      </c>
      <c r="B442" s="1">
        <v>2.0706543687879031</v>
      </c>
      <c r="C442" s="1">
        <v>-2.1436346117721605E-2</v>
      </c>
    </row>
    <row r="443" spans="1:3" x14ac:dyDescent="0.35">
      <c r="A443" s="1">
        <v>413</v>
      </c>
      <c r="B443" s="1">
        <v>2.1795903010193887</v>
      </c>
      <c r="C443" s="1">
        <v>-2.4254263554326805E-2</v>
      </c>
    </row>
    <row r="444" spans="1:3" x14ac:dyDescent="0.35">
      <c r="A444" s="1">
        <v>414</v>
      </c>
      <c r="B444" s="1">
        <v>1.9953437929328768</v>
      </c>
      <c r="C444" s="1">
        <v>0.15999224453218508</v>
      </c>
    </row>
    <row r="445" spans="1:3" x14ac:dyDescent="0.35">
      <c r="A445" s="1">
        <v>415</v>
      </c>
      <c r="B445" s="1">
        <v>2.0432462045333883</v>
      </c>
      <c r="C445" s="1">
        <v>9.663288186784813E-2</v>
      </c>
    </row>
    <row r="446" spans="1:3" x14ac:dyDescent="0.35">
      <c r="A446" s="1">
        <v>416</v>
      </c>
      <c r="B446" s="1">
        <v>2.1948342691763112</v>
      </c>
      <c r="C446" s="1">
        <v>4.3211833952484291E-2</v>
      </c>
    </row>
    <row r="447" spans="1:3" x14ac:dyDescent="0.35">
      <c r="A447" s="1">
        <v>417</v>
      </c>
      <c r="B447" s="1">
        <v>1.9966406566161135</v>
      </c>
      <c r="C447" s="1">
        <v>-9.8689223498686918E-3</v>
      </c>
    </row>
    <row r="448" spans="1:3" x14ac:dyDescent="0.35">
      <c r="A448" s="1">
        <v>418</v>
      </c>
      <c r="B448" s="1">
        <v>2.0328760580143062</v>
      </c>
      <c r="C448" s="1">
        <v>0.12548643408094362</v>
      </c>
    </row>
    <row r="449" spans="1:3" x14ac:dyDescent="0.35">
      <c r="A449" s="1">
        <v>419</v>
      </c>
      <c r="B449" s="1">
        <v>2.0113429303160189</v>
      </c>
      <c r="C449" s="1">
        <v>-9.2264837939944888E-2</v>
      </c>
    </row>
    <row r="450" spans="1:3" x14ac:dyDescent="0.35">
      <c r="A450" s="1">
        <v>420</v>
      </c>
      <c r="B450" s="1">
        <v>2.0205523369441276</v>
      </c>
      <c r="C450" s="1">
        <v>9.0037373355121186E-2</v>
      </c>
    </row>
    <row r="451" spans="1:3" x14ac:dyDescent="0.35">
      <c r="A451" s="1">
        <v>421</v>
      </c>
      <c r="B451" s="1">
        <v>2.0831555052350796</v>
      </c>
      <c r="C451" s="1">
        <v>-7.6085438425490537E-3</v>
      </c>
    </row>
    <row r="452" spans="1:3" x14ac:dyDescent="0.35">
      <c r="A452" s="1">
        <v>422</v>
      </c>
      <c r="B452" s="1">
        <v>2.0170886670456407</v>
      </c>
      <c r="C452" s="1">
        <v>-4.396081344594216E-2</v>
      </c>
    </row>
    <row r="453" spans="1:3" x14ac:dyDescent="0.35">
      <c r="A453" s="1">
        <v>423</v>
      </c>
      <c r="B453" s="1">
        <v>1.9979233720876231</v>
      </c>
      <c r="C453" s="1">
        <v>1.0676799674294468E-2</v>
      </c>
    </row>
    <row r="454" spans="1:3" x14ac:dyDescent="0.35">
      <c r="A454" s="1">
        <v>424</v>
      </c>
      <c r="B454" s="1">
        <v>1.9824778772313865</v>
      </c>
      <c r="C454" s="1">
        <v>7.8219963122225344E-2</v>
      </c>
    </row>
    <row r="455" spans="1:3" x14ac:dyDescent="0.35">
      <c r="A455" s="1">
        <v>425</v>
      </c>
      <c r="B455" s="1">
        <v>2.1392324970644436</v>
      </c>
      <c r="C455" s="1">
        <v>3.9744450228725636E-2</v>
      </c>
    </row>
    <row r="456" spans="1:3" x14ac:dyDescent="0.35">
      <c r="A456" s="1">
        <v>426</v>
      </c>
      <c r="B456" s="1">
        <v>2.1172962566962759</v>
      </c>
      <c r="C456" s="1">
        <v>0.14752156631326052</v>
      </c>
    </row>
    <row r="457" spans="1:3" x14ac:dyDescent="0.35">
      <c r="A457" s="1">
        <v>427</v>
      </c>
      <c r="B457" s="1">
        <v>1.9230295462039759</v>
      </c>
      <c r="C457" s="1">
        <v>5.009830739572263E-2</v>
      </c>
    </row>
    <row r="458" spans="1:3" x14ac:dyDescent="0.35">
      <c r="A458" s="1">
        <v>428</v>
      </c>
      <c r="B458" s="1">
        <v>2.0935416371992552</v>
      </c>
      <c r="C458" s="1">
        <v>0.16413693766992932</v>
      </c>
    </row>
    <row r="459" spans="1:3" x14ac:dyDescent="0.35">
      <c r="A459" s="1">
        <v>429</v>
      </c>
      <c r="B459" s="1">
        <v>2.0439498114201591</v>
      </c>
      <c r="C459" s="1">
        <v>8.6383957074847029E-2</v>
      </c>
    </row>
    <row r="460" spans="1:3" x14ac:dyDescent="0.35">
      <c r="A460" s="1">
        <v>430</v>
      </c>
      <c r="B460" s="1">
        <v>2.1206888964454707</v>
      </c>
      <c r="C460" s="1">
        <v>-0.14296529115662282</v>
      </c>
    </row>
    <row r="461" spans="1:3" x14ac:dyDescent="0.35">
      <c r="A461" s="1">
        <v>431</v>
      </c>
      <c r="B461" s="1">
        <v>1.9763645795749254</v>
      </c>
      <c r="C461" s="1">
        <v>1.9270615022624504E-2</v>
      </c>
    </row>
    <row r="462" spans="1:3" x14ac:dyDescent="0.35">
      <c r="A462" s="1">
        <v>432</v>
      </c>
      <c r="B462" s="1">
        <v>2.0793024677187866</v>
      </c>
      <c r="C462" s="1">
        <v>-0.12991246107387378</v>
      </c>
    </row>
    <row r="463" spans="1:3" x14ac:dyDescent="0.35">
      <c r="A463" s="1">
        <v>433</v>
      </c>
      <c r="B463" s="1">
        <v>2.0367641615220484</v>
      </c>
      <c r="C463" s="1">
        <v>-0.13367417453010488</v>
      </c>
    </row>
    <row r="464" spans="1:3" x14ac:dyDescent="0.35">
      <c r="A464" s="1">
        <v>434</v>
      </c>
      <c r="B464" s="1">
        <v>2.0263279734320205</v>
      </c>
      <c r="C464" s="1">
        <v>0.11668682682207443</v>
      </c>
    </row>
    <row r="465" spans="1:3" x14ac:dyDescent="0.35">
      <c r="A465" s="1">
        <v>435</v>
      </c>
      <c r="B465" s="1">
        <v>2.0485147971131918</v>
      </c>
      <c r="C465" s="1">
        <v>-9.4272287673866861E-2</v>
      </c>
    </row>
    <row r="466" spans="1:3" x14ac:dyDescent="0.35">
      <c r="A466" s="1">
        <v>436</v>
      </c>
      <c r="B466" s="1">
        <v>2.0460991813112499</v>
      </c>
      <c r="C466" s="1">
        <v>0.10311993134412978</v>
      </c>
    </row>
    <row r="467" spans="1:3" x14ac:dyDescent="0.35">
      <c r="A467" s="1">
        <v>437</v>
      </c>
      <c r="B467" s="1">
        <v>2.0370039328504856</v>
      </c>
      <c r="C467" s="1">
        <v>0.10912410282775253</v>
      </c>
    </row>
    <row r="468" spans="1:3" x14ac:dyDescent="0.35">
      <c r="A468" s="1">
        <v>438</v>
      </c>
      <c r="B468" s="1">
        <v>2.0461764047316668</v>
      </c>
      <c r="C468" s="1">
        <v>0.12114093001650916</v>
      </c>
    </row>
    <row r="469" spans="1:3" x14ac:dyDescent="0.35">
      <c r="A469" s="1">
        <v>439</v>
      </c>
      <c r="B469" s="1">
        <v>1.9551170760947976</v>
      </c>
      <c r="C469" s="1">
        <v>3.1654658171447192E-2</v>
      </c>
    </row>
    <row r="470" spans="1:3" x14ac:dyDescent="0.35">
      <c r="A470" s="1">
        <v>440</v>
      </c>
      <c r="B470" s="1">
        <v>2.0855903763090322</v>
      </c>
      <c r="C470" s="1">
        <v>-5.620659862382249E-2</v>
      </c>
    </row>
    <row r="471" spans="1:3" x14ac:dyDescent="0.35">
      <c r="A471" s="1">
        <v>441</v>
      </c>
      <c r="B471" s="1">
        <v>2.0445812440036981</v>
      </c>
      <c r="C471" s="1">
        <v>0.23188056016954617</v>
      </c>
    </row>
    <row r="472" spans="1:3" x14ac:dyDescent="0.35">
      <c r="A472" s="1">
        <v>442</v>
      </c>
      <c r="B472" s="1">
        <v>2.0122031704003778</v>
      </c>
      <c r="C472" s="1">
        <v>-9.3125078024303809E-2</v>
      </c>
    </row>
    <row r="473" spans="1:3" x14ac:dyDescent="0.35">
      <c r="A473" s="1">
        <v>443</v>
      </c>
      <c r="B473" s="1">
        <v>2.0371526140957483</v>
      </c>
      <c r="C473" s="1">
        <v>3.1033247650413376E-2</v>
      </c>
    </row>
    <row r="474" spans="1:3" x14ac:dyDescent="0.35">
      <c r="A474" s="1">
        <v>444</v>
      </c>
      <c r="B474" s="1">
        <v>2.0755413867173913</v>
      </c>
      <c r="C474" s="1">
        <v>-4.2117631230441432E-2</v>
      </c>
    </row>
    <row r="475" spans="1:3" x14ac:dyDescent="0.35">
      <c r="A475" s="1">
        <v>445</v>
      </c>
      <c r="B475" s="1">
        <v>2.0200314400464268</v>
      </c>
      <c r="C475" s="1">
        <v>4.8154421699734939E-2</v>
      </c>
    </row>
    <row r="476" spans="1:3" x14ac:dyDescent="0.35">
      <c r="A476" s="1">
        <v>446</v>
      </c>
      <c r="B476" s="1">
        <v>2.055802882555227</v>
      </c>
      <c r="C476" s="1">
        <v>0.19946962254807898</v>
      </c>
    </row>
    <row r="477" spans="1:3" x14ac:dyDescent="0.35">
      <c r="A477" s="1">
        <v>447</v>
      </c>
      <c r="B477" s="1">
        <v>2.043636203206733</v>
      </c>
      <c r="C477" s="1">
        <v>-4.3636203206733004E-2</v>
      </c>
    </row>
    <row r="478" spans="1:3" x14ac:dyDescent="0.35">
      <c r="A478" s="1">
        <v>448</v>
      </c>
      <c r="B478" s="1">
        <v>2.0073350467251174</v>
      </c>
      <c r="C478" s="1">
        <v>-2.9611441436269592E-2</v>
      </c>
    </row>
    <row r="479" spans="1:3" x14ac:dyDescent="0.35">
      <c r="A479" s="1">
        <v>449</v>
      </c>
      <c r="B479" s="1">
        <v>1.9928405346271176</v>
      </c>
      <c r="C479" s="1">
        <v>2.4192804671662627E-2</v>
      </c>
    </row>
    <row r="480" spans="1:3" x14ac:dyDescent="0.35">
      <c r="A480" s="1">
        <v>450</v>
      </c>
      <c r="B480" s="1">
        <v>2.0272662977727745</v>
      </c>
      <c r="C480" s="1">
        <v>5.1914948274850214E-2</v>
      </c>
    </row>
    <row r="481" spans="1:3" x14ac:dyDescent="0.35">
      <c r="A481" s="1">
        <v>451</v>
      </c>
      <c r="B481" s="1">
        <v>2.0206240366343029</v>
      </c>
      <c r="C481" s="1">
        <v>-0.10681018425058619</v>
      </c>
    </row>
    <row r="482" spans="1:3" x14ac:dyDescent="0.35">
      <c r="A482" s="1">
        <v>452</v>
      </c>
      <c r="B482" s="1">
        <v>2.0303752172223346</v>
      </c>
      <c r="C482" s="1">
        <v>9.6729581142473098E-2</v>
      </c>
    </row>
    <row r="483" spans="1:3" x14ac:dyDescent="0.35">
      <c r="A483" s="1">
        <v>453</v>
      </c>
      <c r="B483" s="1">
        <v>2.0906393463148283</v>
      </c>
      <c r="C483" s="1">
        <v>-0.13159795399373464</v>
      </c>
    </row>
    <row r="484" spans="1:3" x14ac:dyDescent="0.35">
      <c r="A484" s="1">
        <v>454</v>
      </c>
      <c r="B484" s="1">
        <v>2.104143447770721</v>
      </c>
      <c r="C484" s="1">
        <v>-2.8596486378190455E-2</v>
      </c>
    </row>
    <row r="485" spans="1:3" x14ac:dyDescent="0.35">
      <c r="A485" s="1">
        <v>455</v>
      </c>
      <c r="B485" s="1">
        <v>2.0433103665980763</v>
      </c>
      <c r="C485" s="1">
        <v>-4.33103665980763E-2</v>
      </c>
    </row>
    <row r="486" spans="1:3" x14ac:dyDescent="0.35">
      <c r="A486" s="1">
        <v>456</v>
      </c>
      <c r="B486" s="1">
        <v>2.018848645415837</v>
      </c>
      <c r="C486" s="1">
        <v>0.22418940327045744</v>
      </c>
    </row>
    <row r="487" spans="1:3" x14ac:dyDescent="0.35">
      <c r="A487" s="1">
        <v>457</v>
      </c>
      <c r="B487" s="1">
        <v>2.113087828124931</v>
      </c>
      <c r="C487" s="1">
        <v>1.7245940370075097E-2</v>
      </c>
    </row>
    <row r="488" spans="1:3" x14ac:dyDescent="0.35">
      <c r="A488" s="1">
        <v>458</v>
      </c>
      <c r="B488" s="1">
        <v>2.0109236863244773</v>
      </c>
      <c r="C488" s="1">
        <v>-7.6425235080909593E-2</v>
      </c>
    </row>
    <row r="489" spans="1:3" x14ac:dyDescent="0.35">
      <c r="A489" s="1">
        <v>459</v>
      </c>
      <c r="B489" s="1">
        <v>2.1585850905856119</v>
      </c>
      <c r="C489" s="1">
        <v>1.1676624809345615E-2</v>
      </c>
    </row>
    <row r="490" spans="1:3" x14ac:dyDescent="0.35">
      <c r="A490" s="1">
        <v>460</v>
      </c>
      <c r="B490" s="1">
        <v>2.1258144798307246</v>
      </c>
      <c r="C490" s="1">
        <v>1.2903185340831236E-3</v>
      </c>
    </row>
    <row r="491" spans="1:3" x14ac:dyDescent="0.35">
      <c r="A491" s="1">
        <v>461</v>
      </c>
      <c r="B491" s="1">
        <v>2.061883085729598</v>
      </c>
      <c r="C491" s="1">
        <v>1.7298160318026667E-2</v>
      </c>
    </row>
    <row r="492" spans="1:3" x14ac:dyDescent="0.35">
      <c r="A492" s="1">
        <v>462</v>
      </c>
      <c r="B492" s="1">
        <v>2.0108411109345616</v>
      </c>
      <c r="C492" s="1">
        <v>-0.1595827622154864</v>
      </c>
    </row>
    <row r="493" spans="1:3" x14ac:dyDescent="0.35">
      <c r="A493" s="1">
        <v>463</v>
      </c>
      <c r="B493" s="1">
        <v>2.0395913009615607</v>
      </c>
      <c r="C493" s="1">
        <v>-0.17035958123058448</v>
      </c>
    </row>
    <row r="494" spans="1:3" x14ac:dyDescent="0.35">
      <c r="A494" s="1">
        <v>464</v>
      </c>
      <c r="B494" s="1">
        <v>1.9983097624414159</v>
      </c>
      <c r="C494" s="1">
        <v>-5.3827090291247215E-2</v>
      </c>
    </row>
    <row r="495" spans="1:3" x14ac:dyDescent="0.35">
      <c r="A495" s="1">
        <v>465</v>
      </c>
      <c r="B495" s="1">
        <v>2.0733853979038348</v>
      </c>
      <c r="C495" s="1">
        <v>-1.2687557550222994E-2</v>
      </c>
    </row>
    <row r="496" spans="1:3" x14ac:dyDescent="0.35">
      <c r="A496" s="1">
        <v>466</v>
      </c>
      <c r="B496" s="1">
        <v>2.0195692024035785</v>
      </c>
      <c r="C496" s="1">
        <v>7.3852482758656635E-2</v>
      </c>
    </row>
    <row r="497" spans="1:3" x14ac:dyDescent="0.35">
      <c r="A497" s="1">
        <v>467</v>
      </c>
      <c r="B497" s="1">
        <v>2.0061578619216816</v>
      </c>
      <c r="C497" s="1">
        <v>-0.13692614219070531</v>
      </c>
    </row>
    <row r="498" spans="1:3" x14ac:dyDescent="0.35">
      <c r="A498" s="1">
        <v>468</v>
      </c>
      <c r="B498" s="1">
        <v>2.0293944486211304</v>
      </c>
      <c r="C498" s="1">
        <v>-4.2622714354885627E-2</v>
      </c>
    </row>
    <row r="499" spans="1:3" x14ac:dyDescent="0.35">
      <c r="A499" s="1">
        <v>469</v>
      </c>
      <c r="B499" s="1">
        <v>2.0403557139656776</v>
      </c>
      <c r="C499" s="1">
        <v>3.8825532081947056E-2</v>
      </c>
    </row>
    <row r="500" spans="1:3" x14ac:dyDescent="0.35">
      <c r="A500" s="1">
        <v>470</v>
      </c>
      <c r="B500" s="1">
        <v>2.0772871892770168</v>
      </c>
      <c r="C500" s="1">
        <v>0.11023353155944626</v>
      </c>
    </row>
    <row r="501" spans="1:3" x14ac:dyDescent="0.35">
      <c r="A501" s="1">
        <v>471</v>
      </c>
      <c r="B501" s="1">
        <v>2.0025679556081455</v>
      </c>
      <c r="C501" s="1">
        <v>0.15579453648710428</v>
      </c>
    </row>
    <row r="502" spans="1:3" x14ac:dyDescent="0.35">
      <c r="A502" s="1">
        <v>472</v>
      </c>
      <c r="B502" s="1">
        <v>1.9530238195043146</v>
      </c>
      <c r="C502" s="1">
        <v>0.1836967476520921</v>
      </c>
    </row>
    <row r="503" spans="1:3" x14ac:dyDescent="0.35">
      <c r="A503" s="1">
        <v>473</v>
      </c>
      <c r="B503" s="1">
        <v>1.9909173665732134</v>
      </c>
      <c r="C503" s="1">
        <v>8.46295948193172E-2</v>
      </c>
    </row>
    <row r="504" spans="1:3" x14ac:dyDescent="0.35">
      <c r="A504" s="1">
        <v>474</v>
      </c>
      <c r="B504" s="1">
        <v>2.0979292437442605</v>
      </c>
      <c r="C504" s="1">
        <v>3.5609664625956938E-2</v>
      </c>
    </row>
    <row r="505" spans="1:3" x14ac:dyDescent="0.35">
      <c r="A505" s="1">
        <v>475</v>
      </c>
      <c r="B505" s="1">
        <v>2.0207041798890204</v>
      </c>
      <c r="C505" s="1">
        <v>3.6200671447452315E-2</v>
      </c>
    </row>
    <row r="506" spans="1:3" x14ac:dyDescent="0.35">
      <c r="A506" s="1">
        <v>476</v>
      </c>
      <c r="B506" s="1">
        <v>2.0510656879222129</v>
      </c>
      <c r="C506" s="1">
        <v>8.5654879234193793E-2</v>
      </c>
    </row>
    <row r="507" spans="1:3" x14ac:dyDescent="0.35">
      <c r="A507" s="1">
        <v>477</v>
      </c>
      <c r="B507" s="1">
        <v>2.0644654032258423</v>
      </c>
      <c r="C507" s="1">
        <v>-4.3276104155903994E-2</v>
      </c>
    </row>
    <row r="508" spans="1:3" x14ac:dyDescent="0.35">
      <c r="A508" s="1">
        <v>478</v>
      </c>
      <c r="B508" s="1">
        <v>2.0565078485327395</v>
      </c>
      <c r="C508" s="1">
        <v>3.9700280373322627E-4</v>
      </c>
    </row>
    <row r="509" spans="1:3" x14ac:dyDescent="0.35">
      <c r="A509" s="1">
        <v>479</v>
      </c>
      <c r="B509" s="1">
        <v>2.0155614007638789</v>
      </c>
      <c r="C509" s="1">
        <v>8.4809144353684029E-2</v>
      </c>
    </row>
    <row r="510" spans="1:3" x14ac:dyDescent="0.35">
      <c r="A510" s="1">
        <v>480</v>
      </c>
      <c r="B510" s="1">
        <v>2.0643324872417645</v>
      </c>
      <c r="C510" s="1">
        <v>5.624144396408548E-2</v>
      </c>
    </row>
    <row r="511" spans="1:3" x14ac:dyDescent="0.35">
      <c r="A511" s="1">
        <v>481</v>
      </c>
      <c r="B511" s="1">
        <v>2.1619203413172228</v>
      </c>
      <c r="C511" s="1">
        <v>3.6736745637199864E-2</v>
      </c>
    </row>
    <row r="512" spans="1:3" x14ac:dyDescent="0.35">
      <c r="A512" s="1">
        <v>482</v>
      </c>
      <c r="B512" s="1">
        <v>1.9835018767976744</v>
      </c>
      <c r="C512" s="1">
        <v>0.10640323464172363</v>
      </c>
    </row>
    <row r="513" spans="1:3" x14ac:dyDescent="0.35">
      <c r="A513" s="1">
        <v>483</v>
      </c>
      <c r="B513" s="1">
        <v>2.0094878607134636</v>
      </c>
      <c r="C513" s="1">
        <v>-8.0068934999171004E-2</v>
      </c>
    </row>
    <row r="514" spans="1:3" x14ac:dyDescent="0.35">
      <c r="A514" s="1">
        <v>484</v>
      </c>
      <c r="B514" s="1">
        <v>2.0451656664318572</v>
      </c>
      <c r="C514" s="1">
        <v>-0.12088638036997557</v>
      </c>
    </row>
    <row r="515" spans="1:3" x14ac:dyDescent="0.35">
      <c r="A515" s="1">
        <v>485</v>
      </c>
      <c r="B515" s="1">
        <v>2.0678056733115278</v>
      </c>
      <c r="C515" s="1">
        <v>9.3562328923447069E-2</v>
      </c>
    </row>
    <row r="516" spans="1:3" x14ac:dyDescent="0.35">
      <c r="A516" s="1">
        <v>486</v>
      </c>
      <c r="B516" s="1">
        <v>2.0930186572403215</v>
      </c>
      <c r="C516" s="1">
        <v>3.7315111254684563E-2</v>
      </c>
    </row>
    <row r="517" spans="1:3" x14ac:dyDescent="0.35">
      <c r="A517" s="1">
        <v>487</v>
      </c>
      <c r="B517" s="1">
        <v>2.1918990838452546</v>
      </c>
      <c r="C517" s="1">
        <v>-4.8884283591159594E-2</v>
      </c>
    </row>
    <row r="518" spans="1:3" x14ac:dyDescent="0.35">
      <c r="A518" s="1">
        <v>488</v>
      </c>
      <c r="B518" s="1">
        <v>2.2360061885259177</v>
      </c>
      <c r="C518" s="1">
        <v>2.0399146028777793E-3</v>
      </c>
    </row>
    <row r="519" spans="1:3" x14ac:dyDescent="0.35">
      <c r="A519" s="1">
        <v>489</v>
      </c>
      <c r="B519" s="1">
        <v>1.995355653585587</v>
      </c>
      <c r="C519" s="1">
        <v>2.7954101196292491E-4</v>
      </c>
    </row>
    <row r="520" spans="1:3" x14ac:dyDescent="0.35">
      <c r="A520" s="1">
        <v>490</v>
      </c>
      <c r="B520" s="1">
        <v>2.134565869518009</v>
      </c>
      <c r="C520" s="1">
        <v>0.15323586041221704</v>
      </c>
    </row>
    <row r="521" spans="1:3" x14ac:dyDescent="0.35">
      <c r="A521" s="1">
        <v>491</v>
      </c>
      <c r="B521" s="1">
        <v>2.0303090185425989</v>
      </c>
      <c r="C521" s="1">
        <v>-0.11123092616652497</v>
      </c>
    </row>
    <row r="522" spans="1:3" x14ac:dyDescent="0.35">
      <c r="A522" s="1">
        <v>492</v>
      </c>
      <c r="B522" s="1">
        <v>2.0281141357131998</v>
      </c>
      <c r="C522" s="1">
        <v>-7.8724129068286963E-2</v>
      </c>
    </row>
    <row r="523" spans="1:3" x14ac:dyDescent="0.35">
      <c r="A523" s="1">
        <v>493</v>
      </c>
      <c r="B523" s="1">
        <v>1.9799835997994053</v>
      </c>
      <c r="C523" s="1">
        <v>1.5651594798144597E-2</v>
      </c>
    </row>
    <row r="524" spans="1:3" x14ac:dyDescent="0.35">
      <c r="A524" s="1">
        <v>494</v>
      </c>
      <c r="B524" s="1">
        <v>2.1210050431288017</v>
      </c>
      <c r="C524" s="1">
        <v>-2.4095030120745431E-2</v>
      </c>
    </row>
    <row r="525" spans="1:3" x14ac:dyDescent="0.35">
      <c r="A525" s="1">
        <v>495</v>
      </c>
      <c r="B525" s="1">
        <v>1.9165523019851869</v>
      </c>
      <c r="C525" s="1">
        <v>-1.3462314993243352E-2</v>
      </c>
    </row>
    <row r="526" spans="1:3" x14ac:dyDescent="0.35">
      <c r="A526" s="1">
        <v>496</v>
      </c>
      <c r="B526" s="1">
        <v>2.1226209174613841</v>
      </c>
      <c r="C526" s="1">
        <v>9.7487170578670845E-2</v>
      </c>
    </row>
    <row r="527" spans="1:3" x14ac:dyDescent="0.35">
      <c r="A527" s="1">
        <v>497</v>
      </c>
      <c r="B527" s="1">
        <v>2.0338367541393763</v>
      </c>
      <c r="C527" s="1">
        <v>7.5559310188486606E-3</v>
      </c>
    </row>
    <row r="528" spans="1:3" x14ac:dyDescent="0.35">
      <c r="A528" s="1">
        <v>498</v>
      </c>
      <c r="B528" s="1">
        <v>2.0443374513973276</v>
      </c>
      <c r="C528" s="1">
        <v>-0.13585243251867785</v>
      </c>
    </row>
    <row r="529" spans="1:3" x14ac:dyDescent="0.35">
      <c r="A529" s="1">
        <v>499</v>
      </c>
      <c r="B529" s="1">
        <v>2.0899356321374003</v>
      </c>
      <c r="C529" s="1">
        <v>0.20009897922511755</v>
      </c>
    </row>
    <row r="530" spans="1:3" x14ac:dyDescent="0.35">
      <c r="A530" s="1">
        <v>500</v>
      </c>
      <c r="B530" s="1">
        <v>2.1075458307502597</v>
      </c>
      <c r="C530" s="1">
        <v>7.9974890086203398E-2</v>
      </c>
    </row>
    <row r="531" spans="1:3" x14ac:dyDescent="0.35">
      <c r="A531" s="1">
        <v>501</v>
      </c>
      <c r="B531" s="1">
        <v>2.0109505815617639</v>
      </c>
      <c r="C531" s="1">
        <v>5.723528018439783E-2</v>
      </c>
    </row>
    <row r="532" spans="1:3" x14ac:dyDescent="0.35">
      <c r="A532" s="1">
        <v>502</v>
      </c>
      <c r="B532" s="1">
        <v>1.9958771722569646</v>
      </c>
      <c r="C532" s="1">
        <v>-7.1597886195083005E-2</v>
      </c>
    </row>
    <row r="533" spans="1:3" x14ac:dyDescent="0.35">
      <c r="A533" s="1">
        <v>503</v>
      </c>
      <c r="B533" s="1">
        <v>2.0281617357238013</v>
      </c>
      <c r="C533" s="1">
        <v>-2.0281617357238013</v>
      </c>
    </row>
    <row r="534" spans="1:3" x14ac:dyDescent="0.35">
      <c r="A534" s="1">
        <v>504</v>
      </c>
      <c r="B534" s="1">
        <v>2.0796972871796711</v>
      </c>
      <c r="C534" s="1">
        <v>-0.10656943357997251</v>
      </c>
    </row>
    <row r="535" spans="1:3" x14ac:dyDescent="0.35">
      <c r="A535" s="1">
        <v>505</v>
      </c>
      <c r="B535" s="1">
        <v>2.0116141835108734</v>
      </c>
      <c r="C535" s="1">
        <v>-2.9342950471304974E-2</v>
      </c>
    </row>
    <row r="536" spans="1:3" x14ac:dyDescent="0.35">
      <c r="A536" s="1">
        <v>506</v>
      </c>
      <c r="B536" s="1">
        <v>2.0809156312618744</v>
      </c>
      <c r="C536" s="1">
        <v>-0.2058543678701743</v>
      </c>
    </row>
    <row r="537" spans="1:3" x14ac:dyDescent="0.35">
      <c r="A537" s="1">
        <v>507</v>
      </c>
      <c r="B537" s="1">
        <v>2.0673549317918822</v>
      </c>
      <c r="C537" s="1">
        <v>0.18791757331142378</v>
      </c>
    </row>
    <row r="538" spans="1:3" x14ac:dyDescent="0.35">
      <c r="A538" s="1">
        <v>508</v>
      </c>
      <c r="B538" s="1">
        <v>2.0571957049024094</v>
      </c>
      <c r="C538" s="1">
        <v>5.6747647404427504E-2</v>
      </c>
    </row>
    <row r="539" spans="1:3" x14ac:dyDescent="0.35">
      <c r="A539" s="1">
        <v>509</v>
      </c>
      <c r="B539" s="1">
        <v>2.0249137670648794</v>
      </c>
      <c r="C539" s="1">
        <v>-0.10063448100299777</v>
      </c>
    </row>
    <row r="540" spans="1:3" x14ac:dyDescent="0.35">
      <c r="A540" s="1">
        <v>510</v>
      </c>
      <c r="B540" s="1">
        <v>2.1198589507322874</v>
      </c>
      <c r="C540" s="1">
        <v>-4.0677704684662697E-2</v>
      </c>
    </row>
    <row r="541" spans="1:3" x14ac:dyDescent="0.35">
      <c r="A541" s="1">
        <v>511</v>
      </c>
      <c r="B541" s="1">
        <v>2.0288027190007409</v>
      </c>
      <c r="C541" s="1">
        <v>-0.10452343293885935</v>
      </c>
    </row>
    <row r="542" spans="1:3" x14ac:dyDescent="0.35">
      <c r="A542" s="1">
        <v>512</v>
      </c>
      <c r="B542" s="1">
        <v>2.0552473489434799</v>
      </c>
      <c r="C542" s="1">
        <v>8.776745131061503E-2</v>
      </c>
    </row>
    <row r="543" spans="1:3" x14ac:dyDescent="0.35">
      <c r="A543" s="1">
        <v>513</v>
      </c>
      <c r="B543" s="1">
        <v>2.0953417229433486</v>
      </c>
      <c r="C543" s="1">
        <v>-0.13630033062225499</v>
      </c>
    </row>
    <row r="544" spans="1:3" x14ac:dyDescent="0.35">
      <c r="A544" s="1">
        <v>514</v>
      </c>
      <c r="B544" s="1">
        <v>2.0205388498657513</v>
      </c>
      <c r="C544" s="1">
        <v>-6.149745754465763E-2</v>
      </c>
    </row>
    <row r="545" spans="1:3" x14ac:dyDescent="0.35">
      <c r="A545" s="1">
        <v>515</v>
      </c>
      <c r="B545" s="1">
        <v>2.0102100718918612</v>
      </c>
      <c r="C545" s="1">
        <v>-1.4574877294311284E-2</v>
      </c>
    </row>
    <row r="546" spans="1:3" x14ac:dyDescent="0.35">
      <c r="A546" s="1">
        <v>516</v>
      </c>
      <c r="B546" s="1">
        <v>2.0550160861976678</v>
      </c>
      <c r="C546" s="1">
        <v>0.15717151820628983</v>
      </c>
    </row>
    <row r="547" spans="1:3" x14ac:dyDescent="0.35">
      <c r="A547" s="1">
        <v>517</v>
      </c>
      <c r="B547" s="1">
        <v>2.1318460498160232</v>
      </c>
      <c r="C547" s="1">
        <v>2.9521952418951614E-2</v>
      </c>
    </row>
    <row r="548" spans="1:3" x14ac:dyDescent="0.35">
      <c r="A548" s="1">
        <v>518</v>
      </c>
      <c r="B548" s="1">
        <v>2.1225335449134026</v>
      </c>
      <c r="C548" s="1">
        <v>-2.5623531905346386E-2</v>
      </c>
    </row>
    <row r="549" spans="1:3" x14ac:dyDescent="0.35">
      <c r="A549" s="1">
        <v>519</v>
      </c>
      <c r="B549" s="1">
        <v>2.0796753903402405</v>
      </c>
      <c r="C549" s="1">
        <v>-0.19886179805944915</v>
      </c>
    </row>
    <row r="550" spans="1:3" x14ac:dyDescent="0.35">
      <c r="A550" s="1">
        <v>520</v>
      </c>
      <c r="B550" s="1">
        <v>2.2372738724019943</v>
      </c>
      <c r="C550" s="1">
        <v>-0.12668416210274547</v>
      </c>
    </row>
    <row r="551" spans="1:3" x14ac:dyDescent="0.35">
      <c r="A551" s="1">
        <v>521</v>
      </c>
      <c r="B551" s="1">
        <v>1.9817958578888715</v>
      </c>
      <c r="C551" s="1">
        <v>-0.14928694518263508</v>
      </c>
    </row>
    <row r="552" spans="1:3" x14ac:dyDescent="0.35">
      <c r="A552" s="1">
        <v>522</v>
      </c>
      <c r="B552" s="1">
        <v>2.0411814533103225</v>
      </c>
      <c r="C552" s="1">
        <v>5.2240231851912622E-2</v>
      </c>
    </row>
    <row r="553" spans="1:3" x14ac:dyDescent="0.35">
      <c r="A553" s="1">
        <v>523</v>
      </c>
      <c r="B553" s="1">
        <v>1.9291545600431224</v>
      </c>
      <c r="C553" s="1">
        <v>0.12775029129335036</v>
      </c>
    </row>
    <row r="554" spans="1:3" x14ac:dyDescent="0.35">
      <c r="A554" s="1">
        <v>524</v>
      </c>
      <c r="B554" s="1">
        <v>2.1058312919269606</v>
      </c>
      <c r="C554" s="1">
        <v>8.1120603798763291E-3</v>
      </c>
    </row>
    <row r="555" spans="1:3" x14ac:dyDescent="0.35">
      <c r="A555" s="1">
        <v>525</v>
      </c>
      <c r="B555" s="1">
        <v>2.0257989073350315</v>
      </c>
      <c r="C555" s="1">
        <v>7.1111105673024699E-2</v>
      </c>
    </row>
    <row r="556" spans="1:3" x14ac:dyDescent="0.35">
      <c r="A556" s="1">
        <v>526</v>
      </c>
      <c r="B556" s="1">
        <v>1.9661024183299101</v>
      </c>
      <c r="C556" s="1">
        <v>-2.6583165711291601E-2</v>
      </c>
    </row>
    <row r="557" spans="1:3" x14ac:dyDescent="0.35">
      <c r="A557" s="1">
        <v>527</v>
      </c>
      <c r="B557" s="1">
        <v>1.9868836219308166</v>
      </c>
      <c r="C557" s="1">
        <v>-1.118876645718192E-4</v>
      </c>
    </row>
    <row r="558" spans="1:3" x14ac:dyDescent="0.35">
      <c r="A558" s="1">
        <v>528</v>
      </c>
      <c r="B558" s="1">
        <v>2.0338837275992039</v>
      </c>
      <c r="C558" s="1">
        <v>3.0574261627714705E-2</v>
      </c>
    </row>
    <row r="559" spans="1:3" x14ac:dyDescent="0.35">
      <c r="A559" s="1">
        <v>529</v>
      </c>
      <c r="B559" s="1">
        <v>2.0534230360927581</v>
      </c>
      <c r="C559" s="1">
        <v>1.4762825653403588E-2</v>
      </c>
    </row>
    <row r="560" spans="1:3" x14ac:dyDescent="0.35">
      <c r="A560" s="1">
        <v>530</v>
      </c>
      <c r="B560" s="1">
        <v>2.037125657756373</v>
      </c>
      <c r="C560" s="1">
        <v>8.1973210302845878E-3</v>
      </c>
    </row>
    <row r="561" spans="1:3" x14ac:dyDescent="0.35">
      <c r="A561" s="1">
        <v>531</v>
      </c>
      <c r="B561" s="1">
        <v>2.0451533058904534</v>
      </c>
      <c r="C561" s="1">
        <v>4.1206524784294984E-2</v>
      </c>
    </row>
    <row r="562" spans="1:3" x14ac:dyDescent="0.35">
      <c r="A562" s="1">
        <v>532</v>
      </c>
      <c r="B562" s="1">
        <v>2.0814872652953293</v>
      </c>
      <c r="C562" s="1">
        <v>-5.2103487610119625E-2</v>
      </c>
    </row>
    <row r="563" spans="1:3" x14ac:dyDescent="0.35">
      <c r="A563" s="1">
        <v>533</v>
      </c>
      <c r="B563" s="1">
        <v>2.0145104080378076</v>
      </c>
      <c r="C563" s="1">
        <v>-8.0011956794239891E-2</v>
      </c>
    </row>
    <row r="564" spans="1:3" x14ac:dyDescent="0.35">
      <c r="A564" s="1">
        <v>534</v>
      </c>
      <c r="B564" s="1">
        <v>2.0306995428747756</v>
      </c>
      <c r="C564" s="1">
        <v>-7.1658150553681965E-2</v>
      </c>
    </row>
    <row r="565" spans="1:3" x14ac:dyDescent="0.35">
      <c r="A565" s="1">
        <v>535</v>
      </c>
      <c r="B565" s="1">
        <v>2.0261877406598034</v>
      </c>
      <c r="C565" s="1">
        <v>-0.13969701548732161</v>
      </c>
    </row>
    <row r="566" spans="1:3" x14ac:dyDescent="0.35">
      <c r="A566" s="1">
        <v>536</v>
      </c>
      <c r="B566" s="1">
        <v>2.0128925079501658</v>
      </c>
      <c r="C566" s="1">
        <v>0.10768142325568419</v>
      </c>
    </row>
    <row r="567" spans="1:3" x14ac:dyDescent="0.35">
      <c r="A567" s="1">
        <v>537</v>
      </c>
      <c r="B567" s="1">
        <v>2.080760854291273</v>
      </c>
      <c r="C567" s="1">
        <v>-5.9571555221334727E-2</v>
      </c>
    </row>
    <row r="568" spans="1:3" x14ac:dyDescent="0.35">
      <c r="A568" s="1">
        <v>538</v>
      </c>
      <c r="B568" s="1">
        <v>2.1135738042811467</v>
      </c>
      <c r="C568" s="1">
        <v>-0.35769894860865525</v>
      </c>
    </row>
    <row r="569" spans="1:3" x14ac:dyDescent="0.35">
      <c r="A569" s="1">
        <v>539</v>
      </c>
      <c r="B569" s="1">
        <v>2.0825501769841113</v>
      </c>
      <c r="C569" s="1">
        <v>2.1253543971845534E-2</v>
      </c>
    </row>
    <row r="570" spans="1:3" x14ac:dyDescent="0.35">
      <c r="A570" s="1">
        <v>540</v>
      </c>
      <c r="B570" s="1">
        <v>2.0669516567154722</v>
      </c>
      <c r="C570" s="1">
        <v>4.3638053583776593E-2</v>
      </c>
    </row>
    <row r="571" spans="1:3" x14ac:dyDescent="0.35">
      <c r="A571" s="1">
        <v>541</v>
      </c>
      <c r="B571" s="1">
        <v>2.1354952359889277</v>
      </c>
      <c r="C571" s="1">
        <v>-0.13549523598892765</v>
      </c>
    </row>
    <row r="572" spans="1:3" x14ac:dyDescent="0.35">
      <c r="A572" s="1">
        <v>542</v>
      </c>
      <c r="B572" s="1">
        <v>2.0884976001499602</v>
      </c>
      <c r="C572" s="1">
        <v>1.871236949790811E-2</v>
      </c>
    </row>
    <row r="573" spans="1:3" x14ac:dyDescent="0.35">
      <c r="A573" s="1">
        <v>543</v>
      </c>
      <c r="B573" s="1">
        <v>2.0818165491656475</v>
      </c>
      <c r="C573" s="1">
        <v>-0.12757403972632253</v>
      </c>
    </row>
    <row r="574" spans="1:3" x14ac:dyDescent="0.35">
      <c r="A574" s="1">
        <v>544</v>
      </c>
      <c r="B574" s="1">
        <v>2.042006482164104</v>
      </c>
      <c r="C574" s="1">
        <v>-0.11772719610222238</v>
      </c>
    </row>
    <row r="575" spans="1:3" x14ac:dyDescent="0.35">
      <c r="A575" s="1">
        <v>545</v>
      </c>
      <c r="B575" s="1">
        <v>2.0273415489986926</v>
      </c>
      <c r="C575" s="1">
        <v>-8.2858876848523888E-2</v>
      </c>
    </row>
    <row r="576" spans="1:3" x14ac:dyDescent="0.35">
      <c r="A576" s="1">
        <v>546</v>
      </c>
      <c r="B576" s="1">
        <v>2.1210420126839393</v>
      </c>
      <c r="C576" s="1">
        <v>0.14847093153397717</v>
      </c>
    </row>
    <row r="577" spans="1:3" x14ac:dyDescent="0.35">
      <c r="A577" s="1">
        <v>547</v>
      </c>
      <c r="B577" s="1">
        <v>2.2004207996285374</v>
      </c>
      <c r="C577" s="1">
        <v>7.1420806907961598E-2</v>
      </c>
    </row>
    <row r="578" spans="1:3" x14ac:dyDescent="0.35">
      <c r="A578" s="1">
        <v>548</v>
      </c>
      <c r="B578" s="1">
        <v>2.0781270849767286</v>
      </c>
      <c r="C578" s="1">
        <v>3.914421067903584E-2</v>
      </c>
    </row>
    <row r="579" spans="1:3" x14ac:dyDescent="0.35">
      <c r="A579" s="1">
        <v>549</v>
      </c>
      <c r="B579" s="1">
        <v>2.0476712258913454</v>
      </c>
      <c r="C579" s="1">
        <v>0.16717262215635253</v>
      </c>
    </row>
    <row r="580" spans="1:3" x14ac:dyDescent="0.35">
      <c r="A580" s="1">
        <v>550</v>
      </c>
      <c r="B580" s="1">
        <v>2.0206156245673017</v>
      </c>
      <c r="C580" s="1">
        <v>0.25584617960594258</v>
      </c>
    </row>
    <row r="581" spans="1:3" x14ac:dyDescent="0.35">
      <c r="A581" s="1">
        <v>551</v>
      </c>
      <c r="B581" s="1">
        <v>1.9563752425926084</v>
      </c>
      <c r="C581" s="1">
        <v>0.10808274663431017</v>
      </c>
    </row>
    <row r="582" spans="1:3" x14ac:dyDescent="0.35">
      <c r="A582" s="1">
        <v>552</v>
      </c>
      <c r="B582" s="1">
        <v>2.0344490562085338</v>
      </c>
      <c r="C582" s="1">
        <v>-0.11016977014665219</v>
      </c>
    </row>
    <row r="583" spans="1:3" x14ac:dyDescent="0.35">
      <c r="A583" s="1">
        <v>553</v>
      </c>
      <c r="B583" s="1">
        <v>2.1289293041562942</v>
      </c>
      <c r="C583" s="1">
        <v>-7.2024452819821505E-2</v>
      </c>
    </row>
    <row r="584" spans="1:3" x14ac:dyDescent="0.35">
      <c r="A584" s="1">
        <v>554</v>
      </c>
      <c r="B584" s="1">
        <v>1.9991730080060028</v>
      </c>
      <c r="C584" s="1">
        <v>-5.469033585583416E-2</v>
      </c>
    </row>
    <row r="585" spans="1:3" x14ac:dyDescent="0.35">
      <c r="A585" s="1">
        <v>555</v>
      </c>
      <c r="B585" s="1">
        <v>2.0660973976436749</v>
      </c>
      <c r="C585" s="1">
        <v>-0.14181811158179336</v>
      </c>
    </row>
    <row r="586" spans="1:3" x14ac:dyDescent="0.35">
      <c r="A586" s="1">
        <v>556</v>
      </c>
      <c r="B586" s="1">
        <v>2.0808202643925107</v>
      </c>
      <c r="C586" s="1">
        <v>1.2601420769724481E-2</v>
      </c>
    </row>
    <row r="587" spans="1:3" x14ac:dyDescent="0.35">
      <c r="A587" s="1">
        <v>557</v>
      </c>
      <c r="B587" s="1">
        <v>1.9833943053605423</v>
      </c>
      <c r="C587" s="1">
        <v>3.3774289057024731E-3</v>
      </c>
    </row>
    <row r="588" spans="1:3" x14ac:dyDescent="0.35">
      <c r="A588" s="1">
        <v>558</v>
      </c>
      <c r="B588" s="1">
        <v>2.1079033719985634</v>
      </c>
      <c r="C588" s="1">
        <v>-6.6510686840338451E-2</v>
      </c>
    </row>
    <row r="589" spans="1:3" x14ac:dyDescent="0.35">
      <c r="A589" s="1">
        <v>559</v>
      </c>
      <c r="B589" s="1">
        <v>2.0395757239973382</v>
      </c>
      <c r="C589" s="1">
        <v>-2.6738499292166207E-2</v>
      </c>
    </row>
    <row r="590" spans="1:3" x14ac:dyDescent="0.35">
      <c r="A590" s="1">
        <v>560</v>
      </c>
      <c r="B590" s="1">
        <v>2.0645698145542202</v>
      </c>
      <c r="C590" s="1">
        <v>-0.13515088883992754</v>
      </c>
    </row>
    <row r="591" spans="1:3" x14ac:dyDescent="0.35">
      <c r="A591" s="1">
        <v>561</v>
      </c>
      <c r="B591" s="1">
        <v>2.1096676013213114</v>
      </c>
      <c r="C591" s="1">
        <v>-1.275758831325513E-2</v>
      </c>
    </row>
    <row r="592" spans="1:3" x14ac:dyDescent="0.35">
      <c r="A592" s="1">
        <v>562</v>
      </c>
      <c r="B592" s="1">
        <v>2.1332817254591463</v>
      </c>
      <c r="C592" s="1">
        <v>0.16338346480238464</v>
      </c>
    </row>
    <row r="593" spans="1:3" x14ac:dyDescent="0.35">
      <c r="A593" s="1">
        <v>563</v>
      </c>
      <c r="B593" s="1">
        <v>2.019295998699699</v>
      </c>
      <c r="C593" s="1">
        <v>-7.9776746081080541E-2</v>
      </c>
    </row>
    <row r="594" spans="1:3" x14ac:dyDescent="0.35">
      <c r="A594" s="1">
        <v>564</v>
      </c>
      <c r="B594" s="1">
        <v>2.0325202170215766</v>
      </c>
      <c r="C594" s="1">
        <v>-3.6885022424026692E-2</v>
      </c>
    </row>
    <row r="595" spans="1:3" x14ac:dyDescent="0.35">
      <c r="A595" s="1">
        <v>565</v>
      </c>
      <c r="B595" s="1">
        <v>2.0523277714945545</v>
      </c>
      <c r="C595" s="1">
        <v>-9.3286379173460832E-2</v>
      </c>
    </row>
    <row r="596" spans="1:3" x14ac:dyDescent="0.35">
      <c r="A596" s="1">
        <v>566</v>
      </c>
      <c r="B596" s="1">
        <v>2.0336153124253955</v>
      </c>
      <c r="C596" s="1">
        <v>-5.5891707136547675E-2</v>
      </c>
    </row>
    <row r="597" spans="1:3" x14ac:dyDescent="0.35">
      <c r="A597" s="1">
        <v>567</v>
      </c>
      <c r="B597" s="1">
        <v>1.9976957008817078</v>
      </c>
      <c r="C597" s="1">
        <v>-2.0605062841578814E-3</v>
      </c>
    </row>
    <row r="598" spans="1:3" x14ac:dyDescent="0.35">
      <c r="A598" s="1">
        <v>568</v>
      </c>
      <c r="B598" s="1">
        <v>2.0751899826194773</v>
      </c>
      <c r="C598" s="1">
        <v>-0.11140215527392194</v>
      </c>
    </row>
    <row r="599" spans="1:3" x14ac:dyDescent="0.35">
      <c r="A599" s="1">
        <v>569</v>
      </c>
      <c r="B599" s="1">
        <v>2.0668537354598735</v>
      </c>
      <c r="C599" s="1">
        <v>0.1206669853765896</v>
      </c>
    </row>
    <row r="600" spans="1:3" x14ac:dyDescent="0.35">
      <c r="A600" s="1">
        <v>570</v>
      </c>
      <c r="B600" s="1">
        <v>2.0717690841334684</v>
      </c>
      <c r="C600" s="1">
        <v>1.1016286182981894E-2</v>
      </c>
    </row>
    <row r="601" spans="1:3" x14ac:dyDescent="0.35">
      <c r="A601" s="1">
        <v>571</v>
      </c>
      <c r="B601" s="1">
        <v>2.0705972033094624</v>
      </c>
      <c r="C601" s="1">
        <v>-0.17850260061898204</v>
      </c>
    </row>
    <row r="602" spans="1:3" x14ac:dyDescent="0.35">
      <c r="A602" s="1">
        <v>572</v>
      </c>
      <c r="B602" s="1">
        <v>2.0094483580892613</v>
      </c>
      <c r="C602" s="1">
        <v>0.10449499421757569</v>
      </c>
    </row>
    <row r="603" spans="1:3" x14ac:dyDescent="0.35">
      <c r="A603" s="1">
        <v>573</v>
      </c>
      <c r="B603" s="1">
        <v>1.9828918460266443</v>
      </c>
      <c r="C603" s="1">
        <v>6.243113276001333E-2</v>
      </c>
    </row>
    <row r="604" spans="1:3" x14ac:dyDescent="0.35">
      <c r="A604" s="1">
        <v>574</v>
      </c>
      <c r="B604" s="1">
        <v>2.0519300624077532</v>
      </c>
      <c r="C604" s="1">
        <v>-6.070398671525834E-2</v>
      </c>
    </row>
    <row r="605" spans="1:3" x14ac:dyDescent="0.35">
      <c r="A605" s="1">
        <v>575</v>
      </c>
      <c r="B605" s="1">
        <v>2.1393216688399086</v>
      </c>
      <c r="C605" s="1">
        <v>1.6014368625153264E-2</v>
      </c>
    </row>
    <row r="606" spans="1:3" x14ac:dyDescent="0.35">
      <c r="A606" s="1">
        <v>576</v>
      </c>
      <c r="B606" s="1">
        <v>1.9727108865305756</v>
      </c>
      <c r="C606" s="1">
        <v>0.10283607486195501</v>
      </c>
    </row>
    <row r="607" spans="1:3" x14ac:dyDescent="0.35">
      <c r="A607" s="1">
        <v>577</v>
      </c>
      <c r="B607" s="1">
        <v>2.0678748383935064</v>
      </c>
      <c r="C607" s="1">
        <v>-3.4451082906556518E-2</v>
      </c>
    </row>
    <row r="608" spans="1:3" x14ac:dyDescent="0.35">
      <c r="A608" s="1">
        <v>578</v>
      </c>
      <c r="B608" s="1">
        <v>2.0714189918091743</v>
      </c>
      <c r="C608" s="1">
        <v>4.6301549695115796E-4</v>
      </c>
    </row>
    <row r="609" spans="1:3" x14ac:dyDescent="0.35">
      <c r="A609" s="1">
        <v>579</v>
      </c>
      <c r="B609" s="1">
        <v>2.0539453996997814</v>
      </c>
      <c r="C609" s="1">
        <v>6.9906241267304381E-2</v>
      </c>
    </row>
    <row r="610" spans="1:3" x14ac:dyDescent="0.35">
      <c r="A610" s="1">
        <v>580</v>
      </c>
      <c r="B610" s="1">
        <v>1.9447107758166058</v>
      </c>
      <c r="C610" s="1">
        <v>0.34975545034498712</v>
      </c>
    </row>
    <row r="611" spans="1:3" x14ac:dyDescent="0.35">
      <c r="A611" s="1">
        <v>581</v>
      </c>
      <c r="B611" s="1">
        <v>1.9716977248744407</v>
      </c>
      <c r="C611" s="1">
        <v>0.20727922241872854</v>
      </c>
    </row>
    <row r="612" spans="1:3" x14ac:dyDescent="0.35">
      <c r="A612" s="1">
        <v>582</v>
      </c>
      <c r="B612" s="1">
        <v>1.9672569424116819</v>
      </c>
      <c r="C612" s="1">
        <v>7.0169555528941885E-2</v>
      </c>
    </row>
    <row r="613" spans="1:3" x14ac:dyDescent="0.35">
      <c r="A613" s="1">
        <v>583</v>
      </c>
      <c r="B613" s="1">
        <v>2.0856163369210536</v>
      </c>
      <c r="C613" s="1">
        <v>-2.8309666046033577E-3</v>
      </c>
    </row>
    <row r="614" spans="1:3" x14ac:dyDescent="0.35">
      <c r="A614" s="1">
        <v>584</v>
      </c>
      <c r="B614" s="1">
        <v>2.0989087187006392</v>
      </c>
      <c r="C614" s="1">
        <v>-9.890871870063922E-2</v>
      </c>
    </row>
    <row r="615" spans="1:3" x14ac:dyDescent="0.35">
      <c r="A615" s="1">
        <v>585</v>
      </c>
      <c r="B615" s="1">
        <v>2.3348214933597653</v>
      </c>
      <c r="C615" s="1">
        <v>-0.24139980819753015</v>
      </c>
    </row>
    <row r="616" spans="1:3" x14ac:dyDescent="0.35">
      <c r="A616" s="1">
        <v>586</v>
      </c>
      <c r="B616" s="1">
        <v>1.9799820455196624</v>
      </c>
      <c r="C616" s="1">
        <v>-1.1499096965727373E-2</v>
      </c>
    </row>
    <row r="617" spans="1:3" x14ac:dyDescent="0.35">
      <c r="A617" s="1">
        <v>587</v>
      </c>
      <c r="B617" s="1">
        <v>2.0811674977479533</v>
      </c>
      <c r="C617" s="1">
        <v>7.4168539717108573E-2</v>
      </c>
    </row>
    <row r="618" spans="1:3" x14ac:dyDescent="0.35">
      <c r="A618" s="1">
        <v>588</v>
      </c>
      <c r="B618" s="1">
        <v>2.025941904693366</v>
      </c>
      <c r="C618" s="1">
        <v>-1.3104679988193979E-2</v>
      </c>
    </row>
    <row r="619" spans="1:3" x14ac:dyDescent="0.35">
      <c r="A619" s="1">
        <v>589</v>
      </c>
      <c r="B619" s="1">
        <v>2.1518185768170439</v>
      </c>
      <c r="C619" s="1">
        <v>9.3694090997106017E-2</v>
      </c>
    </row>
    <row r="620" spans="1:3" x14ac:dyDescent="0.35">
      <c r="A620" s="1">
        <v>590</v>
      </c>
      <c r="B620" s="1">
        <v>1.9828235062172586</v>
      </c>
      <c r="C620" s="1">
        <v>-0.11950064609680267</v>
      </c>
    </row>
    <row r="621" spans="1:3" x14ac:dyDescent="0.35">
      <c r="A621" s="1">
        <v>591</v>
      </c>
      <c r="B621" s="1">
        <v>2.076395311334998</v>
      </c>
      <c r="C621" s="1">
        <v>-3.1072332548340409E-2</v>
      </c>
    </row>
    <row r="622" spans="1:3" x14ac:dyDescent="0.35">
      <c r="A622" s="1">
        <v>592</v>
      </c>
      <c r="B622" s="1">
        <v>2.0193937399319219</v>
      </c>
      <c r="C622" s="1">
        <v>2.9824282738259544E-2</v>
      </c>
    </row>
    <row r="623" spans="1:3" x14ac:dyDescent="0.35">
      <c r="A623" s="1">
        <v>593</v>
      </c>
      <c r="B623" s="1">
        <v>2.0945236348953293</v>
      </c>
      <c r="C623" s="1">
        <v>2.6050296310520693E-2</v>
      </c>
    </row>
    <row r="624" spans="1:3" x14ac:dyDescent="0.35">
      <c r="A624" s="1">
        <v>594</v>
      </c>
      <c r="B624" s="1">
        <v>2.0703048326442142</v>
      </c>
      <c r="C624" s="1">
        <v>-0.15649098026049746</v>
      </c>
    </row>
    <row r="625" spans="1:3" x14ac:dyDescent="0.35">
      <c r="A625" s="1">
        <v>595</v>
      </c>
      <c r="B625" s="1">
        <v>2.0953112213708809</v>
      </c>
      <c r="C625" s="1">
        <v>-5.4061099314828276E-3</v>
      </c>
    </row>
    <row r="626" spans="1:3" x14ac:dyDescent="0.35">
      <c r="A626" s="1">
        <v>596</v>
      </c>
      <c r="B626" s="1">
        <v>2.0992518062342338</v>
      </c>
      <c r="C626" s="1">
        <v>0.17490604302944623</v>
      </c>
    </row>
    <row r="627" spans="1:3" x14ac:dyDescent="0.35">
      <c r="A627" s="1">
        <v>597</v>
      </c>
      <c r="B627" s="1">
        <v>2.1186577221319096</v>
      </c>
      <c r="C627" s="1">
        <v>-0.29258291943108317</v>
      </c>
    </row>
    <row r="628" spans="1:3" x14ac:dyDescent="0.35">
      <c r="A628" s="1">
        <v>598</v>
      </c>
      <c r="B628" s="1">
        <v>1.9811608491087105</v>
      </c>
      <c r="C628" s="1">
        <v>-3.1770842463797688E-2</v>
      </c>
    </row>
    <row r="629" spans="1:3" x14ac:dyDescent="0.35">
      <c r="A629" s="1">
        <v>599</v>
      </c>
      <c r="B629" s="1">
        <v>2.074178623509868</v>
      </c>
      <c r="C629" s="1">
        <v>0.16386747961892745</v>
      </c>
    </row>
    <row r="630" spans="1:3" x14ac:dyDescent="0.35">
      <c r="A630" s="1">
        <v>600</v>
      </c>
      <c r="B630" s="1">
        <v>2.0254503453125379</v>
      </c>
      <c r="C630" s="1">
        <v>1.1976152628085934E-2</v>
      </c>
    </row>
    <row r="631" spans="1:3" x14ac:dyDescent="0.35">
      <c r="A631" s="1">
        <v>601</v>
      </c>
      <c r="B631" s="1">
        <v>1.9917336336866973</v>
      </c>
      <c r="C631" s="1">
        <v>4.1690121800252555E-2</v>
      </c>
    </row>
    <row r="632" spans="1:3" x14ac:dyDescent="0.35">
      <c r="A632" s="1">
        <v>602</v>
      </c>
      <c r="B632" s="1">
        <v>1.9982405214687651</v>
      </c>
      <c r="C632" s="1">
        <v>-1.5969288429196649E-2</v>
      </c>
    </row>
    <row r="633" spans="1:3" x14ac:dyDescent="0.35">
      <c r="A633" s="1">
        <v>603</v>
      </c>
      <c r="B633" s="1">
        <v>1.9611743713572842</v>
      </c>
      <c r="C633" s="1">
        <v>0.13224731380495092</v>
      </c>
    </row>
    <row r="634" spans="1:3" x14ac:dyDescent="0.35">
      <c r="A634" s="1">
        <v>604</v>
      </c>
      <c r="B634" s="1">
        <v>2.1320355757432332</v>
      </c>
      <c r="C634" s="1">
        <v>4.4055683312448135E-2</v>
      </c>
    </row>
    <row r="635" spans="1:3" x14ac:dyDescent="0.35">
      <c r="A635" s="1">
        <v>605</v>
      </c>
      <c r="B635" s="1">
        <v>2.0283709455892764</v>
      </c>
      <c r="C635" s="1">
        <v>0.23408014414115286</v>
      </c>
    </row>
    <row r="636" spans="1:3" x14ac:dyDescent="0.35">
      <c r="A636" s="1">
        <v>606</v>
      </c>
      <c r="B636" s="1">
        <v>1.9769195456997901</v>
      </c>
      <c r="C636" s="1">
        <v>0.11650213946244503</v>
      </c>
    </row>
    <row r="637" spans="1:3" x14ac:dyDescent="0.35">
      <c r="A637" s="1">
        <v>607</v>
      </c>
      <c r="B637" s="1">
        <v>2.1314709012082242</v>
      </c>
      <c r="C637" s="1">
        <v>0.12620767366096031</v>
      </c>
    </row>
    <row r="638" spans="1:3" x14ac:dyDescent="0.35">
      <c r="A638" s="1">
        <v>608</v>
      </c>
      <c r="B638" s="1">
        <v>1.9739747222547681</v>
      </c>
      <c r="C638" s="1">
        <v>-1.0186894909212763E-2</v>
      </c>
    </row>
    <row r="639" spans="1:3" x14ac:dyDescent="0.35">
      <c r="A639" s="1">
        <v>609</v>
      </c>
      <c r="B639" s="1">
        <v>2.1156367641935927</v>
      </c>
      <c r="C639" s="1">
        <v>6.6206823751179922E-2</v>
      </c>
    </row>
    <row r="640" spans="1:3" x14ac:dyDescent="0.35">
      <c r="A640" s="1">
        <v>610</v>
      </c>
      <c r="B640" s="1">
        <v>2.0591407502875705</v>
      </c>
      <c r="C640" s="1">
        <v>-1.3817771500912901E-2</v>
      </c>
    </row>
    <row r="641" spans="1:3" x14ac:dyDescent="0.35">
      <c r="A641" s="1">
        <v>611</v>
      </c>
      <c r="B641" s="1">
        <v>2.0573454782041489</v>
      </c>
      <c r="C641" s="1">
        <v>-3.2039612939378515E-2</v>
      </c>
    </row>
    <row r="642" spans="1:3" x14ac:dyDescent="0.35">
      <c r="A642" s="1">
        <v>612</v>
      </c>
      <c r="B642" s="1">
        <v>2.1150710230172631</v>
      </c>
      <c r="C642" s="1">
        <v>0.12547822526533681</v>
      </c>
    </row>
    <row r="643" spans="1:3" x14ac:dyDescent="0.35">
      <c r="A643" s="1">
        <v>613</v>
      </c>
      <c r="B643" s="1">
        <v>2.1768004109255377</v>
      </c>
      <c r="C643" s="1">
        <v>4.8508870800325177E-2</v>
      </c>
    </row>
    <row r="644" spans="1:3" x14ac:dyDescent="0.35">
      <c r="A644" s="1">
        <v>614</v>
      </c>
      <c r="B644" s="1">
        <v>2.0092607149964326</v>
      </c>
      <c r="C644" s="1">
        <v>1.1928584073505721E-2</v>
      </c>
    </row>
    <row r="645" spans="1:3" x14ac:dyDescent="0.35">
      <c r="A645" s="1">
        <v>615</v>
      </c>
      <c r="B645" s="1">
        <v>2.1378012722367186</v>
      </c>
      <c r="C645" s="1">
        <v>2.0778141645179105E-3</v>
      </c>
    </row>
    <row r="646" spans="1:3" x14ac:dyDescent="0.35">
      <c r="A646" s="1">
        <v>616</v>
      </c>
      <c r="B646" s="1">
        <v>2.0233066519336993</v>
      </c>
      <c r="C646" s="1">
        <v>1.9992133310711147E-3</v>
      </c>
    </row>
    <row r="647" spans="1:3" x14ac:dyDescent="0.35">
      <c r="A647" s="1">
        <v>617</v>
      </c>
      <c r="B647" s="1">
        <v>2.047620049544022</v>
      </c>
      <c r="C647" s="1">
        <v>2.0565812202139711E-2</v>
      </c>
    </row>
    <row r="648" spans="1:3" x14ac:dyDescent="0.35">
      <c r="A648" s="1">
        <v>618</v>
      </c>
      <c r="B648" s="1">
        <v>1.9770772974297599</v>
      </c>
      <c r="C648" s="1">
        <v>-0.14456838472352351</v>
      </c>
    </row>
    <row r="649" spans="1:3" x14ac:dyDescent="0.35">
      <c r="A649" s="1">
        <v>619</v>
      </c>
      <c r="B649" s="1">
        <v>2.0763660428714465</v>
      </c>
      <c r="C649" s="1">
        <v>-2.7148020201265055E-2</v>
      </c>
    </row>
    <row r="650" spans="1:3" x14ac:dyDescent="0.35">
      <c r="A650" s="1">
        <v>620</v>
      </c>
      <c r="B650" s="1">
        <v>2.0054496611526016</v>
      </c>
      <c r="C650" s="1">
        <v>7.0097300239928995E-2</v>
      </c>
    </row>
    <row r="651" spans="1:3" x14ac:dyDescent="0.35">
      <c r="A651" s="1">
        <v>621</v>
      </c>
      <c r="B651" s="1">
        <v>2.0553911137094047</v>
      </c>
      <c r="C651" s="1">
        <v>-6.1730910392232552E-3</v>
      </c>
    </row>
    <row r="652" spans="1:3" x14ac:dyDescent="0.35">
      <c r="A652" s="1">
        <v>622</v>
      </c>
      <c r="B652" s="1">
        <v>2.0252898953065408</v>
      </c>
      <c r="C652" s="1">
        <v>-6.1502067960985451E-2</v>
      </c>
    </row>
    <row r="653" spans="1:3" x14ac:dyDescent="0.35">
      <c r="A653" s="1">
        <v>623</v>
      </c>
      <c r="B653" s="1">
        <v>2.1520697242358264</v>
      </c>
      <c r="C653" s="1">
        <v>0.11038136549460287</v>
      </c>
    </row>
    <row r="654" spans="1:3" x14ac:dyDescent="0.35">
      <c r="A654" s="1">
        <v>624</v>
      </c>
      <c r="B654" s="1">
        <v>2.0574258425533944</v>
      </c>
      <c r="C654" s="1">
        <v>-8.429798895369589E-2</v>
      </c>
    </row>
    <row r="655" spans="1:3" x14ac:dyDescent="0.35">
      <c r="A655" s="1">
        <v>625</v>
      </c>
      <c r="B655" s="1">
        <v>2.0178904158184392</v>
      </c>
      <c r="C655" s="1">
        <v>1.5533339668510671E-2</v>
      </c>
    </row>
    <row r="656" spans="1:3" x14ac:dyDescent="0.35">
      <c r="A656" s="1">
        <v>626</v>
      </c>
      <c r="B656" s="1">
        <v>2.00382410592132</v>
      </c>
      <c r="C656" s="1">
        <v>-4.9581596481995005E-2</v>
      </c>
    </row>
    <row r="657" spans="1:3" x14ac:dyDescent="0.35">
      <c r="A657" s="1">
        <v>627</v>
      </c>
      <c r="B657" s="1">
        <v>2.0021207362772864</v>
      </c>
      <c r="C657" s="1">
        <v>9.4789276730769867E-2</v>
      </c>
    </row>
    <row r="658" spans="1:3" x14ac:dyDescent="0.35">
      <c r="A658" s="1">
        <v>628</v>
      </c>
      <c r="B658" s="1">
        <v>2.0317341312394395</v>
      </c>
      <c r="C658" s="1">
        <v>8.883979996641056E-2</v>
      </c>
    </row>
    <row r="659" spans="1:3" x14ac:dyDescent="0.35">
      <c r="A659" s="1">
        <v>629</v>
      </c>
      <c r="B659" s="1">
        <v>2.0919204754975498</v>
      </c>
      <c r="C659" s="1">
        <v>1.528949415031855E-2</v>
      </c>
    </row>
    <row r="660" spans="1:3" x14ac:dyDescent="0.35">
      <c r="A660" s="1">
        <v>630</v>
      </c>
      <c r="B660" s="1">
        <v>1.9603318622275288</v>
      </c>
      <c r="C660" s="1">
        <v>1.2795991372169802E-2</v>
      </c>
    </row>
    <row r="661" spans="1:3" x14ac:dyDescent="0.35">
      <c r="A661" s="1">
        <v>631</v>
      </c>
      <c r="B661" s="1">
        <v>2.0601114173317661</v>
      </c>
      <c r="C661" s="1">
        <v>-3.2065659952933423E-3</v>
      </c>
    </row>
    <row r="662" spans="1:3" x14ac:dyDescent="0.35">
      <c r="A662" s="1">
        <v>632</v>
      </c>
      <c r="B662" s="1">
        <v>2.0027921171473784</v>
      </c>
      <c r="C662" s="1">
        <v>5.8080546145391487E-3</v>
      </c>
    </row>
    <row r="663" spans="1:3" x14ac:dyDescent="0.35">
      <c r="A663" s="1">
        <v>633</v>
      </c>
      <c r="B663" s="1">
        <v>2.0140048180724843</v>
      </c>
      <c r="C663" s="1">
        <v>3.131816071417326E-2</v>
      </c>
    </row>
    <row r="664" spans="1:3" x14ac:dyDescent="0.35">
      <c r="A664" s="1">
        <v>634</v>
      </c>
      <c r="B664" s="1">
        <v>2.0649945829489673</v>
      </c>
      <c r="C664" s="1">
        <v>4.2215386698901014E-2</v>
      </c>
    </row>
    <row r="665" spans="1:3" x14ac:dyDescent="0.35">
      <c r="A665" s="1">
        <v>635</v>
      </c>
      <c r="B665" s="1">
        <v>2.0350740228140607</v>
      </c>
      <c r="C665" s="1">
        <v>-7.1286195468505342E-2</v>
      </c>
    </row>
    <row r="666" spans="1:3" x14ac:dyDescent="0.35">
      <c r="A666" s="1">
        <v>636</v>
      </c>
      <c r="B666" s="1">
        <v>2.0805021071173333</v>
      </c>
      <c r="C666" s="1">
        <v>-6.346876781855304E-2</v>
      </c>
    </row>
    <row r="667" spans="1:3" x14ac:dyDescent="0.35">
      <c r="A667" s="1">
        <v>637</v>
      </c>
      <c r="B667" s="1">
        <v>2.0814007479117222</v>
      </c>
      <c r="C667" s="1">
        <v>-6.436740861294199E-2</v>
      </c>
    </row>
    <row r="668" spans="1:3" x14ac:dyDescent="0.35">
      <c r="A668" s="1">
        <v>638</v>
      </c>
      <c r="B668" s="1">
        <v>2.037613970971877</v>
      </c>
      <c r="C668" s="1">
        <v>-6.4486117372178464E-2</v>
      </c>
    </row>
    <row r="669" spans="1:3" x14ac:dyDescent="0.35">
      <c r="A669" s="1">
        <v>639</v>
      </c>
      <c r="B669" s="1">
        <v>2.0789862175159914</v>
      </c>
      <c r="C669" s="1">
        <v>-9.2214483249746682E-2</v>
      </c>
    </row>
    <row r="670" spans="1:3" x14ac:dyDescent="0.35">
      <c r="A670" s="1">
        <v>640</v>
      </c>
      <c r="B670" s="1">
        <v>2.0030881766389994</v>
      </c>
      <c r="C670" s="1">
        <v>-3.088176638999407E-3</v>
      </c>
    </row>
    <row r="671" spans="1:3" x14ac:dyDescent="0.35">
      <c r="A671" s="1">
        <v>641</v>
      </c>
      <c r="B671" s="1">
        <v>2.0630932018041399</v>
      </c>
      <c r="C671" s="1">
        <v>-5.449303004222239E-2</v>
      </c>
    </row>
    <row r="672" spans="1:3" x14ac:dyDescent="0.35">
      <c r="A672" s="1">
        <v>642</v>
      </c>
      <c r="B672" s="1">
        <v>2.042445242854122</v>
      </c>
      <c r="C672" s="1">
        <v>6.4764726793746341E-2</v>
      </c>
    </row>
    <row r="673" spans="1:3" x14ac:dyDescent="0.35">
      <c r="A673" s="1">
        <v>643</v>
      </c>
      <c r="B673" s="1">
        <v>2.0916334281509563</v>
      </c>
      <c r="C673" s="1">
        <v>7.5683906597219686E-2</v>
      </c>
    </row>
    <row r="674" spans="1:3" x14ac:dyDescent="0.35">
      <c r="A674" s="1">
        <v>644</v>
      </c>
      <c r="B674" s="1">
        <v>2.0270222998295737</v>
      </c>
      <c r="C674" s="1">
        <v>-7.2779790390248733E-2</v>
      </c>
    </row>
    <row r="675" spans="1:3" x14ac:dyDescent="0.35">
      <c r="A675" s="1">
        <v>645</v>
      </c>
      <c r="B675" s="1">
        <v>2.0536211954718495</v>
      </c>
      <c r="C675" s="1">
        <v>-4.0783970766677502E-2</v>
      </c>
    </row>
    <row r="676" spans="1:3" x14ac:dyDescent="0.35">
      <c r="A676" s="1">
        <v>646</v>
      </c>
      <c r="B676" s="1">
        <v>2.196341623658228</v>
      </c>
      <c r="C676" s="1">
        <v>-4.4197124899447715E-4</v>
      </c>
    </row>
    <row r="677" spans="1:3" x14ac:dyDescent="0.35">
      <c r="A677" s="1">
        <v>647</v>
      </c>
      <c r="B677" s="1">
        <v>2.0685922880444618</v>
      </c>
      <c r="C677" s="1">
        <v>0.15412418310312148</v>
      </c>
    </row>
    <row r="678" spans="1:3" x14ac:dyDescent="0.35">
      <c r="A678" s="1">
        <v>648</v>
      </c>
      <c r="B678" s="1">
        <v>2.0430855721250292</v>
      </c>
      <c r="C678" s="1">
        <v>0.20976745885486414</v>
      </c>
    </row>
    <row r="679" spans="1:3" x14ac:dyDescent="0.35">
      <c r="A679" s="1">
        <v>649</v>
      </c>
      <c r="B679" s="1">
        <v>2.0688977069991865</v>
      </c>
      <c r="C679" s="1">
        <v>6.464120137103091E-2</v>
      </c>
    </row>
    <row r="680" spans="1:3" x14ac:dyDescent="0.35">
      <c r="A680" s="1">
        <v>650</v>
      </c>
      <c r="B680" s="1">
        <v>1.9578468788041687</v>
      </c>
      <c r="C680" s="1">
        <v>7.1536898881040978E-2</v>
      </c>
    </row>
    <row r="681" spans="1:3" x14ac:dyDescent="0.35">
      <c r="A681" s="1">
        <v>651</v>
      </c>
      <c r="B681" s="1">
        <v>2.0018248428734431</v>
      </c>
      <c r="C681" s="1">
        <v>-4.2783450552349445E-2</v>
      </c>
    </row>
    <row r="682" spans="1:3" x14ac:dyDescent="0.35">
      <c r="A682" s="1">
        <v>652</v>
      </c>
      <c r="B682" s="1">
        <v>2.0497787976264688</v>
      </c>
      <c r="C682" s="1">
        <v>1.8407064119692951E-2</v>
      </c>
    </row>
    <row r="683" spans="1:3" x14ac:dyDescent="0.35">
      <c r="A683" s="1">
        <v>653</v>
      </c>
      <c r="B683" s="1">
        <v>2.0094302942102633</v>
      </c>
      <c r="C683" s="1">
        <v>8.0474817229134743E-2</v>
      </c>
    </row>
    <row r="684" spans="1:3" x14ac:dyDescent="0.35">
      <c r="A684" s="1">
        <v>654</v>
      </c>
      <c r="B684" s="1">
        <v>2.026151019372274</v>
      </c>
      <c r="C684" s="1">
        <v>5.3030226675350622E-2</v>
      </c>
    </row>
    <row r="685" spans="1:3" x14ac:dyDescent="0.35">
      <c r="A685" s="1">
        <v>655</v>
      </c>
      <c r="B685" s="1">
        <v>2.0367016883360041</v>
      </c>
      <c r="C685" s="1">
        <v>-1.1395823071233657E-2</v>
      </c>
    </row>
    <row r="686" spans="1:3" x14ac:dyDescent="0.35">
      <c r="A686" s="1">
        <v>656</v>
      </c>
      <c r="B686" s="1">
        <v>2.2394893279124157</v>
      </c>
      <c r="C686" s="1">
        <v>-4.9157629742124342E-2</v>
      </c>
    </row>
    <row r="687" spans="1:3" x14ac:dyDescent="0.35">
      <c r="A687" s="1">
        <v>657</v>
      </c>
      <c r="B687" s="1">
        <v>1.9662294310760713</v>
      </c>
      <c r="C687" s="1">
        <v>3.8091942706571347E-2</v>
      </c>
    </row>
    <row r="688" spans="1:3" x14ac:dyDescent="0.35">
      <c r="A688" s="1">
        <v>658</v>
      </c>
      <c r="B688" s="1">
        <v>2.1167262673130538</v>
      </c>
      <c r="C688" s="1">
        <v>-3.7545021265429135E-2</v>
      </c>
    </row>
    <row r="689" spans="1:3" x14ac:dyDescent="0.35">
      <c r="A689" s="1">
        <v>659</v>
      </c>
      <c r="B689" s="1">
        <v>2.1335680093187031</v>
      </c>
      <c r="C689" s="1">
        <v>-2.976428836274625E-2</v>
      </c>
    </row>
    <row r="690" spans="1:3" x14ac:dyDescent="0.35">
      <c r="A690" s="1">
        <v>660</v>
      </c>
      <c r="B690" s="1">
        <v>2.0517906455471908</v>
      </c>
      <c r="C690" s="1">
        <v>-0.14870065855524728</v>
      </c>
    </row>
    <row r="691" spans="1:3" x14ac:dyDescent="0.35">
      <c r="A691" s="1">
        <v>661</v>
      </c>
      <c r="B691" s="1">
        <v>2.1013186404782678</v>
      </c>
      <c r="C691" s="1">
        <v>0.108196374064363</v>
      </c>
    </row>
    <row r="692" spans="1:3" x14ac:dyDescent="0.35">
      <c r="A692" s="1">
        <v>662</v>
      </c>
      <c r="B692" s="1">
        <v>2.0075919282336772</v>
      </c>
      <c r="C692" s="1">
        <v>0.29126114817602966</v>
      </c>
    </row>
    <row r="693" spans="1:3" x14ac:dyDescent="0.35">
      <c r="A693" s="1">
        <v>663</v>
      </c>
      <c r="B693" s="1">
        <v>2.1226639669465208</v>
      </c>
      <c r="C693" s="1">
        <v>0.10005250420106249</v>
      </c>
    </row>
    <row r="694" spans="1:3" x14ac:dyDescent="0.35">
      <c r="A694" s="1">
        <v>664</v>
      </c>
      <c r="B694" s="1">
        <v>2.0764002115094393</v>
      </c>
      <c r="C694" s="1">
        <v>8.4967790725535508E-2</v>
      </c>
    </row>
    <row r="695" spans="1:3" x14ac:dyDescent="0.35">
      <c r="A695" s="1">
        <v>665</v>
      </c>
      <c r="B695" s="1">
        <v>1.9988736842208243</v>
      </c>
      <c r="C695" s="1">
        <v>6.1824156132787467E-2</v>
      </c>
    </row>
    <row r="696" spans="1:3" x14ac:dyDescent="0.35">
      <c r="A696" s="1">
        <v>666</v>
      </c>
      <c r="B696" s="1">
        <v>2.0139379172847418</v>
      </c>
      <c r="C696" s="1">
        <v>3.5280105385439686E-2</v>
      </c>
    </row>
    <row r="697" spans="1:3" x14ac:dyDescent="0.35">
      <c r="A697" s="1">
        <v>667</v>
      </c>
      <c r="B697" s="1">
        <v>2.1116361289582564</v>
      </c>
      <c r="C697" s="1">
        <v>4.9731873276718463E-2</v>
      </c>
    </row>
    <row r="698" spans="1:3" x14ac:dyDescent="0.35">
      <c r="A698" s="1">
        <v>668</v>
      </c>
      <c r="B698" s="1">
        <v>2.0096209378653915</v>
      </c>
      <c r="C698" s="1">
        <v>3.5702040921266054E-2</v>
      </c>
    </row>
    <row r="699" spans="1:3" x14ac:dyDescent="0.35">
      <c r="A699" s="1">
        <v>669</v>
      </c>
      <c r="B699" s="1">
        <v>2.1092745971608129</v>
      </c>
      <c r="C699" s="1">
        <v>-0.11804852146831801</v>
      </c>
    </row>
    <row r="700" spans="1:3" x14ac:dyDescent="0.35">
      <c r="A700" s="1">
        <v>670</v>
      </c>
      <c r="B700" s="1">
        <v>2.0724326511126527</v>
      </c>
      <c r="C700" s="1">
        <v>0.11508806972381036</v>
      </c>
    </row>
    <row r="701" spans="1:3" x14ac:dyDescent="0.35">
      <c r="A701" s="1">
        <v>671</v>
      </c>
      <c r="B701" s="1">
        <v>2.1349270849696977</v>
      </c>
      <c r="C701" s="1">
        <v>8.2556859244208525E-2</v>
      </c>
    </row>
    <row r="702" spans="1:3" x14ac:dyDescent="0.35">
      <c r="A702" s="1">
        <v>672</v>
      </c>
      <c r="B702" s="1">
        <v>1.9919857261630529</v>
      </c>
      <c r="C702" s="1">
        <v>3.649468434496983E-3</v>
      </c>
    </row>
    <row r="703" spans="1:3" x14ac:dyDescent="0.35">
      <c r="A703" s="1">
        <v>673</v>
      </c>
      <c r="B703" s="1">
        <v>2.0938660376853169</v>
      </c>
      <c r="C703" s="1">
        <v>-0.26135712497908048</v>
      </c>
    </row>
    <row r="704" spans="1:3" x14ac:dyDescent="0.35">
      <c r="A704" s="1">
        <v>674</v>
      </c>
      <c r="B704" s="1">
        <v>2.1665202608519309</v>
      </c>
      <c r="C704" s="1">
        <v>-7.661514941253289E-2</v>
      </c>
    </row>
    <row r="705" spans="1:3" x14ac:dyDescent="0.35">
      <c r="A705" s="1">
        <v>675</v>
      </c>
      <c r="B705" s="1">
        <v>2.1644070784175247</v>
      </c>
      <c r="C705" s="1">
        <v>-0.20536568609643102</v>
      </c>
    </row>
    <row r="706" spans="1:3" x14ac:dyDescent="0.35">
      <c r="A706" s="1">
        <v>676</v>
      </c>
      <c r="B706" s="1">
        <v>2.0521306546568767</v>
      </c>
      <c r="C706" s="1">
        <v>0.23790395670564113</v>
      </c>
    </row>
    <row r="707" spans="1:3" x14ac:dyDescent="0.35">
      <c r="A707" s="1">
        <v>677</v>
      </c>
      <c r="B707" s="1">
        <v>2.0921986293283976</v>
      </c>
      <c r="C707" s="1">
        <v>0.10092596902606399</v>
      </c>
    </row>
    <row r="708" spans="1:3" x14ac:dyDescent="0.35">
      <c r="A708" s="1">
        <v>678</v>
      </c>
      <c r="B708" s="1">
        <v>2.0391978838631717</v>
      </c>
      <c r="C708" s="1">
        <v>-7.0714935309236671E-2</v>
      </c>
    </row>
    <row r="709" spans="1:3" x14ac:dyDescent="0.35">
      <c r="A709" s="1">
        <v>679</v>
      </c>
      <c r="B709" s="1">
        <v>2.0373926476194235</v>
      </c>
      <c r="C709" s="1">
        <v>4.5392722697026766E-2</v>
      </c>
    </row>
    <row r="710" spans="1:3" x14ac:dyDescent="0.35">
      <c r="A710" s="1">
        <v>680</v>
      </c>
      <c r="B710" s="1">
        <v>2.1027929736111131</v>
      </c>
      <c r="C710" s="1">
        <v>-9.8471599828470424E-2</v>
      </c>
    </row>
    <row r="711" spans="1:3" x14ac:dyDescent="0.35">
      <c r="A711" s="1">
        <v>681</v>
      </c>
      <c r="B711" s="1">
        <v>1.9703757022163264</v>
      </c>
      <c r="C711" s="1">
        <v>-0.22218767521012595</v>
      </c>
    </row>
    <row r="712" spans="1:3" x14ac:dyDescent="0.35">
      <c r="A712" s="1">
        <v>682</v>
      </c>
      <c r="B712" s="1">
        <v>2.0183612038913812</v>
      </c>
      <c r="C712" s="1">
        <v>0.19115381065124959</v>
      </c>
    </row>
    <row r="713" spans="1:3" x14ac:dyDescent="0.35">
      <c r="A713" s="1">
        <v>683</v>
      </c>
      <c r="B713" s="1">
        <v>2.0333230279891388</v>
      </c>
      <c r="C713" s="1">
        <v>-5.5599422700290946E-2</v>
      </c>
    </row>
    <row r="714" spans="1:3" x14ac:dyDescent="0.35">
      <c r="A714" s="1">
        <v>684</v>
      </c>
      <c r="B714" s="1">
        <v>2.0540049199638211</v>
      </c>
      <c r="C714" s="1">
        <v>4.2905093044235176E-2</v>
      </c>
    </row>
    <row r="715" spans="1:3" x14ac:dyDescent="0.35">
      <c r="A715" s="1">
        <v>685</v>
      </c>
      <c r="B715" s="1">
        <v>2.0686621611518907</v>
      </c>
      <c r="C715" s="1">
        <v>6.4876747218326702E-2</v>
      </c>
    </row>
    <row r="716" spans="1:3" x14ac:dyDescent="0.35">
      <c r="A716" s="1">
        <v>686</v>
      </c>
      <c r="B716" s="1">
        <v>2.0917892787438164</v>
      </c>
      <c r="C716" s="1">
        <v>1.8800431555432429E-2</v>
      </c>
    </row>
    <row r="717" spans="1:3" x14ac:dyDescent="0.35">
      <c r="A717" s="1">
        <v>687</v>
      </c>
      <c r="B717" s="1">
        <v>2.0047111999146288</v>
      </c>
      <c r="C717" s="1">
        <v>0.10923215239220818</v>
      </c>
    </row>
    <row r="718" spans="1:3" x14ac:dyDescent="0.35">
      <c r="A718" s="1">
        <v>688</v>
      </c>
      <c r="B718" s="1">
        <v>1.9876784672533103</v>
      </c>
      <c r="C718" s="1">
        <v>4.1705310431899401E-2</v>
      </c>
    </row>
    <row r="719" spans="1:3" x14ac:dyDescent="0.35">
      <c r="A719" s="1">
        <v>689</v>
      </c>
      <c r="B719" s="1">
        <v>2.0568803721936626</v>
      </c>
      <c r="C719" s="1">
        <v>8.9247663484575579E-2</v>
      </c>
    </row>
    <row r="720" spans="1:3" x14ac:dyDescent="0.35">
      <c r="A720" s="1">
        <v>690</v>
      </c>
      <c r="B720" s="1">
        <v>2.1197719236342873</v>
      </c>
      <c r="C720" s="1">
        <v>3.8590568460962427E-2</v>
      </c>
    </row>
    <row r="721" spans="1:3" x14ac:dyDescent="0.35">
      <c r="A721" s="1">
        <v>691</v>
      </c>
      <c r="B721" s="1">
        <v>2.0623485646366158</v>
      </c>
      <c r="C721" s="1">
        <v>-3.2964786951406033E-2</v>
      </c>
    </row>
    <row r="722" spans="1:3" x14ac:dyDescent="0.35">
      <c r="A722" s="1">
        <v>692</v>
      </c>
      <c r="B722" s="1">
        <v>2.1327238755507394</v>
      </c>
      <c r="C722" s="1">
        <v>6.5933211403683245E-2</v>
      </c>
    </row>
    <row r="723" spans="1:3" x14ac:dyDescent="0.35">
      <c r="A723" s="1">
        <v>693</v>
      </c>
      <c r="B723" s="1">
        <v>2.0486118094659789</v>
      </c>
      <c r="C723" s="1">
        <v>3.4173560850471407E-2</v>
      </c>
    </row>
    <row r="724" spans="1:3" x14ac:dyDescent="0.35">
      <c r="A724" s="1">
        <v>694</v>
      </c>
      <c r="B724" s="1">
        <v>2.0653157848571664</v>
      </c>
      <c r="C724" s="1">
        <v>4.5273925442082419E-2</v>
      </c>
    </row>
    <row r="725" spans="1:3" x14ac:dyDescent="0.35">
      <c r="A725" s="1">
        <v>695</v>
      </c>
      <c r="B725" s="1">
        <v>2.0069788938807904</v>
      </c>
      <c r="C725" s="1">
        <v>-5.2736384441465445E-2</v>
      </c>
    </row>
    <row r="726" spans="1:3" x14ac:dyDescent="0.35">
      <c r="A726" s="1">
        <v>696</v>
      </c>
      <c r="B726" s="1">
        <v>2.2517306242851185</v>
      </c>
      <c r="C726" s="1">
        <v>-9.9442279902062225E-2</v>
      </c>
    </row>
    <row r="727" spans="1:3" x14ac:dyDescent="0.35">
      <c r="A727" s="1">
        <v>697</v>
      </c>
      <c r="B727" s="1">
        <v>2.0658500564348738</v>
      </c>
      <c r="C727" s="1">
        <v>0.16203664817879959</v>
      </c>
    </row>
    <row r="728" spans="1:3" x14ac:dyDescent="0.35">
      <c r="A728" s="1">
        <v>698</v>
      </c>
      <c r="B728" s="1">
        <v>1.9838871812850902</v>
      </c>
      <c r="C728" s="1">
        <v>1.1748013312459671E-2</v>
      </c>
    </row>
    <row r="729" spans="1:3" x14ac:dyDescent="0.35">
      <c r="A729" s="1">
        <v>699</v>
      </c>
      <c r="B729" s="1">
        <v>2.1156649349090171</v>
      </c>
      <c r="C729" s="1">
        <v>-1.1861213953060279E-2</v>
      </c>
    </row>
    <row r="730" spans="1:3" x14ac:dyDescent="0.35">
      <c r="A730" s="1">
        <v>700</v>
      </c>
      <c r="B730" s="1">
        <v>2.0920110248240538</v>
      </c>
      <c r="C730" s="1">
        <v>-2.0129017517928283E-2</v>
      </c>
    </row>
    <row r="731" spans="1:3" x14ac:dyDescent="0.35">
      <c r="A731" s="1">
        <v>701</v>
      </c>
      <c r="B731" s="1">
        <v>2.0948124023963701</v>
      </c>
      <c r="C731" s="1">
        <v>-8.4525717216217267E-3</v>
      </c>
    </row>
    <row r="732" spans="1:3" x14ac:dyDescent="0.35">
      <c r="A732" s="1">
        <v>702</v>
      </c>
      <c r="B732" s="1">
        <v>2.0340429679985217</v>
      </c>
      <c r="C732" s="1">
        <v>6.286704500953455E-2</v>
      </c>
    </row>
    <row r="733" spans="1:3" x14ac:dyDescent="0.35">
      <c r="A733" s="1">
        <v>703</v>
      </c>
      <c r="B733" s="1">
        <v>2.0733484974503154</v>
      </c>
      <c r="C733" s="1">
        <v>0.15196078427554749</v>
      </c>
    </row>
    <row r="734" spans="1:3" x14ac:dyDescent="0.35">
      <c r="A734" s="1">
        <v>704</v>
      </c>
      <c r="B734" s="1">
        <v>2.0681890337997086</v>
      </c>
      <c r="C734" s="1">
        <v>4.2400676499540157E-2</v>
      </c>
    </row>
    <row r="735" spans="1:3" x14ac:dyDescent="0.35">
      <c r="A735" s="1">
        <v>705</v>
      </c>
      <c r="B735" s="1">
        <v>2.0364845522733992</v>
      </c>
      <c r="C735" s="1">
        <v>4.9081328848257222E-3</v>
      </c>
    </row>
    <row r="736" spans="1:3" x14ac:dyDescent="0.35">
      <c r="A736" s="1">
        <v>706</v>
      </c>
      <c r="B736" s="1">
        <v>1.9980905082329681</v>
      </c>
      <c r="C736" s="1">
        <v>-9.5000521241024538E-2</v>
      </c>
    </row>
    <row r="737" spans="1:3" x14ac:dyDescent="0.35">
      <c r="A737" s="1">
        <v>707</v>
      </c>
      <c r="B737" s="1">
        <v>1.9443393154514905</v>
      </c>
      <c r="C737" s="1">
        <v>0.11635852490212129</v>
      </c>
    </row>
    <row r="738" spans="1:3" x14ac:dyDescent="0.35">
      <c r="A738" s="1">
        <v>708</v>
      </c>
      <c r="B738" s="1">
        <v>2.1356163355357984</v>
      </c>
      <c r="C738" s="1">
        <v>-3.1812614579841636E-2</v>
      </c>
    </row>
    <row r="739" spans="1:3" x14ac:dyDescent="0.35">
      <c r="A739" s="1">
        <v>709</v>
      </c>
      <c r="B739" s="1">
        <v>2.0902837028535002</v>
      </c>
      <c r="C739" s="1">
        <v>0.12456014519419778</v>
      </c>
    </row>
    <row r="740" spans="1:3" x14ac:dyDescent="0.35">
      <c r="A740" s="1">
        <v>710</v>
      </c>
      <c r="B740" s="1">
        <v>2.0670653808404862</v>
      </c>
      <c r="C740" s="1">
        <v>-9.8582432286551169E-2</v>
      </c>
    </row>
    <row r="741" spans="1:3" x14ac:dyDescent="0.35">
      <c r="A741" s="1">
        <v>711</v>
      </c>
      <c r="B741" s="1">
        <v>2.1811726095533062</v>
      </c>
      <c r="C741" s="1">
        <v>1.7484477401116472E-2</v>
      </c>
    </row>
    <row r="742" spans="1:3" x14ac:dyDescent="0.35">
      <c r="A742" s="1">
        <v>712</v>
      </c>
      <c r="B742" s="1">
        <v>2.0317528660509829</v>
      </c>
      <c r="C742" s="1">
        <v>6.8617679066580006E-2</v>
      </c>
    </row>
    <row r="743" spans="1:3" x14ac:dyDescent="0.35">
      <c r="A743" s="1">
        <v>713</v>
      </c>
      <c r="B743" s="1">
        <v>2.0305323208589932</v>
      </c>
      <c r="C743" s="1">
        <v>8.0057389440255644E-2</v>
      </c>
    </row>
    <row r="744" spans="1:3" x14ac:dyDescent="0.35">
      <c r="A744" s="1">
        <v>714</v>
      </c>
      <c r="B744" s="1">
        <v>2.100663733860777</v>
      </c>
      <c r="C744" s="1">
        <v>2.644106450403072E-2</v>
      </c>
    </row>
    <row r="745" spans="1:3" x14ac:dyDescent="0.35">
      <c r="A745" s="1">
        <v>715</v>
      </c>
      <c r="B745" s="1">
        <v>2.0432151298820211</v>
      </c>
      <c r="C745" s="1">
        <v>-3.4614958120103623E-2</v>
      </c>
    </row>
    <row r="746" spans="1:3" x14ac:dyDescent="0.35">
      <c r="A746" s="1">
        <v>716</v>
      </c>
      <c r="B746" s="1">
        <v>2.1893586921400114</v>
      </c>
      <c r="C746" s="1">
        <v>8.2482914396487583E-2</v>
      </c>
    </row>
    <row r="747" spans="1:3" x14ac:dyDescent="0.35">
      <c r="A747" s="1">
        <v>717</v>
      </c>
      <c r="B747" s="1">
        <v>2.0860734979892768</v>
      </c>
      <c r="C747" s="1">
        <v>0.15197260513951871</v>
      </c>
    </row>
    <row r="748" spans="1:3" x14ac:dyDescent="0.35">
      <c r="A748" s="1">
        <v>718</v>
      </c>
      <c r="B748" s="1">
        <v>2.0661525806563081</v>
      </c>
      <c r="C748" s="1">
        <v>-9.302472705660958E-2</v>
      </c>
    </row>
    <row r="749" spans="1:3" x14ac:dyDescent="0.35">
      <c r="A749" s="1">
        <v>719</v>
      </c>
      <c r="B749" s="1">
        <v>2.0337541500679439</v>
      </c>
      <c r="C749" s="1">
        <v>-3.3039458099404229E-4</v>
      </c>
    </row>
    <row r="750" spans="1:3" x14ac:dyDescent="0.35">
      <c r="A750" s="1">
        <v>720</v>
      </c>
      <c r="B750" s="1">
        <v>2.0636058383322129</v>
      </c>
      <c r="C750" s="1">
        <v>-7.6834104065968134E-2</v>
      </c>
    </row>
    <row r="751" spans="1:3" x14ac:dyDescent="0.35">
      <c r="A751" s="1">
        <v>721</v>
      </c>
      <c r="B751" s="1">
        <v>2.0208178953272551</v>
      </c>
      <c r="C751" s="1">
        <v>-0.10173980295118112</v>
      </c>
    </row>
    <row r="752" spans="1:3" x14ac:dyDescent="0.35">
      <c r="A752" s="1">
        <v>722</v>
      </c>
      <c r="B752" s="1">
        <v>2.0617366449416186</v>
      </c>
      <c r="C752" s="1">
        <v>-4.831793605145851E-3</v>
      </c>
    </row>
    <row r="753" spans="1:3" x14ac:dyDescent="0.35">
      <c r="A753" s="1">
        <v>723</v>
      </c>
      <c r="B753" s="1">
        <v>2.0696415068923617</v>
      </c>
      <c r="C753" s="1">
        <v>0.10354476151991232</v>
      </c>
    </row>
    <row r="754" spans="1:3" x14ac:dyDescent="0.35">
      <c r="A754" s="1">
        <v>724</v>
      </c>
      <c r="B754" s="1">
        <v>2.0913500748012184</v>
      </c>
      <c r="C754" s="1">
        <v>-2.316421305505667E-2</v>
      </c>
    </row>
    <row r="755" spans="1:3" x14ac:dyDescent="0.35">
      <c r="A755" s="1">
        <v>725</v>
      </c>
      <c r="B755" s="1">
        <v>2.0913605464166602</v>
      </c>
      <c r="C755" s="1">
        <v>-4.6037567630002663E-2</v>
      </c>
    </row>
    <row r="756" spans="1:3" x14ac:dyDescent="0.35">
      <c r="A756" s="1">
        <v>726</v>
      </c>
      <c r="B756" s="1">
        <v>2.0116050928970717</v>
      </c>
      <c r="C756" s="1">
        <v>3.7612929773109816E-2</v>
      </c>
    </row>
    <row r="757" spans="1:3" x14ac:dyDescent="0.35">
      <c r="A757" s="1">
        <v>727</v>
      </c>
      <c r="B757" s="1">
        <v>2.080130982327093</v>
      </c>
      <c r="C757" s="1">
        <v>-1.5672993100174448E-2</v>
      </c>
    </row>
    <row r="758" spans="1:3" x14ac:dyDescent="0.35">
      <c r="A758" s="1">
        <v>728</v>
      </c>
      <c r="B758" s="1">
        <v>1.9864705179481603</v>
      </c>
      <c r="C758" s="1">
        <v>0.16274859470721936</v>
      </c>
    </row>
    <row r="759" spans="1:3" x14ac:dyDescent="0.35">
      <c r="A759" s="1">
        <v>729</v>
      </c>
      <c r="B759" s="1">
        <v>2.0115786357871328</v>
      </c>
      <c r="C759" s="1">
        <v>0.23145941289916161</v>
      </c>
    </row>
    <row r="760" spans="1:3" x14ac:dyDescent="0.35">
      <c r="A760" s="1">
        <v>730</v>
      </c>
      <c r="B760" s="1">
        <v>2.0138214945114714</v>
      </c>
      <c r="C760" s="1">
        <v>-5.0033667165916063E-2</v>
      </c>
    </row>
    <row r="761" spans="1:3" x14ac:dyDescent="0.35">
      <c r="A761" s="1">
        <v>731</v>
      </c>
      <c r="B761" s="1">
        <v>2.0429802384132341</v>
      </c>
      <c r="C761" s="1">
        <v>7.096311389360288E-2</v>
      </c>
    </row>
    <row r="762" spans="1:3" x14ac:dyDescent="0.35">
      <c r="A762" s="1">
        <v>732</v>
      </c>
      <c r="B762" s="1">
        <v>2.0296509515341796</v>
      </c>
      <c r="C762" s="1">
        <v>4.9530294513445039E-2</v>
      </c>
    </row>
    <row r="763" spans="1:3" x14ac:dyDescent="0.35">
      <c r="A763" s="1">
        <v>733</v>
      </c>
      <c r="B763" s="1">
        <v>2.0663564520562883</v>
      </c>
      <c r="C763" s="1">
        <v>0.17419279622631167</v>
      </c>
    </row>
    <row r="764" spans="1:3" x14ac:dyDescent="0.35">
      <c r="A764" s="1">
        <v>734</v>
      </c>
      <c r="B764" s="1">
        <v>2.0425419234836979</v>
      </c>
      <c r="C764" s="1">
        <v>-1.7236058218927486E-2</v>
      </c>
    </row>
    <row r="765" spans="1:3" x14ac:dyDescent="0.35">
      <c r="A765" s="1">
        <v>735</v>
      </c>
      <c r="B765" s="1">
        <v>2.0872222634870679</v>
      </c>
      <c r="C765" s="1">
        <v>-6.603296441712958E-2</v>
      </c>
    </row>
    <row r="766" spans="1:3" x14ac:dyDescent="0.35">
      <c r="A766" s="1">
        <v>736</v>
      </c>
      <c r="B766" s="1">
        <v>1.9884146034052077</v>
      </c>
      <c r="C766" s="1">
        <v>-1.0690998116359873E-2</v>
      </c>
    </row>
    <row r="767" spans="1:3" x14ac:dyDescent="0.35">
      <c r="A767" s="1">
        <v>737</v>
      </c>
      <c r="B767" s="1">
        <v>2.026100246271219</v>
      </c>
      <c r="C767" s="1">
        <v>7.4270298846343952E-2</v>
      </c>
    </row>
    <row r="768" spans="1:3" x14ac:dyDescent="0.35">
      <c r="A768" s="1">
        <v>738</v>
      </c>
      <c r="B768" s="1">
        <v>2.0462072389655894</v>
      </c>
      <c r="C768" s="1">
        <v>-0.23329388232273396</v>
      </c>
    </row>
    <row r="769" spans="1:3" x14ac:dyDescent="0.35">
      <c r="A769" s="1">
        <v>739</v>
      </c>
      <c r="B769" s="1">
        <v>2.0802187108511969</v>
      </c>
      <c r="C769" s="1">
        <v>-8.4583516253647018E-2</v>
      </c>
    </row>
    <row r="770" spans="1:3" x14ac:dyDescent="0.35">
      <c r="A770" s="1">
        <v>740</v>
      </c>
      <c r="B770" s="1">
        <v>2.096696185702291</v>
      </c>
      <c r="C770" s="1">
        <v>-8.8096013940373474E-2</v>
      </c>
    </row>
    <row r="771" spans="1:3" x14ac:dyDescent="0.35">
      <c r="A771" s="1">
        <v>741</v>
      </c>
      <c r="B771" s="1">
        <v>2.1397728202356303</v>
      </c>
      <c r="C771" s="1">
        <v>-6.0591574188005648E-2</v>
      </c>
    </row>
    <row r="772" spans="1:3" x14ac:dyDescent="0.35">
      <c r="A772" s="1">
        <v>742</v>
      </c>
      <c r="B772" s="1">
        <v>2.0343740636635941</v>
      </c>
      <c r="C772" s="1">
        <v>-2.577389190167656E-2</v>
      </c>
    </row>
    <row r="773" spans="1:3" x14ac:dyDescent="0.35">
      <c r="A773" s="1">
        <v>743</v>
      </c>
      <c r="B773" s="1">
        <v>2.0302957455983885</v>
      </c>
      <c r="C773" s="1">
        <v>7.1307523422352581E-3</v>
      </c>
    </row>
    <row r="774" spans="1:3" x14ac:dyDescent="0.35">
      <c r="A774" s="1">
        <v>744</v>
      </c>
      <c r="B774" s="1">
        <v>2.1121206586123193</v>
      </c>
      <c r="C774" s="1">
        <v>3.4007377065918831E-2</v>
      </c>
    </row>
    <row r="775" spans="1:3" x14ac:dyDescent="0.35">
      <c r="A775" s="1">
        <v>745</v>
      </c>
      <c r="B775" s="1">
        <v>2.1253543008874907</v>
      </c>
      <c r="C775" s="1">
        <v>5.9337129930108201E-2</v>
      </c>
    </row>
    <row r="776" spans="1:3" x14ac:dyDescent="0.35">
      <c r="A776" s="1">
        <v>746</v>
      </c>
      <c r="B776" s="1">
        <v>2.0828605711289483</v>
      </c>
      <c r="C776" s="1">
        <v>-8.286057112894829E-2</v>
      </c>
    </row>
    <row r="777" spans="1:3" x14ac:dyDescent="0.35">
      <c r="A777" s="1">
        <v>747</v>
      </c>
      <c r="B777" s="1">
        <v>2.0169123922777192</v>
      </c>
      <c r="C777" s="1">
        <v>0.15040494247045677</v>
      </c>
    </row>
    <row r="778" spans="1:3" x14ac:dyDescent="0.35">
      <c r="A778" s="1">
        <v>748</v>
      </c>
      <c r="B778" s="1">
        <v>2.0607134470053019</v>
      </c>
      <c r="C778" s="1">
        <v>-0.15222842812665216</v>
      </c>
    </row>
    <row r="779" spans="1:3" x14ac:dyDescent="0.35">
      <c r="A779" s="1">
        <v>749</v>
      </c>
      <c r="B779" s="1">
        <v>2.1260235528288423</v>
      </c>
      <c r="C779" s="1">
        <v>0.14581805370765677</v>
      </c>
    </row>
    <row r="780" spans="1:3" x14ac:dyDescent="0.35">
      <c r="A780" s="1">
        <v>750</v>
      </c>
      <c r="B780" s="1">
        <v>2.0714889734694011</v>
      </c>
      <c r="C780" s="1">
        <v>0.13802604107322969</v>
      </c>
    </row>
    <row r="781" spans="1:3" x14ac:dyDescent="0.35">
      <c r="A781" s="1">
        <v>751</v>
      </c>
      <c r="B781" s="1">
        <v>2.054506582529128</v>
      </c>
      <c r="C781" s="1">
        <v>7.9032325841089435E-2</v>
      </c>
    </row>
    <row r="782" spans="1:3" x14ac:dyDescent="0.35">
      <c r="A782" s="1">
        <v>752</v>
      </c>
      <c r="B782" s="1">
        <v>2.0206339697323514</v>
      </c>
      <c r="C782" s="1">
        <v>6.2151400584098848E-2</v>
      </c>
    </row>
    <row r="783" spans="1:3" x14ac:dyDescent="0.35">
      <c r="A783" s="1">
        <v>753</v>
      </c>
      <c r="B783" s="1">
        <v>1.9694689610537681</v>
      </c>
      <c r="C783" s="1">
        <v>6.395479443318175E-2</v>
      </c>
    </row>
    <row r="784" spans="1:3" x14ac:dyDescent="0.35">
      <c r="A784" s="1">
        <v>754</v>
      </c>
      <c r="B784" s="1">
        <v>2.2171302974182279</v>
      </c>
      <c r="C784" s="1">
        <v>4.0548277450956682E-2</v>
      </c>
    </row>
    <row r="785" spans="1:3" x14ac:dyDescent="0.35">
      <c r="A785" s="1">
        <v>755</v>
      </c>
      <c r="B785" s="1">
        <v>2.0342314213032746</v>
      </c>
      <c r="C785" s="1">
        <v>0.15328929953318848</v>
      </c>
    </row>
    <row r="786" spans="1:3" x14ac:dyDescent="0.35">
      <c r="A786" s="1">
        <v>756</v>
      </c>
      <c r="B786" s="1">
        <v>2.077259845863435</v>
      </c>
      <c r="C786" s="1">
        <v>2.9950123784433291E-2</v>
      </c>
    </row>
    <row r="787" spans="1:3" x14ac:dyDescent="0.35">
      <c r="A787" s="1">
        <v>757</v>
      </c>
      <c r="B787" s="1">
        <v>2.0031747523034542</v>
      </c>
      <c r="C787" s="1">
        <v>0.13354581485295247</v>
      </c>
    </row>
    <row r="788" spans="1:3" x14ac:dyDescent="0.35">
      <c r="A788" s="1">
        <v>758</v>
      </c>
      <c r="B788" s="1">
        <v>2.1086721478440862</v>
      </c>
      <c r="C788" s="1">
        <v>-1.8767036404688131E-2</v>
      </c>
    </row>
    <row r="789" spans="1:3" x14ac:dyDescent="0.35">
      <c r="A789" s="1">
        <v>759</v>
      </c>
      <c r="B789" s="1">
        <v>2.0519156941972523</v>
      </c>
      <c r="C789" s="1">
        <v>-2.6609828932481872E-2</v>
      </c>
    </row>
    <row r="790" spans="1:3" x14ac:dyDescent="0.35">
      <c r="A790" s="1">
        <v>760</v>
      </c>
      <c r="B790" s="1">
        <v>2.1520754801537225</v>
      </c>
      <c r="C790" s="1">
        <v>0.12667812079910634</v>
      </c>
    </row>
    <row r="791" spans="1:3" x14ac:dyDescent="0.35">
      <c r="A791" s="1">
        <v>761</v>
      </c>
      <c r="B791" s="1">
        <v>1.985607315022283</v>
      </c>
      <c r="C791" s="1">
        <v>-4.112464287211437E-2</v>
      </c>
    </row>
    <row r="792" spans="1:3" x14ac:dyDescent="0.35">
      <c r="A792" s="1">
        <v>762</v>
      </c>
      <c r="B792" s="1">
        <v>2.0615158513182634</v>
      </c>
      <c r="C792" s="1">
        <v>0.16893307006001068</v>
      </c>
    </row>
    <row r="793" spans="1:3" x14ac:dyDescent="0.35">
      <c r="A793" s="1">
        <v>763</v>
      </c>
      <c r="B793" s="1">
        <v>2.0288267527041977</v>
      </c>
      <c r="C793" s="1">
        <v>-7.9436746059284857E-2</v>
      </c>
    </row>
    <row r="794" spans="1:3" x14ac:dyDescent="0.35">
      <c r="A794" s="1">
        <v>764</v>
      </c>
      <c r="B794" s="1">
        <v>2.1214708458110558</v>
      </c>
      <c r="C794" s="1">
        <v>-0.11714947202841319</v>
      </c>
    </row>
    <row r="795" spans="1:3" x14ac:dyDescent="0.35">
      <c r="A795" s="1">
        <v>765</v>
      </c>
      <c r="B795" s="1">
        <v>2.0026868587021456</v>
      </c>
      <c r="C795" s="1">
        <v>8.3672971972602816E-2</v>
      </c>
    </row>
    <row r="796" spans="1:3" x14ac:dyDescent="0.35">
      <c r="A796" s="1">
        <v>766</v>
      </c>
      <c r="B796" s="1">
        <v>2.0403360567795699</v>
      </c>
      <c r="C796" s="1">
        <v>4.2449313536880418E-2</v>
      </c>
    </row>
    <row r="797" spans="1:3" x14ac:dyDescent="0.35">
      <c r="A797" s="1">
        <v>767</v>
      </c>
      <c r="B797" s="1">
        <v>2.0797240782994293</v>
      </c>
      <c r="C797" s="1">
        <v>2.0646466818133646E-2</v>
      </c>
    </row>
    <row r="798" spans="1:3" ht="15" thickBot="1" x14ac:dyDescent="0.4">
      <c r="A798" s="2">
        <v>768</v>
      </c>
      <c r="B798" s="2">
        <v>1.9665057806605348</v>
      </c>
      <c r="C798" s="2">
        <v>1.9771678934001891E-3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D3B4-D932-4F7F-BFC8-FD3A1DFB764B}">
  <dimension ref="A1:M798"/>
  <sheetViews>
    <sheetView tabSelected="1" workbookViewId="0">
      <selection activeCell="I7" sqref="I7"/>
    </sheetView>
  </sheetViews>
  <sheetFormatPr defaultRowHeight="14.5" x14ac:dyDescent="0.35"/>
  <cols>
    <col min="1" max="1" width="22.453125" bestFit="1" customWidth="1"/>
    <col min="2" max="2" width="18.6328125" bestFit="1" customWidth="1"/>
    <col min="3" max="3" width="13.453125" bestFit="1" customWidth="1"/>
    <col min="4" max="4" width="12.6328125" bestFit="1" customWidth="1"/>
    <col min="5" max="5" width="12" bestFit="1" customWidth="1"/>
    <col min="6" max="9" width="12.6328125" bestFit="1" customWidth="1"/>
    <col min="12" max="12" width="31.81640625" customWidth="1"/>
    <col min="13" max="13" width="9.90625" customWidth="1"/>
  </cols>
  <sheetData>
    <row r="1" spans="1:13" x14ac:dyDescent="0.35">
      <c r="A1" t="s">
        <v>11</v>
      </c>
    </row>
    <row r="2" spans="1:13" ht="15" thickBot="1" x14ac:dyDescent="0.4">
      <c r="F2" t="s">
        <v>43</v>
      </c>
    </row>
    <row r="3" spans="1:13" x14ac:dyDescent="0.35">
      <c r="A3" s="4" t="s">
        <v>12</v>
      </c>
      <c r="B3" s="4"/>
      <c r="F3" t="s">
        <v>44</v>
      </c>
    </row>
    <row r="4" spans="1:13" x14ac:dyDescent="0.35">
      <c r="A4" s="1" t="s">
        <v>13</v>
      </c>
      <c r="B4" s="1">
        <v>0.18810452677525788</v>
      </c>
    </row>
    <row r="5" spans="1:13" x14ac:dyDescent="0.35">
      <c r="A5" s="1" t="s">
        <v>14</v>
      </c>
      <c r="B5" s="1">
        <v>3.5383312993343713E-2</v>
      </c>
      <c r="F5" t="s">
        <v>45</v>
      </c>
      <c r="G5">
        <v>768</v>
      </c>
    </row>
    <row r="6" spans="1:13" x14ac:dyDescent="0.35">
      <c r="A6" s="1" t="s">
        <v>15</v>
      </c>
      <c r="B6" s="1">
        <v>2.6498685613019247E-2</v>
      </c>
    </row>
    <row r="7" spans="1:13" x14ac:dyDescent="0.35">
      <c r="A7" s="1" t="s">
        <v>16</v>
      </c>
      <c r="B7" s="1">
        <v>1396.94222296574</v>
      </c>
    </row>
    <row r="8" spans="1:13" ht="17" thickBot="1" x14ac:dyDescent="0.4">
      <c r="A8" s="2" t="s">
        <v>17</v>
      </c>
      <c r="B8" s="2">
        <v>768</v>
      </c>
      <c r="L8" t="s">
        <v>46</v>
      </c>
      <c r="M8" t="s">
        <v>39</v>
      </c>
    </row>
    <row r="10" spans="1:13" ht="15" thickBot="1" x14ac:dyDescent="0.4">
      <c r="A10" t="s">
        <v>18</v>
      </c>
      <c r="L10" t="s">
        <v>46</v>
      </c>
      <c r="M10">
        <f>B5*768</f>
        <v>27.174384378887972</v>
      </c>
    </row>
    <row r="11" spans="1:13" x14ac:dyDescent="0.35">
      <c r="A11" s="3"/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</row>
    <row r="12" spans="1:13" x14ac:dyDescent="0.35">
      <c r="A12" s="1" t="s">
        <v>19</v>
      </c>
      <c r="B12" s="1">
        <v>7</v>
      </c>
      <c r="C12" s="1">
        <v>54401917.096984863</v>
      </c>
      <c r="D12" s="1">
        <v>7771702.4424264086</v>
      </c>
      <c r="E12" s="1">
        <v>3.9825320161093258</v>
      </c>
      <c r="F12" s="1">
        <v>2.7440166758626027E-4</v>
      </c>
      <c r="L12" t="s">
        <v>47</v>
      </c>
      <c r="M12">
        <f>_xlfn.CHISQ.DIST.RT(M10,7)</f>
        <v>3.1003032684966456E-4</v>
      </c>
    </row>
    <row r="13" spans="1:13" x14ac:dyDescent="0.35">
      <c r="A13" s="1" t="s">
        <v>10</v>
      </c>
      <c r="B13" s="1">
        <v>760</v>
      </c>
      <c r="C13" s="1">
        <v>1483100156.4713924</v>
      </c>
      <c r="D13" s="1">
        <v>1951447.5743044636</v>
      </c>
      <c r="E13" s="1"/>
      <c r="F13" s="1"/>
    </row>
    <row r="14" spans="1:13" ht="15" thickBot="1" x14ac:dyDescent="0.4">
      <c r="A14" s="2" t="s">
        <v>20</v>
      </c>
      <c r="B14" s="2">
        <v>767</v>
      </c>
      <c r="C14" s="2">
        <v>1537502073.5683773</v>
      </c>
      <c r="D14" s="2"/>
      <c r="E14" s="2"/>
      <c r="F14" s="2"/>
    </row>
    <row r="15" spans="1:13" ht="58.5" thickBot="1" x14ac:dyDescent="0.4">
      <c r="L15" s="10" t="s">
        <v>48</v>
      </c>
    </row>
    <row r="16" spans="1:13" x14ac:dyDescent="0.35">
      <c r="A16" s="3"/>
      <c r="B16" s="3" t="s">
        <v>27</v>
      </c>
      <c r="C16" s="3" t="s">
        <v>16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 x14ac:dyDescent="0.35">
      <c r="A17" s="1" t="s">
        <v>21</v>
      </c>
      <c r="B17" s="1">
        <v>-166.22733746627205</v>
      </c>
      <c r="C17" s="1">
        <v>273.58512249069105</v>
      </c>
      <c r="D17" s="1">
        <v>-0.60758909677893058</v>
      </c>
      <c r="E17" s="1">
        <v>0.54364153154668005</v>
      </c>
      <c r="F17" s="1">
        <v>-703.29963395264565</v>
      </c>
      <c r="G17" s="1">
        <v>370.84495902010156</v>
      </c>
      <c r="H17" s="1">
        <v>-703.29963395264565</v>
      </c>
      <c r="I17" s="1">
        <v>370.84495902010156</v>
      </c>
    </row>
    <row r="18" spans="1:9" x14ac:dyDescent="0.35">
      <c r="A18" s="1" t="s">
        <v>0</v>
      </c>
      <c r="B18" s="1">
        <v>-6.1381395673172845</v>
      </c>
      <c r="C18" s="1">
        <v>17.90597823190415</v>
      </c>
      <c r="D18" s="1">
        <v>-0.34279833739441251</v>
      </c>
      <c r="E18" s="1">
        <v>0.73184496654428566</v>
      </c>
      <c r="F18" s="1">
        <v>-41.289191504255108</v>
      </c>
      <c r="G18" s="1">
        <v>29.01291236962054</v>
      </c>
      <c r="H18" s="1">
        <v>-41.289191504255108</v>
      </c>
      <c r="I18" s="1">
        <v>29.01291236962054</v>
      </c>
    </row>
    <row r="19" spans="1:9" x14ac:dyDescent="0.35">
      <c r="A19" s="1" t="s">
        <v>1</v>
      </c>
      <c r="B19" s="1">
        <v>1.2232839672424349E-2</v>
      </c>
      <c r="C19" s="1">
        <v>2.8302422907501295</v>
      </c>
      <c r="D19" s="1">
        <v>4.3221881435395234E-3</v>
      </c>
      <c r="E19" s="1">
        <v>0.99655253778273534</v>
      </c>
      <c r="F19" s="1">
        <v>-5.5437883096784422</v>
      </c>
      <c r="G19" s="1">
        <v>5.5682539890232903</v>
      </c>
      <c r="H19" s="1">
        <v>-5.5437883096784422</v>
      </c>
      <c r="I19" s="1">
        <v>5.5682539890232903</v>
      </c>
    </row>
    <row r="20" spans="1:9" x14ac:dyDescent="0.35">
      <c r="A20" s="1" t="s">
        <v>2</v>
      </c>
      <c r="B20" s="1">
        <v>7.888742853066419</v>
      </c>
      <c r="C20" s="1">
        <v>3.8354048095914393</v>
      </c>
      <c r="D20" s="1">
        <v>2.0568214425081131</v>
      </c>
      <c r="E20" s="1">
        <v>4.004421680810686E-2</v>
      </c>
      <c r="F20" s="1">
        <v>0.35949692664640231</v>
      </c>
      <c r="G20" s="1">
        <v>15.417988779486436</v>
      </c>
      <c r="H20" s="1">
        <v>0.35949692664640231</v>
      </c>
      <c r="I20" s="1">
        <v>15.417988779486436</v>
      </c>
    </row>
    <row r="21" spans="1:9" x14ac:dyDescent="0.35">
      <c r="A21" s="1" t="s">
        <v>3</v>
      </c>
      <c r="B21" s="1">
        <v>-1.7373379903431716</v>
      </c>
      <c r="C21" s="1">
        <v>0.49074586152539246</v>
      </c>
      <c r="D21" s="1">
        <v>-3.5401989635592215</v>
      </c>
      <c r="E21" s="1">
        <v>4.2416317194448764E-4</v>
      </c>
      <c r="F21" s="1">
        <v>-2.7007164242329544</v>
      </c>
      <c r="G21" s="1">
        <v>-0.77395955645338854</v>
      </c>
      <c r="H21" s="1">
        <v>-2.7007164242329544</v>
      </c>
      <c r="I21" s="1">
        <v>-0.77395955645338854</v>
      </c>
    </row>
    <row r="22" spans="1:9" x14ac:dyDescent="0.35">
      <c r="A22" s="1" t="s">
        <v>4</v>
      </c>
      <c r="B22" s="1">
        <v>14.0392432135167</v>
      </c>
      <c r="C22" s="1">
        <v>7.1614059563702588</v>
      </c>
      <c r="D22" s="1">
        <v>1.9604032083991028</v>
      </c>
      <c r="E22" s="1">
        <v>5.0313624087541989E-2</v>
      </c>
      <c r="F22" s="1">
        <v>-1.9243256959557087E-2</v>
      </c>
      <c r="G22" s="1">
        <v>28.097729683992959</v>
      </c>
      <c r="H22" s="1">
        <v>-1.9243256959557087E-2</v>
      </c>
      <c r="I22" s="1">
        <v>28.097729683992959</v>
      </c>
    </row>
    <row r="23" spans="1:9" x14ac:dyDescent="0.35">
      <c r="A23" s="1" t="s">
        <v>5</v>
      </c>
      <c r="B23" s="1">
        <v>167.0293922235748</v>
      </c>
      <c r="C23" s="1">
        <v>156.85083238788118</v>
      </c>
      <c r="D23" s="1">
        <v>1.0648932471746324</v>
      </c>
      <c r="E23" s="1">
        <v>0.28726244124038525</v>
      </c>
      <c r="F23" s="1">
        <v>-140.88295326306604</v>
      </c>
      <c r="G23" s="1">
        <v>474.94173771021565</v>
      </c>
      <c r="H23" s="1">
        <v>-140.88295326306604</v>
      </c>
      <c r="I23" s="1">
        <v>474.94173771021565</v>
      </c>
    </row>
    <row r="24" spans="1:9" ht="15" thickBot="1" x14ac:dyDescent="0.4">
      <c r="A24" s="2" t="s">
        <v>6</v>
      </c>
      <c r="B24" s="2">
        <v>12.743201634877538</v>
      </c>
      <c r="C24" s="2">
        <v>5.2795804642709614</v>
      </c>
      <c r="D24" s="2">
        <v>2.4136769429154259</v>
      </c>
      <c r="E24" s="2">
        <v>1.602794136793324E-2</v>
      </c>
      <c r="F24" s="2">
        <v>2.3789085087881237</v>
      </c>
      <c r="G24" s="2">
        <v>23.107494760966951</v>
      </c>
      <c r="H24" s="2">
        <v>2.3789085087881237</v>
      </c>
      <c r="I24" s="2">
        <v>23.107494760966951</v>
      </c>
    </row>
    <row r="28" spans="1:9" x14ac:dyDescent="0.35">
      <c r="A28" t="s">
        <v>34</v>
      </c>
    </row>
    <row r="29" spans="1:9" ht="15" thickBot="1" x14ac:dyDescent="0.4"/>
    <row r="30" spans="1:9" x14ac:dyDescent="0.35">
      <c r="A30" s="3" t="s">
        <v>35</v>
      </c>
      <c r="B30" s="3" t="s">
        <v>38</v>
      </c>
      <c r="C30" s="3" t="s">
        <v>37</v>
      </c>
    </row>
    <row r="31" spans="1:9" x14ac:dyDescent="0.35">
      <c r="A31" s="1">
        <v>1</v>
      </c>
      <c r="B31" s="1">
        <v>1287.5366720857828</v>
      </c>
      <c r="C31" s="1">
        <v>-578.45786971226437</v>
      </c>
    </row>
    <row r="32" spans="1:9" x14ac:dyDescent="0.35">
      <c r="A32" s="1">
        <v>2</v>
      </c>
      <c r="B32" s="1">
        <v>884.32586995493944</v>
      </c>
      <c r="C32" s="1">
        <v>-545.51140843873657</v>
      </c>
    </row>
    <row r="33" spans="1:3" x14ac:dyDescent="0.35">
      <c r="A33" s="1">
        <v>3</v>
      </c>
      <c r="B33" s="1">
        <v>632.59101849948752</v>
      </c>
      <c r="C33" s="1">
        <v>4188.0370828071436</v>
      </c>
    </row>
    <row r="34" spans="1:3" x14ac:dyDescent="0.35">
      <c r="A34" s="1">
        <v>4</v>
      </c>
      <c r="B34" s="1">
        <v>536.57708204664482</v>
      </c>
      <c r="C34" s="1">
        <v>-161.45614211146744</v>
      </c>
    </row>
    <row r="35" spans="1:3" x14ac:dyDescent="0.35">
      <c r="A35" s="1">
        <v>5</v>
      </c>
      <c r="B35" s="1">
        <v>1226.2754794613645</v>
      </c>
      <c r="C35" s="1">
        <v>-1198.1113125904924</v>
      </c>
    </row>
    <row r="36" spans="1:3" x14ac:dyDescent="0.35">
      <c r="A36" s="1">
        <v>6</v>
      </c>
      <c r="B36" s="1">
        <v>579.26077798219308</v>
      </c>
      <c r="C36" s="1">
        <v>-559.48545886749753</v>
      </c>
    </row>
    <row r="37" spans="1:3" x14ac:dyDescent="0.35">
      <c r="A37" s="1">
        <v>7</v>
      </c>
      <c r="B37" s="1">
        <v>723.48698536060374</v>
      </c>
      <c r="C37" s="1">
        <v>279.37506436432625</v>
      </c>
    </row>
    <row r="38" spans="1:3" x14ac:dyDescent="0.35">
      <c r="A38" s="1">
        <v>8</v>
      </c>
      <c r="B38" s="1">
        <v>659.91133826710222</v>
      </c>
      <c r="C38" s="1">
        <v>-655.39400534053573</v>
      </c>
    </row>
    <row r="39" spans="1:3" x14ac:dyDescent="0.35">
      <c r="A39" s="1">
        <v>9</v>
      </c>
      <c r="B39" s="1">
        <v>363.94883043990336</v>
      </c>
      <c r="C39" s="1">
        <v>427.87386292358718</v>
      </c>
    </row>
    <row r="40" spans="1:3" x14ac:dyDescent="0.35">
      <c r="A40" s="1">
        <v>10</v>
      </c>
      <c r="B40" s="1">
        <v>512.72560588299882</v>
      </c>
      <c r="C40" s="1">
        <v>-280.01132282487163</v>
      </c>
    </row>
    <row r="41" spans="1:3" x14ac:dyDescent="0.35">
      <c r="A41" s="1">
        <v>11</v>
      </c>
      <c r="B41" s="1">
        <v>752.41973330357871</v>
      </c>
      <c r="C41" s="1">
        <v>-615.64425996452178</v>
      </c>
    </row>
    <row r="42" spans="1:3" x14ac:dyDescent="0.35">
      <c r="A42" s="1">
        <v>12</v>
      </c>
      <c r="B42" s="1">
        <v>829.75137831984512</v>
      </c>
      <c r="C42" s="1">
        <v>946.48629323736645</v>
      </c>
    </row>
    <row r="43" spans="1:3" x14ac:dyDescent="0.35">
      <c r="A43" s="1">
        <v>13</v>
      </c>
      <c r="B43" s="1">
        <v>1120.8852325028427</v>
      </c>
      <c r="C43" s="1">
        <v>-1120.7609229769439</v>
      </c>
    </row>
    <row r="44" spans="1:3" x14ac:dyDescent="0.35">
      <c r="A44" s="1">
        <v>14</v>
      </c>
      <c r="B44" s="1">
        <v>-219.07054557342929</v>
      </c>
      <c r="C44" s="1">
        <v>702.50904054766715</v>
      </c>
    </row>
    <row r="45" spans="1:3" x14ac:dyDescent="0.35">
      <c r="A45" s="1">
        <v>15</v>
      </c>
      <c r="B45" s="1">
        <v>759.97670657448668</v>
      </c>
      <c r="C45" s="1">
        <v>-19.298534048159013</v>
      </c>
    </row>
    <row r="46" spans="1:3" x14ac:dyDescent="0.35">
      <c r="A46" s="1">
        <v>16</v>
      </c>
      <c r="B46" s="1">
        <v>700.60766012029944</v>
      </c>
      <c r="C46" s="1">
        <v>-535.02820073334692</v>
      </c>
    </row>
    <row r="47" spans="1:3" x14ac:dyDescent="0.35">
      <c r="A47" s="1">
        <v>17</v>
      </c>
      <c r="B47" s="1">
        <v>936.05318235686218</v>
      </c>
      <c r="C47" s="1">
        <v>-560.81470714873308</v>
      </c>
    </row>
    <row r="48" spans="1:3" x14ac:dyDescent="0.35">
      <c r="A48" s="1">
        <v>18</v>
      </c>
      <c r="B48" s="1">
        <v>644.73723112435232</v>
      </c>
      <c r="C48" s="1">
        <v>-569.87877790944503</v>
      </c>
    </row>
    <row r="49" spans="1:3" x14ac:dyDescent="0.35">
      <c r="A49" s="1">
        <v>19</v>
      </c>
      <c r="B49" s="1">
        <v>1042.5659472477703</v>
      </c>
      <c r="C49" s="1">
        <v>-787.31672941694853</v>
      </c>
    </row>
    <row r="50" spans="1:3" x14ac:dyDescent="0.35">
      <c r="A50" s="1">
        <v>20</v>
      </c>
      <c r="B50" s="1">
        <v>880.26747625255848</v>
      </c>
      <c r="C50" s="1">
        <v>-846.96716443965067</v>
      </c>
    </row>
    <row r="51" spans="1:3" x14ac:dyDescent="0.35">
      <c r="A51" s="1">
        <v>21</v>
      </c>
      <c r="B51" s="1">
        <v>744.99615752632383</v>
      </c>
      <c r="C51" s="1">
        <v>-683.46380468757513</v>
      </c>
    </row>
    <row r="52" spans="1:3" x14ac:dyDescent="0.35">
      <c r="A52" s="1">
        <v>22</v>
      </c>
      <c r="B52" s="1">
        <v>984.65180021278843</v>
      </c>
      <c r="C52" s="1">
        <v>231.21973662676942</v>
      </c>
    </row>
    <row r="53" spans="1:3" x14ac:dyDescent="0.35">
      <c r="A53" s="1">
        <v>23</v>
      </c>
      <c r="B53" s="1">
        <v>948.47004395380111</v>
      </c>
      <c r="C53" s="1">
        <v>3131.8636892746604</v>
      </c>
    </row>
    <row r="54" spans="1:3" x14ac:dyDescent="0.35">
      <c r="A54" s="1">
        <v>24</v>
      </c>
      <c r="B54" s="1">
        <v>876.23366421722403</v>
      </c>
      <c r="C54" s="1">
        <v>-614.03752073994087</v>
      </c>
    </row>
    <row r="55" spans="1:3" x14ac:dyDescent="0.35">
      <c r="A55" s="1">
        <v>25</v>
      </c>
      <c r="B55" s="1">
        <v>980.24523240178814</v>
      </c>
      <c r="C55" s="1">
        <v>-964.92031669726146</v>
      </c>
    </row>
    <row r="56" spans="1:3" x14ac:dyDescent="0.35">
      <c r="A56" s="1">
        <v>26</v>
      </c>
      <c r="B56" s="1">
        <v>771.89376730406832</v>
      </c>
      <c r="C56" s="1">
        <v>-771.42893435992721</v>
      </c>
    </row>
    <row r="57" spans="1:3" x14ac:dyDescent="0.35">
      <c r="A57" s="1">
        <v>27</v>
      </c>
      <c r="B57" s="1">
        <v>935.76578809136208</v>
      </c>
      <c r="C57" s="1">
        <v>-676.78446006615263</v>
      </c>
    </row>
    <row r="58" spans="1:3" x14ac:dyDescent="0.35">
      <c r="A58" s="1">
        <v>28</v>
      </c>
      <c r="B58" s="1">
        <v>390.94990706651708</v>
      </c>
      <c r="C58" s="1">
        <v>-79.284089630286928</v>
      </c>
    </row>
    <row r="59" spans="1:3" x14ac:dyDescent="0.35">
      <c r="A59" s="1">
        <v>29</v>
      </c>
      <c r="B59" s="1">
        <v>792.71476990512144</v>
      </c>
      <c r="C59" s="1">
        <v>-634.84712468805924</v>
      </c>
    </row>
    <row r="60" spans="1:3" x14ac:dyDescent="0.35">
      <c r="A60" s="1">
        <v>30</v>
      </c>
      <c r="B60" s="1">
        <v>823.4761468326152</v>
      </c>
      <c r="C60" s="1">
        <v>-756.0352563501649</v>
      </c>
    </row>
    <row r="61" spans="1:3" x14ac:dyDescent="0.35">
      <c r="A61" s="1">
        <v>31</v>
      </c>
      <c r="B61" s="1">
        <v>1370.3096437856257</v>
      </c>
      <c r="C61" s="1">
        <v>-828.69620525639448</v>
      </c>
    </row>
    <row r="62" spans="1:3" x14ac:dyDescent="0.35">
      <c r="A62" s="1">
        <v>32</v>
      </c>
      <c r="B62" s="1">
        <v>617.22661882915543</v>
      </c>
      <c r="C62" s="1">
        <v>86.276108035780112</v>
      </c>
    </row>
    <row r="63" spans="1:3" x14ac:dyDescent="0.35">
      <c r="A63" s="1">
        <v>33</v>
      </c>
      <c r="B63" s="1">
        <v>482.14818382419048</v>
      </c>
      <c r="C63" s="1">
        <v>-131.77113111837559</v>
      </c>
    </row>
    <row r="64" spans="1:3" x14ac:dyDescent="0.35">
      <c r="A64" s="1">
        <v>34</v>
      </c>
      <c r="B64" s="1">
        <v>465.66135784327275</v>
      </c>
      <c r="C64" s="1">
        <v>-233.91414668801517</v>
      </c>
    </row>
    <row r="65" spans="1:3" x14ac:dyDescent="0.35">
      <c r="A65" s="1">
        <v>35</v>
      </c>
      <c r="B65" s="1">
        <v>1064.3426918810837</v>
      </c>
      <c r="C65" s="1">
        <v>-1014.0727394775045</v>
      </c>
    </row>
    <row r="66" spans="1:3" x14ac:dyDescent="0.35">
      <c r="A66" s="1">
        <v>36</v>
      </c>
      <c r="B66" s="1">
        <v>655.53157861343993</v>
      </c>
      <c r="C66" s="1">
        <v>-200.02591843144376</v>
      </c>
    </row>
    <row r="67" spans="1:3" x14ac:dyDescent="0.35">
      <c r="A67" s="1">
        <v>37</v>
      </c>
      <c r="B67" s="1">
        <v>749.45009975171183</v>
      </c>
      <c r="C67" s="1">
        <v>-504.79009774748226</v>
      </c>
    </row>
    <row r="68" spans="1:3" x14ac:dyDescent="0.35">
      <c r="A68" s="1">
        <v>38</v>
      </c>
      <c r="B68" s="1">
        <v>1230.4955105641775</v>
      </c>
      <c r="C68" s="1">
        <v>-965.01397841180074</v>
      </c>
    </row>
    <row r="69" spans="1:3" x14ac:dyDescent="0.35">
      <c r="A69" s="1">
        <v>39</v>
      </c>
      <c r="B69" s="1">
        <v>1118.0367355120975</v>
      </c>
      <c r="C69" s="1">
        <v>-850.93994282473818</v>
      </c>
    </row>
    <row r="70" spans="1:3" x14ac:dyDescent="0.35">
      <c r="A70" s="1">
        <v>40</v>
      </c>
      <c r="B70" s="1">
        <v>1287.8888887793391</v>
      </c>
      <c r="C70" s="1">
        <v>183.49303814198288</v>
      </c>
    </row>
    <row r="71" spans="1:3" x14ac:dyDescent="0.35">
      <c r="A71" s="1">
        <v>41</v>
      </c>
      <c r="B71" s="1">
        <v>745.66853463242228</v>
      </c>
      <c r="C71" s="1">
        <v>3666.5133702512876</v>
      </c>
    </row>
    <row r="72" spans="1:3" x14ac:dyDescent="0.35">
      <c r="A72" s="1">
        <v>42</v>
      </c>
      <c r="B72" s="1">
        <v>943.96173875643899</v>
      </c>
      <c r="C72" s="1">
        <v>-939.83624670147788</v>
      </c>
    </row>
    <row r="73" spans="1:3" x14ac:dyDescent="0.35">
      <c r="A73" s="1">
        <v>43</v>
      </c>
      <c r="B73" s="1">
        <v>903.54488476105666</v>
      </c>
      <c r="C73" s="1">
        <v>-791.85022108119961</v>
      </c>
    </row>
    <row r="74" spans="1:3" x14ac:dyDescent="0.35">
      <c r="A74" s="1">
        <v>44</v>
      </c>
      <c r="B74" s="1">
        <v>998.18645155331455</v>
      </c>
      <c r="C74" s="1">
        <v>-949.59548534219562</v>
      </c>
    </row>
    <row r="75" spans="1:3" x14ac:dyDescent="0.35">
      <c r="A75" s="1">
        <v>45</v>
      </c>
      <c r="B75" s="1">
        <v>735.09855806073222</v>
      </c>
      <c r="C75" s="1">
        <v>836.14417282913371</v>
      </c>
    </row>
    <row r="76" spans="1:3" x14ac:dyDescent="0.35">
      <c r="A76" s="1">
        <v>46</v>
      </c>
      <c r="B76" s="1">
        <v>1366.6558965405654</v>
      </c>
      <c r="C76" s="1">
        <v>2548.582903482361</v>
      </c>
    </row>
    <row r="77" spans="1:3" x14ac:dyDescent="0.35">
      <c r="A77" s="1">
        <v>47</v>
      </c>
      <c r="B77" s="1">
        <v>709.04251005505716</v>
      </c>
      <c r="C77" s="1">
        <v>265.61080923891757</v>
      </c>
    </row>
    <row r="78" spans="1:3" x14ac:dyDescent="0.35">
      <c r="A78" s="1">
        <v>48</v>
      </c>
      <c r="B78" s="1">
        <v>806.67720899774463</v>
      </c>
      <c r="C78" s="1">
        <v>101.85333167367753</v>
      </c>
    </row>
    <row r="79" spans="1:3" x14ac:dyDescent="0.35">
      <c r="A79" s="1">
        <v>49</v>
      </c>
      <c r="B79" s="1">
        <v>1045.4845955336289</v>
      </c>
      <c r="C79" s="1">
        <v>-962.81823153952087</v>
      </c>
    </row>
    <row r="80" spans="1:3" x14ac:dyDescent="0.35">
      <c r="A80" s="1">
        <v>50</v>
      </c>
      <c r="B80" s="1">
        <v>147.58648942775821</v>
      </c>
      <c r="C80" s="1">
        <v>290.63573237868525</v>
      </c>
    </row>
    <row r="81" spans="1:3" x14ac:dyDescent="0.35">
      <c r="A81" s="1">
        <v>51</v>
      </c>
      <c r="B81" s="1">
        <v>407.65079220710015</v>
      </c>
      <c r="C81" s="1">
        <v>-379.37067388474446</v>
      </c>
    </row>
    <row r="82" spans="1:3" x14ac:dyDescent="0.35">
      <c r="A82" s="1">
        <v>52</v>
      </c>
      <c r="B82" s="1">
        <v>642.96352867719452</v>
      </c>
      <c r="C82" s="1">
        <v>-610.91165213406646</v>
      </c>
    </row>
    <row r="83" spans="1:3" x14ac:dyDescent="0.35">
      <c r="A83" s="1">
        <v>53</v>
      </c>
      <c r="B83" s="1">
        <v>711.57179384861956</v>
      </c>
      <c r="C83" s="1">
        <v>-377.60329520034099</v>
      </c>
    </row>
    <row r="84" spans="1:3" x14ac:dyDescent="0.35">
      <c r="A84" s="1">
        <v>54</v>
      </c>
      <c r="B84" s="1">
        <v>823.01527875383431</v>
      </c>
      <c r="C84" s="1">
        <v>-479.0686516079096</v>
      </c>
    </row>
    <row r="85" spans="1:3" x14ac:dyDescent="0.35">
      <c r="A85" s="1">
        <v>55</v>
      </c>
      <c r="B85" s="1">
        <v>671.07397190272468</v>
      </c>
      <c r="C85" s="1">
        <v>-670.544155097611</v>
      </c>
    </row>
    <row r="86" spans="1:3" x14ac:dyDescent="0.35">
      <c r="A86" s="1">
        <v>56</v>
      </c>
      <c r="B86" s="1">
        <v>539.06671099545497</v>
      </c>
      <c r="C86" s="1">
        <v>128.27123778869748</v>
      </c>
    </row>
    <row r="87" spans="1:3" x14ac:dyDescent="0.35">
      <c r="A87" s="1">
        <v>57</v>
      </c>
      <c r="B87" s="1">
        <v>665.32394266984477</v>
      </c>
      <c r="C87" s="1">
        <v>1075.9329425708902</v>
      </c>
    </row>
    <row r="88" spans="1:3" x14ac:dyDescent="0.35">
      <c r="A88" s="1">
        <v>58</v>
      </c>
      <c r="B88" s="1">
        <v>1329.8246530640017</v>
      </c>
      <c r="C88" s="1">
        <v>-724.91985102874685</v>
      </c>
    </row>
    <row r="89" spans="1:3" x14ac:dyDescent="0.35">
      <c r="A89" s="1">
        <v>59</v>
      </c>
      <c r="B89" s="1">
        <v>1261.5453250190915</v>
      </c>
      <c r="C89" s="1">
        <v>-1245.6368448837568</v>
      </c>
    </row>
    <row r="90" spans="1:3" x14ac:dyDescent="0.35">
      <c r="A90" s="1">
        <v>60</v>
      </c>
      <c r="B90" s="1">
        <v>803.16714080268321</v>
      </c>
      <c r="C90" s="1">
        <v>-641.55562131191027</v>
      </c>
    </row>
    <row r="91" spans="1:3" x14ac:dyDescent="0.35">
      <c r="A91" s="1">
        <v>61</v>
      </c>
      <c r="B91" s="1">
        <v>139.8805529674884</v>
      </c>
      <c r="C91" s="1">
        <v>-135.16985510952546</v>
      </c>
    </row>
    <row r="92" spans="1:3" x14ac:dyDescent="0.35">
      <c r="A92" s="1">
        <v>62</v>
      </c>
      <c r="B92" s="1">
        <v>789.52221183689278</v>
      </c>
      <c r="C92" s="1">
        <v>-695.62687083315927</v>
      </c>
    </row>
    <row r="93" spans="1:3" x14ac:dyDescent="0.35">
      <c r="A93" s="1">
        <v>63</v>
      </c>
      <c r="B93" s="1">
        <v>711.62299318557916</v>
      </c>
      <c r="C93" s="1">
        <v>4555.089252951384</v>
      </c>
    </row>
    <row r="94" spans="1:3" x14ac:dyDescent="0.35">
      <c r="A94" s="1">
        <v>64</v>
      </c>
      <c r="B94" s="1">
        <v>647.23104436509016</v>
      </c>
      <c r="C94" s="1">
        <v>260.19744781928057</v>
      </c>
    </row>
    <row r="95" spans="1:3" x14ac:dyDescent="0.35">
      <c r="A95" s="1">
        <v>65</v>
      </c>
      <c r="B95" s="1">
        <v>830.40828224277357</v>
      </c>
      <c r="C95" s="1">
        <v>-717.71121123267108</v>
      </c>
    </row>
    <row r="96" spans="1:3" x14ac:dyDescent="0.35">
      <c r="A96" s="1">
        <v>66</v>
      </c>
      <c r="B96" s="1">
        <v>865.81072399514551</v>
      </c>
      <c r="C96" s="1">
        <v>-811.30965442618799</v>
      </c>
    </row>
    <row r="97" spans="1:3" x14ac:dyDescent="0.35">
      <c r="A97" s="1">
        <v>67</v>
      </c>
      <c r="B97" s="1">
        <v>1154.8386349326895</v>
      </c>
      <c r="C97" s="1">
        <v>-1095.8344194632355</v>
      </c>
    </row>
    <row r="98" spans="1:3" x14ac:dyDescent="0.35">
      <c r="A98" s="1">
        <v>68</v>
      </c>
      <c r="B98" s="1">
        <v>1251.3702145784273</v>
      </c>
      <c r="C98" s="1">
        <v>46.131828002540715</v>
      </c>
    </row>
    <row r="99" spans="1:3" x14ac:dyDescent="0.35">
      <c r="A99" s="1">
        <v>69</v>
      </c>
      <c r="B99" s="1">
        <v>514.51372870115347</v>
      </c>
      <c r="C99" s="1">
        <v>-444.92337740173485</v>
      </c>
    </row>
    <row r="100" spans="1:3" x14ac:dyDescent="0.35">
      <c r="A100" s="1">
        <v>70</v>
      </c>
      <c r="B100" s="1">
        <v>630.89128177767282</v>
      </c>
      <c r="C100" s="1">
        <v>409.04048767546226</v>
      </c>
    </row>
    <row r="101" spans="1:3" x14ac:dyDescent="0.35">
      <c r="A101" s="1">
        <v>71</v>
      </c>
      <c r="B101" s="1">
        <v>787.23341930702611</v>
      </c>
      <c r="C101" s="1">
        <v>-322.08107443096839</v>
      </c>
    </row>
    <row r="102" spans="1:3" x14ac:dyDescent="0.35">
      <c r="A102" s="1">
        <v>72</v>
      </c>
      <c r="B102" s="1">
        <v>638.23822626274023</v>
      </c>
      <c r="C102" s="1">
        <v>-24.053852289330848</v>
      </c>
    </row>
    <row r="103" spans="1:3" x14ac:dyDescent="0.35">
      <c r="A103" s="1">
        <v>73</v>
      </c>
      <c r="B103" s="1">
        <v>996.97356352694692</v>
      </c>
      <c r="C103" s="1">
        <v>-883.42226120978137</v>
      </c>
    </row>
    <row r="104" spans="1:3" x14ac:dyDescent="0.35">
      <c r="A104" s="1">
        <v>74</v>
      </c>
      <c r="B104" s="1">
        <v>323.42059214522476</v>
      </c>
      <c r="C104" s="1">
        <v>-280.13445030086143</v>
      </c>
    </row>
    <row r="105" spans="1:3" x14ac:dyDescent="0.35">
      <c r="A105" s="1">
        <v>75</v>
      </c>
      <c r="B105" s="1">
        <v>860.96412965421086</v>
      </c>
      <c r="C105" s="1">
        <v>-321.26446829178406</v>
      </c>
    </row>
    <row r="106" spans="1:3" x14ac:dyDescent="0.35">
      <c r="A106" s="1">
        <v>76</v>
      </c>
      <c r="B106" s="1">
        <v>636.50041458448413</v>
      </c>
      <c r="C106" s="1">
        <v>8692.9220082525317</v>
      </c>
    </row>
    <row r="107" spans="1:3" x14ac:dyDescent="0.35">
      <c r="A107" s="1">
        <v>77</v>
      </c>
      <c r="B107" s="1">
        <v>837.21893520699746</v>
      </c>
      <c r="C107" s="1">
        <v>3195.1608327577296</v>
      </c>
    </row>
    <row r="108" spans="1:3" x14ac:dyDescent="0.35">
      <c r="A108" s="1">
        <v>78</v>
      </c>
      <c r="B108" s="1">
        <v>999.43803171874379</v>
      </c>
      <c r="C108" s="1">
        <v>-814.66846945001271</v>
      </c>
    </row>
    <row r="109" spans="1:3" x14ac:dyDescent="0.35">
      <c r="A109" s="1">
        <v>79</v>
      </c>
      <c r="B109" s="1">
        <v>816.68914776483064</v>
      </c>
      <c r="C109" s="1">
        <v>-624.4796241370525</v>
      </c>
    </row>
    <row r="110" spans="1:3" x14ac:dyDescent="0.35">
      <c r="A110" s="1">
        <v>80</v>
      </c>
      <c r="B110" s="1">
        <v>703.95203657255047</v>
      </c>
      <c r="C110" s="1">
        <v>-555.36471864711018</v>
      </c>
    </row>
    <row r="111" spans="1:3" x14ac:dyDescent="0.35">
      <c r="A111" s="1">
        <v>81</v>
      </c>
      <c r="B111" s="1">
        <v>536.66374472860662</v>
      </c>
      <c r="C111" s="1">
        <v>-281.96430124666415</v>
      </c>
    </row>
    <row r="112" spans="1:3" x14ac:dyDescent="0.35">
      <c r="A112" s="1">
        <v>82</v>
      </c>
      <c r="B112" s="1">
        <v>118.88381737320384</v>
      </c>
      <c r="C112" s="1">
        <v>-67.058719674921306</v>
      </c>
    </row>
    <row r="113" spans="1:3" x14ac:dyDescent="0.35">
      <c r="A113" s="1">
        <v>83</v>
      </c>
      <c r="B113" s="1">
        <v>871.73279276943038</v>
      </c>
      <c r="C113" s="1">
        <v>543.31752123382182</v>
      </c>
    </row>
    <row r="114" spans="1:3" x14ac:dyDescent="0.35">
      <c r="A114" s="1">
        <v>84</v>
      </c>
      <c r="B114" s="1">
        <v>720.75438197509925</v>
      </c>
      <c r="C114" s="1">
        <v>-691.42385737507345</v>
      </c>
    </row>
    <row r="115" spans="1:3" x14ac:dyDescent="0.35">
      <c r="A115" s="1">
        <v>85</v>
      </c>
      <c r="B115" s="1">
        <v>998.93231272659864</v>
      </c>
      <c r="C115" s="1">
        <v>-997.97591990491719</v>
      </c>
    </row>
    <row r="116" spans="1:3" x14ac:dyDescent="0.35">
      <c r="A116" s="1">
        <v>86</v>
      </c>
      <c r="B116" s="1">
        <v>749.5323475125723</v>
      </c>
      <c r="C116" s="1">
        <v>-638.26557186669379</v>
      </c>
    </row>
    <row r="117" spans="1:3" x14ac:dyDescent="0.35">
      <c r="A117" s="1">
        <v>87</v>
      </c>
      <c r="B117" s="1">
        <v>1297.8613336806011</v>
      </c>
      <c r="C117" s="1">
        <v>-1266.2577753482342</v>
      </c>
    </row>
    <row r="118" spans="1:3" x14ac:dyDescent="0.35">
      <c r="A118" s="1">
        <v>88</v>
      </c>
      <c r="B118" s="1">
        <v>822.1474198167607</v>
      </c>
      <c r="C118" s="1">
        <v>-512.08719318816782</v>
      </c>
    </row>
    <row r="119" spans="1:3" x14ac:dyDescent="0.35">
      <c r="A119" s="1">
        <v>89</v>
      </c>
      <c r="B119" s="1">
        <v>898.25855069282557</v>
      </c>
      <c r="C119" s="1">
        <v>-848.30618715277285</v>
      </c>
    </row>
    <row r="120" spans="1:3" x14ac:dyDescent="0.35">
      <c r="A120" s="1">
        <v>90</v>
      </c>
      <c r="B120" s="1">
        <v>683.78910438454091</v>
      </c>
      <c r="C120" s="1">
        <v>-649.24758342528787</v>
      </c>
    </row>
    <row r="121" spans="1:3" x14ac:dyDescent="0.35">
      <c r="A121" s="1">
        <v>91</v>
      </c>
      <c r="B121" s="1">
        <v>407.1576920526735</v>
      </c>
      <c r="C121" s="1">
        <v>-20.541676690820623</v>
      </c>
    </row>
    <row r="122" spans="1:3" x14ac:dyDescent="0.35">
      <c r="A122" s="1">
        <v>92</v>
      </c>
      <c r="B122" s="1">
        <v>579.27704710726528</v>
      </c>
      <c r="C122" s="1">
        <v>-469.1051049681779</v>
      </c>
    </row>
    <row r="123" spans="1:3" x14ac:dyDescent="0.35">
      <c r="A123" s="1">
        <v>93</v>
      </c>
      <c r="B123" s="1">
        <v>1258.3591357495802</v>
      </c>
      <c r="C123" s="1">
        <v>890.64279088347803</v>
      </c>
    </row>
    <row r="124" spans="1:3" x14ac:dyDescent="0.35">
      <c r="A124" s="1">
        <v>94</v>
      </c>
      <c r="B124" s="1">
        <v>955.09409694115334</v>
      </c>
      <c r="C124" s="1">
        <v>-937.80009239905598</v>
      </c>
    </row>
    <row r="125" spans="1:3" x14ac:dyDescent="0.35">
      <c r="A125" s="1">
        <v>95</v>
      </c>
      <c r="B125" s="1">
        <v>594.79312541389595</v>
      </c>
      <c r="C125" s="1">
        <v>467.62710145358028</v>
      </c>
    </row>
    <row r="126" spans="1:3" x14ac:dyDescent="0.35">
      <c r="A126" s="1">
        <v>96</v>
      </c>
      <c r="B126" s="1">
        <v>642.95849017111823</v>
      </c>
      <c r="C126" s="1">
        <v>-611.34493196607036</v>
      </c>
    </row>
    <row r="127" spans="1:3" x14ac:dyDescent="0.35">
      <c r="A127" s="1">
        <v>97</v>
      </c>
      <c r="B127" s="1">
        <v>814.33036511789692</v>
      </c>
      <c r="C127" s="1">
        <v>-726.74503672075718</v>
      </c>
    </row>
    <row r="128" spans="1:3" x14ac:dyDescent="0.35">
      <c r="A128" s="1">
        <v>98</v>
      </c>
      <c r="B128" s="1">
        <v>458.88287457106264</v>
      </c>
      <c r="C128" s="1">
        <v>553.84642413351855</v>
      </c>
    </row>
    <row r="129" spans="1:3" x14ac:dyDescent="0.35">
      <c r="A129" s="1">
        <v>99</v>
      </c>
      <c r="B129" s="1">
        <v>678.51050278518028</v>
      </c>
      <c r="C129" s="1">
        <v>-531.55691012555576</v>
      </c>
    </row>
    <row r="130" spans="1:3" x14ac:dyDescent="0.35">
      <c r="A130" s="1">
        <v>100</v>
      </c>
      <c r="B130" s="1">
        <v>995.92119703346407</v>
      </c>
      <c r="C130" s="1">
        <v>-770.70882575977259</v>
      </c>
    </row>
    <row r="131" spans="1:3" x14ac:dyDescent="0.35">
      <c r="A131" s="1">
        <v>101</v>
      </c>
      <c r="B131" s="1">
        <v>1000.6813439981436</v>
      </c>
      <c r="C131" s="1">
        <v>113.81314682350649</v>
      </c>
    </row>
    <row r="132" spans="1:3" x14ac:dyDescent="0.35">
      <c r="A132" s="1">
        <v>102</v>
      </c>
      <c r="B132" s="1">
        <v>505.04143839486773</v>
      </c>
      <c r="C132" s="1">
        <v>1573.3103581666892</v>
      </c>
    </row>
    <row r="133" spans="1:3" x14ac:dyDescent="0.35">
      <c r="A133" s="1">
        <v>103</v>
      </c>
      <c r="B133" s="1">
        <v>462.19892254141132</v>
      </c>
      <c r="C133" s="1">
        <v>-64.246342019407109</v>
      </c>
    </row>
    <row r="134" spans="1:3" x14ac:dyDescent="0.35">
      <c r="A134" s="1">
        <v>104</v>
      </c>
      <c r="B134" s="1">
        <v>627.56916588017066</v>
      </c>
      <c r="C134" s="1">
        <v>26.596578540597761</v>
      </c>
    </row>
    <row r="135" spans="1:3" x14ac:dyDescent="0.35">
      <c r="A135" s="1">
        <v>105</v>
      </c>
      <c r="B135" s="1">
        <v>877.64932814268047</v>
      </c>
      <c r="C135" s="1">
        <v>637.03209989094705</v>
      </c>
    </row>
    <row r="136" spans="1:3" x14ac:dyDescent="0.35">
      <c r="A136" s="1">
        <v>106</v>
      </c>
      <c r="B136" s="1">
        <v>597.34178792627154</v>
      </c>
      <c r="C136" s="1">
        <v>-496.23165913580596</v>
      </c>
    </row>
    <row r="137" spans="1:3" x14ac:dyDescent="0.35">
      <c r="A137" s="1">
        <v>107</v>
      </c>
      <c r="B137" s="1">
        <v>522.2475057211941</v>
      </c>
      <c r="C137" s="1">
        <v>-315.45867439496999</v>
      </c>
    </row>
    <row r="138" spans="1:3" x14ac:dyDescent="0.35">
      <c r="A138" s="1">
        <v>108</v>
      </c>
      <c r="B138" s="1">
        <v>721.18066106065271</v>
      </c>
      <c r="C138" s="1">
        <v>-283.02396372031552</v>
      </c>
    </row>
    <row r="139" spans="1:3" x14ac:dyDescent="0.35">
      <c r="A139" s="1">
        <v>109</v>
      </c>
      <c r="B139" s="1">
        <v>885.59465203434092</v>
      </c>
      <c r="C139" s="1">
        <v>-360.47212549268772</v>
      </c>
    </row>
    <row r="140" spans="1:3" x14ac:dyDescent="0.35">
      <c r="A140" s="1">
        <v>110</v>
      </c>
      <c r="B140" s="1">
        <v>841.64765288199874</v>
      </c>
      <c r="C140" s="1">
        <v>-533.21269924962303</v>
      </c>
    </row>
    <row r="141" spans="1:3" x14ac:dyDescent="0.35">
      <c r="A141" s="1">
        <v>111</v>
      </c>
      <c r="B141" s="1">
        <v>648.6093810427127</v>
      </c>
      <c r="C141" s="1">
        <v>2406.9793087087937</v>
      </c>
    </row>
    <row r="142" spans="1:3" x14ac:dyDescent="0.35">
      <c r="A142" s="1">
        <v>112</v>
      </c>
      <c r="B142" s="1">
        <v>284.7694954560726</v>
      </c>
      <c r="C142" s="1">
        <v>-37.569676334919535</v>
      </c>
    </row>
    <row r="143" spans="1:3" x14ac:dyDescent="0.35">
      <c r="A143" s="1">
        <v>113</v>
      </c>
      <c r="B143" s="1">
        <v>795.68763931390663</v>
      </c>
      <c r="C143" s="1">
        <v>-587.21186717086516</v>
      </c>
    </row>
    <row r="144" spans="1:3" x14ac:dyDescent="0.35">
      <c r="A144" s="1">
        <v>114</v>
      </c>
      <c r="B144" s="1">
        <v>671.20134281507308</v>
      </c>
      <c r="C144" s="1">
        <v>844.34421494114167</v>
      </c>
    </row>
    <row r="145" spans="1:3" x14ac:dyDescent="0.35">
      <c r="A145" s="1">
        <v>115</v>
      </c>
      <c r="B145" s="1">
        <v>763.26694629283361</v>
      </c>
      <c r="C145" s="1">
        <v>192.39805186121009</v>
      </c>
    </row>
    <row r="146" spans="1:3" x14ac:dyDescent="0.35">
      <c r="A146" s="1">
        <v>116</v>
      </c>
      <c r="B146" s="1">
        <v>1115.7340559120794</v>
      </c>
      <c r="C146" s="1">
        <v>-1068.0459789609463</v>
      </c>
    </row>
    <row r="147" spans="1:3" x14ac:dyDescent="0.35">
      <c r="A147" s="1">
        <v>117</v>
      </c>
      <c r="B147" s="1">
        <v>802.30959250700175</v>
      </c>
      <c r="C147" s="1">
        <v>-801.56589458914334</v>
      </c>
    </row>
    <row r="148" spans="1:3" x14ac:dyDescent="0.35">
      <c r="A148" s="1">
        <v>118</v>
      </c>
      <c r="B148" s="1">
        <v>704.60890068308709</v>
      </c>
      <c r="C148" s="1">
        <v>697.48506929139353</v>
      </c>
    </row>
    <row r="149" spans="1:3" x14ac:dyDescent="0.35">
      <c r="A149" s="1">
        <v>119</v>
      </c>
      <c r="B149" s="1">
        <v>741.64627560885242</v>
      </c>
      <c r="C149" s="1">
        <v>-724.48042724762229</v>
      </c>
    </row>
    <row r="150" spans="1:3" x14ac:dyDescent="0.35">
      <c r="A150" s="1">
        <v>120</v>
      </c>
      <c r="B150" s="1">
        <v>470.44193671993048</v>
      </c>
      <c r="C150" s="1">
        <v>-442.60803550888107</v>
      </c>
    </row>
    <row r="151" spans="1:3" x14ac:dyDescent="0.35">
      <c r="A151" s="1">
        <v>121</v>
      </c>
      <c r="B151" s="1">
        <v>1294.9812476149548</v>
      </c>
      <c r="C151" s="1">
        <v>169.24767340960057</v>
      </c>
    </row>
    <row r="152" spans="1:3" x14ac:dyDescent="0.35">
      <c r="A152" s="1">
        <v>122</v>
      </c>
      <c r="B152" s="1">
        <v>934.79429725591126</v>
      </c>
      <c r="C152" s="1">
        <v>-831.35630888877506</v>
      </c>
    </row>
    <row r="153" spans="1:3" x14ac:dyDescent="0.35">
      <c r="A153" s="1">
        <v>123</v>
      </c>
      <c r="B153" s="1">
        <v>717.62218412719699</v>
      </c>
      <c r="C153" s="1">
        <v>-666.29311682758612</v>
      </c>
    </row>
    <row r="154" spans="1:3" x14ac:dyDescent="0.35">
      <c r="A154" s="1">
        <v>124</v>
      </c>
      <c r="B154" s="1">
        <v>1090.6606897533179</v>
      </c>
      <c r="C154" s="1">
        <v>-1055.3293555485291</v>
      </c>
    </row>
    <row r="155" spans="1:3" x14ac:dyDescent="0.35">
      <c r="A155" s="1">
        <v>125</v>
      </c>
      <c r="B155" s="1">
        <v>641.73696599927553</v>
      </c>
      <c r="C155" s="1">
        <v>-641.71583719354032</v>
      </c>
    </row>
    <row r="156" spans="1:3" x14ac:dyDescent="0.35">
      <c r="A156" s="1">
        <v>126</v>
      </c>
      <c r="B156" s="1">
        <v>1173.6604447345267</v>
      </c>
      <c r="C156" s="1">
        <v>231.52387039772861</v>
      </c>
    </row>
    <row r="157" spans="1:3" x14ac:dyDescent="0.35">
      <c r="A157" s="1">
        <v>127</v>
      </c>
      <c r="B157" s="1">
        <v>878.41306769575863</v>
      </c>
      <c r="C157" s="1">
        <v>-792.70803062358561</v>
      </c>
    </row>
    <row r="158" spans="1:3" x14ac:dyDescent="0.35">
      <c r="A158" s="1">
        <v>128</v>
      </c>
      <c r="B158" s="1">
        <v>753.2241072681868</v>
      </c>
      <c r="C158" s="1">
        <v>-676.63216790232059</v>
      </c>
    </row>
    <row r="159" spans="1:3" x14ac:dyDescent="0.35">
      <c r="A159" s="1">
        <v>129</v>
      </c>
      <c r="B159" s="1">
        <v>827.52163405894646</v>
      </c>
      <c r="C159" s="1">
        <v>-563.41423201740213</v>
      </c>
    </row>
    <row r="160" spans="1:3" x14ac:dyDescent="0.35">
      <c r="A160" s="1">
        <v>130</v>
      </c>
      <c r="B160" s="1">
        <v>1140.3423877234038</v>
      </c>
      <c r="C160" s="1">
        <v>-68.198714701105473</v>
      </c>
    </row>
    <row r="161" spans="1:3" x14ac:dyDescent="0.35">
      <c r="A161" s="1">
        <v>131</v>
      </c>
      <c r="B161" s="1">
        <v>526.43480859192084</v>
      </c>
      <c r="C161" s="1">
        <v>1371.2560864173706</v>
      </c>
    </row>
    <row r="162" spans="1:3" x14ac:dyDescent="0.35">
      <c r="A162" s="1">
        <v>132</v>
      </c>
      <c r="B162" s="1">
        <v>853.31764134765535</v>
      </c>
      <c r="C162" s="1">
        <v>-849.28601265939824</v>
      </c>
    </row>
    <row r="163" spans="1:3" x14ac:dyDescent="0.35">
      <c r="A163" s="1">
        <v>133</v>
      </c>
      <c r="B163" s="1">
        <v>643.23598685130003</v>
      </c>
      <c r="C163" s="1">
        <v>1068.075780503716</v>
      </c>
    </row>
    <row r="164" spans="1:3" x14ac:dyDescent="0.35">
      <c r="A164" s="1">
        <v>134</v>
      </c>
      <c r="B164" s="1">
        <v>1141.1441156600952</v>
      </c>
      <c r="C164" s="1">
        <v>36.794503942022175</v>
      </c>
    </row>
    <row r="165" spans="1:3" x14ac:dyDescent="0.35">
      <c r="A165" s="1">
        <v>135</v>
      </c>
      <c r="B165" s="1">
        <v>575.37160314053756</v>
      </c>
      <c r="C165" s="1">
        <v>-421.76010474838199</v>
      </c>
    </row>
    <row r="166" spans="1:3" x14ac:dyDescent="0.35">
      <c r="A166" s="1">
        <v>136</v>
      </c>
      <c r="B166" s="1">
        <v>621.04215000646593</v>
      </c>
      <c r="C166" s="1">
        <v>-619.74668173056932</v>
      </c>
    </row>
    <row r="167" spans="1:3" x14ac:dyDescent="0.35">
      <c r="A167" s="1">
        <v>137</v>
      </c>
      <c r="B167" s="1">
        <v>752.6018484395828</v>
      </c>
      <c r="C167" s="1">
        <v>-690.07747578562771</v>
      </c>
    </row>
    <row r="168" spans="1:3" x14ac:dyDescent="0.35">
      <c r="A168" s="1">
        <v>138</v>
      </c>
      <c r="B168" s="1">
        <v>644.02646198733896</v>
      </c>
      <c r="C168" s="1">
        <v>-340.55816562056748</v>
      </c>
    </row>
    <row r="169" spans="1:3" x14ac:dyDescent="0.35">
      <c r="A169" s="1">
        <v>139</v>
      </c>
      <c r="B169" s="1">
        <v>759.75018811386462</v>
      </c>
      <c r="C169" s="1">
        <v>-647.51387249721472</v>
      </c>
    </row>
    <row r="170" spans="1:3" x14ac:dyDescent="0.35">
      <c r="A170" s="1">
        <v>140</v>
      </c>
      <c r="B170" s="1">
        <v>369.51681874983723</v>
      </c>
      <c r="C170" s="1">
        <v>948.01445213843294</v>
      </c>
    </row>
    <row r="171" spans="1:3" x14ac:dyDescent="0.35">
      <c r="A171" s="1">
        <v>141</v>
      </c>
      <c r="B171" s="1">
        <v>858.1804041656103</v>
      </c>
      <c r="C171" s="1">
        <v>-848.53152399520729</v>
      </c>
    </row>
    <row r="172" spans="1:3" x14ac:dyDescent="0.35">
      <c r="A172" s="1">
        <v>142</v>
      </c>
      <c r="B172" s="1">
        <v>1127.3095183774715</v>
      </c>
      <c r="C172" s="1">
        <v>-978.13012423364762</v>
      </c>
    </row>
    <row r="173" spans="1:3" x14ac:dyDescent="0.35">
      <c r="A173" s="1">
        <v>143</v>
      </c>
      <c r="B173" s="1">
        <v>707.52869898386189</v>
      </c>
      <c r="C173" s="1">
        <v>-707.47615739040612</v>
      </c>
    </row>
    <row r="174" spans="1:3" x14ac:dyDescent="0.35">
      <c r="A174" s="1">
        <v>144</v>
      </c>
      <c r="B174" s="1">
        <v>808.71657774654511</v>
      </c>
      <c r="C174" s="1">
        <v>-533.78925265662315</v>
      </c>
    </row>
    <row r="175" spans="1:3" x14ac:dyDescent="0.35">
      <c r="A175" s="1">
        <v>145</v>
      </c>
      <c r="B175" s="1">
        <v>354.29236047426571</v>
      </c>
      <c r="C175" s="1">
        <v>224.56170677585249</v>
      </c>
    </row>
    <row r="176" spans="1:3" x14ac:dyDescent="0.35">
      <c r="A176" s="1">
        <v>146</v>
      </c>
      <c r="B176" s="1">
        <v>379.27925781400046</v>
      </c>
      <c r="C176" s="1">
        <v>63.01349318923377</v>
      </c>
    </row>
    <row r="177" spans="1:3" x14ac:dyDescent="0.35">
      <c r="A177" s="1">
        <v>147</v>
      </c>
      <c r="B177" s="1">
        <v>1070.3847852519139</v>
      </c>
      <c r="C177" s="1">
        <v>1919.3493371607401</v>
      </c>
    </row>
    <row r="178" spans="1:3" x14ac:dyDescent="0.35">
      <c r="A178" s="1">
        <v>148</v>
      </c>
      <c r="B178" s="1">
        <v>986.94898685571616</v>
      </c>
      <c r="C178" s="1">
        <v>-634.82829046454526</v>
      </c>
    </row>
    <row r="179" spans="1:3" x14ac:dyDescent="0.35">
      <c r="A179" s="1">
        <v>149</v>
      </c>
      <c r="B179" s="1">
        <v>1141.8791362588827</v>
      </c>
      <c r="C179" s="1">
        <v>-1100.9455197808977</v>
      </c>
    </row>
    <row r="180" spans="1:3" x14ac:dyDescent="0.35">
      <c r="A180" s="1">
        <v>150</v>
      </c>
      <c r="B180" s="1">
        <v>634.28058471360782</v>
      </c>
      <c r="C180" s="1">
        <v>-517.75530963752499</v>
      </c>
    </row>
    <row r="181" spans="1:3" x14ac:dyDescent="0.35">
      <c r="A181" s="1">
        <v>151</v>
      </c>
      <c r="B181" s="1">
        <v>766.10920864527588</v>
      </c>
      <c r="C181" s="1">
        <v>-551.0499922289107</v>
      </c>
    </row>
    <row r="182" spans="1:3" x14ac:dyDescent="0.35">
      <c r="A182" s="1">
        <v>152</v>
      </c>
      <c r="B182" s="1">
        <v>661.12982315023532</v>
      </c>
      <c r="C182" s="1">
        <v>-661.12577389786122</v>
      </c>
    </row>
    <row r="183" spans="1:3" x14ac:dyDescent="0.35">
      <c r="A183" s="1">
        <v>153</v>
      </c>
      <c r="B183" s="1">
        <v>946.53730026467883</v>
      </c>
      <c r="C183" s="1">
        <v>-669.49552889181246</v>
      </c>
    </row>
    <row r="184" spans="1:3" x14ac:dyDescent="0.35">
      <c r="A184" s="1">
        <v>154</v>
      </c>
      <c r="B184" s="1">
        <v>295.19199486045812</v>
      </c>
      <c r="C184" s="1">
        <v>-283.77715792681465</v>
      </c>
    </row>
    <row r="185" spans="1:3" x14ac:dyDescent="0.35">
      <c r="A185" s="1">
        <v>155</v>
      </c>
      <c r="B185" s="1">
        <v>1028.9421544514526</v>
      </c>
      <c r="C185" s="1">
        <v>1600.1183860350984</v>
      </c>
    </row>
    <row r="186" spans="1:3" x14ac:dyDescent="0.35">
      <c r="A186" s="1">
        <v>156</v>
      </c>
      <c r="B186" s="1">
        <v>1355.993185699374</v>
      </c>
      <c r="C186" s="1">
        <v>-393.8851976963083</v>
      </c>
    </row>
    <row r="187" spans="1:3" x14ac:dyDescent="0.35">
      <c r="A187" s="1">
        <v>157</v>
      </c>
      <c r="B187" s="1">
        <v>496.52420299715385</v>
      </c>
      <c r="C187" s="1">
        <v>-365.12180139372458</v>
      </c>
    </row>
    <row r="188" spans="1:3" x14ac:dyDescent="0.35">
      <c r="A188" s="1">
        <v>158</v>
      </c>
      <c r="B188" s="1">
        <v>545.46058351117506</v>
      </c>
      <c r="C188" s="1">
        <v>-499.53130547933097</v>
      </c>
    </row>
    <row r="189" spans="1:3" x14ac:dyDescent="0.35">
      <c r="A189" s="1">
        <v>159</v>
      </c>
      <c r="B189" s="1">
        <v>605.94703423341548</v>
      </c>
      <c r="C189" s="1">
        <v>-209.2712159927915</v>
      </c>
    </row>
    <row r="190" spans="1:3" x14ac:dyDescent="0.35">
      <c r="A190" s="1">
        <v>160</v>
      </c>
      <c r="B190" s="1">
        <v>1165.2855181410882</v>
      </c>
      <c r="C190" s="1">
        <v>-447.58189537287012</v>
      </c>
    </row>
    <row r="191" spans="1:3" x14ac:dyDescent="0.35">
      <c r="A191" s="1">
        <v>161</v>
      </c>
      <c r="B191" s="1">
        <v>1034.9207118622694</v>
      </c>
      <c r="C191" s="1">
        <v>861.82271576135645</v>
      </c>
    </row>
    <row r="192" spans="1:3" x14ac:dyDescent="0.35">
      <c r="A192" s="1">
        <v>162</v>
      </c>
      <c r="B192" s="1">
        <v>1054.6180579608099</v>
      </c>
      <c r="C192" s="1">
        <v>-416.93276469813577</v>
      </c>
    </row>
    <row r="193" spans="1:3" x14ac:dyDescent="0.35">
      <c r="A193" s="1">
        <v>163</v>
      </c>
      <c r="B193" s="1">
        <v>600.32212214444496</v>
      </c>
      <c r="C193" s="1">
        <v>115.53730774524297</v>
      </c>
    </row>
    <row r="194" spans="1:3" x14ac:dyDescent="0.35">
      <c r="A194" s="1">
        <v>164</v>
      </c>
      <c r="B194" s="1">
        <v>749.75994487080607</v>
      </c>
      <c r="C194" s="1">
        <v>-748.03875961613051</v>
      </c>
    </row>
    <row r="195" spans="1:3" x14ac:dyDescent="0.35">
      <c r="A195" s="1">
        <v>165</v>
      </c>
      <c r="B195" s="1">
        <v>810.37452871022629</v>
      </c>
      <c r="C195" s="1">
        <v>-719.26075582439591</v>
      </c>
    </row>
    <row r="196" spans="1:3" x14ac:dyDescent="0.35">
      <c r="A196" s="1">
        <v>166</v>
      </c>
      <c r="B196" s="1">
        <v>731.66156042679381</v>
      </c>
      <c r="C196" s="1">
        <v>222.22336245299539</v>
      </c>
    </row>
    <row r="197" spans="1:3" x14ac:dyDescent="0.35">
      <c r="A197" s="1">
        <v>167</v>
      </c>
      <c r="B197" s="1">
        <v>792.76954739265034</v>
      </c>
      <c r="C197" s="1">
        <v>1242.9469998705292</v>
      </c>
    </row>
    <row r="198" spans="1:3" x14ac:dyDescent="0.35">
      <c r="A198" s="1">
        <v>168</v>
      </c>
      <c r="B198" s="1">
        <v>777.3062311546289</v>
      </c>
      <c r="C198" s="1">
        <v>-777.28795697712872</v>
      </c>
    </row>
    <row r="199" spans="1:3" x14ac:dyDescent="0.35">
      <c r="A199" s="1">
        <v>169</v>
      </c>
      <c r="B199" s="1">
        <v>706.1030213427739</v>
      </c>
      <c r="C199" s="1">
        <v>-660.93303517869481</v>
      </c>
    </row>
    <row r="200" spans="1:3" x14ac:dyDescent="0.35">
      <c r="A200" s="1">
        <v>170</v>
      </c>
      <c r="B200" s="1">
        <v>626.55865421831641</v>
      </c>
      <c r="C200" s="1">
        <v>-550.96203425953229</v>
      </c>
    </row>
    <row r="201" spans="1:3" x14ac:dyDescent="0.35">
      <c r="A201" s="1">
        <v>171</v>
      </c>
      <c r="B201" s="1">
        <v>719.17615841511224</v>
      </c>
      <c r="C201" s="1">
        <v>-401.88453180864286</v>
      </c>
    </row>
    <row r="202" spans="1:3" x14ac:dyDescent="0.35">
      <c r="A202" s="1">
        <v>172</v>
      </c>
      <c r="B202" s="1">
        <v>710.45925853792664</v>
      </c>
      <c r="C202" s="1">
        <v>-639.35693252557905</v>
      </c>
    </row>
    <row r="203" spans="1:3" x14ac:dyDescent="0.35">
      <c r="A203" s="1">
        <v>173</v>
      </c>
      <c r="B203" s="1">
        <v>856.36535895101542</v>
      </c>
      <c r="C203" s="1">
        <v>-649.90502492371286</v>
      </c>
    </row>
    <row r="204" spans="1:3" x14ac:dyDescent="0.35">
      <c r="A204" s="1">
        <v>174</v>
      </c>
      <c r="B204" s="1">
        <v>1093.3501149568169</v>
      </c>
      <c r="C204" s="1">
        <v>65.899426911598539</v>
      </c>
    </row>
    <row r="205" spans="1:3" x14ac:dyDescent="0.35">
      <c r="A205" s="1">
        <v>175</v>
      </c>
      <c r="B205" s="1">
        <v>815.34757665797565</v>
      </c>
      <c r="C205" s="1">
        <v>725.98171668339296</v>
      </c>
    </row>
    <row r="206" spans="1:3" x14ac:dyDescent="0.35">
      <c r="A206" s="1">
        <v>176</v>
      </c>
      <c r="B206" s="1">
        <v>928.95421648211925</v>
      </c>
      <c r="C206" s="1">
        <v>2197.6516382960735</v>
      </c>
    </row>
    <row r="207" spans="1:3" x14ac:dyDescent="0.35">
      <c r="A207" s="1">
        <v>177</v>
      </c>
      <c r="B207" s="1">
        <v>834.94207138025649</v>
      </c>
      <c r="C207" s="1">
        <v>763.46727588838598</v>
      </c>
    </row>
    <row r="208" spans="1:3" x14ac:dyDescent="0.35">
      <c r="A208" s="1">
        <v>178</v>
      </c>
      <c r="B208" s="1">
        <v>1298.7853456472444</v>
      </c>
      <c r="C208" s="1">
        <v>-1160.3013220494042</v>
      </c>
    </row>
    <row r="209" spans="1:3" x14ac:dyDescent="0.35">
      <c r="A209" s="1">
        <v>179</v>
      </c>
      <c r="B209" s="1">
        <v>1066.4681321615656</v>
      </c>
      <c r="C209" s="1">
        <v>-1033.8508717762961</v>
      </c>
    </row>
    <row r="210" spans="1:3" x14ac:dyDescent="0.35">
      <c r="A210" s="1">
        <v>180</v>
      </c>
      <c r="B210" s="1">
        <v>984.19802665498969</v>
      </c>
      <c r="C210" s="1">
        <v>-981.86361091125843</v>
      </c>
    </row>
    <row r="211" spans="1:3" x14ac:dyDescent="0.35">
      <c r="A211" s="1">
        <v>181</v>
      </c>
      <c r="B211" s="1">
        <v>545.44581612006709</v>
      </c>
      <c r="C211" s="1">
        <v>20.184172436904873</v>
      </c>
    </row>
    <row r="212" spans="1:3" x14ac:dyDescent="0.35">
      <c r="A212" s="1">
        <v>182</v>
      </c>
      <c r="B212" s="1">
        <v>720.87737563239489</v>
      </c>
      <c r="C212" s="1">
        <v>-720.56786418840647</v>
      </c>
    </row>
    <row r="213" spans="1:3" x14ac:dyDescent="0.35">
      <c r="A213" s="1">
        <v>183</v>
      </c>
      <c r="B213" s="1">
        <v>652.79189600729524</v>
      </c>
      <c r="C213" s="1">
        <v>10024.441461211421</v>
      </c>
    </row>
    <row r="214" spans="1:3" x14ac:dyDescent="0.35">
      <c r="A214" s="1">
        <v>184</v>
      </c>
      <c r="B214" s="1">
        <v>568.89797445734609</v>
      </c>
      <c r="C214" s="1">
        <v>797.17001884173612</v>
      </c>
    </row>
    <row r="215" spans="1:3" x14ac:dyDescent="0.35">
      <c r="A215" s="1">
        <v>185</v>
      </c>
      <c r="B215" s="1">
        <v>748.09168419093294</v>
      </c>
      <c r="C215" s="1">
        <v>-295.20794495616053</v>
      </c>
    </row>
    <row r="216" spans="1:3" x14ac:dyDescent="0.35">
      <c r="A216" s="1">
        <v>186</v>
      </c>
      <c r="B216" s="1">
        <v>1163.4393141478836</v>
      </c>
      <c r="C216" s="1">
        <v>4289.8453629829382</v>
      </c>
    </row>
    <row r="217" spans="1:3" x14ac:dyDescent="0.35">
      <c r="A217" s="1">
        <v>187</v>
      </c>
      <c r="B217" s="1">
        <v>499.4082116204392</v>
      </c>
      <c r="C217" s="1">
        <v>-455.35261986637505</v>
      </c>
    </row>
    <row r="218" spans="1:3" x14ac:dyDescent="0.35">
      <c r="A218" s="1">
        <v>188</v>
      </c>
      <c r="B218" s="1">
        <v>1141.933458700963</v>
      </c>
      <c r="C218" s="1">
        <v>-1059.733747149525</v>
      </c>
    </row>
    <row r="219" spans="1:3" x14ac:dyDescent="0.35">
      <c r="A219" s="1">
        <v>189</v>
      </c>
      <c r="B219" s="1">
        <v>788.83462954217021</v>
      </c>
      <c r="C219" s="1">
        <v>-747.45806010118292</v>
      </c>
    </row>
    <row r="220" spans="1:3" x14ac:dyDescent="0.35">
      <c r="A220" s="1">
        <v>190</v>
      </c>
      <c r="B220" s="1">
        <v>624.7102502851294</v>
      </c>
      <c r="C220" s="1">
        <v>-210.0650889640641</v>
      </c>
    </row>
    <row r="221" spans="1:3" x14ac:dyDescent="0.35">
      <c r="A221" s="1">
        <v>191</v>
      </c>
      <c r="B221" s="1">
        <v>424.72898454511972</v>
      </c>
      <c r="C221" s="1">
        <v>-346.65325884744476</v>
      </c>
    </row>
    <row r="222" spans="1:3" x14ac:dyDescent="0.35">
      <c r="A222" s="1">
        <v>192</v>
      </c>
      <c r="B222" s="1">
        <v>1000.0766281017277</v>
      </c>
      <c r="C222" s="1">
        <v>-987.25389476055443</v>
      </c>
    </row>
    <row r="223" spans="1:3" x14ac:dyDescent="0.35">
      <c r="A223" s="1">
        <v>193</v>
      </c>
      <c r="B223" s="1">
        <v>741.13356274901514</v>
      </c>
      <c r="C223" s="1">
        <v>800.75203397659504</v>
      </c>
    </row>
    <row r="224" spans="1:3" x14ac:dyDescent="0.35">
      <c r="A224" s="1">
        <v>194</v>
      </c>
      <c r="B224" s="1">
        <v>1106.776601460489</v>
      </c>
      <c r="C224" s="1">
        <v>-1106.4275650421796</v>
      </c>
    </row>
    <row r="225" spans="1:3" x14ac:dyDescent="0.35">
      <c r="A225" s="1">
        <v>195</v>
      </c>
      <c r="B225" s="1">
        <v>843.60320965557162</v>
      </c>
      <c r="C225" s="1">
        <v>-211.26170195625605</v>
      </c>
    </row>
    <row r="226" spans="1:3" x14ac:dyDescent="0.35">
      <c r="A226" s="1">
        <v>196</v>
      </c>
      <c r="B226" s="1">
        <v>751.38264218560084</v>
      </c>
      <c r="C226" s="1">
        <v>0.26448473106142956</v>
      </c>
    </row>
    <row r="227" spans="1:3" x14ac:dyDescent="0.35">
      <c r="A227" s="1">
        <v>197</v>
      </c>
      <c r="B227" s="1">
        <v>468.33936843410385</v>
      </c>
      <c r="C227" s="1">
        <v>-465.53618878907673</v>
      </c>
    </row>
    <row r="228" spans="1:3" x14ac:dyDescent="0.35">
      <c r="A228" s="1">
        <v>198</v>
      </c>
      <c r="B228" s="1">
        <v>563.11634856415708</v>
      </c>
      <c r="C228" s="1">
        <v>-562.8217169555835</v>
      </c>
    </row>
    <row r="229" spans="1:3" x14ac:dyDescent="0.35">
      <c r="A229" s="1">
        <v>199</v>
      </c>
      <c r="B229" s="1">
        <v>956.1617367939748</v>
      </c>
      <c r="C229" s="1">
        <v>-922.49234526380633</v>
      </c>
    </row>
    <row r="230" spans="1:3" x14ac:dyDescent="0.35">
      <c r="A230" s="1">
        <v>200</v>
      </c>
      <c r="B230" s="1">
        <v>298.89652229111994</v>
      </c>
      <c r="C230" s="1">
        <v>-165.50105226676777</v>
      </c>
    </row>
    <row r="231" spans="1:3" x14ac:dyDescent="0.35">
      <c r="A231" s="1">
        <v>201</v>
      </c>
      <c r="B231" s="1">
        <v>809.77863811143493</v>
      </c>
      <c r="C231" s="1">
        <v>-792.3545731503599</v>
      </c>
    </row>
    <row r="232" spans="1:3" x14ac:dyDescent="0.35">
      <c r="A232" s="1">
        <v>202</v>
      </c>
      <c r="B232" s="1">
        <v>787.83985102290387</v>
      </c>
      <c r="C232" s="1">
        <v>-521.74181205196601</v>
      </c>
    </row>
    <row r="233" spans="1:3" x14ac:dyDescent="0.35">
      <c r="A233" s="1">
        <v>203</v>
      </c>
      <c r="B233" s="1">
        <v>914.88527641782173</v>
      </c>
      <c r="C233" s="1">
        <v>-909.02569282437889</v>
      </c>
    </row>
    <row r="234" spans="1:3" x14ac:dyDescent="0.35">
      <c r="A234" s="1">
        <v>204</v>
      </c>
      <c r="B234" s="1">
        <v>541.84860912010049</v>
      </c>
      <c r="C234" s="1">
        <v>-511.08274880405526</v>
      </c>
    </row>
    <row r="235" spans="1:3" x14ac:dyDescent="0.35">
      <c r="A235" s="1">
        <v>205</v>
      </c>
      <c r="B235" s="1">
        <v>1004.4432248674441</v>
      </c>
      <c r="C235" s="1">
        <v>832.006882791321</v>
      </c>
    </row>
    <row r="236" spans="1:3" x14ac:dyDescent="0.35">
      <c r="A236" s="1">
        <v>206</v>
      </c>
      <c r="B236" s="1">
        <v>772.43284861915333</v>
      </c>
      <c r="C236" s="1">
        <v>-654.57748509486078</v>
      </c>
    </row>
    <row r="237" spans="1:3" x14ac:dyDescent="0.35">
      <c r="A237" s="1">
        <v>207</v>
      </c>
      <c r="B237" s="1">
        <v>881.80304324329074</v>
      </c>
      <c r="C237" s="1">
        <v>471.48631947710157</v>
      </c>
    </row>
    <row r="238" spans="1:3" x14ac:dyDescent="0.35">
      <c r="A238" s="1">
        <v>208</v>
      </c>
      <c r="B238" s="1">
        <v>1021.5015724120451</v>
      </c>
      <c r="C238" s="1">
        <v>-376.977322584474</v>
      </c>
    </row>
    <row r="239" spans="1:3" x14ac:dyDescent="0.35">
      <c r="A239" s="1">
        <v>209</v>
      </c>
      <c r="B239" s="1">
        <v>672.24667995217897</v>
      </c>
      <c r="C239" s="1">
        <v>-453.65899448987943</v>
      </c>
    </row>
    <row r="240" spans="1:3" x14ac:dyDescent="0.35">
      <c r="A240" s="1">
        <v>210</v>
      </c>
      <c r="B240" s="1">
        <v>1132.3215935953735</v>
      </c>
      <c r="C240" s="1">
        <v>3378.2155572727711</v>
      </c>
    </row>
    <row r="241" spans="1:3" x14ac:dyDescent="0.35">
      <c r="A241" s="1">
        <v>211</v>
      </c>
      <c r="B241" s="1">
        <v>751.68829817808785</v>
      </c>
      <c r="C241" s="1">
        <v>-312.62475569588145</v>
      </c>
    </row>
    <row r="242" spans="1:3" x14ac:dyDescent="0.35">
      <c r="A242" s="1">
        <v>212</v>
      </c>
      <c r="B242" s="1">
        <v>1230.1570388308869</v>
      </c>
      <c r="C242" s="1">
        <v>609.22910411747148</v>
      </c>
    </row>
    <row r="243" spans="1:3" x14ac:dyDescent="0.35">
      <c r="A243" s="1">
        <v>213</v>
      </c>
      <c r="B243" s="1">
        <v>1308.6458700960359</v>
      </c>
      <c r="C243" s="1">
        <v>1256.1194437651532</v>
      </c>
    </row>
    <row r="244" spans="1:3" x14ac:dyDescent="0.35">
      <c r="A244" s="1">
        <v>214</v>
      </c>
      <c r="B244" s="1">
        <v>789.71944072878318</v>
      </c>
      <c r="C244" s="1">
        <v>-574.68989828680765</v>
      </c>
    </row>
    <row r="245" spans="1:3" x14ac:dyDescent="0.35">
      <c r="A245" s="1">
        <v>215</v>
      </c>
      <c r="B245" s="1">
        <v>710.26314100507363</v>
      </c>
      <c r="C245" s="1">
        <v>-388.65309144580993</v>
      </c>
    </row>
    <row r="246" spans="1:3" x14ac:dyDescent="0.35">
      <c r="A246" s="1">
        <v>216</v>
      </c>
      <c r="B246" s="1">
        <v>800.72024272288445</v>
      </c>
      <c r="C246" s="1">
        <v>-778.4320851833736</v>
      </c>
    </row>
    <row r="247" spans="1:3" x14ac:dyDescent="0.35">
      <c r="A247" s="1">
        <v>217</v>
      </c>
      <c r="B247" s="1">
        <v>810.2003124970397</v>
      </c>
      <c r="C247" s="1">
        <v>-755.82641653180667</v>
      </c>
    </row>
    <row r="248" spans="1:3" x14ac:dyDescent="0.35">
      <c r="A248" s="1">
        <v>218</v>
      </c>
      <c r="B248" s="1">
        <v>732.41877169168197</v>
      </c>
      <c r="C248" s="1">
        <v>-701.88993937202088</v>
      </c>
    </row>
    <row r="249" spans="1:3" x14ac:dyDescent="0.35">
      <c r="A249" s="1">
        <v>219</v>
      </c>
      <c r="B249" s="1">
        <v>996.90401919008332</v>
      </c>
      <c r="C249" s="1">
        <v>-126.49979649935585</v>
      </c>
    </row>
    <row r="250" spans="1:3" x14ac:dyDescent="0.35">
      <c r="A250" s="1">
        <v>220</v>
      </c>
      <c r="B250" s="1">
        <v>900.63866398678488</v>
      </c>
      <c r="C250" s="1">
        <v>-656.55350292865501</v>
      </c>
    </row>
    <row r="251" spans="1:3" x14ac:dyDescent="0.35">
      <c r="A251" s="1">
        <v>221</v>
      </c>
      <c r="B251" s="1">
        <v>165.25317425274187</v>
      </c>
      <c r="C251" s="1">
        <v>316.09695361461252</v>
      </c>
    </row>
    <row r="252" spans="1:3" x14ac:dyDescent="0.35">
      <c r="A252" s="1">
        <v>222</v>
      </c>
      <c r="B252" s="1">
        <v>1241.7473931586346</v>
      </c>
      <c r="C252" s="1">
        <v>-1046.9494321746361</v>
      </c>
    </row>
    <row r="253" spans="1:3" x14ac:dyDescent="0.35">
      <c r="A253" s="1">
        <v>223</v>
      </c>
      <c r="B253" s="1">
        <v>651.00221800832378</v>
      </c>
      <c r="C253" s="1">
        <v>-583.03356442806171</v>
      </c>
    </row>
    <row r="254" spans="1:3" x14ac:dyDescent="0.35">
      <c r="A254" s="1">
        <v>224</v>
      </c>
      <c r="B254" s="1">
        <v>1018.1886486632482</v>
      </c>
      <c r="C254" s="1">
        <v>-1013.2387818642147</v>
      </c>
    </row>
    <row r="255" spans="1:3" x14ac:dyDescent="0.35">
      <c r="A255" s="1">
        <v>225</v>
      </c>
      <c r="B255" s="1">
        <v>623.37306328828026</v>
      </c>
      <c r="C255" s="1">
        <v>-518.8095596844654</v>
      </c>
    </row>
    <row r="256" spans="1:3" x14ac:dyDescent="0.35">
      <c r="A256" s="1">
        <v>226</v>
      </c>
      <c r="B256" s="1">
        <v>768.96814557223638</v>
      </c>
      <c r="C256" s="1">
        <v>-379.02139164807272</v>
      </c>
    </row>
    <row r="257" spans="1:3" x14ac:dyDescent="0.35">
      <c r="A257" s="1">
        <v>227</v>
      </c>
      <c r="B257" s="1">
        <v>700.29840323846224</v>
      </c>
      <c r="C257" s="1">
        <v>-463.86023427711086</v>
      </c>
    </row>
    <row r="258" spans="1:3" x14ac:dyDescent="0.35">
      <c r="A258" s="1">
        <v>228</v>
      </c>
      <c r="B258" s="1">
        <v>1052.7664304209191</v>
      </c>
      <c r="C258" s="1">
        <v>2210.6677359168898</v>
      </c>
    </row>
    <row r="259" spans="1:3" x14ac:dyDescent="0.35">
      <c r="A259" s="1">
        <v>229</v>
      </c>
      <c r="B259" s="1">
        <v>124.44884060177162</v>
      </c>
      <c r="C259" s="1">
        <v>-121.72244627640599</v>
      </c>
    </row>
    <row r="260" spans="1:3" x14ac:dyDescent="0.35">
      <c r="A260" s="1">
        <v>230</v>
      </c>
      <c r="B260" s="1">
        <v>942.49965306030663</v>
      </c>
      <c r="C260" s="1">
        <v>-942.44634921962449</v>
      </c>
    </row>
    <row r="261" spans="1:3" x14ac:dyDescent="0.35">
      <c r="A261" s="1">
        <v>231</v>
      </c>
      <c r="B261" s="1">
        <v>816.08322382253368</v>
      </c>
      <c r="C261" s="1">
        <v>-484.19806022737487</v>
      </c>
    </row>
    <row r="262" spans="1:3" x14ac:dyDescent="0.35">
      <c r="A262" s="1">
        <v>232</v>
      </c>
      <c r="B262" s="1">
        <v>721.54418845815132</v>
      </c>
      <c r="C262" s="1">
        <v>111.12095806093419</v>
      </c>
    </row>
    <row r="263" spans="1:3" x14ac:dyDescent="0.35">
      <c r="A263" s="1">
        <v>233</v>
      </c>
      <c r="B263" s="1">
        <v>695.87556508114176</v>
      </c>
      <c r="C263" s="1">
        <v>-60.848388643964881</v>
      </c>
    </row>
    <row r="264" spans="1:3" x14ac:dyDescent="0.35">
      <c r="A264" s="1">
        <v>234</v>
      </c>
      <c r="B264" s="1">
        <v>736.78787778280525</v>
      </c>
      <c r="C264" s="1">
        <v>-725.90111017975823</v>
      </c>
    </row>
    <row r="265" spans="1:3" x14ac:dyDescent="0.35">
      <c r="A265" s="1">
        <v>235</v>
      </c>
      <c r="B265" s="1">
        <v>717.89344021505485</v>
      </c>
      <c r="C265" s="1">
        <v>262.92827290816399</v>
      </c>
    </row>
    <row r="266" spans="1:3" x14ac:dyDescent="0.35">
      <c r="A266" s="1">
        <v>236</v>
      </c>
      <c r="B266" s="1">
        <v>833.54219421210985</v>
      </c>
      <c r="C266" s="1">
        <v>1372.2391821321271</v>
      </c>
    </row>
    <row r="267" spans="1:3" x14ac:dyDescent="0.35">
      <c r="A267" s="1">
        <v>237</v>
      </c>
      <c r="B267" s="1">
        <v>875.71928845051525</v>
      </c>
      <c r="C267" s="1">
        <v>190.03493700575245</v>
      </c>
    </row>
    <row r="268" spans="1:3" x14ac:dyDescent="0.35">
      <c r="A268" s="1">
        <v>238</v>
      </c>
      <c r="B268" s="1">
        <v>1074.6761015206816</v>
      </c>
      <c r="C268" s="1">
        <v>2921.92813442227</v>
      </c>
    </row>
    <row r="269" spans="1:3" x14ac:dyDescent="0.35">
      <c r="A269" s="1">
        <v>239</v>
      </c>
      <c r="B269" s="1">
        <v>924.21313310493724</v>
      </c>
      <c r="C269" s="1">
        <v>1512.0894463052073</v>
      </c>
    </row>
    <row r="270" spans="1:3" x14ac:dyDescent="0.35">
      <c r="A270" s="1">
        <v>240</v>
      </c>
      <c r="B270" s="1">
        <v>534.30198389335351</v>
      </c>
      <c r="C270" s="1">
        <v>-528.21516107642913</v>
      </c>
    </row>
    <row r="271" spans="1:3" x14ac:dyDescent="0.35">
      <c r="A271" s="1">
        <v>241</v>
      </c>
      <c r="B271" s="1">
        <v>727.37003265308215</v>
      </c>
      <c r="C271" s="1">
        <v>-656.27187137974136</v>
      </c>
    </row>
    <row r="272" spans="1:3" x14ac:dyDescent="0.35">
      <c r="A272" s="1">
        <v>242</v>
      </c>
      <c r="B272" s="1">
        <v>729.17492645587777</v>
      </c>
      <c r="C272" s="1">
        <v>-314.12569054247513</v>
      </c>
    </row>
    <row r="273" spans="1:3" x14ac:dyDescent="0.35">
      <c r="A273" s="1">
        <v>243</v>
      </c>
      <c r="B273" s="1">
        <v>522.9196950812975</v>
      </c>
      <c r="C273" s="1">
        <v>556.72464456841635</v>
      </c>
    </row>
    <row r="274" spans="1:3" x14ac:dyDescent="0.35">
      <c r="A274" s="1">
        <v>244</v>
      </c>
      <c r="B274" s="1">
        <v>686.47020756844154</v>
      </c>
      <c r="C274" s="1">
        <v>-557.00247615189301</v>
      </c>
    </row>
    <row r="275" spans="1:3" x14ac:dyDescent="0.35">
      <c r="A275" s="1">
        <v>245</v>
      </c>
      <c r="B275" s="1">
        <v>722.2931171542898</v>
      </c>
      <c r="C275" s="1">
        <v>-430.82052554385058</v>
      </c>
    </row>
    <row r="276" spans="1:3" x14ac:dyDescent="0.35">
      <c r="A276" s="1">
        <v>246</v>
      </c>
      <c r="B276" s="1">
        <v>1146.1011698777215</v>
      </c>
      <c r="C276" s="1">
        <v>1824.3006224496598</v>
      </c>
    </row>
    <row r="277" spans="1:3" x14ac:dyDescent="0.35">
      <c r="A277" s="1">
        <v>247</v>
      </c>
      <c r="B277" s="1">
        <v>776.81233844366238</v>
      </c>
      <c r="C277" s="1">
        <v>-775.63086320963578</v>
      </c>
    </row>
    <row r="278" spans="1:3" x14ac:dyDescent="0.35">
      <c r="A278" s="1">
        <v>248</v>
      </c>
      <c r="B278" s="1">
        <v>12.479906970654383</v>
      </c>
      <c r="C278" s="1">
        <v>454.84563372186699</v>
      </c>
    </row>
    <row r="279" spans="1:3" x14ac:dyDescent="0.35">
      <c r="A279" s="1">
        <v>249</v>
      </c>
      <c r="B279" s="1">
        <v>318.66470118955448</v>
      </c>
      <c r="C279" s="1">
        <v>427.51358902734472</v>
      </c>
    </row>
    <row r="280" spans="1:3" x14ac:dyDescent="0.35">
      <c r="A280" s="1">
        <v>250</v>
      </c>
      <c r="B280" s="1">
        <v>718.13272280350839</v>
      </c>
      <c r="C280" s="1">
        <v>-673.24578614540349</v>
      </c>
    </row>
    <row r="281" spans="1:3" x14ac:dyDescent="0.35">
      <c r="A281" s="1">
        <v>251</v>
      </c>
      <c r="B281" s="1">
        <v>815.87554006237451</v>
      </c>
      <c r="C281" s="1">
        <v>-515.77663149125226</v>
      </c>
    </row>
    <row r="282" spans="1:3" x14ac:dyDescent="0.35">
      <c r="A282" s="1">
        <v>252</v>
      </c>
      <c r="B282" s="1">
        <v>607.12554344323348</v>
      </c>
      <c r="C282" s="1">
        <v>-333.74647411469834</v>
      </c>
    </row>
    <row r="283" spans="1:3" x14ac:dyDescent="0.35">
      <c r="A283" s="1">
        <v>253</v>
      </c>
      <c r="B283" s="1">
        <v>527.34851335748135</v>
      </c>
      <c r="C283" s="1">
        <v>-197.03199023165092</v>
      </c>
    </row>
    <row r="284" spans="1:3" x14ac:dyDescent="0.35">
      <c r="A284" s="1">
        <v>254</v>
      </c>
      <c r="B284" s="1">
        <v>947.9822101946254</v>
      </c>
      <c r="C284" s="1">
        <v>-594.439495706549</v>
      </c>
    </row>
    <row r="285" spans="1:3" x14ac:dyDescent="0.35">
      <c r="A285" s="1">
        <v>255</v>
      </c>
      <c r="B285" s="1">
        <v>470.71462407524029</v>
      </c>
      <c r="C285" s="1">
        <v>2872.7006116254188</v>
      </c>
    </row>
    <row r="286" spans="1:3" x14ac:dyDescent="0.35">
      <c r="A286" s="1">
        <v>256</v>
      </c>
      <c r="B286" s="1">
        <v>934.54619084676096</v>
      </c>
      <c r="C286" s="1">
        <v>-797.03608510440858</v>
      </c>
    </row>
    <row r="287" spans="1:3" x14ac:dyDescent="0.35">
      <c r="A287" s="1">
        <v>257</v>
      </c>
      <c r="B287" s="1">
        <v>1021.616895364732</v>
      </c>
      <c r="C287" s="1">
        <v>-953.78248004954617</v>
      </c>
    </row>
    <row r="288" spans="1:3" x14ac:dyDescent="0.35">
      <c r="A288" s="1">
        <v>258</v>
      </c>
      <c r="B288" s="1">
        <v>732.75358444871608</v>
      </c>
      <c r="C288" s="1">
        <v>-589.08419940657791</v>
      </c>
    </row>
    <row r="289" spans="1:3" x14ac:dyDescent="0.35">
      <c r="A289" s="1">
        <v>259</v>
      </c>
      <c r="B289" s="1">
        <v>81.821794593990148</v>
      </c>
      <c r="C289" s="1">
        <v>2602.5386312263759</v>
      </c>
    </row>
    <row r="290" spans="1:3" x14ac:dyDescent="0.35">
      <c r="A290" s="1">
        <v>260</v>
      </c>
      <c r="B290" s="1">
        <v>1070.8677745100831</v>
      </c>
      <c r="C290" s="1">
        <v>-957.73145950739161</v>
      </c>
    </row>
    <row r="291" spans="1:3" x14ac:dyDescent="0.35">
      <c r="A291" s="1">
        <v>261</v>
      </c>
      <c r="B291" s="1">
        <v>625.69054013923619</v>
      </c>
      <c r="C291" s="1">
        <v>3568.153848744847</v>
      </c>
    </row>
    <row r="292" spans="1:3" x14ac:dyDescent="0.35">
      <c r="A292" s="1">
        <v>262</v>
      </c>
      <c r="B292" s="1">
        <v>707.7113518611111</v>
      </c>
      <c r="C292" s="1">
        <v>182.98768843780476</v>
      </c>
    </row>
    <row r="293" spans="1:3" x14ac:dyDescent="0.35">
      <c r="A293" s="1">
        <v>263</v>
      </c>
      <c r="B293" s="1">
        <v>921.23470877142881</v>
      </c>
      <c r="C293" s="1">
        <v>-838.07181734767266</v>
      </c>
    </row>
    <row r="294" spans="1:3" x14ac:dyDescent="0.35">
      <c r="A294" s="1">
        <v>264</v>
      </c>
      <c r="B294" s="1">
        <v>1225.7670753615073</v>
      </c>
      <c r="C294" s="1">
        <v>-1148.8712050638683</v>
      </c>
    </row>
    <row r="295" spans="1:3" x14ac:dyDescent="0.35">
      <c r="A295" s="1">
        <v>265</v>
      </c>
      <c r="B295" s="1">
        <v>742.99502301992527</v>
      </c>
      <c r="C295" s="1">
        <v>-725.6881184147768</v>
      </c>
    </row>
    <row r="296" spans="1:3" x14ac:dyDescent="0.35">
      <c r="A296" s="1">
        <v>266</v>
      </c>
      <c r="B296" s="1">
        <v>1015.7874671559033</v>
      </c>
      <c r="C296" s="1">
        <v>257.7819072376966</v>
      </c>
    </row>
    <row r="297" spans="1:3" x14ac:dyDescent="0.35">
      <c r="A297" s="1">
        <v>267</v>
      </c>
      <c r="B297" s="1">
        <v>817.81565500091801</v>
      </c>
      <c r="C297" s="1">
        <v>-311.62918308608204</v>
      </c>
    </row>
    <row r="298" spans="1:3" x14ac:dyDescent="0.35">
      <c r="A298" s="1">
        <v>268</v>
      </c>
      <c r="B298" s="1">
        <v>1204.9124135828031</v>
      </c>
      <c r="C298" s="1">
        <v>-853.53092419379823</v>
      </c>
    </row>
    <row r="299" spans="1:3" x14ac:dyDescent="0.35">
      <c r="A299" s="1">
        <v>269</v>
      </c>
      <c r="B299" s="1">
        <v>467.4293017818303</v>
      </c>
      <c r="C299" s="1">
        <v>-466.85415106769261</v>
      </c>
    </row>
    <row r="300" spans="1:3" x14ac:dyDescent="0.35">
      <c r="A300" s="1">
        <v>270</v>
      </c>
      <c r="B300" s="1">
        <v>604.47227168103166</v>
      </c>
      <c r="C300" s="1">
        <v>949.83720753607383</v>
      </c>
    </row>
    <row r="301" spans="1:3" x14ac:dyDescent="0.35">
      <c r="A301" s="1">
        <v>271</v>
      </c>
      <c r="B301" s="1">
        <v>1379.50331886353</v>
      </c>
      <c r="C301" s="1">
        <v>-734.62517005109191</v>
      </c>
    </row>
    <row r="302" spans="1:3" x14ac:dyDescent="0.35">
      <c r="A302" s="1">
        <v>272</v>
      </c>
      <c r="B302" s="1">
        <v>620.1795888153581</v>
      </c>
      <c r="C302" s="1">
        <v>-537.33693785334845</v>
      </c>
    </row>
    <row r="303" spans="1:3" x14ac:dyDescent="0.35">
      <c r="A303" s="1">
        <v>273</v>
      </c>
      <c r="B303" s="1">
        <v>691.36853025699884</v>
      </c>
      <c r="C303" s="1">
        <v>-661.687408186119</v>
      </c>
    </row>
    <row r="304" spans="1:3" x14ac:dyDescent="0.35">
      <c r="A304" s="1">
        <v>274</v>
      </c>
      <c r="B304" s="1">
        <v>949.04213008826923</v>
      </c>
      <c r="C304" s="1">
        <v>-67.106417754871359</v>
      </c>
    </row>
    <row r="305" spans="1:3" x14ac:dyDescent="0.35">
      <c r="A305" s="1">
        <v>275</v>
      </c>
      <c r="B305" s="1">
        <v>939.54612729969335</v>
      </c>
      <c r="C305" s="1">
        <v>-226.21327390739361</v>
      </c>
    </row>
    <row r="306" spans="1:3" x14ac:dyDescent="0.35">
      <c r="A306" s="1">
        <v>276</v>
      </c>
      <c r="B306" s="1">
        <v>1133.7873346407812</v>
      </c>
      <c r="C306" s="1">
        <v>-1025.583027573419</v>
      </c>
    </row>
    <row r="307" spans="1:3" x14ac:dyDescent="0.35">
      <c r="A307" s="1">
        <v>277</v>
      </c>
      <c r="B307" s="1">
        <v>771.90297708426579</v>
      </c>
      <c r="C307" s="1">
        <v>-764.6048175326315</v>
      </c>
    </row>
    <row r="308" spans="1:3" x14ac:dyDescent="0.35">
      <c r="A308" s="1">
        <v>278</v>
      </c>
      <c r="B308" s="1">
        <v>573.68138602093347</v>
      </c>
      <c r="C308" s="1">
        <v>-487.97482513335103</v>
      </c>
    </row>
    <row r="309" spans="1:3" x14ac:dyDescent="0.35">
      <c r="A309" s="1">
        <v>279</v>
      </c>
      <c r="B309" s="1">
        <v>1004.1967118518261</v>
      </c>
      <c r="C309" s="1">
        <v>-684.51663053991911</v>
      </c>
    </row>
    <row r="310" spans="1:3" x14ac:dyDescent="0.35">
      <c r="A310" s="1">
        <v>280</v>
      </c>
      <c r="B310" s="1">
        <v>200.85847049229397</v>
      </c>
      <c r="C310" s="1">
        <v>476.92846777519236</v>
      </c>
    </row>
    <row r="311" spans="1:3" x14ac:dyDescent="0.35">
      <c r="A311" s="1">
        <v>281</v>
      </c>
      <c r="B311" s="1">
        <v>779.31374188232553</v>
      </c>
      <c r="C311" s="1">
        <v>-90.593884568354497</v>
      </c>
    </row>
    <row r="312" spans="1:3" x14ac:dyDescent="0.35">
      <c r="A312" s="1">
        <v>282</v>
      </c>
      <c r="B312" s="1">
        <v>830.01245268772664</v>
      </c>
      <c r="C312" s="1">
        <v>-830.00628192145882</v>
      </c>
    </row>
    <row r="313" spans="1:3" x14ac:dyDescent="0.35">
      <c r="A313" s="1">
        <v>283</v>
      </c>
      <c r="B313" s="1">
        <v>611.05757111747153</v>
      </c>
      <c r="C313" s="1">
        <v>-611.01096287024916</v>
      </c>
    </row>
    <row r="314" spans="1:3" x14ac:dyDescent="0.35">
      <c r="A314" s="1">
        <v>284</v>
      </c>
      <c r="B314" s="1">
        <v>845.14103002137722</v>
      </c>
      <c r="C314" s="1">
        <v>320.75861978904163</v>
      </c>
    </row>
    <row r="315" spans="1:3" x14ac:dyDescent="0.35">
      <c r="A315" s="1">
        <v>285</v>
      </c>
      <c r="B315" s="1">
        <v>907.44167493737609</v>
      </c>
      <c r="C315" s="1">
        <v>-530.73241877424971</v>
      </c>
    </row>
    <row r="316" spans="1:3" x14ac:dyDescent="0.35">
      <c r="A316" s="1">
        <v>286</v>
      </c>
      <c r="B316" s="1">
        <v>885.26922488050661</v>
      </c>
      <c r="C316" s="1">
        <v>-877.49981752090923</v>
      </c>
    </row>
    <row r="317" spans="1:3" x14ac:dyDescent="0.35">
      <c r="A317" s="1">
        <v>287</v>
      </c>
      <c r="B317" s="1">
        <v>284.3437657628445</v>
      </c>
      <c r="C317" s="1">
        <v>-131.64061712137365</v>
      </c>
    </row>
    <row r="318" spans="1:3" x14ac:dyDescent="0.35">
      <c r="A318" s="1">
        <v>288</v>
      </c>
      <c r="B318" s="1">
        <v>898.83524743679038</v>
      </c>
      <c r="C318" s="1">
        <v>-481.7790932168412</v>
      </c>
    </row>
    <row r="319" spans="1:3" x14ac:dyDescent="0.35">
      <c r="A319" s="1">
        <v>289</v>
      </c>
      <c r="B319" s="1">
        <v>539.0137049654071</v>
      </c>
      <c r="C319" s="1">
        <v>-472.2603991995594</v>
      </c>
    </row>
    <row r="320" spans="1:3" x14ac:dyDescent="0.35">
      <c r="A320" s="1">
        <v>290</v>
      </c>
      <c r="B320" s="1">
        <v>984.14938667338606</v>
      </c>
      <c r="C320" s="1">
        <v>-938.15862627319962</v>
      </c>
    </row>
    <row r="321" spans="1:3" x14ac:dyDescent="0.35">
      <c r="A321" s="1">
        <v>291</v>
      </c>
      <c r="B321" s="1">
        <v>852.27524068632647</v>
      </c>
      <c r="C321" s="1">
        <v>217.50801944471618</v>
      </c>
    </row>
    <row r="322" spans="1:3" x14ac:dyDescent="0.35">
      <c r="A322" s="1">
        <v>292</v>
      </c>
      <c r="B322" s="1">
        <v>901.48796529991205</v>
      </c>
      <c r="C322" s="1">
        <v>-813.78829017109683</v>
      </c>
    </row>
    <row r="323" spans="1:3" x14ac:dyDescent="0.35">
      <c r="A323" s="1">
        <v>293</v>
      </c>
      <c r="B323" s="1">
        <v>1005.5209741226752</v>
      </c>
      <c r="C323" s="1">
        <v>-906.25328747975641</v>
      </c>
    </row>
    <row r="324" spans="1:3" x14ac:dyDescent="0.35">
      <c r="A324" s="1">
        <v>294</v>
      </c>
      <c r="B324" s="1">
        <v>822.98676434963909</v>
      </c>
      <c r="C324" s="1">
        <v>-805.83308701107489</v>
      </c>
    </row>
    <row r="325" spans="1:3" x14ac:dyDescent="0.35">
      <c r="A325" s="1">
        <v>295</v>
      </c>
      <c r="B325" s="1">
        <v>1012.5773027851928</v>
      </c>
      <c r="C325" s="1">
        <v>-34.169870485670799</v>
      </c>
    </row>
    <row r="326" spans="1:3" x14ac:dyDescent="0.35">
      <c r="A326" s="1">
        <v>296</v>
      </c>
      <c r="B326" s="1">
        <v>804.55985006852063</v>
      </c>
      <c r="C326" s="1">
        <v>53.581758213160583</v>
      </c>
    </row>
    <row r="327" spans="1:3" x14ac:dyDescent="0.35">
      <c r="A327" s="1">
        <v>297</v>
      </c>
      <c r="B327" s="1">
        <v>315.62379663840613</v>
      </c>
      <c r="C327" s="1">
        <v>-226.91471181712592</v>
      </c>
    </row>
    <row r="328" spans="1:3" x14ac:dyDescent="0.35">
      <c r="A328" s="1">
        <v>298</v>
      </c>
      <c r="B328" s="1">
        <v>513.74298572963835</v>
      </c>
      <c r="C328" s="1">
        <v>-513.71684062183908</v>
      </c>
    </row>
    <row r="329" spans="1:3" x14ac:dyDescent="0.35">
      <c r="A329" s="1">
        <v>299</v>
      </c>
      <c r="B329" s="1">
        <v>795.18093760444287</v>
      </c>
      <c r="C329" s="1">
        <v>1003.0325731886293</v>
      </c>
    </row>
    <row r="330" spans="1:3" x14ac:dyDescent="0.35">
      <c r="A330" s="1">
        <v>300</v>
      </c>
      <c r="B330" s="1">
        <v>996.28483458129847</v>
      </c>
      <c r="C330" s="1">
        <v>-588.54752577072827</v>
      </c>
    </row>
    <row r="331" spans="1:3" x14ac:dyDescent="0.35">
      <c r="A331" s="1">
        <v>301</v>
      </c>
      <c r="B331" s="1">
        <v>809.67392745222264</v>
      </c>
      <c r="C331" s="1">
        <v>1880.5315947719093</v>
      </c>
    </row>
    <row r="332" spans="1:3" x14ac:dyDescent="0.35">
      <c r="A332" s="1">
        <v>302</v>
      </c>
      <c r="B332" s="1">
        <v>680.70030349237254</v>
      </c>
      <c r="C332" s="1">
        <v>133.74384847794806</v>
      </c>
    </row>
    <row r="333" spans="1:3" x14ac:dyDescent="0.35">
      <c r="A333" s="1">
        <v>303</v>
      </c>
      <c r="B333" s="1">
        <v>1029.2288683830798</v>
      </c>
      <c r="C333" s="1">
        <v>282.96940443507015</v>
      </c>
    </row>
    <row r="334" spans="1:3" x14ac:dyDescent="0.35">
      <c r="A334" s="1">
        <v>304</v>
      </c>
      <c r="B334" s="1">
        <v>938.6755377313707</v>
      </c>
      <c r="C334" s="1">
        <v>-633.23382998962734</v>
      </c>
    </row>
    <row r="335" spans="1:3" x14ac:dyDescent="0.35">
      <c r="A335" s="1">
        <v>305</v>
      </c>
      <c r="B335" s="1">
        <v>617.18559181147998</v>
      </c>
      <c r="C335" s="1">
        <v>775.69664259402316</v>
      </c>
    </row>
    <row r="336" spans="1:3" x14ac:dyDescent="0.35">
      <c r="A336" s="1">
        <v>306</v>
      </c>
      <c r="B336" s="1">
        <v>894.71119810775235</v>
      </c>
      <c r="C336" s="1">
        <v>-894.63376619442909</v>
      </c>
    </row>
    <row r="337" spans="1:3" x14ac:dyDescent="0.35">
      <c r="A337" s="1">
        <v>307</v>
      </c>
      <c r="B337" s="1">
        <v>736.71833150231453</v>
      </c>
      <c r="C337" s="1">
        <v>307.42573175204245</v>
      </c>
    </row>
    <row r="338" spans="1:3" x14ac:dyDescent="0.35">
      <c r="A338" s="1">
        <v>308</v>
      </c>
      <c r="B338" s="1">
        <v>327.58654211920691</v>
      </c>
      <c r="C338" s="1">
        <v>189.71601374797024</v>
      </c>
    </row>
    <row r="339" spans="1:3" x14ac:dyDescent="0.35">
      <c r="A339" s="1">
        <v>309</v>
      </c>
      <c r="B339" s="1">
        <v>650.8846150451343</v>
      </c>
      <c r="C339" s="1">
        <v>-644.43213528633271</v>
      </c>
    </row>
    <row r="340" spans="1:3" x14ac:dyDescent="0.35">
      <c r="A340" s="1">
        <v>310</v>
      </c>
      <c r="B340" s="1">
        <v>677.39659732898122</v>
      </c>
      <c r="C340" s="1">
        <v>-614.51890724955808</v>
      </c>
    </row>
    <row r="341" spans="1:3" x14ac:dyDescent="0.35">
      <c r="A341" s="1">
        <v>311</v>
      </c>
      <c r="B341" s="1">
        <v>976.99311713029238</v>
      </c>
      <c r="C341" s="1">
        <v>-119.69275165076692</v>
      </c>
    </row>
    <row r="342" spans="1:3" x14ac:dyDescent="0.35">
      <c r="A342" s="1">
        <v>312</v>
      </c>
      <c r="B342" s="1">
        <v>803.93582517859227</v>
      </c>
      <c r="C342" s="1">
        <v>-572.11343797549489</v>
      </c>
    </row>
    <row r="343" spans="1:3" x14ac:dyDescent="0.35">
      <c r="A343" s="1">
        <v>313</v>
      </c>
      <c r="B343" s="1">
        <v>579.55983541808314</v>
      </c>
      <c r="C343" s="1">
        <v>971.23197611002684</v>
      </c>
    </row>
    <row r="344" spans="1:3" x14ac:dyDescent="0.35">
      <c r="A344" s="1">
        <v>314</v>
      </c>
      <c r="B344" s="1">
        <v>584.48170036953093</v>
      </c>
      <c r="C344" s="1">
        <v>-565.67317516534877</v>
      </c>
    </row>
    <row r="345" spans="1:3" x14ac:dyDescent="0.35">
      <c r="A345" s="1">
        <v>315</v>
      </c>
      <c r="B345" s="1">
        <v>1276.5439678823122</v>
      </c>
      <c r="C345" s="1">
        <v>-1060.6123205092551</v>
      </c>
    </row>
    <row r="346" spans="1:3" x14ac:dyDescent="0.35">
      <c r="A346" s="1">
        <v>316</v>
      </c>
      <c r="B346" s="1">
        <v>695.2464828101829</v>
      </c>
      <c r="C346" s="1">
        <v>-664.28684469987422</v>
      </c>
    </row>
    <row r="347" spans="1:3" x14ac:dyDescent="0.35">
      <c r="A347" s="1">
        <v>317</v>
      </c>
      <c r="B347" s="1">
        <v>492.61320146603134</v>
      </c>
      <c r="C347" s="1">
        <v>-362.50024280666747</v>
      </c>
    </row>
    <row r="348" spans="1:3" x14ac:dyDescent="0.35">
      <c r="A348" s="1">
        <v>318</v>
      </c>
      <c r="B348" s="1">
        <v>671.63837970837676</v>
      </c>
      <c r="C348" s="1">
        <v>3767.1252176548037</v>
      </c>
    </row>
    <row r="349" spans="1:3" x14ac:dyDescent="0.35">
      <c r="A349" s="1">
        <v>319</v>
      </c>
      <c r="B349" s="1">
        <v>797.35848491679599</v>
      </c>
      <c r="C349" s="1">
        <v>-775.52827234471636</v>
      </c>
    </row>
    <row r="350" spans="1:3" x14ac:dyDescent="0.35">
      <c r="A350" s="1">
        <v>320</v>
      </c>
      <c r="B350" s="1">
        <v>901.21589019653175</v>
      </c>
      <c r="C350" s="1">
        <v>3379.3114020034941</v>
      </c>
    </row>
    <row r="351" spans="1:3" x14ac:dyDescent="0.35">
      <c r="A351" s="1">
        <v>321</v>
      </c>
      <c r="B351" s="1">
        <v>372.43684186706554</v>
      </c>
      <c r="C351" s="1">
        <v>-348.9807235255181</v>
      </c>
    </row>
    <row r="352" spans="1:3" x14ac:dyDescent="0.35">
      <c r="A352" s="1">
        <v>322</v>
      </c>
      <c r="B352" s="1">
        <v>848.05067624663866</v>
      </c>
      <c r="C352" s="1">
        <v>-760.77693998712061</v>
      </c>
    </row>
    <row r="353" spans="1:3" x14ac:dyDescent="0.35">
      <c r="A353" s="1">
        <v>323</v>
      </c>
      <c r="B353" s="1">
        <v>878.25980690286292</v>
      </c>
      <c r="C353" s="1">
        <v>-678.0440014831604</v>
      </c>
    </row>
    <row r="354" spans="1:3" x14ac:dyDescent="0.35">
      <c r="A354" s="1">
        <v>324</v>
      </c>
      <c r="B354" s="1">
        <v>1011.3313902977761</v>
      </c>
      <c r="C354" s="1">
        <v>167.56922382129142</v>
      </c>
    </row>
    <row r="355" spans="1:3" x14ac:dyDescent="0.35">
      <c r="A355" s="1">
        <v>325</v>
      </c>
      <c r="B355" s="1">
        <v>868.38218477671421</v>
      </c>
      <c r="C355" s="1">
        <v>-772.07252481485921</v>
      </c>
    </row>
    <row r="356" spans="1:3" x14ac:dyDescent="0.35">
      <c r="A356" s="1">
        <v>326</v>
      </c>
      <c r="B356" s="1">
        <v>388.09218570615531</v>
      </c>
      <c r="C356" s="1">
        <v>1238.0718771360616</v>
      </c>
    </row>
    <row r="357" spans="1:3" x14ac:dyDescent="0.35">
      <c r="A357" s="1">
        <v>327</v>
      </c>
      <c r="B357" s="1">
        <v>800.4902947695125</v>
      </c>
      <c r="C357" s="1">
        <v>-785.86094310357771</v>
      </c>
    </row>
    <row r="358" spans="1:3" x14ac:dyDescent="0.35">
      <c r="A358" s="1">
        <v>328</v>
      </c>
      <c r="B358" s="1">
        <v>770.92934136724489</v>
      </c>
      <c r="C358" s="1">
        <v>2342.0648273838888</v>
      </c>
    </row>
    <row r="359" spans="1:3" x14ac:dyDescent="0.35">
      <c r="A359" s="1">
        <v>329</v>
      </c>
      <c r="B359" s="1">
        <v>851.15452810971965</v>
      </c>
      <c r="C359" s="1">
        <v>-443.60705053798387</v>
      </c>
    </row>
    <row r="360" spans="1:3" x14ac:dyDescent="0.35">
      <c r="A360" s="1">
        <v>330</v>
      </c>
      <c r="B360" s="1">
        <v>856.38564917974304</v>
      </c>
      <c r="C360" s="1">
        <v>-748.47976355637866</v>
      </c>
    </row>
    <row r="361" spans="1:3" x14ac:dyDescent="0.35">
      <c r="A361" s="1">
        <v>331</v>
      </c>
      <c r="B361" s="1">
        <v>1092.4636010184652</v>
      </c>
      <c r="C361" s="1">
        <v>-1078.4712727649169</v>
      </c>
    </row>
    <row r="362" spans="1:3" x14ac:dyDescent="0.35">
      <c r="A362" s="1">
        <v>332</v>
      </c>
      <c r="B362" s="1">
        <v>663.47437131435981</v>
      </c>
      <c r="C362" s="1">
        <v>-37.853500680110983</v>
      </c>
    </row>
    <row r="363" spans="1:3" x14ac:dyDescent="0.35">
      <c r="A363" s="1">
        <v>333</v>
      </c>
      <c r="B363" s="1">
        <v>1005.107309748711</v>
      </c>
      <c r="C363" s="1">
        <v>1801.2775277995911</v>
      </c>
    </row>
    <row r="364" spans="1:3" x14ac:dyDescent="0.35">
      <c r="A364" s="1">
        <v>334</v>
      </c>
      <c r="B364" s="1">
        <v>676.00365340795008</v>
      </c>
      <c r="C364" s="1">
        <v>-493.36327071562101</v>
      </c>
    </row>
    <row r="365" spans="1:3" x14ac:dyDescent="0.35">
      <c r="A365" s="1">
        <v>335</v>
      </c>
      <c r="B365" s="1">
        <v>528.91625201053205</v>
      </c>
      <c r="C365" s="1">
        <v>-446.41000394270486</v>
      </c>
    </row>
    <row r="366" spans="1:3" x14ac:dyDescent="0.35">
      <c r="A366" s="1">
        <v>336</v>
      </c>
      <c r="B366" s="1">
        <v>777.96071851335125</v>
      </c>
      <c r="C366" s="1">
        <v>-3.1592597427293185</v>
      </c>
    </row>
    <row r="367" spans="1:3" x14ac:dyDescent="0.35">
      <c r="A367" s="1">
        <v>337</v>
      </c>
      <c r="B367" s="1">
        <v>1024.6713486375756</v>
      </c>
      <c r="C367" s="1">
        <v>-945.82926129390717</v>
      </c>
    </row>
    <row r="368" spans="1:3" x14ac:dyDescent="0.35">
      <c r="A368" s="1">
        <v>338</v>
      </c>
      <c r="B368" s="1">
        <v>860.02800224126463</v>
      </c>
      <c r="C368" s="1">
        <v>-742.84040768429202</v>
      </c>
    </row>
    <row r="369" spans="1:3" x14ac:dyDescent="0.35">
      <c r="A369" s="1">
        <v>339</v>
      </c>
      <c r="B369" s="1">
        <v>800.44104768677971</v>
      </c>
      <c r="C369" s="1">
        <v>-344.41984524715298</v>
      </c>
    </row>
    <row r="370" spans="1:3" x14ac:dyDescent="0.35">
      <c r="A370" s="1">
        <v>340</v>
      </c>
      <c r="B370" s="1">
        <v>929.7570441702893</v>
      </c>
      <c r="C370" s="1">
        <v>1277.4203244855748</v>
      </c>
    </row>
    <row r="371" spans="1:3" x14ac:dyDescent="0.35">
      <c r="A371" s="1">
        <v>341</v>
      </c>
      <c r="B371" s="1">
        <v>471.42869817422638</v>
      </c>
      <c r="C371" s="1">
        <v>-215.97214277432028</v>
      </c>
    </row>
    <row r="372" spans="1:3" x14ac:dyDescent="0.35">
      <c r="A372" s="1">
        <v>342</v>
      </c>
      <c r="B372" s="1">
        <v>802.16011877365304</v>
      </c>
      <c r="C372" s="1">
        <v>-239.94730646133996</v>
      </c>
    </row>
    <row r="373" spans="1:3" x14ac:dyDescent="0.35">
      <c r="A373" s="1">
        <v>343</v>
      </c>
      <c r="B373" s="1">
        <v>899.15300829627108</v>
      </c>
      <c r="C373" s="1">
        <v>9105.997339515794</v>
      </c>
    </row>
    <row r="374" spans="1:3" x14ac:dyDescent="0.35">
      <c r="A374" s="1">
        <v>344</v>
      </c>
      <c r="B374" s="1">
        <v>760.25990611379507</v>
      </c>
      <c r="C374" s="1">
        <v>-760.18097606056517</v>
      </c>
    </row>
    <row r="375" spans="1:3" x14ac:dyDescent="0.35">
      <c r="A375" s="1">
        <v>345</v>
      </c>
      <c r="B375" s="1">
        <v>1109.5642091254722</v>
      </c>
      <c r="C375" s="1">
        <v>844.85972412805222</v>
      </c>
    </row>
    <row r="376" spans="1:3" x14ac:dyDescent="0.35">
      <c r="A376" s="1">
        <v>346</v>
      </c>
      <c r="B376" s="1">
        <v>1105.3272773551116</v>
      </c>
      <c r="C376" s="1">
        <v>-1034.7250444742697</v>
      </c>
    </row>
    <row r="377" spans="1:3" x14ac:dyDescent="0.35">
      <c r="A377" s="1">
        <v>347</v>
      </c>
      <c r="B377" s="1">
        <v>626.39823331057391</v>
      </c>
      <c r="C377" s="1">
        <v>136.98749223144046</v>
      </c>
    </row>
    <row r="378" spans="1:3" x14ac:dyDescent="0.35">
      <c r="A378" s="1">
        <v>348</v>
      </c>
      <c r="B378" s="1">
        <v>469.60859329741038</v>
      </c>
      <c r="C378" s="1">
        <v>-215.90546696547068</v>
      </c>
    </row>
    <row r="379" spans="1:3" x14ac:dyDescent="0.35">
      <c r="A379" s="1">
        <v>349</v>
      </c>
      <c r="B379" s="1">
        <v>521.41972780619108</v>
      </c>
      <c r="C379" s="1">
        <v>-461.51176921258104</v>
      </c>
    </row>
    <row r="380" spans="1:3" x14ac:dyDescent="0.35">
      <c r="A380" s="1">
        <v>350</v>
      </c>
      <c r="B380" s="1">
        <v>1161.3999651230715</v>
      </c>
      <c r="C380" s="1">
        <v>12825.090561874973</v>
      </c>
    </row>
    <row r="381" spans="1:3" x14ac:dyDescent="0.35">
      <c r="A381" s="1">
        <v>351</v>
      </c>
      <c r="B381" s="1">
        <v>811.79360841709342</v>
      </c>
      <c r="C381" s="1">
        <v>209.09536209948328</v>
      </c>
    </row>
    <row r="382" spans="1:3" x14ac:dyDescent="0.35">
      <c r="A382" s="1">
        <v>352</v>
      </c>
      <c r="B382" s="1">
        <v>672.65950694533046</v>
      </c>
      <c r="C382" s="1">
        <v>-261.3100655829648</v>
      </c>
    </row>
    <row r="383" spans="1:3" x14ac:dyDescent="0.35">
      <c r="A383" s="1">
        <v>353</v>
      </c>
      <c r="B383" s="1">
        <v>1146.9715206304445</v>
      </c>
      <c r="C383" s="1">
        <v>2313.8278311027102</v>
      </c>
    </row>
    <row r="384" spans="1:3" x14ac:dyDescent="0.35">
      <c r="A384" s="1">
        <v>354</v>
      </c>
      <c r="B384" s="1">
        <v>632.93364181253014</v>
      </c>
      <c r="C384" s="1">
        <v>-212.29947973739547</v>
      </c>
    </row>
    <row r="385" spans="1:3" x14ac:dyDescent="0.35">
      <c r="A385" s="1">
        <v>355</v>
      </c>
      <c r="B385" s="1">
        <v>776.76475512879483</v>
      </c>
      <c r="C385" s="1">
        <v>184.19000737123531</v>
      </c>
    </row>
    <row r="386" spans="1:3" x14ac:dyDescent="0.35">
      <c r="A386" s="1">
        <v>356</v>
      </c>
      <c r="B386" s="1">
        <v>881.25864657047237</v>
      </c>
      <c r="C386" s="1">
        <v>395.48413075064923</v>
      </c>
    </row>
    <row r="387" spans="1:3" x14ac:dyDescent="0.35">
      <c r="A387" s="1">
        <v>357</v>
      </c>
      <c r="B387" s="1">
        <v>838.65915479113517</v>
      </c>
      <c r="C387" s="1">
        <v>-831.58345252844128</v>
      </c>
    </row>
    <row r="388" spans="1:3" x14ac:dyDescent="0.35">
      <c r="A388" s="1">
        <v>358</v>
      </c>
      <c r="B388" s="1">
        <v>1206.545534079738</v>
      </c>
      <c r="C388" s="1">
        <v>-1104.5696067511644</v>
      </c>
    </row>
    <row r="389" spans="1:3" x14ac:dyDescent="0.35">
      <c r="A389" s="1">
        <v>359</v>
      </c>
      <c r="B389" s="1">
        <v>1153.1497546775781</v>
      </c>
      <c r="C389" s="1">
        <v>145.14323923280949</v>
      </c>
    </row>
    <row r="390" spans="1:3" x14ac:dyDescent="0.35">
      <c r="A390" s="1">
        <v>360</v>
      </c>
      <c r="B390" s="1">
        <v>708.09774479689236</v>
      </c>
      <c r="C390" s="1">
        <v>2863.9059227053976</v>
      </c>
    </row>
    <row r="391" spans="1:3" x14ac:dyDescent="0.35">
      <c r="A391" s="1">
        <v>361</v>
      </c>
      <c r="B391" s="1">
        <v>404.51390506535159</v>
      </c>
      <c r="C391" s="1">
        <v>2151.0692646712091</v>
      </c>
    </row>
    <row r="392" spans="1:3" x14ac:dyDescent="0.35">
      <c r="A392" s="1">
        <v>362</v>
      </c>
      <c r="B392" s="1">
        <v>1059.7044984245738</v>
      </c>
      <c r="C392" s="1">
        <v>-564.89345503255709</v>
      </c>
    </row>
    <row r="393" spans="1:3" x14ac:dyDescent="0.35">
      <c r="A393" s="1">
        <v>363</v>
      </c>
      <c r="B393" s="1">
        <v>1525.877001810306</v>
      </c>
      <c r="C393" s="1">
        <v>-501.11138992917427</v>
      </c>
    </row>
    <row r="394" spans="1:3" x14ac:dyDescent="0.35">
      <c r="A394" s="1">
        <v>364</v>
      </c>
      <c r="B394" s="1">
        <v>1291.3349229723549</v>
      </c>
      <c r="C394" s="1">
        <v>-1289.5323758700313</v>
      </c>
    </row>
    <row r="395" spans="1:3" x14ac:dyDescent="0.35">
      <c r="A395" s="1">
        <v>365</v>
      </c>
      <c r="B395" s="1">
        <v>434.87582776046469</v>
      </c>
      <c r="C395" s="1">
        <v>-395.41297501771311</v>
      </c>
    </row>
    <row r="396" spans="1:3" x14ac:dyDescent="0.35">
      <c r="A396" s="1">
        <v>366</v>
      </c>
      <c r="B396" s="1">
        <v>823.40626975228668</v>
      </c>
      <c r="C396" s="1">
        <v>-487.86235808765355</v>
      </c>
    </row>
    <row r="397" spans="1:3" x14ac:dyDescent="0.35">
      <c r="A397" s="1">
        <v>367</v>
      </c>
      <c r="B397" s="1">
        <v>616.32736602902389</v>
      </c>
      <c r="C397" s="1">
        <v>-503.58634674758935</v>
      </c>
    </row>
    <row r="398" spans="1:3" x14ac:dyDescent="0.35">
      <c r="A398" s="1">
        <v>368</v>
      </c>
      <c r="B398" s="1">
        <v>573.18694143151197</v>
      </c>
      <c r="C398" s="1">
        <v>-547.5769052927759</v>
      </c>
    </row>
    <row r="399" spans="1:3" x14ac:dyDescent="0.35">
      <c r="A399" s="1">
        <v>369</v>
      </c>
      <c r="B399" s="1">
        <v>545.50646468944694</v>
      </c>
      <c r="C399" s="1">
        <v>323.91207482192578</v>
      </c>
    </row>
    <row r="400" spans="1:3" x14ac:dyDescent="0.35">
      <c r="A400" s="1">
        <v>370</v>
      </c>
      <c r="B400" s="1">
        <v>879.55588260396712</v>
      </c>
      <c r="C400" s="1">
        <v>-879.4798129803894</v>
      </c>
    </row>
    <row r="401" spans="1:3" x14ac:dyDescent="0.35">
      <c r="A401" s="1">
        <v>371</v>
      </c>
      <c r="B401" s="1">
        <v>601.78761957528741</v>
      </c>
      <c r="C401" s="1">
        <v>-464.42380223576413</v>
      </c>
    </row>
    <row r="402" spans="1:3" x14ac:dyDescent="0.35">
      <c r="A402" s="1">
        <v>372</v>
      </c>
      <c r="B402" s="1">
        <v>418.10868102418476</v>
      </c>
      <c r="C402" s="1">
        <v>45.776861974037388</v>
      </c>
    </row>
    <row r="403" spans="1:3" x14ac:dyDescent="0.35">
      <c r="A403" s="1">
        <v>373</v>
      </c>
      <c r="B403" s="1">
        <v>754.68675981574938</v>
      </c>
      <c r="C403" s="1">
        <v>136.61753366741652</v>
      </c>
    </row>
    <row r="404" spans="1:3" x14ac:dyDescent="0.35">
      <c r="A404" s="1">
        <v>374</v>
      </c>
      <c r="B404" s="1">
        <v>820.57707340446825</v>
      </c>
      <c r="C404" s="1">
        <v>-793.18398670921624</v>
      </c>
    </row>
    <row r="405" spans="1:3" x14ac:dyDescent="0.35">
      <c r="A405" s="1">
        <v>375</v>
      </c>
      <c r="B405" s="1">
        <v>888.17526543000702</v>
      </c>
      <c r="C405" s="1">
        <v>-888.16217499252264</v>
      </c>
    </row>
    <row r="406" spans="1:3" x14ac:dyDescent="0.35">
      <c r="A406" s="1">
        <v>376</v>
      </c>
      <c r="B406" s="1">
        <v>913.33472428618416</v>
      </c>
      <c r="C406" s="1">
        <v>-466.21443748733475</v>
      </c>
    </row>
    <row r="407" spans="1:3" x14ac:dyDescent="0.35">
      <c r="A407" s="1">
        <v>377</v>
      </c>
      <c r="B407" s="1">
        <v>491.25166021681218</v>
      </c>
      <c r="C407" s="1">
        <v>-337.44182455282339</v>
      </c>
    </row>
    <row r="408" spans="1:3" x14ac:dyDescent="0.35">
      <c r="A408" s="1">
        <v>378</v>
      </c>
      <c r="B408" s="1">
        <v>877.57987378640246</v>
      </c>
      <c r="C408" s="1">
        <v>-301.94659490079789</v>
      </c>
    </row>
    <row r="409" spans="1:3" x14ac:dyDescent="0.35">
      <c r="A409" s="1">
        <v>379</v>
      </c>
      <c r="B409" s="1">
        <v>935.76846211803922</v>
      </c>
      <c r="C409" s="1">
        <v>-265.99837809006806</v>
      </c>
    </row>
    <row r="410" spans="1:3" x14ac:dyDescent="0.35">
      <c r="A410" s="1">
        <v>380</v>
      </c>
      <c r="B410" s="1">
        <v>1243.4208046134609</v>
      </c>
      <c r="C410" s="1">
        <v>55.385187348377258</v>
      </c>
    </row>
    <row r="411" spans="1:3" x14ac:dyDescent="0.35">
      <c r="A411" s="1">
        <v>381</v>
      </c>
      <c r="B411" s="1">
        <v>798.09251903560789</v>
      </c>
      <c r="C411" s="1">
        <v>-757.95840588253225</v>
      </c>
    </row>
    <row r="412" spans="1:3" x14ac:dyDescent="0.35">
      <c r="A412" s="1">
        <v>382</v>
      </c>
      <c r="B412" s="1">
        <v>608.7110752013175</v>
      </c>
      <c r="C412" s="1">
        <v>-495.12142697568328</v>
      </c>
    </row>
    <row r="413" spans="1:3" x14ac:dyDescent="0.35">
      <c r="A413" s="1">
        <v>383</v>
      </c>
      <c r="B413" s="1">
        <v>357.66376832030801</v>
      </c>
      <c r="C413" s="1">
        <v>-111.03042284592064</v>
      </c>
    </row>
    <row r="414" spans="1:3" x14ac:dyDescent="0.35">
      <c r="A414" s="1">
        <v>384</v>
      </c>
      <c r="B414" s="1">
        <v>750.64570382174998</v>
      </c>
      <c r="C414" s="1">
        <v>-197.13788751467177</v>
      </c>
    </row>
    <row r="415" spans="1:3" x14ac:dyDescent="0.35">
      <c r="A415" s="1">
        <v>385</v>
      </c>
      <c r="B415" s="1">
        <v>523.36061792112991</v>
      </c>
      <c r="C415" s="1">
        <v>-298.13787599332318</v>
      </c>
    </row>
    <row r="416" spans="1:3" x14ac:dyDescent="0.35">
      <c r="A416" s="1">
        <v>386</v>
      </c>
      <c r="B416" s="1">
        <v>497.13484218574263</v>
      </c>
      <c r="C416" s="1">
        <v>-280.25537628045402</v>
      </c>
    </row>
    <row r="417" spans="1:3" x14ac:dyDescent="0.35">
      <c r="A417" s="1">
        <v>387</v>
      </c>
      <c r="B417" s="1">
        <v>1042.4797494566897</v>
      </c>
      <c r="C417" s="1">
        <v>-1033.5531711662932</v>
      </c>
    </row>
    <row r="418" spans="1:3" x14ac:dyDescent="0.35">
      <c r="A418" s="1">
        <v>388</v>
      </c>
      <c r="B418" s="1">
        <v>1291.1489021290199</v>
      </c>
      <c r="C418" s="1">
        <v>-902.396288069604</v>
      </c>
    </row>
    <row r="419" spans="1:3" x14ac:dyDescent="0.35">
      <c r="A419" s="1">
        <v>389</v>
      </c>
      <c r="B419" s="1">
        <v>777.90980742269085</v>
      </c>
      <c r="C419" s="1">
        <v>-621.31524129282707</v>
      </c>
    </row>
    <row r="420" spans="1:3" x14ac:dyDescent="0.35">
      <c r="A420" s="1">
        <v>390</v>
      </c>
      <c r="B420" s="1">
        <v>815.86740987610301</v>
      </c>
      <c r="C420" s="1">
        <v>-439.4351205843796</v>
      </c>
    </row>
    <row r="421" spans="1:3" x14ac:dyDescent="0.35">
      <c r="A421" s="1">
        <v>391</v>
      </c>
      <c r="B421" s="1">
        <v>775.3284886611134</v>
      </c>
      <c r="C421" s="1">
        <v>438.32786601542011</v>
      </c>
    </row>
    <row r="422" spans="1:3" x14ac:dyDescent="0.35">
      <c r="A422" s="1">
        <v>392</v>
      </c>
      <c r="B422" s="1">
        <v>846.46151286766803</v>
      </c>
      <c r="C422" s="1">
        <v>776.32165867573485</v>
      </c>
    </row>
    <row r="423" spans="1:3" x14ac:dyDescent="0.35">
      <c r="A423" s="1">
        <v>393</v>
      </c>
      <c r="B423" s="1">
        <v>-116.82370927629586</v>
      </c>
      <c r="C423" s="1">
        <v>228.98736542458224</v>
      </c>
    </row>
    <row r="424" spans="1:3" x14ac:dyDescent="0.35">
      <c r="A424" s="1">
        <v>394</v>
      </c>
      <c r="B424" s="1">
        <v>612.71772190651768</v>
      </c>
      <c r="C424" s="1">
        <v>-599.53814619802097</v>
      </c>
    </row>
    <row r="425" spans="1:3" x14ac:dyDescent="0.35">
      <c r="A425" s="1">
        <v>395</v>
      </c>
      <c r="B425" s="1">
        <v>801.22922012034155</v>
      </c>
      <c r="C425" s="1">
        <v>516.52879755265212</v>
      </c>
    </row>
    <row r="426" spans="1:3" x14ac:dyDescent="0.35">
      <c r="A426" s="1">
        <v>396</v>
      </c>
      <c r="B426" s="1">
        <v>508.48187467338664</v>
      </c>
      <c r="C426" s="1">
        <v>-407.45617011424349</v>
      </c>
    </row>
    <row r="427" spans="1:3" x14ac:dyDescent="0.35">
      <c r="A427" s="1">
        <v>397</v>
      </c>
      <c r="B427" s="1">
        <v>885.89658836136641</v>
      </c>
      <c r="C427" s="1">
        <v>-300.72835080718392</v>
      </c>
    </row>
    <row r="428" spans="1:3" x14ac:dyDescent="0.35">
      <c r="A428" s="1">
        <v>398</v>
      </c>
      <c r="B428" s="1">
        <v>944.76398314151402</v>
      </c>
      <c r="C428" s="1">
        <v>100.97139011423747</v>
      </c>
    </row>
    <row r="429" spans="1:3" x14ac:dyDescent="0.35">
      <c r="A429" s="1">
        <v>399</v>
      </c>
      <c r="B429" s="1">
        <v>495.99704886095731</v>
      </c>
      <c r="C429" s="1">
        <v>67.587083443096844</v>
      </c>
    </row>
    <row r="430" spans="1:3" x14ac:dyDescent="0.35">
      <c r="A430" s="1">
        <v>400</v>
      </c>
      <c r="B430" s="1">
        <v>909.56928360345773</v>
      </c>
      <c r="C430" s="1">
        <v>6870.1178696604466</v>
      </c>
    </row>
    <row r="431" spans="1:3" x14ac:dyDescent="0.35">
      <c r="A431" s="1">
        <v>401</v>
      </c>
      <c r="B431" s="1">
        <v>681.18977166522768</v>
      </c>
      <c r="C431" s="1">
        <v>-240.68055914806803</v>
      </c>
    </row>
    <row r="432" spans="1:3" x14ac:dyDescent="0.35">
      <c r="A432" s="1">
        <v>402</v>
      </c>
      <c r="B432" s="1">
        <v>863.53724226097063</v>
      </c>
      <c r="C432" s="1">
        <v>-730.52314778834841</v>
      </c>
    </row>
    <row r="433" spans="1:3" x14ac:dyDescent="0.35">
      <c r="A433" s="1">
        <v>403</v>
      </c>
      <c r="B433" s="1">
        <v>959.81821292488996</v>
      </c>
      <c r="C433" s="1">
        <v>-643.23559802718978</v>
      </c>
    </row>
    <row r="434" spans="1:3" x14ac:dyDescent="0.35">
      <c r="A434" s="1">
        <v>404</v>
      </c>
      <c r="B434" s="1">
        <v>951.35211674405718</v>
      </c>
      <c r="C434" s="1">
        <v>802.20028278839436</v>
      </c>
    </row>
    <row r="435" spans="1:3" x14ac:dyDescent="0.35">
      <c r="A435" s="1">
        <v>405</v>
      </c>
      <c r="B435" s="1">
        <v>810.77620314103785</v>
      </c>
      <c r="C435" s="1">
        <v>1213.245636487668</v>
      </c>
    </row>
    <row r="436" spans="1:3" x14ac:dyDescent="0.35">
      <c r="A436" s="1">
        <v>406</v>
      </c>
      <c r="B436" s="1">
        <v>797.09322834699992</v>
      </c>
      <c r="C436" s="1">
        <v>-779.01241270338289</v>
      </c>
    </row>
    <row r="437" spans="1:3" x14ac:dyDescent="0.35">
      <c r="A437" s="1">
        <v>407</v>
      </c>
      <c r="B437" s="1">
        <v>864.82532427193689</v>
      </c>
      <c r="C437" s="1">
        <v>-759.56678269054146</v>
      </c>
    </row>
    <row r="438" spans="1:3" x14ac:dyDescent="0.35">
      <c r="A438" s="1">
        <v>408</v>
      </c>
      <c r="B438" s="1">
        <v>516.6924416284935</v>
      </c>
      <c r="C438" s="1">
        <v>-498.47316603790074</v>
      </c>
    </row>
    <row r="439" spans="1:3" x14ac:dyDescent="0.35">
      <c r="A439" s="1">
        <v>409</v>
      </c>
      <c r="B439" s="1">
        <v>845.10604525953318</v>
      </c>
      <c r="C439" s="1">
        <v>4481.659938890959</v>
      </c>
    </row>
    <row r="440" spans="1:3" x14ac:dyDescent="0.35">
      <c r="A440" s="1">
        <v>410</v>
      </c>
      <c r="B440" s="1">
        <v>278.42425082632229</v>
      </c>
      <c r="C440" s="1">
        <v>-255.14305182459555</v>
      </c>
    </row>
    <row r="441" spans="1:3" x14ac:dyDescent="0.35">
      <c r="A441" s="1">
        <v>411</v>
      </c>
      <c r="B441" s="1">
        <v>1076.2941908277394</v>
      </c>
      <c r="C441" s="1">
        <v>-1027.6880161802108</v>
      </c>
    </row>
    <row r="442" spans="1:3" x14ac:dyDescent="0.35">
      <c r="A442" s="1">
        <v>412</v>
      </c>
      <c r="B442" s="1">
        <v>649.12761322538006</v>
      </c>
      <c r="C442" s="1">
        <v>-498.43253372827689</v>
      </c>
    </row>
    <row r="443" spans="1:3" x14ac:dyDescent="0.35">
      <c r="A443" s="1">
        <v>413</v>
      </c>
      <c r="B443" s="1">
        <v>526.86636436601918</v>
      </c>
      <c r="C443" s="1">
        <v>-497.18643681708596</v>
      </c>
    </row>
    <row r="444" spans="1:3" x14ac:dyDescent="0.35">
      <c r="A444" s="1">
        <v>414</v>
      </c>
      <c r="B444" s="1">
        <v>574.30940939449874</v>
      </c>
      <c r="C444" s="1">
        <v>863.36333317872368</v>
      </c>
    </row>
    <row r="445" spans="1:3" x14ac:dyDescent="0.35">
      <c r="A445" s="1">
        <v>415</v>
      </c>
      <c r="B445" s="1">
        <v>663.03593335158348</v>
      </c>
      <c r="C445" s="1">
        <v>-279.18359512504344</v>
      </c>
    </row>
    <row r="446" spans="1:3" x14ac:dyDescent="0.35">
      <c r="A446" s="1">
        <v>416</v>
      </c>
      <c r="B446" s="1">
        <v>77.861110976322578</v>
      </c>
      <c r="C446" s="1">
        <v>384.04150217346228</v>
      </c>
    </row>
    <row r="447" spans="1:3" x14ac:dyDescent="0.35">
      <c r="A447" s="1">
        <v>417</v>
      </c>
      <c r="B447" s="1">
        <v>839.24499183830471</v>
      </c>
      <c r="C447" s="1">
        <v>-765.91848333236669</v>
      </c>
    </row>
    <row r="448" spans="1:3" x14ac:dyDescent="0.35">
      <c r="A448" s="1">
        <v>418</v>
      </c>
      <c r="B448" s="1">
        <v>1167.2065759184454</v>
      </c>
      <c r="C448" s="1">
        <v>-479.91166504435193</v>
      </c>
    </row>
    <row r="449" spans="1:3" x14ac:dyDescent="0.35">
      <c r="A449" s="1">
        <v>419</v>
      </c>
      <c r="B449" s="1">
        <v>532.2733674393437</v>
      </c>
      <c r="C449" s="1">
        <v>0.46019819544164875</v>
      </c>
    </row>
    <row r="450" spans="1:3" x14ac:dyDescent="0.35">
      <c r="A450" s="1">
        <v>420</v>
      </c>
      <c r="B450" s="1">
        <v>609.14592293064754</v>
      </c>
      <c r="C450" s="1">
        <v>-320.82954519911317</v>
      </c>
    </row>
    <row r="451" spans="1:3" x14ac:dyDescent="0.35">
      <c r="A451" s="1">
        <v>421</v>
      </c>
      <c r="B451" s="1">
        <v>908.78687341144291</v>
      </c>
      <c r="C451" s="1">
        <v>-791.98406689292506</v>
      </c>
    </row>
    <row r="452" spans="1:3" x14ac:dyDescent="0.35">
      <c r="A452" s="1">
        <v>422</v>
      </c>
      <c r="B452" s="1">
        <v>558.61894750722081</v>
      </c>
      <c r="C452" s="1">
        <v>-323.2226614836207</v>
      </c>
    </row>
    <row r="453" spans="1:3" x14ac:dyDescent="0.35">
      <c r="A453" s="1">
        <v>423</v>
      </c>
      <c r="B453" s="1">
        <v>982.37245961115036</v>
      </c>
      <c r="C453" s="1">
        <v>-912.97687049245076</v>
      </c>
    </row>
    <row r="454" spans="1:3" x14ac:dyDescent="0.35">
      <c r="A454" s="1">
        <v>424</v>
      </c>
      <c r="B454" s="1">
        <v>766.16692734045751</v>
      </c>
      <c r="C454" s="1">
        <v>-617.47996048244988</v>
      </c>
    </row>
    <row r="455" spans="1:3" x14ac:dyDescent="0.35">
      <c r="A455" s="1">
        <v>425</v>
      </c>
      <c r="B455" s="1">
        <v>820.44645991852053</v>
      </c>
      <c r="C455" s="1">
        <v>-725.49538940034245</v>
      </c>
    </row>
    <row r="456" spans="1:3" x14ac:dyDescent="0.35">
      <c r="A456" s="1">
        <v>426</v>
      </c>
      <c r="B456" s="1">
        <v>595.17962283178508</v>
      </c>
      <c r="C456" s="1">
        <v>1692.7537048377383</v>
      </c>
    </row>
    <row r="457" spans="1:3" x14ac:dyDescent="0.35">
      <c r="A457" s="1">
        <v>427</v>
      </c>
      <c r="B457" s="1">
        <v>195.11222781490159</v>
      </c>
      <c r="C457" s="1">
        <v>-94.904602965014362</v>
      </c>
    </row>
    <row r="458" spans="1:3" x14ac:dyDescent="0.35">
      <c r="A458" s="1">
        <v>428</v>
      </c>
      <c r="B458" s="1">
        <v>770.12436839126599</v>
      </c>
      <c r="C458" s="1">
        <v>1728.126677764418</v>
      </c>
    </row>
    <row r="459" spans="1:3" x14ac:dyDescent="0.35">
      <c r="A459" s="1">
        <v>429</v>
      </c>
      <c r="B459" s="1">
        <v>894.64357647132056</v>
      </c>
      <c r="C459" s="1">
        <v>-700.06072290867871</v>
      </c>
    </row>
    <row r="460" spans="1:3" x14ac:dyDescent="0.35">
      <c r="A460" s="1">
        <v>430</v>
      </c>
      <c r="B460" s="1">
        <v>791.38438004535055</v>
      </c>
      <c r="C460" s="1">
        <v>993.75008215455114</v>
      </c>
    </row>
    <row r="461" spans="1:3" x14ac:dyDescent="0.35">
      <c r="A461" s="1">
        <v>431</v>
      </c>
      <c r="B461" s="1">
        <v>444.30039470149359</v>
      </c>
      <c r="C461" s="1">
        <v>-444.08756118579885</v>
      </c>
    </row>
    <row r="462" spans="1:3" x14ac:dyDescent="0.35">
      <c r="A462" s="1">
        <v>432</v>
      </c>
      <c r="B462" s="1">
        <v>797.87748136887251</v>
      </c>
      <c r="C462" s="1">
        <v>541.83646961094303</v>
      </c>
    </row>
    <row r="463" spans="1:3" x14ac:dyDescent="0.35">
      <c r="A463" s="1">
        <v>433</v>
      </c>
      <c r="B463" s="1">
        <v>600.62786713994115</v>
      </c>
      <c r="C463" s="1">
        <v>546.39241285216508</v>
      </c>
    </row>
    <row r="464" spans="1:3" x14ac:dyDescent="0.35">
      <c r="A464" s="1">
        <v>434</v>
      </c>
      <c r="B464" s="1">
        <v>579.26522855333837</v>
      </c>
      <c r="C464" s="1">
        <v>228.07085367597415</v>
      </c>
    </row>
    <row r="465" spans="1:3" x14ac:dyDescent="0.35">
      <c r="A465" s="1">
        <v>435</v>
      </c>
      <c r="B465" s="1">
        <v>884.37246482584544</v>
      </c>
      <c r="C465" s="1">
        <v>-145.19724861446502</v>
      </c>
    </row>
    <row r="466" spans="1:3" x14ac:dyDescent="0.35">
      <c r="A466" s="1">
        <v>436</v>
      </c>
      <c r="B466" s="1">
        <v>832.83044760411747</v>
      </c>
      <c r="C466" s="1">
        <v>-306.63386529995478</v>
      </c>
    </row>
    <row r="467" spans="1:3" x14ac:dyDescent="0.35">
      <c r="A467" s="1">
        <v>437</v>
      </c>
      <c r="B467" s="1">
        <v>1109.7774281673244</v>
      </c>
      <c r="C467" s="1">
        <v>-622.62699997284756</v>
      </c>
    </row>
    <row r="468" spans="1:3" x14ac:dyDescent="0.35">
      <c r="A468" s="1">
        <v>438</v>
      </c>
      <c r="B468" s="1">
        <v>653.07320175832524</v>
      </c>
      <c r="C468" s="1">
        <v>368.97456799441989</v>
      </c>
    </row>
    <row r="469" spans="1:3" x14ac:dyDescent="0.35">
      <c r="A469" s="1">
        <v>439</v>
      </c>
      <c r="B469" s="1">
        <v>494.49674601477432</v>
      </c>
      <c r="C469" s="1">
        <v>-487.33009776804613</v>
      </c>
    </row>
    <row r="470" spans="1:3" x14ac:dyDescent="0.35">
      <c r="A470" s="1">
        <v>440</v>
      </c>
      <c r="B470" s="1">
        <v>831.13408410615466</v>
      </c>
      <c r="C470" s="1">
        <v>-508.4529187363043</v>
      </c>
    </row>
    <row r="471" spans="1:3" x14ac:dyDescent="0.35">
      <c r="A471" s="1">
        <v>441</v>
      </c>
      <c r="B471" s="1">
        <v>1108.9385440571775</v>
      </c>
      <c r="C471" s="1">
        <v>3637.3511508321626</v>
      </c>
    </row>
    <row r="472" spans="1:3" x14ac:dyDescent="0.35">
      <c r="A472" s="1">
        <v>442</v>
      </c>
      <c r="B472" s="1">
        <v>732.30561229850275</v>
      </c>
      <c r="C472" s="1">
        <v>-13.43708581931412</v>
      </c>
    </row>
    <row r="473" spans="1:3" x14ac:dyDescent="0.35">
      <c r="A473" s="1">
        <v>443</v>
      </c>
      <c r="B473" s="1">
        <v>624.87497833234443</v>
      </c>
      <c r="C473" s="1">
        <v>-623.53021548229503</v>
      </c>
    </row>
    <row r="474" spans="1:3" x14ac:dyDescent="0.35">
      <c r="A474" s="1">
        <v>444</v>
      </c>
      <c r="B474" s="1">
        <v>793.75948630899143</v>
      </c>
      <c r="C474" s="1">
        <v>-602.64735643895187</v>
      </c>
    </row>
    <row r="475" spans="1:3" x14ac:dyDescent="0.35">
      <c r="A475" s="1">
        <v>445</v>
      </c>
      <c r="B475" s="1">
        <v>767.37619609367675</v>
      </c>
      <c r="C475" s="1">
        <v>-729.54848185235119</v>
      </c>
    </row>
    <row r="476" spans="1:3" x14ac:dyDescent="0.35">
      <c r="A476" s="1">
        <v>446</v>
      </c>
      <c r="B476" s="1">
        <v>1864.1171088424387</v>
      </c>
      <c r="C476" s="1">
        <v>836.03316525411788</v>
      </c>
    </row>
    <row r="477" spans="1:3" x14ac:dyDescent="0.35">
      <c r="A477" s="1">
        <v>447</v>
      </c>
      <c r="B477" s="1">
        <v>623.47438149725599</v>
      </c>
      <c r="C477" s="1">
        <v>-381.0256730853406</v>
      </c>
    </row>
    <row r="478" spans="1:3" x14ac:dyDescent="0.35">
      <c r="A478" s="1">
        <v>448</v>
      </c>
      <c r="B478" s="1">
        <v>928.78494221789413</v>
      </c>
      <c r="C478" s="1">
        <v>-629.72076174209155</v>
      </c>
    </row>
    <row r="479" spans="1:3" x14ac:dyDescent="0.35">
      <c r="A479" s="1">
        <v>449</v>
      </c>
      <c r="B479" s="1">
        <v>852.50341642974786</v>
      </c>
      <c r="C479" s="1">
        <v>-840.85095531900311</v>
      </c>
    </row>
    <row r="480" spans="1:3" x14ac:dyDescent="0.35">
      <c r="A480" s="1">
        <v>450</v>
      </c>
      <c r="B480" s="1">
        <v>674.34650793585729</v>
      </c>
      <c r="C480" s="1">
        <v>-628.08101699039173</v>
      </c>
    </row>
    <row r="481" spans="1:3" x14ac:dyDescent="0.35">
      <c r="A481" s="1">
        <v>451</v>
      </c>
      <c r="B481" s="1">
        <v>425.96676421422887</v>
      </c>
      <c r="C481" s="1">
        <v>322.10278469283458</v>
      </c>
    </row>
    <row r="482" spans="1:3" x14ac:dyDescent="0.35">
      <c r="A482" s="1">
        <v>452</v>
      </c>
      <c r="B482" s="1">
        <v>611.71037923415656</v>
      </c>
      <c r="C482" s="1">
        <v>-92.288759819178608</v>
      </c>
    </row>
    <row r="483" spans="1:3" x14ac:dyDescent="0.35">
      <c r="A483" s="1">
        <v>453</v>
      </c>
      <c r="B483" s="1">
        <v>664.58733248594899</v>
      </c>
      <c r="C483" s="1">
        <v>847.27341859276362</v>
      </c>
    </row>
    <row r="484" spans="1:3" x14ac:dyDescent="0.35">
      <c r="A484" s="1">
        <v>454</v>
      </c>
      <c r="B484" s="1">
        <v>1153.1445224252177</v>
      </c>
      <c r="C484" s="1">
        <v>-963.29429815977448</v>
      </c>
    </row>
    <row r="485" spans="1:3" x14ac:dyDescent="0.35">
      <c r="A485" s="1">
        <v>455</v>
      </c>
      <c r="B485" s="1">
        <v>780.32213767656344</v>
      </c>
      <c r="C485" s="1">
        <v>-444.52051881814634</v>
      </c>
    </row>
    <row r="486" spans="1:3" x14ac:dyDescent="0.35">
      <c r="A486" s="1">
        <v>456</v>
      </c>
      <c r="B486" s="1">
        <v>976.6298954938743</v>
      </c>
      <c r="C486" s="1">
        <v>2935.9585677790078</v>
      </c>
    </row>
    <row r="487" spans="1:3" x14ac:dyDescent="0.35">
      <c r="A487" s="1">
        <v>457</v>
      </c>
      <c r="B487" s="1">
        <v>1107.9705839296207</v>
      </c>
      <c r="C487" s="1">
        <v>-1107.6790958402164</v>
      </c>
    </row>
    <row r="488" spans="1:3" x14ac:dyDescent="0.35">
      <c r="A488" s="1">
        <v>458</v>
      </c>
      <c r="B488" s="1">
        <v>692.06828342100744</v>
      </c>
      <c r="C488" s="1">
        <v>-139.00960833043621</v>
      </c>
    </row>
    <row r="489" spans="1:3" x14ac:dyDescent="0.35">
      <c r="A489" s="1">
        <v>459</v>
      </c>
      <c r="B489" s="1">
        <v>1085.3046284516759</v>
      </c>
      <c r="C489" s="1">
        <v>-1085.2989121440846</v>
      </c>
    </row>
    <row r="490" spans="1:3" x14ac:dyDescent="0.35">
      <c r="A490" s="1">
        <v>460</v>
      </c>
      <c r="B490" s="1">
        <v>1408.172123372241</v>
      </c>
      <c r="C490" s="1">
        <v>-1351.0718983849004</v>
      </c>
    </row>
    <row r="491" spans="1:3" x14ac:dyDescent="0.35">
      <c r="A491" s="1">
        <v>461</v>
      </c>
      <c r="B491" s="1">
        <v>881.79406800768015</v>
      </c>
      <c r="C491" s="1">
        <v>-880.11582810068364</v>
      </c>
    </row>
    <row r="492" spans="1:3" x14ac:dyDescent="0.35">
      <c r="A492" s="1">
        <v>462</v>
      </c>
      <c r="B492" s="1">
        <v>535.25593075258814</v>
      </c>
      <c r="C492" s="1">
        <v>718.1056100339091</v>
      </c>
    </row>
    <row r="493" spans="1:3" x14ac:dyDescent="0.35">
      <c r="A493" s="1">
        <v>463</v>
      </c>
      <c r="B493" s="1">
        <v>1126.2698680830845</v>
      </c>
      <c r="C493" s="1">
        <v>923.25969785909365</v>
      </c>
    </row>
    <row r="494" spans="1:3" x14ac:dyDescent="0.35">
      <c r="A494" s="1">
        <v>464</v>
      </c>
      <c r="B494" s="1">
        <v>942.77356816079532</v>
      </c>
      <c r="C494" s="1">
        <v>-535.41399593444373</v>
      </c>
    </row>
    <row r="495" spans="1:3" x14ac:dyDescent="0.35">
      <c r="A495" s="1">
        <v>465</v>
      </c>
      <c r="B495" s="1">
        <v>714.50481671118337</v>
      </c>
      <c r="C495" s="1">
        <v>-688.54980546166269</v>
      </c>
    </row>
    <row r="496" spans="1:3" x14ac:dyDescent="0.35">
      <c r="A496" s="1">
        <v>466</v>
      </c>
      <c r="B496" s="1">
        <v>403.75089133136231</v>
      </c>
      <c r="C496" s="1">
        <v>-182.62889234632618</v>
      </c>
    </row>
    <row r="497" spans="1:3" x14ac:dyDescent="0.35">
      <c r="A497" s="1">
        <v>467</v>
      </c>
      <c r="B497" s="1">
        <v>566.32433488621575</v>
      </c>
      <c r="C497" s="1">
        <v>516.78201358593776</v>
      </c>
    </row>
    <row r="498" spans="1:3" x14ac:dyDescent="0.35">
      <c r="A498" s="1">
        <v>468</v>
      </c>
      <c r="B498" s="1">
        <v>880.25833441233499</v>
      </c>
      <c r="C498" s="1">
        <v>-508.91649622289196</v>
      </c>
    </row>
    <row r="499" spans="1:3" x14ac:dyDescent="0.35">
      <c r="A499" s="1">
        <v>469</v>
      </c>
      <c r="B499" s="1">
        <v>720.6528833029513</v>
      </c>
      <c r="C499" s="1">
        <v>-694.61281666662273</v>
      </c>
    </row>
    <row r="500" spans="1:3" x14ac:dyDescent="0.35">
      <c r="A500" s="1">
        <v>470</v>
      </c>
      <c r="B500" s="1">
        <v>964.7584641964271</v>
      </c>
      <c r="C500" s="1">
        <v>-290.68865652049681</v>
      </c>
    </row>
    <row r="501" spans="1:3" x14ac:dyDescent="0.35">
      <c r="A501" s="1">
        <v>471</v>
      </c>
      <c r="B501" s="1">
        <v>1182.2045615167269</v>
      </c>
      <c r="C501" s="1">
        <v>-129.92906748385121</v>
      </c>
    </row>
    <row r="502" spans="1:3" x14ac:dyDescent="0.35">
      <c r="A502" s="1">
        <v>472</v>
      </c>
      <c r="B502" s="1">
        <v>909.24949706138955</v>
      </c>
      <c r="C502" s="1">
        <v>563.67887690545081</v>
      </c>
    </row>
    <row r="503" spans="1:3" x14ac:dyDescent="0.35">
      <c r="A503" s="1">
        <v>473</v>
      </c>
      <c r="B503" s="1">
        <v>915.90977222256083</v>
      </c>
      <c r="C503" s="1">
        <v>-766.62181889274962</v>
      </c>
    </row>
    <row r="504" spans="1:3" x14ac:dyDescent="0.35">
      <c r="A504" s="1">
        <v>474</v>
      </c>
      <c r="B504" s="1">
        <v>883.91626732800216</v>
      </c>
      <c r="C504" s="1">
        <v>-834.63198033370361</v>
      </c>
    </row>
    <row r="505" spans="1:3" x14ac:dyDescent="0.35">
      <c r="A505" s="1">
        <v>475</v>
      </c>
      <c r="B505" s="1">
        <v>542.61967753135798</v>
      </c>
      <c r="C505" s="1">
        <v>-516.85904905483028</v>
      </c>
    </row>
    <row r="506" spans="1:3" x14ac:dyDescent="0.35">
      <c r="A506" s="1">
        <v>476</v>
      </c>
      <c r="B506" s="1">
        <v>1221.5003038894315</v>
      </c>
      <c r="C506" s="1">
        <v>-1028.6136879549283</v>
      </c>
    </row>
    <row r="507" spans="1:3" x14ac:dyDescent="0.35">
      <c r="A507" s="1">
        <v>477</v>
      </c>
      <c r="B507" s="1">
        <v>807.07012438325364</v>
      </c>
      <c r="C507" s="1">
        <v>-422.90559255870841</v>
      </c>
    </row>
    <row r="508" spans="1:3" x14ac:dyDescent="0.35">
      <c r="A508" s="1">
        <v>478</v>
      </c>
      <c r="B508" s="1">
        <v>541.74576688107845</v>
      </c>
      <c r="C508" s="1">
        <v>-524.52424086734447</v>
      </c>
    </row>
    <row r="509" spans="1:3" x14ac:dyDescent="0.35">
      <c r="A509" s="1">
        <v>479</v>
      </c>
      <c r="B509" s="1">
        <v>842.70467980226067</v>
      </c>
      <c r="C509" s="1">
        <v>-656.39072007750246</v>
      </c>
    </row>
    <row r="510" spans="1:3" x14ac:dyDescent="0.35">
      <c r="A510" s="1">
        <v>480</v>
      </c>
      <c r="B510" s="1">
        <v>1320.7289852387767</v>
      </c>
      <c r="C510" s="1">
        <v>-1289.8604607653344</v>
      </c>
    </row>
    <row r="511" spans="1:3" x14ac:dyDescent="0.35">
      <c r="A511" s="1">
        <v>481</v>
      </c>
      <c r="B511" s="1">
        <v>484.89326959374438</v>
      </c>
      <c r="C511" s="1">
        <v>-332.17375930845321</v>
      </c>
    </row>
    <row r="512" spans="1:3" x14ac:dyDescent="0.35">
      <c r="A512" s="1">
        <v>482</v>
      </c>
      <c r="B512" s="1">
        <v>1023.3716367836396</v>
      </c>
      <c r="C512" s="1">
        <v>-747.94575012849316</v>
      </c>
    </row>
    <row r="513" spans="1:3" x14ac:dyDescent="0.35">
      <c r="A513" s="1">
        <v>483</v>
      </c>
      <c r="B513" s="1">
        <v>696.56399133885452</v>
      </c>
      <c r="C513" s="1">
        <v>-122.15074848364088</v>
      </c>
    </row>
    <row r="514" spans="1:3" x14ac:dyDescent="0.35">
      <c r="A514" s="1">
        <v>484</v>
      </c>
      <c r="B514" s="1">
        <v>730.47011178564344</v>
      </c>
      <c r="C514" s="1">
        <v>505.46442191881647</v>
      </c>
    </row>
    <row r="515" spans="1:3" x14ac:dyDescent="0.35">
      <c r="A515" s="1">
        <v>485</v>
      </c>
      <c r="B515" s="1">
        <v>954.57498035322192</v>
      </c>
      <c r="C515" s="1">
        <v>-487.43069521057265</v>
      </c>
    </row>
    <row r="516" spans="1:3" x14ac:dyDescent="0.35">
      <c r="A516" s="1">
        <v>486</v>
      </c>
      <c r="B516" s="1">
        <v>692.25975320487169</v>
      </c>
      <c r="C516" s="1">
        <v>-680.79266066865273</v>
      </c>
    </row>
    <row r="517" spans="1:3" x14ac:dyDescent="0.35">
      <c r="A517" s="1">
        <v>487</v>
      </c>
      <c r="B517" s="1">
        <v>246.44136799149587</v>
      </c>
      <c r="C517" s="1">
        <v>-60.376973050090413</v>
      </c>
    </row>
    <row r="518" spans="1:3" x14ac:dyDescent="0.35">
      <c r="A518" s="1">
        <v>488</v>
      </c>
      <c r="B518" s="1">
        <v>1212.2895977239091</v>
      </c>
      <c r="C518" s="1">
        <v>-1179.4437971547925</v>
      </c>
    </row>
    <row r="519" spans="1:3" x14ac:dyDescent="0.35">
      <c r="A519" s="1">
        <v>489</v>
      </c>
      <c r="B519" s="1">
        <v>709.53041057933206</v>
      </c>
      <c r="C519" s="1">
        <v>-673.90463797662085</v>
      </c>
    </row>
    <row r="520" spans="1:3" x14ac:dyDescent="0.35">
      <c r="A520" s="1">
        <v>490</v>
      </c>
      <c r="B520" s="1">
        <v>1097.8981256937543</v>
      </c>
      <c r="C520" s="1">
        <v>1970.1037005242554</v>
      </c>
    </row>
    <row r="521" spans="1:3" x14ac:dyDescent="0.35">
      <c r="A521" s="1">
        <v>491</v>
      </c>
      <c r="B521" s="1">
        <v>856.05448770411545</v>
      </c>
      <c r="C521" s="1">
        <v>184.24806910516281</v>
      </c>
    </row>
    <row r="522" spans="1:3" x14ac:dyDescent="0.35">
      <c r="A522" s="1">
        <v>492</v>
      </c>
      <c r="B522" s="1">
        <v>1113.561323408554</v>
      </c>
      <c r="C522" s="1">
        <v>-345.46225168400099</v>
      </c>
    </row>
    <row r="523" spans="1:3" x14ac:dyDescent="0.35">
      <c r="A523" s="1">
        <v>493</v>
      </c>
      <c r="B523" s="1">
        <v>1015.0562590054324</v>
      </c>
      <c r="C523" s="1">
        <v>-974.64896734465492</v>
      </c>
    </row>
    <row r="524" spans="1:3" x14ac:dyDescent="0.35">
      <c r="A524" s="1">
        <v>494</v>
      </c>
      <c r="B524" s="1">
        <v>910.37836671874857</v>
      </c>
      <c r="C524" s="1">
        <v>-798.71678180585582</v>
      </c>
    </row>
    <row r="525" spans="1:3" x14ac:dyDescent="0.35">
      <c r="A525" s="1">
        <v>495</v>
      </c>
      <c r="B525" s="1">
        <v>124.77179404598394</v>
      </c>
      <c r="C525" s="1">
        <v>-121.83863660686201</v>
      </c>
    </row>
    <row r="526" spans="1:3" x14ac:dyDescent="0.35">
      <c r="A526" s="1">
        <v>496</v>
      </c>
      <c r="B526" s="1">
        <v>1063.121167883012</v>
      </c>
      <c r="C526" s="1">
        <v>-177.5950149711839</v>
      </c>
    </row>
    <row r="527" spans="1:3" x14ac:dyDescent="0.35">
      <c r="A527" s="1">
        <v>497</v>
      </c>
      <c r="B527" s="1">
        <v>600.00275292191054</v>
      </c>
      <c r="C527" s="1">
        <v>-595.97167482224393</v>
      </c>
    </row>
    <row r="528" spans="1:3" x14ac:dyDescent="0.35">
      <c r="A528" s="1">
        <v>498</v>
      </c>
      <c r="B528" s="1">
        <v>641.19694253050977</v>
      </c>
      <c r="C528" s="1">
        <v>597.44390078417712</v>
      </c>
    </row>
    <row r="529" spans="1:3" x14ac:dyDescent="0.35">
      <c r="A529" s="1">
        <v>499</v>
      </c>
      <c r="B529" s="1">
        <v>880.56337540098514</v>
      </c>
      <c r="C529" s="1">
        <v>3286.6220117474131</v>
      </c>
    </row>
    <row r="530" spans="1:3" x14ac:dyDescent="0.35">
      <c r="A530" s="1">
        <v>500</v>
      </c>
      <c r="B530" s="1">
        <v>763.45494441931942</v>
      </c>
      <c r="C530" s="1">
        <v>-319.15383595925277</v>
      </c>
    </row>
    <row r="531" spans="1:3" x14ac:dyDescent="0.35">
      <c r="A531" s="1">
        <v>501</v>
      </c>
      <c r="B531" s="1">
        <v>522.80881894253639</v>
      </c>
      <c r="C531" s="1">
        <v>-439.63523263587149</v>
      </c>
    </row>
    <row r="532" spans="1:3" x14ac:dyDescent="0.35">
      <c r="A532" s="1">
        <v>502</v>
      </c>
      <c r="B532" s="1">
        <v>992.34512062940291</v>
      </c>
      <c r="C532" s="1">
        <v>-395.57091414308252</v>
      </c>
    </row>
    <row r="533" spans="1:3" x14ac:dyDescent="0.35">
      <c r="A533" s="1">
        <v>503</v>
      </c>
      <c r="B533" s="1">
        <v>1312.6462357069415</v>
      </c>
      <c r="C533" s="1">
        <v>12602.319249343323</v>
      </c>
    </row>
    <row r="534" spans="1:3" x14ac:dyDescent="0.35">
      <c r="A534" s="1">
        <v>504</v>
      </c>
      <c r="B534" s="1">
        <v>964.80321489217545</v>
      </c>
      <c r="C534" s="1">
        <v>112.28894664160589</v>
      </c>
    </row>
    <row r="535" spans="1:3" x14ac:dyDescent="0.35">
      <c r="A535" s="1">
        <v>505</v>
      </c>
      <c r="B535" s="1">
        <v>1197.1182092043007</v>
      </c>
      <c r="C535" s="1">
        <v>-867.8990168164546</v>
      </c>
    </row>
    <row r="536" spans="1:3" x14ac:dyDescent="0.35">
      <c r="A536" s="1">
        <v>506</v>
      </c>
      <c r="B536" s="1">
        <v>769.07155100394664</v>
      </c>
      <c r="C536" s="1">
        <v>1606.4023853466406</v>
      </c>
    </row>
    <row r="537" spans="1:3" x14ac:dyDescent="0.35">
      <c r="A537" s="1">
        <v>507</v>
      </c>
      <c r="B537" s="1">
        <v>894.51217682536344</v>
      </c>
      <c r="C537" s="1">
        <v>2147.0258486433891</v>
      </c>
    </row>
    <row r="538" spans="1:3" x14ac:dyDescent="0.35">
      <c r="A538" s="1">
        <v>508</v>
      </c>
      <c r="B538" s="1">
        <v>499.17605026666428</v>
      </c>
      <c r="C538" s="1">
        <v>-384.15870482202519</v>
      </c>
    </row>
    <row r="539" spans="1:3" x14ac:dyDescent="0.35">
      <c r="A539" s="1">
        <v>509</v>
      </c>
      <c r="B539" s="1">
        <v>727.59610343291752</v>
      </c>
      <c r="C539" s="1">
        <v>72.320755668677748</v>
      </c>
    </row>
    <row r="540" spans="1:3" x14ac:dyDescent="0.35">
      <c r="A540" s="1">
        <v>510</v>
      </c>
      <c r="B540" s="1">
        <v>1020.4827138791608</v>
      </c>
      <c r="C540" s="1">
        <v>-801.07621266226624</v>
      </c>
    </row>
    <row r="541" spans="1:3" x14ac:dyDescent="0.35">
      <c r="A541" s="1">
        <v>511</v>
      </c>
      <c r="B541" s="1">
        <v>1058.3073087636085</v>
      </c>
      <c r="C541" s="1">
        <v>-67.922305461168207</v>
      </c>
    </row>
    <row r="542" spans="1:3" x14ac:dyDescent="0.35">
      <c r="A542" s="1">
        <v>512</v>
      </c>
      <c r="B542" s="1">
        <v>216.24834266490871</v>
      </c>
      <c r="C542" s="1">
        <v>248.54717027476215</v>
      </c>
    </row>
    <row r="543" spans="1:3" x14ac:dyDescent="0.35">
      <c r="A543" s="1">
        <v>513</v>
      </c>
      <c r="B543" s="1">
        <v>891.6224985603136</v>
      </c>
      <c r="C543" s="1">
        <v>505.57222878665732</v>
      </c>
    </row>
    <row r="544" spans="1:3" x14ac:dyDescent="0.35">
      <c r="A544" s="1">
        <v>514</v>
      </c>
      <c r="B544" s="1">
        <v>573.56702607247223</v>
      </c>
      <c r="C544" s="1">
        <v>-260.425438410504</v>
      </c>
    </row>
    <row r="545" spans="1:3" x14ac:dyDescent="0.35">
      <c r="A545" s="1">
        <v>515</v>
      </c>
      <c r="B545" s="1">
        <v>507.45785611835521</v>
      </c>
      <c r="C545" s="1">
        <v>-423.61505479040267</v>
      </c>
    </row>
    <row r="546" spans="1:3" x14ac:dyDescent="0.35">
      <c r="A546" s="1">
        <v>516</v>
      </c>
      <c r="B546" s="1">
        <v>621.00503341762521</v>
      </c>
      <c r="C546" s="1">
        <v>1286.6493362727565</v>
      </c>
    </row>
    <row r="547" spans="1:3" x14ac:dyDescent="0.35">
      <c r="A547" s="1">
        <v>517</v>
      </c>
      <c r="B547" s="1">
        <v>990.72080233912243</v>
      </c>
      <c r="C547" s="1">
        <v>-965.23123841758832</v>
      </c>
    </row>
    <row r="548" spans="1:3" x14ac:dyDescent="0.35">
      <c r="A548" s="1">
        <v>518</v>
      </c>
      <c r="B548" s="1">
        <v>1020.4134732172845</v>
      </c>
      <c r="C548" s="1">
        <v>-905.58409263432463</v>
      </c>
    </row>
    <row r="549" spans="1:3" x14ac:dyDescent="0.35">
      <c r="A549" s="1">
        <v>519</v>
      </c>
      <c r="B549" s="1">
        <v>767.73455357251908</v>
      </c>
      <c r="C549" s="1">
        <v>1480.0905927718036</v>
      </c>
    </row>
    <row r="550" spans="1:3" x14ac:dyDescent="0.35">
      <c r="A550" s="1">
        <v>520</v>
      </c>
      <c r="B550" s="1">
        <v>423.86616717163355</v>
      </c>
      <c r="C550" s="1">
        <v>562.80246985361282</v>
      </c>
    </row>
    <row r="551" spans="1:3" x14ac:dyDescent="0.35">
      <c r="A551" s="1">
        <v>521</v>
      </c>
      <c r="B551" s="1">
        <v>660.92376366730366</v>
      </c>
      <c r="C551" s="1">
        <v>582.83008720771102</v>
      </c>
    </row>
    <row r="552" spans="1:3" x14ac:dyDescent="0.35">
      <c r="A552" s="1">
        <v>522</v>
      </c>
      <c r="B552" s="1">
        <v>699.18152823591026</v>
      </c>
      <c r="C552" s="1">
        <v>-659.055675338887</v>
      </c>
    </row>
    <row r="553" spans="1:3" x14ac:dyDescent="0.35">
      <c r="A553" s="1">
        <v>523</v>
      </c>
      <c r="B553" s="1">
        <v>159.83562276689585</v>
      </c>
      <c r="C553" s="1">
        <v>706.57377973882376</v>
      </c>
    </row>
    <row r="554" spans="1:3" x14ac:dyDescent="0.35">
      <c r="A554" s="1">
        <v>524</v>
      </c>
      <c r="B554" s="1">
        <v>941.87506040647327</v>
      </c>
      <c r="C554" s="1">
        <v>-941.63629569013926</v>
      </c>
    </row>
    <row r="555" spans="1:3" x14ac:dyDescent="0.35">
      <c r="A555" s="1">
        <v>525</v>
      </c>
      <c r="B555" s="1">
        <v>590.76611154272518</v>
      </c>
      <c r="C555" s="1">
        <v>-384.24334609100453</v>
      </c>
    </row>
    <row r="556" spans="1:3" x14ac:dyDescent="0.35">
      <c r="A556" s="1">
        <v>526</v>
      </c>
      <c r="B556" s="1">
        <v>605.91337210167671</v>
      </c>
      <c r="C556" s="1">
        <v>-499.52088145210689</v>
      </c>
    </row>
    <row r="557" spans="1:3" x14ac:dyDescent="0.35">
      <c r="A557" s="1">
        <v>527</v>
      </c>
      <c r="B557" s="1">
        <v>408.90507279884878</v>
      </c>
      <c r="C557" s="1">
        <v>-386.19931376626641</v>
      </c>
    </row>
    <row r="558" spans="1:3" x14ac:dyDescent="0.35">
      <c r="A558" s="1">
        <v>528</v>
      </c>
      <c r="B558" s="1">
        <v>445.11520849797142</v>
      </c>
      <c r="C558" s="1">
        <v>-436.30415325761635</v>
      </c>
    </row>
    <row r="559" spans="1:3" x14ac:dyDescent="0.35">
      <c r="A559" s="1">
        <v>529</v>
      </c>
      <c r="B559" s="1">
        <v>547.61613352249333</v>
      </c>
      <c r="C559" s="1">
        <v>-539.71853037737878</v>
      </c>
    </row>
    <row r="560" spans="1:3" x14ac:dyDescent="0.35">
      <c r="A560" s="1">
        <v>530</v>
      </c>
      <c r="B560" s="1">
        <v>685.21182971370945</v>
      </c>
      <c r="C560" s="1">
        <v>-679.34418118314431</v>
      </c>
    </row>
    <row r="561" spans="1:3" x14ac:dyDescent="0.35">
      <c r="A561" s="1">
        <v>531</v>
      </c>
      <c r="B561" s="1">
        <v>598.54985611266488</v>
      </c>
      <c r="C561" s="1">
        <v>-565.81357431730669</v>
      </c>
    </row>
    <row r="562" spans="1:3" x14ac:dyDescent="0.35">
      <c r="A562" s="1">
        <v>532</v>
      </c>
      <c r="B562" s="1">
        <v>891.09907822357195</v>
      </c>
      <c r="C562" s="1">
        <v>-553.5988475855612</v>
      </c>
    </row>
    <row r="563" spans="1:3" x14ac:dyDescent="0.35">
      <c r="A563" s="1">
        <v>533</v>
      </c>
      <c r="B563" s="1">
        <v>1228.2690941706446</v>
      </c>
      <c r="C563" s="1">
        <v>-354.23362012672283</v>
      </c>
    </row>
    <row r="564" spans="1:3" x14ac:dyDescent="0.35">
      <c r="A564" s="1">
        <v>534</v>
      </c>
      <c r="B564" s="1">
        <v>694.03424907783653</v>
      </c>
      <c r="C564" s="1">
        <v>-247.94127016257625</v>
      </c>
    </row>
    <row r="565" spans="1:3" x14ac:dyDescent="0.35">
      <c r="A565" s="1">
        <v>535</v>
      </c>
      <c r="B565" s="1">
        <v>949.98832803970049</v>
      </c>
      <c r="C565" s="1">
        <v>433.39816637805507</v>
      </c>
    </row>
    <row r="566" spans="1:3" x14ac:dyDescent="0.35">
      <c r="A566" s="1">
        <v>536</v>
      </c>
      <c r="B566" s="1">
        <v>614.64772004286124</v>
      </c>
      <c r="C566" s="1">
        <v>-34.319004737231126</v>
      </c>
    </row>
    <row r="567" spans="1:3" x14ac:dyDescent="0.35">
      <c r="A567" s="1">
        <v>537</v>
      </c>
      <c r="B567" s="1">
        <v>869.5272826967514</v>
      </c>
      <c r="C567" s="1">
        <v>-441.90211897821086</v>
      </c>
    </row>
    <row r="568" spans="1:3" x14ac:dyDescent="0.35">
      <c r="A568" s="1">
        <v>538</v>
      </c>
      <c r="B568" s="1">
        <v>1115.7193234685083</v>
      </c>
      <c r="C568" s="1">
        <v>4905.9471601410205</v>
      </c>
    </row>
    <row r="569" spans="1:3" x14ac:dyDescent="0.35">
      <c r="A569" s="1">
        <v>539</v>
      </c>
      <c r="B569" s="1">
        <v>698.80359489950706</v>
      </c>
      <c r="C569" s="1">
        <v>-698.2677840719989</v>
      </c>
    </row>
    <row r="570" spans="1:3" x14ac:dyDescent="0.35">
      <c r="A570" s="1">
        <v>540</v>
      </c>
      <c r="B570" s="1">
        <v>1014.2400333392115</v>
      </c>
      <c r="C570" s="1">
        <v>-1006.0034075033722</v>
      </c>
    </row>
    <row r="571" spans="1:3" x14ac:dyDescent="0.35">
      <c r="A571" s="1">
        <v>541</v>
      </c>
      <c r="B571" s="1">
        <v>939.10510350189895</v>
      </c>
      <c r="C571" s="1">
        <v>792.33959538748661</v>
      </c>
    </row>
    <row r="572" spans="1:3" x14ac:dyDescent="0.35">
      <c r="A572" s="1">
        <v>542</v>
      </c>
      <c r="B572" s="1">
        <v>574.00042204002568</v>
      </c>
      <c r="C572" s="1">
        <v>-573.63334815258668</v>
      </c>
    </row>
    <row r="573" spans="1:3" x14ac:dyDescent="0.35">
      <c r="A573" s="1">
        <v>543</v>
      </c>
      <c r="B573" s="1">
        <v>1367.2589578201607</v>
      </c>
      <c r="C573" s="1">
        <v>202.31492007345764</v>
      </c>
    </row>
    <row r="574" spans="1:3" x14ac:dyDescent="0.35">
      <c r="A574" s="1">
        <v>544</v>
      </c>
      <c r="B574" s="1">
        <v>794.15903916568357</v>
      </c>
      <c r="C574" s="1">
        <v>327.50448351934563</v>
      </c>
    </row>
    <row r="575" spans="1:3" x14ac:dyDescent="0.35">
      <c r="A575" s="1">
        <v>545</v>
      </c>
      <c r="B575" s="1">
        <v>805.09889833929276</v>
      </c>
      <c r="C575" s="1">
        <v>-90.436417142437449</v>
      </c>
    </row>
    <row r="576" spans="1:3" x14ac:dyDescent="0.35">
      <c r="A576" s="1">
        <v>546</v>
      </c>
      <c r="B576" s="1">
        <v>697.47923786318609</v>
      </c>
      <c r="C576" s="1">
        <v>1767.0558806186391</v>
      </c>
    </row>
    <row r="577" spans="1:3" x14ac:dyDescent="0.35">
      <c r="A577" s="1">
        <v>547</v>
      </c>
      <c r="B577" s="1">
        <v>1117.5878358610166</v>
      </c>
      <c r="C577" s="1">
        <v>-222.09250066388847</v>
      </c>
    </row>
    <row r="578" spans="1:3" x14ac:dyDescent="0.35">
      <c r="A578" s="1">
        <v>548</v>
      </c>
      <c r="B578" s="1">
        <v>535.55072977935777</v>
      </c>
      <c r="C578" s="1">
        <v>-497.25782748950672</v>
      </c>
    </row>
    <row r="579" spans="1:3" x14ac:dyDescent="0.35">
      <c r="A579" s="1">
        <v>549</v>
      </c>
      <c r="B579" s="1">
        <v>1206.0561950438769</v>
      </c>
      <c r="C579" s="1">
        <v>439.98045723895302</v>
      </c>
    </row>
    <row r="580" spans="1:3" x14ac:dyDescent="0.35">
      <c r="A580" s="1">
        <v>550</v>
      </c>
      <c r="B580" s="1">
        <v>1040.3136238612101</v>
      </c>
      <c r="C580" s="1">
        <v>4679.3174083131871</v>
      </c>
    </row>
    <row r="581" spans="1:3" x14ac:dyDescent="0.35">
      <c r="A581" s="1">
        <v>551</v>
      </c>
      <c r="B581" s="1">
        <v>735.73211602573519</v>
      </c>
      <c r="C581" s="1">
        <v>-383.81092988558783</v>
      </c>
    </row>
    <row r="582" spans="1:3" x14ac:dyDescent="0.35">
      <c r="A582" s="1">
        <v>552</v>
      </c>
      <c r="B582" s="1">
        <v>733.84080573237134</v>
      </c>
      <c r="C582" s="1">
        <v>264.85664165772369</v>
      </c>
    </row>
    <row r="583" spans="1:3" x14ac:dyDescent="0.35">
      <c r="A583" s="1">
        <v>553</v>
      </c>
      <c r="B583" s="1">
        <v>1070.6188441379024</v>
      </c>
      <c r="C583" s="1">
        <v>-505.938928853167</v>
      </c>
    </row>
    <row r="584" spans="1:3" x14ac:dyDescent="0.35">
      <c r="A584" s="1">
        <v>554</v>
      </c>
      <c r="B584" s="1">
        <v>724.63332912927672</v>
      </c>
      <c r="C584" s="1">
        <v>-364.33882071719864</v>
      </c>
    </row>
    <row r="585" spans="1:3" x14ac:dyDescent="0.35">
      <c r="A585" s="1">
        <v>555</v>
      </c>
      <c r="B585" s="1">
        <v>763.59320552914971</v>
      </c>
      <c r="C585" s="1">
        <v>787.00022597335544</v>
      </c>
    </row>
    <row r="586" spans="1:3" x14ac:dyDescent="0.35">
      <c r="A586" s="1">
        <v>556</v>
      </c>
      <c r="B586" s="1">
        <v>534.85372515012693</v>
      </c>
      <c r="C586" s="1">
        <v>-530.2202312478671</v>
      </c>
    </row>
    <row r="587" spans="1:3" x14ac:dyDescent="0.35">
      <c r="A587" s="1">
        <v>557</v>
      </c>
      <c r="B587" s="1">
        <v>1097.6441588521889</v>
      </c>
      <c r="C587" s="1">
        <v>-994.55322589170908</v>
      </c>
    </row>
    <row r="588" spans="1:3" x14ac:dyDescent="0.35">
      <c r="A588" s="1">
        <v>558</v>
      </c>
      <c r="B588" s="1">
        <v>954.57986392594262</v>
      </c>
      <c r="C588" s="1">
        <v>-478.67780425652188</v>
      </c>
    </row>
    <row r="589" spans="1:3" x14ac:dyDescent="0.35">
      <c r="A589" s="1">
        <v>559</v>
      </c>
      <c r="B589" s="1">
        <v>1287.507883063118</v>
      </c>
      <c r="C589" s="1">
        <v>-969.17667778850546</v>
      </c>
    </row>
    <row r="590" spans="1:3" x14ac:dyDescent="0.35">
      <c r="A590" s="1">
        <v>560</v>
      </c>
      <c r="B590" s="1">
        <v>685.8604530436362</v>
      </c>
      <c r="C590" s="1">
        <v>479.30097908167045</v>
      </c>
    </row>
    <row r="591" spans="1:3" x14ac:dyDescent="0.35">
      <c r="A591" s="1">
        <v>561</v>
      </c>
      <c r="B591" s="1">
        <v>980.74338630423244</v>
      </c>
      <c r="C591" s="1">
        <v>-918.56389496094232</v>
      </c>
    </row>
    <row r="592" spans="1:3" x14ac:dyDescent="0.35">
      <c r="A592" s="1">
        <v>562</v>
      </c>
      <c r="B592" s="1">
        <v>631.4683372872496</v>
      </c>
      <c r="C592" s="1">
        <v>2741.3914119545266</v>
      </c>
    </row>
    <row r="593" spans="1:3" x14ac:dyDescent="0.35">
      <c r="A593" s="1">
        <v>563</v>
      </c>
      <c r="B593" s="1">
        <v>863.59975815891198</v>
      </c>
      <c r="C593" s="1">
        <v>-152.58769300252641</v>
      </c>
    </row>
    <row r="594" spans="1:3" x14ac:dyDescent="0.35">
      <c r="A594" s="1">
        <v>564</v>
      </c>
      <c r="B594" s="1">
        <v>722.19936093469755</v>
      </c>
      <c r="C594" s="1">
        <v>-501.91060516770375</v>
      </c>
    </row>
    <row r="595" spans="1:3" x14ac:dyDescent="0.35">
      <c r="A595" s="1">
        <v>565</v>
      </c>
      <c r="B595" s="1">
        <v>734.07387869352488</v>
      </c>
      <c r="C595" s="1">
        <v>-38.622528869045823</v>
      </c>
    </row>
    <row r="596" spans="1:3" x14ac:dyDescent="0.35">
      <c r="A596" s="1">
        <v>566</v>
      </c>
      <c r="B596" s="1">
        <v>551.42628275746074</v>
      </c>
      <c r="C596" s="1">
        <v>-234.36063664792567</v>
      </c>
    </row>
    <row r="597" spans="1:3" x14ac:dyDescent="0.35">
      <c r="A597" s="1">
        <v>567</v>
      </c>
      <c r="B597" s="1">
        <v>912.24362115892632</v>
      </c>
      <c r="C597" s="1">
        <v>-826.90860221985042</v>
      </c>
    </row>
    <row r="598" spans="1:3" x14ac:dyDescent="0.35">
      <c r="A598" s="1">
        <v>568</v>
      </c>
      <c r="B598" s="1">
        <v>880.87800208030535</v>
      </c>
      <c r="C598" s="1">
        <v>353.18722535320899</v>
      </c>
    </row>
    <row r="599" spans="1:3" x14ac:dyDescent="0.35">
      <c r="A599" s="1">
        <v>569</v>
      </c>
      <c r="B599" s="1">
        <v>787.35253232166986</v>
      </c>
      <c r="C599" s="1">
        <v>113.84932595536611</v>
      </c>
    </row>
    <row r="600" spans="1:3" x14ac:dyDescent="0.35">
      <c r="A600" s="1">
        <v>570</v>
      </c>
      <c r="B600" s="1">
        <v>720.56020993344441</v>
      </c>
      <c r="C600" s="1">
        <v>-698.22801767830072</v>
      </c>
    </row>
    <row r="601" spans="1:3" x14ac:dyDescent="0.35">
      <c r="A601" s="1">
        <v>571</v>
      </c>
      <c r="B601" s="1">
        <v>814.57274670872766</v>
      </c>
      <c r="C601" s="1">
        <v>1172.3843559664047</v>
      </c>
    </row>
    <row r="602" spans="1:3" x14ac:dyDescent="0.35">
      <c r="A602" s="1">
        <v>572</v>
      </c>
      <c r="B602" s="1">
        <v>452.32874408146989</v>
      </c>
      <c r="C602" s="1">
        <v>158.65070063620993</v>
      </c>
    </row>
    <row r="603" spans="1:3" x14ac:dyDescent="0.35">
      <c r="A603" s="1">
        <v>573</v>
      </c>
      <c r="B603" s="1">
        <v>750.50665482492172</v>
      </c>
      <c r="C603" s="1">
        <v>-695.51739881167225</v>
      </c>
    </row>
    <row r="604" spans="1:3" x14ac:dyDescent="0.35">
      <c r="A604" s="1">
        <v>574</v>
      </c>
      <c r="B604" s="1">
        <v>548.44241857699058</v>
      </c>
      <c r="C604" s="1">
        <v>-131.56000411541362</v>
      </c>
    </row>
    <row r="605" spans="1:3" x14ac:dyDescent="0.35">
      <c r="A605" s="1">
        <v>575</v>
      </c>
      <c r="B605" s="1">
        <v>356.69237214944985</v>
      </c>
      <c r="C605" s="1">
        <v>-336.55265391007515</v>
      </c>
    </row>
    <row r="606" spans="1:3" x14ac:dyDescent="0.35">
      <c r="A606" s="1">
        <v>576</v>
      </c>
      <c r="B606" s="1">
        <v>953.23279338888142</v>
      </c>
      <c r="C606" s="1">
        <v>-744.06779013822245</v>
      </c>
    </row>
    <row r="607" spans="1:3" x14ac:dyDescent="0.35">
      <c r="A607" s="1">
        <v>577</v>
      </c>
      <c r="B607" s="1">
        <v>648.15177861500797</v>
      </c>
      <c r="C607" s="1">
        <v>-458.27487287327199</v>
      </c>
    </row>
    <row r="608" spans="1:3" x14ac:dyDescent="0.35">
      <c r="A608" s="1">
        <v>578</v>
      </c>
      <c r="B608" s="1">
        <v>808.11714757611935</v>
      </c>
      <c r="C608" s="1">
        <v>-791.49636343376937</v>
      </c>
    </row>
    <row r="609" spans="1:3" x14ac:dyDescent="0.35">
      <c r="A609" s="1">
        <v>579</v>
      </c>
      <c r="B609" s="1">
        <v>651.9601266735981</v>
      </c>
      <c r="C609" s="1">
        <v>-383.89504323889582</v>
      </c>
    </row>
    <row r="610" spans="1:3" x14ac:dyDescent="0.35">
      <c r="A610" s="1">
        <v>580</v>
      </c>
      <c r="B610" s="1">
        <v>1976.620366029731</v>
      </c>
      <c r="C610" s="1">
        <v>5972.2048984702305</v>
      </c>
    </row>
    <row r="611" spans="1:3" x14ac:dyDescent="0.35">
      <c r="A611" s="1">
        <v>581</v>
      </c>
      <c r="B611" s="1">
        <v>1118.3830674817291</v>
      </c>
      <c r="C611" s="1">
        <v>1029.9543570454498</v>
      </c>
    </row>
    <row r="612" spans="1:3" x14ac:dyDescent="0.35">
      <c r="A612" s="1">
        <v>582</v>
      </c>
      <c r="B612" s="1">
        <v>740.12943182063043</v>
      </c>
      <c r="C612" s="1">
        <v>-645.11384048969171</v>
      </c>
    </row>
    <row r="613" spans="1:3" x14ac:dyDescent="0.35">
      <c r="A613" s="1">
        <v>583</v>
      </c>
      <c r="B613" s="1">
        <v>1100.5568368290046</v>
      </c>
      <c r="C613" s="1">
        <v>-1047.9468606448265</v>
      </c>
    </row>
    <row r="614" spans="1:3" x14ac:dyDescent="0.35">
      <c r="A614" s="1">
        <v>584</v>
      </c>
      <c r="B614" s="1">
        <v>895.86600736072592</v>
      </c>
      <c r="C614" s="1">
        <v>-33.130469562022085</v>
      </c>
    </row>
    <row r="615" spans="1:3" x14ac:dyDescent="0.35">
      <c r="A615" s="1">
        <v>585</v>
      </c>
      <c r="B615" s="1">
        <v>112.84623377714229</v>
      </c>
      <c r="C615" s="1">
        <v>3454.3885639218743</v>
      </c>
    </row>
    <row r="616" spans="1:3" x14ac:dyDescent="0.35">
      <c r="A616" s="1">
        <v>586</v>
      </c>
      <c r="B616" s="1">
        <v>580.98039820045938</v>
      </c>
      <c r="C616" s="1">
        <v>-528.32519224928637</v>
      </c>
    </row>
    <row r="617" spans="1:3" x14ac:dyDescent="0.35">
      <c r="A617" s="1">
        <v>587</v>
      </c>
      <c r="B617" s="1">
        <v>819.46256019212274</v>
      </c>
      <c r="C617" s="1">
        <v>-487.87164970608052</v>
      </c>
    </row>
    <row r="618" spans="1:3" x14ac:dyDescent="0.35">
      <c r="A618" s="1">
        <v>588</v>
      </c>
      <c r="B618" s="1">
        <v>550.04796871177882</v>
      </c>
      <c r="C618" s="1">
        <v>-504.69796389286807</v>
      </c>
    </row>
    <row r="619" spans="1:3" x14ac:dyDescent="0.35">
      <c r="A619" s="1">
        <v>589</v>
      </c>
      <c r="B619" s="1">
        <v>1081.2868012326064</v>
      </c>
      <c r="C619" s="1">
        <v>-115.19148197294646</v>
      </c>
    </row>
    <row r="620" spans="1:3" x14ac:dyDescent="0.35">
      <c r="A620" s="1">
        <v>590</v>
      </c>
      <c r="B620" s="1">
        <v>505.70478735133145</v>
      </c>
      <c r="C620" s="1">
        <v>243.08564416368495</v>
      </c>
    </row>
    <row r="621" spans="1:3" x14ac:dyDescent="0.35">
      <c r="A621" s="1">
        <v>591</v>
      </c>
      <c r="B621" s="1">
        <v>1467.8132437172558</v>
      </c>
      <c r="C621" s="1">
        <v>-1129.4372578146313</v>
      </c>
    </row>
    <row r="622" spans="1:3" x14ac:dyDescent="0.35">
      <c r="A622" s="1">
        <v>592</v>
      </c>
      <c r="B622" s="1">
        <v>861.87353438756395</v>
      </c>
      <c r="C622" s="1">
        <v>-850.78949655990334</v>
      </c>
    </row>
    <row r="623" spans="1:3" x14ac:dyDescent="0.35">
      <c r="A623" s="1">
        <v>593</v>
      </c>
      <c r="B623" s="1">
        <v>927.1335251590333</v>
      </c>
      <c r="C623" s="1">
        <v>-916.64389535461532</v>
      </c>
    </row>
    <row r="624" spans="1:3" x14ac:dyDescent="0.35">
      <c r="A624" s="1">
        <v>594</v>
      </c>
      <c r="B624" s="1">
        <v>798.37237478507404</v>
      </c>
      <c r="C624" s="1">
        <v>837.70348920461561</v>
      </c>
    </row>
    <row r="625" spans="1:3" x14ac:dyDescent="0.35">
      <c r="A625" s="1">
        <v>595</v>
      </c>
      <c r="B625" s="1">
        <v>780.65025225517593</v>
      </c>
      <c r="C625" s="1">
        <v>-708.66532338214085</v>
      </c>
    </row>
    <row r="626" spans="1:3" x14ac:dyDescent="0.35">
      <c r="A626" s="1">
        <v>596</v>
      </c>
      <c r="B626" s="1">
        <v>467.33089141262815</v>
      </c>
      <c r="C626" s="1">
        <v>3084.1480259771688</v>
      </c>
    </row>
    <row r="627" spans="1:3" x14ac:dyDescent="0.35">
      <c r="A627" s="1">
        <v>597</v>
      </c>
      <c r="B627" s="1">
        <v>1089.271053216879</v>
      </c>
      <c r="C627" s="1">
        <v>3735.3255672944028</v>
      </c>
    </row>
    <row r="628" spans="1:3" x14ac:dyDescent="0.35">
      <c r="A628" s="1">
        <v>598</v>
      </c>
      <c r="B628" s="1">
        <v>685.64840148940243</v>
      </c>
      <c r="C628" s="1">
        <v>-514.52223307776069</v>
      </c>
    </row>
    <row r="629" spans="1:3" x14ac:dyDescent="0.35">
      <c r="A629" s="1">
        <v>599</v>
      </c>
      <c r="B629" s="1">
        <v>844.12415200060559</v>
      </c>
      <c r="C629" s="1">
        <v>1540.3371115445511</v>
      </c>
    </row>
    <row r="630" spans="1:3" x14ac:dyDescent="0.35">
      <c r="A630" s="1">
        <v>600</v>
      </c>
      <c r="B630" s="1">
        <v>485.22690676202444</v>
      </c>
      <c r="C630" s="1">
        <v>-478.03626562014279</v>
      </c>
    </row>
    <row r="631" spans="1:3" x14ac:dyDescent="0.35">
      <c r="A631" s="1">
        <v>601</v>
      </c>
      <c r="B631" s="1">
        <v>731.70921427863937</v>
      </c>
      <c r="C631" s="1">
        <v>-719.16306403082615</v>
      </c>
    </row>
    <row r="632" spans="1:3" x14ac:dyDescent="0.35">
      <c r="A632" s="1">
        <v>602</v>
      </c>
      <c r="B632" s="1">
        <v>518.21911958922033</v>
      </c>
      <c r="C632" s="1">
        <v>-459.78862928087295</v>
      </c>
    </row>
    <row r="633" spans="1:3" x14ac:dyDescent="0.35">
      <c r="A633" s="1">
        <v>603</v>
      </c>
      <c r="B633" s="1">
        <v>901.82444541700897</v>
      </c>
      <c r="C633" s="1">
        <v>-339.99923928546798</v>
      </c>
    </row>
    <row r="634" spans="1:3" x14ac:dyDescent="0.35">
      <c r="A634" s="1">
        <v>604</v>
      </c>
      <c r="B634" s="1">
        <v>1099.5273918305313</v>
      </c>
      <c r="C634" s="1">
        <v>-1013.1941733773145</v>
      </c>
    </row>
    <row r="635" spans="1:3" x14ac:dyDescent="0.35">
      <c r="A635" s="1">
        <v>605</v>
      </c>
      <c r="B635" s="1">
        <v>702.10010153532232</v>
      </c>
      <c r="C635" s="1">
        <v>4288.8158356143931</v>
      </c>
    </row>
    <row r="636" spans="1:3" x14ac:dyDescent="0.35">
      <c r="A636" s="1">
        <v>606</v>
      </c>
      <c r="B636" s="1">
        <v>936.87351362412505</v>
      </c>
      <c r="C636" s="1">
        <v>-515.13072779413233</v>
      </c>
    </row>
    <row r="637" spans="1:3" x14ac:dyDescent="0.35">
      <c r="A637" s="1">
        <v>607</v>
      </c>
      <c r="B637" s="1">
        <v>702.91899304433105</v>
      </c>
      <c r="C637" s="1">
        <v>1034.4940009615311</v>
      </c>
    </row>
    <row r="638" spans="1:3" x14ac:dyDescent="0.35">
      <c r="A638" s="1">
        <v>608</v>
      </c>
      <c r="B638" s="1">
        <v>627.23412333596855</v>
      </c>
      <c r="C638" s="1">
        <v>-559.79433700580512</v>
      </c>
    </row>
    <row r="639" spans="1:3" x14ac:dyDescent="0.35">
      <c r="A639" s="1">
        <v>609</v>
      </c>
      <c r="B639" s="1">
        <v>641.67376668611632</v>
      </c>
      <c r="C639" s="1">
        <v>-402.75264428546626</v>
      </c>
    </row>
    <row r="640" spans="1:3" x14ac:dyDescent="0.35">
      <c r="A640" s="1">
        <v>610</v>
      </c>
      <c r="B640" s="1">
        <v>267.83663272694469</v>
      </c>
      <c r="C640" s="1">
        <v>-214.49329786596934</v>
      </c>
    </row>
    <row r="641" spans="1:3" x14ac:dyDescent="0.35">
      <c r="A641" s="1">
        <v>611</v>
      </c>
      <c r="B641" s="1">
        <v>495.60505167827154</v>
      </c>
      <c r="C641" s="1">
        <v>-311.44033638374401</v>
      </c>
    </row>
    <row r="642" spans="1:3" x14ac:dyDescent="0.35">
      <c r="A642" s="1">
        <v>612</v>
      </c>
      <c r="B642" s="1">
        <v>672.27131134253318</v>
      </c>
      <c r="C642" s="1">
        <v>905.50701612985063</v>
      </c>
    </row>
    <row r="643" spans="1:3" x14ac:dyDescent="0.35">
      <c r="A643" s="1">
        <v>613</v>
      </c>
      <c r="B643" s="1">
        <v>743.00316821370461</v>
      </c>
      <c r="C643" s="1">
        <v>-435.84659641854347</v>
      </c>
    </row>
    <row r="644" spans="1:3" x14ac:dyDescent="0.35">
      <c r="A644" s="1">
        <v>614</v>
      </c>
      <c r="B644" s="1">
        <v>953.05770550788532</v>
      </c>
      <c r="C644" s="1">
        <v>-932.3981732778268</v>
      </c>
    </row>
    <row r="645" spans="1:3" x14ac:dyDescent="0.35">
      <c r="A645" s="1">
        <v>615</v>
      </c>
      <c r="B645" s="1">
        <v>959.10113421966844</v>
      </c>
      <c r="C645" s="1">
        <v>-951.71991172248897</v>
      </c>
    </row>
    <row r="646" spans="1:3" x14ac:dyDescent="0.35">
      <c r="A646" s="1">
        <v>616</v>
      </c>
      <c r="B646" s="1">
        <v>557.09301152889498</v>
      </c>
      <c r="C646" s="1">
        <v>-544.50938180755202</v>
      </c>
    </row>
    <row r="647" spans="1:3" x14ac:dyDescent="0.35">
      <c r="A647" s="1">
        <v>617</v>
      </c>
      <c r="B647" s="1">
        <v>609.56412159173362</v>
      </c>
      <c r="C647" s="1">
        <v>-606.32658986652564</v>
      </c>
    </row>
    <row r="648" spans="1:3" x14ac:dyDescent="0.35">
      <c r="A648" s="1">
        <v>618</v>
      </c>
      <c r="B648" s="1">
        <v>516.95738668882734</v>
      </c>
      <c r="C648" s="1">
        <v>469.51345746430445</v>
      </c>
    </row>
    <row r="649" spans="1:3" x14ac:dyDescent="0.35">
      <c r="A649" s="1">
        <v>619</v>
      </c>
      <c r="B649" s="1">
        <v>1216.0607489502761</v>
      </c>
      <c r="C649" s="1">
        <v>-1019.7577196627701</v>
      </c>
    </row>
    <row r="650" spans="1:3" x14ac:dyDescent="0.35">
      <c r="A650" s="1">
        <v>620</v>
      </c>
      <c r="B650" s="1">
        <v>618.03212619225405</v>
      </c>
      <c r="C650" s="1">
        <v>-472.28779042767354</v>
      </c>
    </row>
    <row r="651" spans="1:3" x14ac:dyDescent="0.35">
      <c r="A651" s="1">
        <v>621</v>
      </c>
      <c r="B651" s="1">
        <v>812.90734464741581</v>
      </c>
      <c r="C651" s="1">
        <v>-695.13502314771188</v>
      </c>
    </row>
    <row r="652" spans="1:3" x14ac:dyDescent="0.35">
      <c r="A652" s="1">
        <v>622</v>
      </c>
      <c r="B652" s="1">
        <v>960.3761758148313</v>
      </c>
      <c r="C652" s="1">
        <v>-562.5377962786356</v>
      </c>
    </row>
    <row r="653" spans="1:3" x14ac:dyDescent="0.35">
      <c r="A653" s="1">
        <v>623</v>
      </c>
      <c r="B653" s="1">
        <v>1188.3688507786455</v>
      </c>
      <c r="C653" s="1">
        <v>488.16749627974582</v>
      </c>
    </row>
    <row r="654" spans="1:3" x14ac:dyDescent="0.35">
      <c r="A654" s="1">
        <v>624</v>
      </c>
      <c r="B654" s="1">
        <v>784.1046626761115</v>
      </c>
      <c r="C654" s="1">
        <v>2.909376443032329</v>
      </c>
    </row>
    <row r="655" spans="1:3" x14ac:dyDescent="0.35">
      <c r="A655" s="1">
        <v>625</v>
      </c>
      <c r="B655" s="1">
        <v>548.68585441819607</v>
      </c>
      <c r="C655" s="1">
        <v>-548.43727068493934</v>
      </c>
    </row>
    <row r="656" spans="1:3" x14ac:dyDescent="0.35">
      <c r="A656" s="1">
        <v>626</v>
      </c>
      <c r="B656" s="1">
        <v>1046.5482133171849</v>
      </c>
      <c r="C656" s="1">
        <v>-578.21735485709405</v>
      </c>
    </row>
    <row r="657" spans="1:3" x14ac:dyDescent="0.35">
      <c r="A657" s="1">
        <v>627</v>
      </c>
      <c r="B657" s="1">
        <v>483.38909213579996</v>
      </c>
      <c r="C657" s="1">
        <v>-58.504549978627608</v>
      </c>
    </row>
    <row r="658" spans="1:3" x14ac:dyDescent="0.35">
      <c r="A658" s="1">
        <v>628</v>
      </c>
      <c r="B658" s="1">
        <v>622.84808962241141</v>
      </c>
      <c r="C658" s="1">
        <v>-224.68617890680343</v>
      </c>
    </row>
    <row r="659" spans="1:3" x14ac:dyDescent="0.35">
      <c r="A659" s="1">
        <v>629</v>
      </c>
      <c r="B659" s="1">
        <v>887.31471310829738</v>
      </c>
      <c r="C659" s="1">
        <v>-887.31270765574754</v>
      </c>
    </row>
    <row r="660" spans="1:3" x14ac:dyDescent="0.35">
      <c r="A660" s="1">
        <v>630</v>
      </c>
      <c r="B660" s="1">
        <v>622.66447336600743</v>
      </c>
      <c r="C660" s="1">
        <v>-615.41223083790817</v>
      </c>
    </row>
    <row r="661" spans="1:3" x14ac:dyDescent="0.35">
      <c r="A661" s="1">
        <v>631</v>
      </c>
      <c r="B661" s="1">
        <v>731.79822204539278</v>
      </c>
      <c r="C661" s="1">
        <v>-713.68427807453691</v>
      </c>
    </row>
    <row r="662" spans="1:3" x14ac:dyDescent="0.35">
      <c r="A662" s="1">
        <v>632</v>
      </c>
      <c r="B662" s="1">
        <v>823.85984447254623</v>
      </c>
      <c r="C662" s="1">
        <v>-755.77274191780225</v>
      </c>
    </row>
    <row r="663" spans="1:3" x14ac:dyDescent="0.35">
      <c r="A663" s="1">
        <v>633</v>
      </c>
      <c r="B663" s="1">
        <v>540.44324510844592</v>
      </c>
      <c r="C663" s="1">
        <v>-526.20108774152766</v>
      </c>
    </row>
    <row r="664" spans="1:3" x14ac:dyDescent="0.35">
      <c r="A664" s="1">
        <v>634</v>
      </c>
      <c r="B664" s="1">
        <v>330.4513965336044</v>
      </c>
      <c r="C664" s="1">
        <v>-271.21199337477901</v>
      </c>
    </row>
    <row r="665" spans="1:3" x14ac:dyDescent="0.35">
      <c r="A665" s="1">
        <v>635</v>
      </c>
      <c r="B665" s="1">
        <v>559.69926133286856</v>
      </c>
      <c r="C665" s="1">
        <v>-173.07287548056479</v>
      </c>
    </row>
    <row r="666" spans="1:3" x14ac:dyDescent="0.35">
      <c r="A666" s="1">
        <v>636</v>
      </c>
      <c r="B666" s="1">
        <v>754.79233038604752</v>
      </c>
      <c r="C666" s="1">
        <v>-396.99602473607553</v>
      </c>
    </row>
    <row r="667" spans="1:3" x14ac:dyDescent="0.35">
      <c r="A667" s="1">
        <v>637</v>
      </c>
      <c r="B667" s="1">
        <v>845.5465748665107</v>
      </c>
      <c r="C667" s="1">
        <v>-393.32487553778049</v>
      </c>
    </row>
    <row r="668" spans="1:3" x14ac:dyDescent="0.35">
      <c r="A668" s="1">
        <v>638</v>
      </c>
      <c r="B668" s="1">
        <v>694.89494190915502</v>
      </c>
      <c r="C668" s="1">
        <v>-256.15558945776985</v>
      </c>
    </row>
    <row r="669" spans="1:3" x14ac:dyDescent="0.35">
      <c r="A669" s="1">
        <v>639</v>
      </c>
      <c r="B669" s="1">
        <v>1013.5474959301559</v>
      </c>
      <c r="C669" s="1">
        <v>-97.853922691900721</v>
      </c>
    </row>
    <row r="670" spans="1:3" x14ac:dyDescent="0.35">
      <c r="A670" s="1">
        <v>640</v>
      </c>
      <c r="B670" s="1">
        <v>498.74938766464055</v>
      </c>
      <c r="C670" s="1">
        <v>-465.88589065579566</v>
      </c>
    </row>
    <row r="671" spans="1:3" x14ac:dyDescent="0.35">
      <c r="A671" s="1">
        <v>641</v>
      </c>
      <c r="B671" s="1">
        <v>658.0145241547699</v>
      </c>
      <c r="C671" s="1">
        <v>-299.76679911711216</v>
      </c>
    </row>
    <row r="672" spans="1:3" x14ac:dyDescent="0.35">
      <c r="A672" s="1">
        <v>642</v>
      </c>
      <c r="B672" s="1">
        <v>648.06919034595535</v>
      </c>
      <c r="C672" s="1">
        <v>-466.2042509982324</v>
      </c>
    </row>
    <row r="673" spans="1:3" x14ac:dyDescent="0.35">
      <c r="A673" s="1">
        <v>643</v>
      </c>
      <c r="B673" s="1">
        <v>878.97144066203418</v>
      </c>
      <c r="C673" s="1">
        <v>-507.18541271422328</v>
      </c>
    </row>
    <row r="674" spans="1:3" x14ac:dyDescent="0.35">
      <c r="A674" s="1">
        <v>644</v>
      </c>
      <c r="B674" s="1">
        <v>699.24609418051068</v>
      </c>
      <c r="C674" s="1">
        <v>-243.80652626399115</v>
      </c>
    </row>
    <row r="675" spans="1:3" x14ac:dyDescent="0.35">
      <c r="A675" s="1">
        <v>645</v>
      </c>
      <c r="B675" s="1">
        <v>642.30693250598517</v>
      </c>
      <c r="C675" s="1">
        <v>-371.81857056801158</v>
      </c>
    </row>
    <row r="676" spans="1:3" x14ac:dyDescent="0.35">
      <c r="A676" s="1">
        <v>646</v>
      </c>
      <c r="B676" s="1">
        <v>291.90306785802511</v>
      </c>
      <c r="C676" s="1">
        <v>-281.78450634615302</v>
      </c>
    </row>
    <row r="677" spans="1:3" x14ac:dyDescent="0.35">
      <c r="A677" s="1">
        <v>647</v>
      </c>
      <c r="B677" s="1">
        <v>536.17779446607005</v>
      </c>
      <c r="C677" s="1">
        <v>1493.9544660235156</v>
      </c>
    </row>
    <row r="678" spans="1:3" x14ac:dyDescent="0.35">
      <c r="A678" s="1">
        <v>648</v>
      </c>
      <c r="B678" s="1">
        <v>729.17450966313959</v>
      </c>
      <c r="C678" s="1">
        <v>2856.8393240962268</v>
      </c>
    </row>
    <row r="679" spans="1:3" x14ac:dyDescent="0.35">
      <c r="A679" s="1">
        <v>649</v>
      </c>
      <c r="B679" s="1">
        <v>793.48544052394243</v>
      </c>
      <c r="C679" s="1">
        <v>-652.15904470808027</v>
      </c>
    </row>
    <row r="680" spans="1:3" x14ac:dyDescent="0.35">
      <c r="A680" s="1">
        <v>650</v>
      </c>
      <c r="B680" s="1">
        <v>717.66977184549364</v>
      </c>
      <c r="C680" s="1">
        <v>-628.85268921376019</v>
      </c>
    </row>
    <row r="681" spans="1:3" x14ac:dyDescent="0.35">
      <c r="A681" s="1">
        <v>651</v>
      </c>
      <c r="B681" s="1">
        <v>537.74731296418554</v>
      </c>
      <c r="C681" s="1">
        <v>-281.75134350154616</v>
      </c>
    </row>
    <row r="682" spans="1:3" x14ac:dyDescent="0.35">
      <c r="A682" s="1">
        <v>652</v>
      </c>
      <c r="B682" s="1">
        <v>722.08031352565138</v>
      </c>
      <c r="C682" s="1">
        <v>-717.28253664093313</v>
      </c>
    </row>
    <row r="683" spans="1:3" x14ac:dyDescent="0.35">
      <c r="A683" s="1">
        <v>653</v>
      </c>
      <c r="B683" s="1">
        <v>866.24062956476564</v>
      </c>
      <c r="C683" s="1">
        <v>-732.52436603713966</v>
      </c>
    </row>
    <row r="684" spans="1:3" x14ac:dyDescent="0.35">
      <c r="A684" s="1">
        <v>654</v>
      </c>
      <c r="B684" s="1">
        <v>618.47349246707199</v>
      </c>
      <c r="C684" s="1">
        <v>-529.06819789889755</v>
      </c>
    </row>
    <row r="685" spans="1:3" x14ac:dyDescent="0.35">
      <c r="A685" s="1">
        <v>655</v>
      </c>
      <c r="B685" s="1">
        <v>599.04572049833655</v>
      </c>
      <c r="C685" s="1">
        <v>-495.80599098886546</v>
      </c>
    </row>
    <row r="686" spans="1:3" x14ac:dyDescent="0.35">
      <c r="A686" s="1">
        <v>656</v>
      </c>
      <c r="B686" s="1">
        <v>-1.048159321767173</v>
      </c>
      <c r="C686" s="1">
        <v>48.909241293278171</v>
      </c>
    </row>
    <row r="687" spans="1:3" x14ac:dyDescent="0.35">
      <c r="A687" s="1">
        <v>657</v>
      </c>
      <c r="B687" s="1">
        <v>554.2469626431573</v>
      </c>
      <c r="C687" s="1">
        <v>-551.34469446854814</v>
      </c>
    </row>
    <row r="688" spans="1:3" x14ac:dyDescent="0.35">
      <c r="A688" s="1">
        <v>658</v>
      </c>
      <c r="B688" s="1">
        <v>1122.491190818331</v>
      </c>
      <c r="C688" s="1">
        <v>-763.91738235674757</v>
      </c>
    </row>
    <row r="689" spans="1:3" x14ac:dyDescent="0.35">
      <c r="A689" s="1">
        <v>659</v>
      </c>
      <c r="B689" s="1">
        <v>996.7191615268996</v>
      </c>
      <c r="C689" s="1">
        <v>-882.60314281753449</v>
      </c>
    </row>
    <row r="690" spans="1:3" x14ac:dyDescent="0.35">
      <c r="A690" s="1">
        <v>660</v>
      </c>
      <c r="B690" s="1">
        <v>979.30924260277527</v>
      </c>
      <c r="C690" s="1">
        <v>626.69972694732894</v>
      </c>
    </row>
    <row r="691" spans="1:3" x14ac:dyDescent="0.35">
      <c r="A691" s="1">
        <v>661</v>
      </c>
      <c r="B691" s="1">
        <v>880.83810007552904</v>
      </c>
      <c r="C691" s="1">
        <v>176.07495511042919</v>
      </c>
    </row>
    <row r="692" spans="1:3" x14ac:dyDescent="0.35">
      <c r="A692" s="1">
        <v>662</v>
      </c>
      <c r="B692" s="1">
        <v>1283.2531040502065</v>
      </c>
      <c r="C692" s="1">
        <v>6209.7176774451545</v>
      </c>
    </row>
    <row r="693" spans="1:3" x14ac:dyDescent="0.35">
      <c r="A693" s="1">
        <v>663</v>
      </c>
      <c r="B693" s="1">
        <v>850.91438731710116</v>
      </c>
      <c r="C693" s="1">
        <v>-65.259012943259222</v>
      </c>
    </row>
    <row r="694" spans="1:3" x14ac:dyDescent="0.35">
      <c r="A694" s="1">
        <v>664</v>
      </c>
      <c r="B694" s="1">
        <v>1064.7493721319108</v>
      </c>
      <c r="C694" s="1">
        <v>-786.88573394908394</v>
      </c>
    </row>
    <row r="695" spans="1:3" x14ac:dyDescent="0.35">
      <c r="A695" s="1">
        <v>665</v>
      </c>
      <c r="B695" s="1">
        <v>1129.1115295651502</v>
      </c>
      <c r="C695" s="1">
        <v>-1107.985533192104</v>
      </c>
    </row>
    <row r="696" spans="1:3" x14ac:dyDescent="0.35">
      <c r="A696" s="1">
        <v>666</v>
      </c>
      <c r="B696" s="1">
        <v>784.9258449828526</v>
      </c>
      <c r="C696" s="1">
        <v>-783.73388697452287</v>
      </c>
    </row>
    <row r="697" spans="1:3" x14ac:dyDescent="0.35">
      <c r="A697" s="1">
        <v>667</v>
      </c>
      <c r="B697" s="1">
        <v>1339.7719945260537</v>
      </c>
      <c r="C697" s="1">
        <v>-1279.5562824431288</v>
      </c>
    </row>
    <row r="698" spans="1:3" x14ac:dyDescent="0.35">
      <c r="A698" s="1">
        <v>668</v>
      </c>
      <c r="B698" s="1">
        <v>905.60202074075301</v>
      </c>
      <c r="C698" s="1">
        <v>-904.68415341958746</v>
      </c>
    </row>
    <row r="699" spans="1:3" x14ac:dyDescent="0.35">
      <c r="A699" s="1">
        <v>669</v>
      </c>
      <c r="B699" s="1">
        <v>825.00220403225308</v>
      </c>
      <c r="C699" s="1">
        <v>521.11150097172208</v>
      </c>
    </row>
    <row r="700" spans="1:3" x14ac:dyDescent="0.35">
      <c r="A700" s="1">
        <v>670</v>
      </c>
      <c r="B700" s="1">
        <v>877.06156367181848</v>
      </c>
      <c r="C700" s="1">
        <v>-65.437255233155383</v>
      </c>
    </row>
    <row r="701" spans="1:3" x14ac:dyDescent="0.35">
      <c r="A701" s="1">
        <v>671</v>
      </c>
      <c r="B701" s="1">
        <v>912.54118860585936</v>
      </c>
      <c r="C701" s="1">
        <v>-305.41036858850009</v>
      </c>
    </row>
    <row r="702" spans="1:3" x14ac:dyDescent="0.35">
      <c r="A702" s="1">
        <v>672</v>
      </c>
      <c r="B702" s="1">
        <v>623.46866326901772</v>
      </c>
      <c r="C702" s="1">
        <v>-606.59566434830685</v>
      </c>
    </row>
    <row r="703" spans="1:3" x14ac:dyDescent="0.35">
      <c r="A703" s="1">
        <v>673</v>
      </c>
      <c r="B703" s="1">
        <v>1014.9264596623503</v>
      </c>
      <c r="C703" s="1">
        <v>2860.4208570843307</v>
      </c>
    </row>
    <row r="704" spans="1:3" x14ac:dyDescent="0.35">
      <c r="A704" s="1">
        <v>674</v>
      </c>
      <c r="B704" s="1">
        <v>907.5113472325404</v>
      </c>
      <c r="C704" s="1">
        <v>-253.01150506330555</v>
      </c>
    </row>
    <row r="705" spans="1:3" x14ac:dyDescent="0.35">
      <c r="A705" s="1">
        <v>675</v>
      </c>
      <c r="B705" s="1">
        <v>1250.0516616564341</v>
      </c>
      <c r="C705" s="1">
        <v>1858.1181455226078</v>
      </c>
    </row>
    <row r="706" spans="1:3" x14ac:dyDescent="0.35">
      <c r="A706" s="1">
        <v>676</v>
      </c>
      <c r="B706" s="1">
        <v>681.4376305350961</v>
      </c>
      <c r="C706" s="1">
        <v>5440.7140650336833</v>
      </c>
    </row>
    <row r="707" spans="1:3" x14ac:dyDescent="0.35">
      <c r="A707" s="1">
        <v>677</v>
      </c>
      <c r="B707" s="1">
        <v>841.56110919484672</v>
      </c>
      <c r="C707" s="1">
        <v>-3.633439367801202</v>
      </c>
    </row>
    <row r="708" spans="1:3" x14ac:dyDescent="0.35">
      <c r="A708" s="1">
        <v>678</v>
      </c>
      <c r="B708" s="1">
        <v>692.60068937795154</v>
      </c>
      <c r="C708" s="1">
        <v>-220.79017742967653</v>
      </c>
    </row>
    <row r="709" spans="1:3" x14ac:dyDescent="0.35">
      <c r="A709" s="1">
        <v>679</v>
      </c>
      <c r="B709" s="1">
        <v>661.19988086567582</v>
      </c>
      <c r="C709" s="1">
        <v>-612.25404512098385</v>
      </c>
    </row>
    <row r="710" spans="1:3" x14ac:dyDescent="0.35">
      <c r="A710" s="1">
        <v>680</v>
      </c>
      <c r="B710" s="1">
        <v>231.31931935584512</v>
      </c>
      <c r="C710" s="1">
        <v>510.79337027239558</v>
      </c>
    </row>
    <row r="711" spans="1:3" x14ac:dyDescent="0.35">
      <c r="A711" s="1">
        <v>681</v>
      </c>
      <c r="B711" s="1">
        <v>640.4398926938029</v>
      </c>
      <c r="C711" s="1">
        <v>1286.1750173796577</v>
      </c>
    </row>
    <row r="712" spans="1:3" x14ac:dyDescent="0.35">
      <c r="A712" s="1">
        <v>682</v>
      </c>
      <c r="B712" s="1">
        <v>1207.1655057258488</v>
      </c>
      <c r="C712" s="1">
        <v>925.3189656778502</v>
      </c>
    </row>
    <row r="713" spans="1:3" x14ac:dyDescent="0.35">
      <c r="A713" s="1">
        <v>683</v>
      </c>
      <c r="B713" s="1">
        <v>927.42948740029942</v>
      </c>
      <c r="C713" s="1">
        <v>-388.8000090843725</v>
      </c>
    </row>
    <row r="714" spans="1:3" x14ac:dyDescent="0.35">
      <c r="A714" s="1">
        <v>684</v>
      </c>
      <c r="B714" s="1">
        <v>697.26048560837171</v>
      </c>
      <c r="C714" s="1">
        <v>-635.18930446851459</v>
      </c>
    </row>
    <row r="715" spans="1:3" x14ac:dyDescent="0.35">
      <c r="A715" s="1">
        <v>685</v>
      </c>
      <c r="B715" s="1">
        <v>790.2647813799183</v>
      </c>
      <c r="C715" s="1">
        <v>-560.55327841446319</v>
      </c>
    </row>
    <row r="716" spans="1:3" x14ac:dyDescent="0.35">
      <c r="A716" s="1">
        <v>686</v>
      </c>
      <c r="B716" s="1">
        <v>554.75192605905511</v>
      </c>
      <c r="C716" s="1">
        <v>-554.14852869421043</v>
      </c>
    </row>
    <row r="717" spans="1:3" x14ac:dyDescent="0.35">
      <c r="A717" s="1">
        <v>687</v>
      </c>
      <c r="B717" s="1">
        <v>473.24532892855541</v>
      </c>
      <c r="C717" s="1">
        <v>181.56080164798038</v>
      </c>
    </row>
    <row r="718" spans="1:3" x14ac:dyDescent="0.35">
      <c r="A718" s="1">
        <v>688</v>
      </c>
      <c r="B718" s="1">
        <v>775.22802950473215</v>
      </c>
      <c r="C718" s="1">
        <v>-769.17691604406491</v>
      </c>
    </row>
    <row r="719" spans="1:3" x14ac:dyDescent="0.35">
      <c r="A719" s="1">
        <v>689</v>
      </c>
      <c r="B719" s="1">
        <v>490.66596482918186</v>
      </c>
      <c r="C719" s="1">
        <v>-50.97065775493337</v>
      </c>
    </row>
    <row r="720" spans="1:3" x14ac:dyDescent="0.35">
      <c r="A720" s="1">
        <v>690</v>
      </c>
      <c r="B720" s="1">
        <v>1168.1501825412181</v>
      </c>
      <c r="C720" s="1">
        <v>-1159.9701684625099</v>
      </c>
    </row>
    <row r="721" spans="1:3" x14ac:dyDescent="0.35">
      <c r="A721" s="1">
        <v>691</v>
      </c>
      <c r="B721" s="1">
        <v>707.25757155071074</v>
      </c>
      <c r="C721" s="1">
        <v>-583.65046495431704</v>
      </c>
    </row>
    <row r="722" spans="1:3" x14ac:dyDescent="0.35">
      <c r="A722" s="1">
        <v>692</v>
      </c>
      <c r="B722" s="1">
        <v>952.85880554908636</v>
      </c>
      <c r="C722" s="1">
        <v>-500.99590736945396</v>
      </c>
    </row>
    <row r="723" spans="1:3" x14ac:dyDescent="0.35">
      <c r="A723" s="1">
        <v>693</v>
      </c>
      <c r="B723" s="1">
        <v>899.76143315246077</v>
      </c>
      <c r="C723" s="1">
        <v>-898.51699898794618</v>
      </c>
    </row>
    <row r="724" spans="1:3" x14ac:dyDescent="0.35">
      <c r="A724" s="1">
        <v>694</v>
      </c>
      <c r="B724" s="1">
        <v>1122.8131068738662</v>
      </c>
      <c r="C724" s="1">
        <v>-1118.8240708696642</v>
      </c>
    </row>
    <row r="725" spans="1:3" x14ac:dyDescent="0.35">
      <c r="A725" s="1">
        <v>695</v>
      </c>
      <c r="B725" s="1">
        <v>502.63522408372251</v>
      </c>
      <c r="C725" s="1">
        <v>-261.43014876592815</v>
      </c>
    </row>
    <row r="726" spans="1:3" x14ac:dyDescent="0.35">
      <c r="A726" s="1">
        <v>696</v>
      </c>
      <c r="B726" s="1">
        <v>143.44466043715624</v>
      </c>
      <c r="C726" s="1">
        <v>364.05858424029969</v>
      </c>
    </row>
    <row r="727" spans="1:3" x14ac:dyDescent="0.35">
      <c r="A727" s="1">
        <v>697</v>
      </c>
      <c r="B727" s="1">
        <v>608.55883926417209</v>
      </c>
      <c r="C727" s="1">
        <v>1606.1760362477521</v>
      </c>
    </row>
    <row r="728" spans="1:3" x14ac:dyDescent="0.35">
      <c r="A728" s="1">
        <v>698</v>
      </c>
      <c r="B728" s="1">
        <v>507.36261507151573</v>
      </c>
      <c r="C728" s="1">
        <v>-504.15042935368541</v>
      </c>
    </row>
    <row r="729" spans="1:3" x14ac:dyDescent="0.35">
      <c r="A729" s="1">
        <v>699</v>
      </c>
      <c r="B729" s="1">
        <v>568.83249022876612</v>
      </c>
      <c r="C729" s="1">
        <v>-541.09453811645335</v>
      </c>
    </row>
    <row r="730" spans="1:3" x14ac:dyDescent="0.35">
      <c r="A730" s="1">
        <v>700</v>
      </c>
      <c r="B730" s="1">
        <v>917.14053911994927</v>
      </c>
      <c r="C730" s="1">
        <v>-831.50668654826188</v>
      </c>
    </row>
    <row r="731" spans="1:3" x14ac:dyDescent="0.35">
      <c r="A731" s="1">
        <v>701</v>
      </c>
      <c r="B731" s="1">
        <v>603.96180849440884</v>
      </c>
      <c r="C731" s="1">
        <v>-547.47848950677849</v>
      </c>
    </row>
    <row r="732" spans="1:3" x14ac:dyDescent="0.35">
      <c r="A732" s="1">
        <v>702</v>
      </c>
      <c r="B732" s="1">
        <v>1148.7206144777124</v>
      </c>
      <c r="C732" s="1">
        <v>-1093.8128812577745</v>
      </c>
    </row>
    <row r="733" spans="1:3" x14ac:dyDescent="0.35">
      <c r="A733" s="1">
        <v>703</v>
      </c>
      <c r="B733" s="1">
        <v>1362.6661530455617</v>
      </c>
      <c r="C733" s="1">
        <v>213.44171515370476</v>
      </c>
    </row>
    <row r="734" spans="1:3" x14ac:dyDescent="0.35">
      <c r="A734" s="1">
        <v>704</v>
      </c>
      <c r="B734" s="1">
        <v>935.25544938543226</v>
      </c>
      <c r="C734" s="1">
        <v>-906.32323410699382</v>
      </c>
    </row>
    <row r="735" spans="1:3" x14ac:dyDescent="0.35">
      <c r="A735" s="1">
        <v>705</v>
      </c>
      <c r="B735" s="1">
        <v>556.68127779452391</v>
      </c>
      <c r="C735" s="1">
        <v>-535.1713906898749</v>
      </c>
    </row>
    <row r="736" spans="1:3" x14ac:dyDescent="0.35">
      <c r="A736" s="1">
        <v>706</v>
      </c>
      <c r="B736" s="1">
        <v>1027.0529231121177</v>
      </c>
      <c r="C736" s="1">
        <v>-173.75478891316584</v>
      </c>
    </row>
    <row r="737" spans="1:3" x14ac:dyDescent="0.35">
      <c r="A737" s="1">
        <v>707</v>
      </c>
      <c r="B737" s="1">
        <v>198.28198727723424</v>
      </c>
      <c r="C737" s="1">
        <v>539.56695357368426</v>
      </c>
    </row>
    <row r="738" spans="1:3" x14ac:dyDescent="0.35">
      <c r="A738" s="1">
        <v>708</v>
      </c>
      <c r="B738" s="1">
        <v>198.41204271708671</v>
      </c>
      <c r="C738" s="1">
        <v>-91.515420652878689</v>
      </c>
    </row>
    <row r="739" spans="1:3" x14ac:dyDescent="0.35">
      <c r="A739" s="1">
        <v>709</v>
      </c>
      <c r="B739" s="1">
        <v>838.13516894424754</v>
      </c>
      <c r="C739" s="1">
        <v>544.58171656845582</v>
      </c>
    </row>
    <row r="740" spans="1:3" x14ac:dyDescent="0.35">
      <c r="A740" s="1">
        <v>710</v>
      </c>
      <c r="B740" s="1">
        <v>735.90766805585395</v>
      </c>
      <c r="C740" s="1">
        <v>214.64279560114153</v>
      </c>
    </row>
    <row r="741" spans="1:3" x14ac:dyDescent="0.35">
      <c r="A741" s="1">
        <v>711</v>
      </c>
      <c r="B741" s="1">
        <v>39.479898602603726</v>
      </c>
      <c r="C741" s="1">
        <v>99.791458617037534</v>
      </c>
    </row>
    <row r="742" spans="1:3" x14ac:dyDescent="0.35">
      <c r="A742" s="1">
        <v>712</v>
      </c>
      <c r="B742" s="1">
        <v>977.42631513817935</v>
      </c>
      <c r="C742" s="1">
        <v>-876.94645980681776</v>
      </c>
    </row>
    <row r="743" spans="1:3" x14ac:dyDescent="0.35">
      <c r="A743" s="1">
        <v>713</v>
      </c>
      <c r="B743" s="1">
        <v>1193.4628901234673</v>
      </c>
      <c r="C743" s="1">
        <v>-1057.8994636722966</v>
      </c>
    </row>
    <row r="744" spans="1:3" x14ac:dyDescent="0.35">
      <c r="A744" s="1">
        <v>714</v>
      </c>
      <c r="B744" s="1">
        <v>183.72927033816148</v>
      </c>
      <c r="C744" s="1">
        <v>-152.80330101526189</v>
      </c>
    </row>
    <row r="745" spans="1:3" x14ac:dyDescent="0.35">
      <c r="A745" s="1">
        <v>715</v>
      </c>
      <c r="B745" s="1">
        <v>658.4141575414119</v>
      </c>
      <c r="C745" s="1">
        <v>-485.58102699528359</v>
      </c>
    </row>
    <row r="746" spans="1:3" x14ac:dyDescent="0.35">
      <c r="A746" s="1">
        <v>716</v>
      </c>
      <c r="B746" s="1">
        <v>417.87482798352198</v>
      </c>
      <c r="C746" s="1">
        <v>870.67707872785877</v>
      </c>
    </row>
    <row r="747" spans="1:3" x14ac:dyDescent="0.35">
      <c r="A747" s="1">
        <v>717</v>
      </c>
      <c r="B747" s="1">
        <v>834.15003013726437</v>
      </c>
      <c r="C747" s="1">
        <v>1108.628150689673</v>
      </c>
    </row>
    <row r="748" spans="1:3" x14ac:dyDescent="0.35">
      <c r="A748" s="1">
        <v>718</v>
      </c>
      <c r="B748" s="1">
        <v>1052.5777008305702</v>
      </c>
      <c r="C748" s="1">
        <v>-206.8906854912583</v>
      </c>
    </row>
    <row r="749" spans="1:3" x14ac:dyDescent="0.35">
      <c r="A749" s="1">
        <v>719</v>
      </c>
      <c r="B749" s="1">
        <v>755.55167339641412</v>
      </c>
      <c r="C749" s="1">
        <v>-660.39752299900272</v>
      </c>
    </row>
    <row r="750" spans="1:3" x14ac:dyDescent="0.35">
      <c r="A750" s="1">
        <v>720</v>
      </c>
      <c r="B750" s="1">
        <v>1242.5883712203768</v>
      </c>
      <c r="C750" s="1">
        <v>-431.19065661816808</v>
      </c>
    </row>
    <row r="751" spans="1:3" x14ac:dyDescent="0.35">
      <c r="A751" s="1">
        <v>721</v>
      </c>
      <c r="B751" s="1">
        <v>857.72524176129809</v>
      </c>
      <c r="C751" s="1">
        <v>-12.449923343693627</v>
      </c>
    </row>
    <row r="752" spans="1:3" x14ac:dyDescent="0.35">
      <c r="A752" s="1">
        <v>722</v>
      </c>
      <c r="B752" s="1">
        <v>615.74293014657519</v>
      </c>
      <c r="C752" s="1">
        <v>-535.69318963036051</v>
      </c>
    </row>
    <row r="753" spans="1:3" x14ac:dyDescent="0.35">
      <c r="A753" s="1">
        <v>723</v>
      </c>
      <c r="B753" s="1">
        <v>841.45552673640236</v>
      </c>
      <c r="C753" s="1">
        <v>-285.38156728031549</v>
      </c>
    </row>
    <row r="754" spans="1:3" x14ac:dyDescent="0.35">
      <c r="A754" s="1">
        <v>724</v>
      </c>
      <c r="B754" s="1">
        <v>984.44904127640643</v>
      </c>
      <c r="C754" s="1">
        <v>-785.52245079401246</v>
      </c>
    </row>
    <row r="755" spans="1:3" x14ac:dyDescent="0.35">
      <c r="A755" s="1">
        <v>725</v>
      </c>
      <c r="B755" s="1">
        <v>906.97844980770287</v>
      </c>
      <c r="C755" s="1">
        <v>-611.02391851618313</v>
      </c>
    </row>
    <row r="756" spans="1:3" x14ac:dyDescent="0.35">
      <c r="A756" s="1">
        <v>726</v>
      </c>
      <c r="B756" s="1">
        <v>1202.5307611842327</v>
      </c>
      <c r="C756" s="1">
        <v>-1197.9446264716346</v>
      </c>
    </row>
    <row r="757" spans="1:3" x14ac:dyDescent="0.35">
      <c r="A757" s="1">
        <v>727</v>
      </c>
      <c r="B757" s="1">
        <v>652.8846883607996</v>
      </c>
      <c r="C757" s="1">
        <v>-542.51846320020945</v>
      </c>
    </row>
    <row r="758" spans="1:3" x14ac:dyDescent="0.35">
      <c r="A758" s="1">
        <v>728</v>
      </c>
      <c r="B758" s="1">
        <v>847.45317816399324</v>
      </c>
      <c r="C758" s="1">
        <v>472.15160438604426</v>
      </c>
    </row>
    <row r="759" spans="1:3" x14ac:dyDescent="0.35">
      <c r="A759" s="1">
        <v>729</v>
      </c>
      <c r="B759" s="1">
        <v>478.87356071199036</v>
      </c>
      <c r="C759" s="1">
        <v>4287.8647696421822</v>
      </c>
    </row>
    <row r="760" spans="1:3" x14ac:dyDescent="0.35">
      <c r="A760" s="1">
        <v>730</v>
      </c>
      <c r="B760" s="1">
        <v>548.61529205974193</v>
      </c>
      <c r="C760" s="1">
        <v>-303.03922719600615</v>
      </c>
    </row>
    <row r="761" spans="1:3" x14ac:dyDescent="0.35">
      <c r="A761" s="1">
        <v>731</v>
      </c>
      <c r="B761" s="1">
        <v>746.4376462475675</v>
      </c>
      <c r="C761" s="1">
        <v>-588.12803219785349</v>
      </c>
    </row>
    <row r="762" spans="1:3" x14ac:dyDescent="0.35">
      <c r="A762" s="1">
        <v>732</v>
      </c>
      <c r="B762" s="1">
        <v>508.04512602410415</v>
      </c>
      <c r="C762" s="1">
        <v>-405.53490910581496</v>
      </c>
    </row>
    <row r="763" spans="1:3" x14ac:dyDescent="0.35">
      <c r="A763" s="1">
        <v>733</v>
      </c>
      <c r="B763" s="1">
        <v>944.45994962752707</v>
      </c>
      <c r="C763" s="1">
        <v>1440.2295108890246</v>
      </c>
    </row>
    <row r="764" spans="1:3" x14ac:dyDescent="0.35">
      <c r="A764" s="1">
        <v>734</v>
      </c>
      <c r="B764" s="1">
        <v>507.15972129345209</v>
      </c>
      <c r="C764" s="1">
        <v>-397.32858393365188</v>
      </c>
    </row>
    <row r="765" spans="1:3" x14ac:dyDescent="0.35">
      <c r="A765" s="1">
        <v>735</v>
      </c>
      <c r="B765" s="1">
        <v>918.45435954317577</v>
      </c>
      <c r="C765" s="1">
        <v>-441.94058423481033</v>
      </c>
    </row>
    <row r="766" spans="1:3" x14ac:dyDescent="0.35">
      <c r="A766" s="1">
        <v>736</v>
      </c>
      <c r="B766" s="1">
        <v>963.62904886948718</v>
      </c>
      <c r="C766" s="1">
        <v>-833.57037079156453</v>
      </c>
    </row>
    <row r="767" spans="1:3" x14ac:dyDescent="0.35">
      <c r="A767" s="1">
        <v>737</v>
      </c>
      <c r="B767" s="1">
        <v>577.64282031509606</v>
      </c>
      <c r="C767" s="1">
        <v>-399.63584112156707</v>
      </c>
    </row>
    <row r="768" spans="1:3" x14ac:dyDescent="0.35">
      <c r="A768" s="1">
        <v>738</v>
      </c>
      <c r="B768" s="1">
        <v>1051.6772829036677</v>
      </c>
      <c r="C768" s="1">
        <v>1860.7799047374633</v>
      </c>
    </row>
    <row r="769" spans="1:3" x14ac:dyDescent="0.35">
      <c r="A769" s="1">
        <v>739</v>
      </c>
      <c r="B769" s="1">
        <v>535.47275445107948</v>
      </c>
      <c r="C769" s="1">
        <v>131.60151992698525</v>
      </c>
    </row>
    <row r="770" spans="1:3" x14ac:dyDescent="0.35">
      <c r="A770" s="1">
        <v>740</v>
      </c>
      <c r="B770" s="1">
        <v>967.24394062244369</v>
      </c>
      <c r="C770" s="1">
        <v>-179.27857038576053</v>
      </c>
    </row>
    <row r="771" spans="1:3" x14ac:dyDescent="0.35">
      <c r="A771" s="1">
        <v>741</v>
      </c>
      <c r="B771" s="1">
        <v>1135.166280780398</v>
      </c>
      <c r="C771" s="1">
        <v>-612.37740747889325</v>
      </c>
    </row>
    <row r="772" spans="1:3" x14ac:dyDescent="0.35">
      <c r="A772" s="1">
        <v>742</v>
      </c>
      <c r="B772" s="1">
        <v>640.90526511899338</v>
      </c>
      <c r="C772" s="1">
        <v>-480.3340142036858</v>
      </c>
    </row>
    <row r="773" spans="1:3" x14ac:dyDescent="0.35">
      <c r="A773" s="1">
        <v>743</v>
      </c>
      <c r="B773" s="1">
        <v>485.85849659229359</v>
      </c>
      <c r="C773" s="1">
        <v>-470.15016983844419</v>
      </c>
    </row>
    <row r="774" spans="1:3" x14ac:dyDescent="0.35">
      <c r="A774" s="1">
        <v>744</v>
      </c>
      <c r="B774" s="1">
        <v>934.80619390066954</v>
      </c>
      <c r="C774" s="1">
        <v>-863.60486243328967</v>
      </c>
    </row>
    <row r="775" spans="1:3" x14ac:dyDescent="0.35">
      <c r="A775" s="1">
        <v>745</v>
      </c>
      <c r="B775" s="1">
        <v>1066.7801496646689</v>
      </c>
      <c r="C775" s="1">
        <v>-839.13395962592938</v>
      </c>
    </row>
    <row r="776" spans="1:3" x14ac:dyDescent="0.35">
      <c r="A776" s="1">
        <v>746</v>
      </c>
      <c r="B776" s="1">
        <v>927.92548643853524</v>
      </c>
      <c r="C776" s="1">
        <v>-164.83930979854586</v>
      </c>
    </row>
    <row r="777" spans="1:3" x14ac:dyDescent="0.35">
      <c r="A777" s="1">
        <v>747</v>
      </c>
      <c r="B777" s="1">
        <v>1248.2205238554484</v>
      </c>
      <c r="C777" s="1">
        <v>-278.00386934947426</v>
      </c>
    </row>
    <row r="778" spans="1:3" x14ac:dyDescent="0.35">
      <c r="A778" s="1">
        <v>748</v>
      </c>
      <c r="B778" s="1">
        <v>1293.8135716072748</v>
      </c>
      <c r="C778" s="1">
        <v>714.58196089241756</v>
      </c>
    </row>
    <row r="779" spans="1:3" x14ac:dyDescent="0.35">
      <c r="A779" s="1">
        <v>749</v>
      </c>
      <c r="B779" s="1">
        <v>680.23099116249045</v>
      </c>
      <c r="C779" s="1">
        <v>1801.8480222216638</v>
      </c>
    </row>
    <row r="780" spans="1:3" x14ac:dyDescent="0.35">
      <c r="A780" s="1">
        <v>750</v>
      </c>
      <c r="B780" s="1">
        <v>805.74718483764366</v>
      </c>
      <c r="C780" s="1">
        <v>750.07207733452753</v>
      </c>
    </row>
    <row r="781" spans="1:3" x14ac:dyDescent="0.35">
      <c r="A781" s="1">
        <v>751</v>
      </c>
      <c r="B781" s="1">
        <v>725.87996887882082</v>
      </c>
      <c r="C781" s="1">
        <v>-343.6701598990457</v>
      </c>
    </row>
    <row r="782" spans="1:3" x14ac:dyDescent="0.35">
      <c r="A782" s="1">
        <v>752</v>
      </c>
      <c r="B782" s="1">
        <v>955.62144691913068</v>
      </c>
      <c r="C782" s="1">
        <v>-921.27757808270985</v>
      </c>
    </row>
    <row r="783" spans="1:3" x14ac:dyDescent="0.35">
      <c r="A783" s="1">
        <v>753</v>
      </c>
      <c r="B783" s="1">
        <v>726.29442725429044</v>
      </c>
      <c r="C783" s="1">
        <v>-658.81860605513123</v>
      </c>
    </row>
    <row r="784" spans="1:3" x14ac:dyDescent="0.35">
      <c r="A784" s="1">
        <v>754</v>
      </c>
      <c r="B784" s="1">
        <v>272.21446161052899</v>
      </c>
      <c r="C784" s="1">
        <v>185.40927035717266</v>
      </c>
    </row>
    <row r="785" spans="1:3" x14ac:dyDescent="0.35">
      <c r="A785" s="1">
        <v>755</v>
      </c>
      <c r="B785" s="1">
        <v>1140.371053230238</v>
      </c>
      <c r="C785" s="1">
        <v>182.88672924544494</v>
      </c>
    </row>
    <row r="786" spans="1:3" x14ac:dyDescent="0.35">
      <c r="A786" s="1">
        <v>756</v>
      </c>
      <c r="B786" s="1">
        <v>1105.7457105535725</v>
      </c>
      <c r="C786" s="1">
        <v>-1105.5722155301912</v>
      </c>
    </row>
    <row r="787" spans="1:3" x14ac:dyDescent="0.35">
      <c r="A787" s="1">
        <v>757</v>
      </c>
      <c r="B787" s="1">
        <v>1126.8942370609245</v>
      </c>
      <c r="C787" s="1">
        <v>-445.50174383277863</v>
      </c>
    </row>
    <row r="788" spans="1:3" x14ac:dyDescent="0.35">
      <c r="A788" s="1">
        <v>758</v>
      </c>
      <c r="B788" s="1">
        <v>1050.018023848113</v>
      </c>
      <c r="C788" s="1">
        <v>-935.47801633492213</v>
      </c>
    </row>
    <row r="789" spans="1:3" x14ac:dyDescent="0.35">
      <c r="A789" s="1">
        <v>759</v>
      </c>
      <c r="B789" s="1">
        <v>719.26387206325126</v>
      </c>
      <c r="C789" s="1">
        <v>-580.50320614153475</v>
      </c>
    </row>
    <row r="790" spans="1:3" x14ac:dyDescent="0.35">
      <c r="A790" s="1">
        <v>760</v>
      </c>
      <c r="B790" s="1">
        <v>1183.9478593996014</v>
      </c>
      <c r="C790" s="1">
        <v>930.56227868981523</v>
      </c>
    </row>
    <row r="791" spans="1:3" x14ac:dyDescent="0.35">
      <c r="A791" s="1">
        <v>761</v>
      </c>
      <c r="B791" s="1">
        <v>806.52525210876865</v>
      </c>
      <c r="C791" s="1">
        <v>-560.65048013777027</v>
      </c>
    </row>
    <row r="792" spans="1:3" x14ac:dyDescent="0.35">
      <c r="A792" s="1">
        <v>762</v>
      </c>
      <c r="B792" s="1">
        <v>1256.9828817692605</v>
      </c>
      <c r="C792" s="1">
        <v>777.32791422075502</v>
      </c>
    </row>
    <row r="793" spans="1:3" x14ac:dyDescent="0.35">
      <c r="A793" s="1">
        <v>763</v>
      </c>
      <c r="B793" s="1">
        <v>539.41464243839482</v>
      </c>
      <c r="C793" s="1">
        <v>-90.588430574913673</v>
      </c>
    </row>
    <row r="794" spans="1:3" x14ac:dyDescent="0.35">
      <c r="A794" s="1">
        <v>764</v>
      </c>
      <c r="B794" s="1">
        <v>1132.5346121532921</v>
      </c>
      <c r="C794" s="1">
        <v>436.50573615743065</v>
      </c>
    </row>
    <row r="795" spans="1:3" x14ac:dyDescent="0.35">
      <c r="A795" s="1">
        <v>765</v>
      </c>
      <c r="B795" s="1">
        <v>952.84932696407986</v>
      </c>
      <c r="C795" s="1">
        <v>-794.51588364855684</v>
      </c>
    </row>
    <row r="796" spans="1:3" x14ac:dyDescent="0.35">
      <c r="A796" s="1">
        <v>766</v>
      </c>
      <c r="B796" s="1">
        <v>581.86838219088804</v>
      </c>
      <c r="C796" s="1">
        <v>-553.85197465868646</v>
      </c>
    </row>
    <row r="797" spans="1:3" x14ac:dyDescent="0.35">
      <c r="A797" s="1">
        <v>767</v>
      </c>
      <c r="B797" s="1">
        <v>908.17344879888071</v>
      </c>
      <c r="C797" s="1">
        <v>-908.02714669704005</v>
      </c>
    </row>
    <row r="798" spans="1:3" ht="15" thickBot="1" x14ac:dyDescent="0.4">
      <c r="A798" s="2">
        <v>768</v>
      </c>
      <c r="B798" s="2">
        <v>845.54274003205637</v>
      </c>
      <c r="C798" s="2">
        <v>-789.58938531589922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AB93-0811-4071-8B67-981C24E6E646}">
  <dimension ref="A1:X806"/>
  <sheetViews>
    <sheetView workbookViewId="0">
      <selection activeCell="V10" sqref="V10"/>
    </sheetView>
  </sheetViews>
  <sheetFormatPr defaultRowHeight="14.5" x14ac:dyDescent="0.35"/>
  <cols>
    <col min="1" max="1" width="12.36328125" bestFit="1" customWidth="1"/>
    <col min="2" max="2" width="15.1796875" bestFit="1" customWidth="1"/>
    <col min="3" max="3" width="11.08984375" bestFit="1" customWidth="1"/>
    <col min="4" max="4" width="13.08984375" bestFit="1" customWidth="1"/>
    <col min="5" max="5" width="12.6328125" bestFit="1" customWidth="1"/>
    <col min="6" max="6" width="8.36328125" customWidth="1"/>
    <col min="8" max="8" width="24.08984375" bestFit="1" customWidth="1"/>
    <col min="9" max="9" width="7.6328125" customWidth="1"/>
    <col min="10" max="10" width="20.453125" bestFit="1" customWidth="1"/>
    <col min="12" max="12" width="10" bestFit="1" customWidth="1"/>
    <col min="16" max="16" width="22.453125" bestFit="1" customWidth="1"/>
    <col min="17" max="17" width="18.6328125" bestFit="1" customWidth="1"/>
    <col min="18" max="18" width="13.453125" bestFit="1" customWidth="1"/>
    <col min="19" max="19" width="12.6328125" bestFit="1" customWidth="1"/>
    <col min="20" max="20" width="12" bestFit="1" customWidth="1"/>
    <col min="21" max="21" width="31.08984375" customWidth="1"/>
    <col min="22" max="22" width="12" bestFit="1" customWidth="1"/>
    <col min="23" max="23" width="12.6328125" bestFit="1" customWidth="1"/>
    <col min="24" max="24" width="12.08984375" bestFit="1" customWidth="1"/>
  </cols>
  <sheetData>
    <row r="1" spans="1:22" x14ac:dyDescent="0.35">
      <c r="A1" s="7" t="s">
        <v>7</v>
      </c>
      <c r="B1" s="7" t="s">
        <v>40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42</v>
      </c>
      <c r="I1" s="7" t="s">
        <v>6</v>
      </c>
      <c r="J1" s="7" t="s">
        <v>8</v>
      </c>
      <c r="K1" s="7" t="s">
        <v>10</v>
      </c>
      <c r="L1" s="7" t="s">
        <v>9</v>
      </c>
    </row>
    <row r="2" spans="1:22" x14ac:dyDescent="0.35">
      <c r="A2" s="8">
        <v>148</v>
      </c>
      <c r="B2" s="8">
        <f>LOG(A2)</f>
        <v>2.1702617153949575</v>
      </c>
      <c r="C2" s="8">
        <v>6</v>
      </c>
      <c r="D2" s="8">
        <v>72</v>
      </c>
      <c r="E2" s="8">
        <v>35</v>
      </c>
      <c r="F2" s="8">
        <v>0</v>
      </c>
      <c r="G2" s="8">
        <v>33.6</v>
      </c>
      <c r="H2" s="8">
        <v>0.627</v>
      </c>
      <c r="I2" s="8">
        <v>50</v>
      </c>
      <c r="J2" s="1">
        <v>2.0446378362941737</v>
      </c>
      <c r="K2" s="1">
        <v>0.12562387910078376</v>
      </c>
      <c r="L2">
        <f>K2*K2</f>
        <v>1.5781359000328336E-2</v>
      </c>
      <c r="P2" t="s">
        <v>43</v>
      </c>
    </row>
    <row r="3" spans="1:22" x14ac:dyDescent="0.35">
      <c r="A3" s="8">
        <v>85</v>
      </c>
      <c r="B3" s="8">
        <f t="shared" ref="B3:B66" si="0">LOG(A3)</f>
        <v>1.9294189257142926</v>
      </c>
      <c r="C3" s="8">
        <v>1</v>
      </c>
      <c r="D3" s="8">
        <v>66</v>
      </c>
      <c r="E3" s="8">
        <v>29</v>
      </c>
      <c r="F3" s="8">
        <v>0</v>
      </c>
      <c r="G3" s="8">
        <v>26.6</v>
      </c>
      <c r="H3" s="8">
        <v>0.35099999999999998</v>
      </c>
      <c r="I3" s="8">
        <v>31</v>
      </c>
      <c r="J3" s="1">
        <v>1.9784107427061706</v>
      </c>
      <c r="K3" s="1">
        <v>-4.8991816991877934E-2</v>
      </c>
      <c r="L3">
        <f t="shared" ref="L3:L66" si="1">K3*K3</f>
        <v>2.4001981321656596E-3</v>
      </c>
      <c r="P3" t="s">
        <v>44</v>
      </c>
    </row>
    <row r="4" spans="1:22" x14ac:dyDescent="0.35">
      <c r="A4" s="8">
        <v>183</v>
      </c>
      <c r="B4" s="8">
        <f t="shared" si="0"/>
        <v>2.2624510897304293</v>
      </c>
      <c r="C4" s="8">
        <v>8</v>
      </c>
      <c r="D4" s="8">
        <v>64</v>
      </c>
      <c r="E4" s="8">
        <v>0</v>
      </c>
      <c r="F4" s="8">
        <v>0</v>
      </c>
      <c r="G4" s="8">
        <v>23.3</v>
      </c>
      <c r="H4" s="8">
        <v>0.67200000000000004</v>
      </c>
      <c r="I4" s="8">
        <v>32</v>
      </c>
      <c r="J4" s="1">
        <v>2.0435479311236975</v>
      </c>
      <c r="K4" s="1">
        <v>0.21890315860673182</v>
      </c>
      <c r="L4">
        <f t="shared" si="1"/>
        <v>4.7918592848003989E-2</v>
      </c>
    </row>
    <row r="5" spans="1:22" ht="16.5" x14ac:dyDescent="0.35">
      <c r="A5" s="8">
        <v>89</v>
      </c>
      <c r="B5" s="8">
        <f t="shared" si="0"/>
        <v>1.9493900066449128</v>
      </c>
      <c r="C5" s="8">
        <v>1</v>
      </c>
      <c r="D5" s="8">
        <v>66</v>
      </c>
      <c r="E5" s="8">
        <v>23</v>
      </c>
      <c r="F5" s="8">
        <v>94</v>
      </c>
      <c r="G5" s="8">
        <v>28.1</v>
      </c>
      <c r="H5" s="8">
        <v>0.16700000000000001</v>
      </c>
      <c r="I5" s="8">
        <v>21</v>
      </c>
      <c r="J5" s="1">
        <v>2.0083187499552739</v>
      </c>
      <c r="K5" s="1">
        <v>-5.8928743310361131E-2</v>
      </c>
      <c r="L5">
        <f t="shared" si="1"/>
        <v>3.4725967881384318E-3</v>
      </c>
      <c r="P5" t="s">
        <v>45</v>
      </c>
      <c r="Q5">
        <v>768</v>
      </c>
      <c r="U5" t="s">
        <v>46</v>
      </c>
      <c r="V5" t="s">
        <v>39</v>
      </c>
    </row>
    <row r="6" spans="1:22" x14ac:dyDescent="0.35">
      <c r="A6" s="8">
        <v>137</v>
      </c>
      <c r="B6" s="8">
        <f t="shared" si="0"/>
        <v>2.1367205671564067</v>
      </c>
      <c r="C6" s="8">
        <v>0</v>
      </c>
      <c r="D6" s="8">
        <v>40</v>
      </c>
      <c r="E6" s="8">
        <v>35</v>
      </c>
      <c r="F6" s="8">
        <v>168</v>
      </c>
      <c r="G6" s="8">
        <v>43.1</v>
      </c>
      <c r="H6" s="8">
        <v>2.2879999999999998</v>
      </c>
      <c r="I6" s="8">
        <v>33</v>
      </c>
      <c r="J6" s="1">
        <v>2.1382372704072443</v>
      </c>
      <c r="K6" s="1">
        <v>-1.5167032508376366E-3</v>
      </c>
      <c r="L6">
        <f t="shared" si="1"/>
        <v>2.3003887511014546E-6</v>
      </c>
      <c r="U6" t="s">
        <v>46</v>
      </c>
      <c r="V6">
        <f>Q13*768</f>
        <v>8.335072682561357</v>
      </c>
    </row>
    <row r="7" spans="1:22" x14ac:dyDescent="0.35">
      <c r="A7" s="8">
        <v>116</v>
      </c>
      <c r="B7" s="8">
        <f t="shared" si="0"/>
        <v>2.0644579892269186</v>
      </c>
      <c r="C7" s="8">
        <v>5</v>
      </c>
      <c r="D7" s="8">
        <v>74</v>
      </c>
      <c r="E7" s="8">
        <v>0</v>
      </c>
      <c r="F7" s="8">
        <v>0</v>
      </c>
      <c r="G7" s="8">
        <v>25.6</v>
      </c>
      <c r="H7" s="8">
        <v>0.20100000000000001</v>
      </c>
      <c r="I7" s="8">
        <v>30</v>
      </c>
      <c r="J7" s="1">
        <v>2.0321517637870166</v>
      </c>
      <c r="K7" s="1">
        <v>3.2306225439902025E-2</v>
      </c>
      <c r="L7">
        <f t="shared" si="1"/>
        <v>1.0436922021737729E-3</v>
      </c>
      <c r="U7" t="s">
        <v>47</v>
      </c>
      <c r="V7">
        <f>_xlfn.CHISQ.DIST.RT(V6,7)</f>
        <v>0.30397666220155189</v>
      </c>
    </row>
    <row r="8" spans="1:22" x14ac:dyDescent="0.35">
      <c r="A8" s="8">
        <v>78</v>
      </c>
      <c r="B8" s="8">
        <f t="shared" si="0"/>
        <v>1.8920946026904804</v>
      </c>
      <c r="C8" s="8">
        <v>3</v>
      </c>
      <c r="D8" s="8">
        <v>50</v>
      </c>
      <c r="E8" s="8">
        <v>32</v>
      </c>
      <c r="F8" s="8">
        <v>88</v>
      </c>
      <c r="G8" s="8">
        <v>31</v>
      </c>
      <c r="H8" s="8">
        <v>0.248</v>
      </c>
      <c r="I8" s="8">
        <v>26</v>
      </c>
      <c r="J8" s="1">
        <v>2.0064310256380926</v>
      </c>
      <c r="K8" s="1">
        <v>-0.11433642294761226</v>
      </c>
      <c r="L8">
        <f t="shared" si="1"/>
        <v>1.3072817612455274E-2</v>
      </c>
    </row>
    <row r="9" spans="1:22" ht="72.5" x14ac:dyDescent="0.35">
      <c r="A9" s="8">
        <v>115</v>
      </c>
      <c r="B9" s="8">
        <f t="shared" si="0"/>
        <v>2.0606978403536118</v>
      </c>
      <c r="C9" s="8">
        <v>10</v>
      </c>
      <c r="D9" s="8">
        <v>0</v>
      </c>
      <c r="E9" s="8">
        <v>0</v>
      </c>
      <c r="F9" s="8">
        <v>0</v>
      </c>
      <c r="G9" s="8">
        <v>35.299999999999997</v>
      </c>
      <c r="H9" s="8">
        <v>0.13400000000000001</v>
      </c>
      <c r="I9" s="8">
        <v>29</v>
      </c>
      <c r="J9" s="1">
        <v>2.0342962013353163</v>
      </c>
      <c r="K9" s="1">
        <v>2.6401639018295509E-2</v>
      </c>
      <c r="L9">
        <f t="shared" si="1"/>
        <v>6.9704654285238381E-4</v>
      </c>
      <c r="P9" t="s">
        <v>11</v>
      </c>
      <c r="U9" s="10" t="s">
        <v>49</v>
      </c>
    </row>
    <row r="10" spans="1:22" ht="15" thickBot="1" x14ac:dyDescent="0.4">
      <c r="A10" s="8">
        <v>197</v>
      </c>
      <c r="B10" s="8">
        <f t="shared" si="0"/>
        <v>2.2944662261615929</v>
      </c>
      <c r="C10" s="8">
        <v>2</v>
      </c>
      <c r="D10" s="8">
        <v>70</v>
      </c>
      <c r="E10" s="8">
        <v>45</v>
      </c>
      <c r="F10" s="8">
        <v>543</v>
      </c>
      <c r="G10" s="8">
        <v>30.5</v>
      </c>
      <c r="H10" s="8">
        <v>0.158</v>
      </c>
      <c r="I10" s="8">
        <v>53</v>
      </c>
      <c r="J10" s="1">
        <v>2.2523295445706606</v>
      </c>
      <c r="K10" s="1">
        <v>4.2136681590932312E-2</v>
      </c>
      <c r="L10">
        <f t="shared" si="1"/>
        <v>1.775499935495614E-3</v>
      </c>
    </row>
    <row r="11" spans="1:22" x14ac:dyDescent="0.35">
      <c r="A11" s="8">
        <v>125</v>
      </c>
      <c r="B11" s="8">
        <f t="shared" si="0"/>
        <v>2.0969100130080562</v>
      </c>
      <c r="C11" s="8">
        <v>8</v>
      </c>
      <c r="D11" s="8">
        <v>96</v>
      </c>
      <c r="E11" s="8">
        <v>0</v>
      </c>
      <c r="F11" s="8">
        <v>0</v>
      </c>
      <c r="G11" s="8">
        <v>0</v>
      </c>
      <c r="H11" s="8">
        <v>0.23200000000000001</v>
      </c>
      <c r="I11" s="8">
        <v>54</v>
      </c>
      <c r="J11" s="1">
        <v>2.0295867956218796</v>
      </c>
      <c r="K11" s="1">
        <v>6.7323217386176637E-2</v>
      </c>
      <c r="L11">
        <f t="shared" si="1"/>
        <v>4.5324155992263965E-3</v>
      </c>
      <c r="P11" s="4" t="s">
        <v>12</v>
      </c>
      <c r="Q11" s="4"/>
    </row>
    <row r="12" spans="1:22" x14ac:dyDescent="0.35">
      <c r="A12" s="8">
        <v>110</v>
      </c>
      <c r="B12" s="8">
        <f t="shared" si="0"/>
        <v>2.0413926851582249</v>
      </c>
      <c r="C12" s="8">
        <v>4</v>
      </c>
      <c r="D12" s="8">
        <v>92</v>
      </c>
      <c r="E12" s="8">
        <v>0</v>
      </c>
      <c r="F12" s="8">
        <v>0</v>
      </c>
      <c r="G12" s="8">
        <v>37.6</v>
      </c>
      <c r="H12" s="8">
        <v>0.191</v>
      </c>
      <c r="I12" s="8">
        <v>30</v>
      </c>
      <c r="J12" s="1">
        <v>2.0695354318092676</v>
      </c>
      <c r="K12" s="1">
        <v>-2.814274665104266E-2</v>
      </c>
      <c r="L12">
        <f t="shared" si="1"/>
        <v>7.9201418906477291E-4</v>
      </c>
      <c r="P12" s="1" t="s">
        <v>13</v>
      </c>
      <c r="Q12" s="1">
        <v>0.10417753703215056</v>
      </c>
    </row>
    <row r="13" spans="1:22" x14ac:dyDescent="0.35">
      <c r="A13" s="8">
        <v>168</v>
      </c>
      <c r="B13" s="8">
        <f t="shared" si="0"/>
        <v>2.2253092817258628</v>
      </c>
      <c r="C13" s="8">
        <v>10</v>
      </c>
      <c r="D13" s="8">
        <v>74</v>
      </c>
      <c r="E13" s="8">
        <v>0</v>
      </c>
      <c r="F13" s="8">
        <v>0</v>
      </c>
      <c r="G13" s="8">
        <v>38</v>
      </c>
      <c r="H13" s="8">
        <v>0.53700000000000003</v>
      </c>
      <c r="I13" s="8">
        <v>34</v>
      </c>
      <c r="J13" s="1">
        <v>2.0895340455103506</v>
      </c>
      <c r="K13" s="1">
        <v>0.13577523621551224</v>
      </c>
      <c r="L13">
        <f t="shared" si="1"/>
        <v>1.8434914769378148E-2</v>
      </c>
      <c r="P13" s="1" t="s">
        <v>14</v>
      </c>
      <c r="Q13" s="1">
        <v>1.0852959222085101E-2</v>
      </c>
    </row>
    <row r="14" spans="1:22" x14ac:dyDescent="0.35">
      <c r="A14" s="8">
        <v>139</v>
      </c>
      <c r="B14" s="8">
        <f t="shared" si="0"/>
        <v>2.143014800254095</v>
      </c>
      <c r="C14" s="8">
        <v>10</v>
      </c>
      <c r="D14" s="8">
        <v>80</v>
      </c>
      <c r="E14" s="8">
        <v>0</v>
      </c>
      <c r="F14" s="8">
        <v>0</v>
      </c>
      <c r="G14" s="8">
        <v>27.1</v>
      </c>
      <c r="H14" s="8">
        <v>1.4410000000000001</v>
      </c>
      <c r="I14" s="8">
        <v>57</v>
      </c>
      <c r="J14" s="1">
        <v>2.1413525327689875</v>
      </c>
      <c r="K14" s="1">
        <v>1.6622674851074493E-3</v>
      </c>
      <c r="L14">
        <f t="shared" si="1"/>
        <v>2.7631331920454441E-6</v>
      </c>
      <c r="P14" s="1" t="s">
        <v>15</v>
      </c>
      <c r="Q14" s="1">
        <v>1.7423943728148319E-3</v>
      </c>
    </row>
    <row r="15" spans="1:22" x14ac:dyDescent="0.35">
      <c r="A15" s="8">
        <v>189</v>
      </c>
      <c r="B15" s="8">
        <f t="shared" si="0"/>
        <v>2.2764618041732443</v>
      </c>
      <c r="C15" s="8">
        <v>1</v>
      </c>
      <c r="D15" s="8">
        <v>60</v>
      </c>
      <c r="E15" s="8">
        <v>23</v>
      </c>
      <c r="F15" s="8">
        <v>846</v>
      </c>
      <c r="G15" s="8">
        <v>30.1</v>
      </c>
      <c r="H15" s="8">
        <v>0.39800000000000002</v>
      </c>
      <c r="I15" s="8">
        <v>59</v>
      </c>
      <c r="J15" s="1">
        <v>2.4482948070576818</v>
      </c>
      <c r="K15" s="1">
        <v>-0.17183300288443748</v>
      </c>
      <c r="L15">
        <f t="shared" si="1"/>
        <v>2.95265808802831E-2</v>
      </c>
      <c r="P15" s="1" t="s">
        <v>16</v>
      </c>
      <c r="Q15" s="1">
        <v>0.31951663323831497</v>
      </c>
    </row>
    <row r="16" spans="1:22" ht="15" thickBot="1" x14ac:dyDescent="0.4">
      <c r="A16" s="8">
        <v>166</v>
      </c>
      <c r="B16" s="8">
        <f t="shared" si="0"/>
        <v>2.220108088040055</v>
      </c>
      <c r="C16" s="8">
        <v>5</v>
      </c>
      <c r="D16" s="8">
        <v>72</v>
      </c>
      <c r="E16" s="8">
        <v>19</v>
      </c>
      <c r="F16" s="8">
        <v>175</v>
      </c>
      <c r="G16" s="8">
        <v>25.8</v>
      </c>
      <c r="H16" s="8">
        <v>0.58699999999999997</v>
      </c>
      <c r="I16" s="8">
        <v>51</v>
      </c>
      <c r="J16" s="1">
        <v>2.1343565178684867</v>
      </c>
      <c r="K16" s="1">
        <v>8.5751570171568314E-2</v>
      </c>
      <c r="L16">
        <f t="shared" si="1"/>
        <v>7.3533317868894046E-3</v>
      </c>
      <c r="P16" s="2" t="s">
        <v>17</v>
      </c>
      <c r="Q16" s="2">
        <v>768</v>
      </c>
    </row>
    <row r="17" spans="1:24" x14ac:dyDescent="0.35">
      <c r="A17" s="8">
        <v>100</v>
      </c>
      <c r="B17" s="8">
        <f t="shared" si="0"/>
        <v>2</v>
      </c>
      <c r="C17" s="8">
        <v>7</v>
      </c>
      <c r="D17" s="8">
        <v>0</v>
      </c>
      <c r="E17" s="8">
        <v>0</v>
      </c>
      <c r="F17" s="8">
        <v>0</v>
      </c>
      <c r="G17" s="8">
        <v>30</v>
      </c>
      <c r="H17" s="8">
        <v>0.48399999999999999</v>
      </c>
      <c r="I17" s="8">
        <v>32</v>
      </c>
      <c r="J17" s="1">
        <v>2.0340380245211662</v>
      </c>
      <c r="K17" s="1">
        <v>-3.4038024521166221E-2</v>
      </c>
      <c r="L17">
        <f t="shared" si="1"/>
        <v>1.158587113303513E-3</v>
      </c>
    </row>
    <row r="18" spans="1:24" ht="15" thickBot="1" x14ac:dyDescent="0.4">
      <c r="A18" s="8">
        <v>118</v>
      </c>
      <c r="B18" s="8">
        <f t="shared" si="0"/>
        <v>2.0718820073061255</v>
      </c>
      <c r="C18" s="8">
        <v>0</v>
      </c>
      <c r="D18" s="8">
        <v>84</v>
      </c>
      <c r="E18" s="8">
        <v>47</v>
      </c>
      <c r="F18" s="8">
        <v>230</v>
      </c>
      <c r="G18" s="8">
        <v>45.8</v>
      </c>
      <c r="H18" s="8">
        <v>0.55100000000000005</v>
      </c>
      <c r="I18" s="8">
        <v>31</v>
      </c>
      <c r="J18" s="1">
        <v>2.1106622127590269</v>
      </c>
      <c r="K18" s="1">
        <v>-3.8780205452901395E-2</v>
      </c>
      <c r="L18">
        <f t="shared" si="1"/>
        <v>1.503904334969243E-3</v>
      </c>
      <c r="P18" t="s">
        <v>18</v>
      </c>
    </row>
    <row r="19" spans="1:24" x14ac:dyDescent="0.35">
      <c r="A19" s="8">
        <v>107</v>
      </c>
      <c r="B19" s="8">
        <f t="shared" si="0"/>
        <v>2.0293837776852097</v>
      </c>
      <c r="C19" s="8">
        <v>7</v>
      </c>
      <c r="D19" s="8">
        <v>74</v>
      </c>
      <c r="E19" s="8">
        <v>0</v>
      </c>
      <c r="F19" s="8">
        <v>0</v>
      </c>
      <c r="G19" s="8">
        <v>29.6</v>
      </c>
      <c r="H19" s="8">
        <v>0.254</v>
      </c>
      <c r="I19" s="8">
        <v>31</v>
      </c>
      <c r="J19" s="1">
        <v>2.0487701509477967</v>
      </c>
      <c r="K19" s="1">
        <v>-1.9386373262586964E-2</v>
      </c>
      <c r="L19">
        <f t="shared" si="1"/>
        <v>3.7583146827634676E-4</v>
      </c>
      <c r="P19" s="3"/>
      <c r="Q19" s="3" t="s">
        <v>22</v>
      </c>
      <c r="R19" s="3" t="s">
        <v>23</v>
      </c>
      <c r="S19" s="3" t="s">
        <v>24</v>
      </c>
      <c r="T19" s="3" t="s">
        <v>25</v>
      </c>
      <c r="U19" s="3" t="s">
        <v>26</v>
      </c>
    </row>
    <row r="20" spans="1:24" x14ac:dyDescent="0.35">
      <c r="A20" s="8">
        <v>103</v>
      </c>
      <c r="B20" s="8">
        <f t="shared" si="0"/>
        <v>2.012837224705172</v>
      </c>
      <c r="C20" s="8">
        <v>1</v>
      </c>
      <c r="D20" s="8">
        <v>30</v>
      </c>
      <c r="E20" s="8">
        <v>38</v>
      </c>
      <c r="F20" s="8">
        <v>83</v>
      </c>
      <c r="G20" s="8">
        <v>43.3</v>
      </c>
      <c r="H20" s="8">
        <v>0.183</v>
      </c>
      <c r="I20" s="8">
        <v>33</v>
      </c>
      <c r="J20" s="1">
        <v>2.0317318192354596</v>
      </c>
      <c r="K20" s="1">
        <v>-1.8894594530287634E-2</v>
      </c>
      <c r="L20">
        <f t="shared" si="1"/>
        <v>3.5700570246397536E-4</v>
      </c>
      <c r="P20" s="1" t="s">
        <v>19</v>
      </c>
      <c r="Q20" s="1">
        <v>7</v>
      </c>
      <c r="R20" s="1">
        <v>0.85131022599246364</v>
      </c>
      <c r="S20" s="1">
        <v>0.12161574657035194</v>
      </c>
      <c r="T20" s="1">
        <v>1.1912498732671215</v>
      </c>
      <c r="U20" s="1">
        <v>0.30517733913655531</v>
      </c>
    </row>
    <row r="21" spans="1:24" x14ac:dyDescent="0.35">
      <c r="A21" s="8">
        <v>115</v>
      </c>
      <c r="B21" s="8">
        <f t="shared" si="0"/>
        <v>2.0606978403536118</v>
      </c>
      <c r="C21" s="8">
        <v>1</v>
      </c>
      <c r="D21" s="8">
        <v>70</v>
      </c>
      <c r="E21" s="8">
        <v>30</v>
      </c>
      <c r="F21" s="8">
        <v>96</v>
      </c>
      <c r="G21" s="8">
        <v>34.6</v>
      </c>
      <c r="H21" s="8">
        <v>0.52900000000000003</v>
      </c>
      <c r="I21" s="8">
        <v>32</v>
      </c>
      <c r="J21" s="1">
        <v>2.0505409938931622</v>
      </c>
      <c r="K21" s="1">
        <v>1.0156846460449565E-2</v>
      </c>
      <c r="L21">
        <f t="shared" si="1"/>
        <v>1.0316153002114684E-4</v>
      </c>
      <c r="P21" s="1" t="s">
        <v>10</v>
      </c>
      <c r="Q21" s="1">
        <v>760</v>
      </c>
      <c r="R21" s="1">
        <v>77.589067976120376</v>
      </c>
      <c r="S21" s="1">
        <v>0.10209087891594787</v>
      </c>
      <c r="T21" s="1"/>
      <c r="U21" s="1"/>
    </row>
    <row r="22" spans="1:24" ht="15" thickBot="1" x14ac:dyDescent="0.4">
      <c r="A22" s="8">
        <v>126</v>
      </c>
      <c r="B22" s="8">
        <f t="shared" si="0"/>
        <v>2.1003705451175629</v>
      </c>
      <c r="C22" s="8">
        <v>3</v>
      </c>
      <c r="D22" s="8">
        <v>88</v>
      </c>
      <c r="E22" s="8">
        <v>41</v>
      </c>
      <c r="F22" s="8">
        <v>235</v>
      </c>
      <c r="G22" s="8">
        <v>39.299999999999997</v>
      </c>
      <c r="H22" s="8">
        <v>0.70399999999999996</v>
      </c>
      <c r="I22" s="8">
        <v>27</v>
      </c>
      <c r="J22" s="1">
        <v>2.1062320565073533</v>
      </c>
      <c r="K22" s="1">
        <v>-5.8615113897904081E-3</v>
      </c>
      <c r="L22">
        <f t="shared" si="1"/>
        <v>3.4357315772642683E-5</v>
      </c>
      <c r="P22" s="2" t="s">
        <v>20</v>
      </c>
      <c r="Q22" s="2">
        <v>767</v>
      </c>
      <c r="R22" s="2">
        <v>78.440378202112839</v>
      </c>
      <c r="S22" s="2"/>
      <c r="T22" s="2"/>
      <c r="U22" s="2"/>
    </row>
    <row r="23" spans="1:24" ht="15" thickBot="1" x14ac:dyDescent="0.4">
      <c r="A23" s="8">
        <v>99</v>
      </c>
      <c r="B23" s="8">
        <f t="shared" si="0"/>
        <v>1.9956351945975499</v>
      </c>
      <c r="C23" s="8">
        <v>8</v>
      </c>
      <c r="D23" s="8">
        <v>84</v>
      </c>
      <c r="E23" s="8">
        <v>0</v>
      </c>
      <c r="F23" s="8">
        <v>0</v>
      </c>
      <c r="G23" s="8">
        <v>35.4</v>
      </c>
      <c r="H23" s="8">
        <v>0.38800000000000001</v>
      </c>
      <c r="I23" s="8">
        <v>50</v>
      </c>
      <c r="J23" s="1">
        <v>2.1169128408863003</v>
      </c>
      <c r="K23" s="1">
        <v>-0.12127764628875037</v>
      </c>
      <c r="L23">
        <f t="shared" si="1"/>
        <v>1.4708267489339247E-2</v>
      </c>
    </row>
    <row r="24" spans="1:24" x14ac:dyDescent="0.35">
      <c r="A24" s="8">
        <v>196</v>
      </c>
      <c r="B24" s="8">
        <f t="shared" si="0"/>
        <v>2.2922560713564759</v>
      </c>
      <c r="C24" s="8">
        <v>7</v>
      </c>
      <c r="D24" s="8">
        <v>90</v>
      </c>
      <c r="E24" s="8">
        <v>0</v>
      </c>
      <c r="F24" s="8">
        <v>0</v>
      </c>
      <c r="G24" s="8">
        <v>39.799999999999997</v>
      </c>
      <c r="H24" s="8">
        <v>0.45100000000000001</v>
      </c>
      <c r="I24" s="8">
        <v>41</v>
      </c>
      <c r="J24" s="1">
        <v>2.1107603006116813</v>
      </c>
      <c r="K24" s="1">
        <v>0.18149577074479462</v>
      </c>
      <c r="L24">
        <f t="shared" si="1"/>
        <v>3.2940714798247048E-2</v>
      </c>
      <c r="P24" s="3"/>
      <c r="Q24" s="3" t="s">
        <v>27</v>
      </c>
      <c r="R24" s="3" t="s">
        <v>16</v>
      </c>
      <c r="S24" s="3" t="s">
        <v>28</v>
      </c>
      <c r="T24" s="3" t="s">
        <v>29</v>
      </c>
      <c r="U24" s="3" t="s">
        <v>30</v>
      </c>
      <c r="V24" s="3" t="s">
        <v>31</v>
      </c>
      <c r="W24" s="3" t="s">
        <v>32</v>
      </c>
      <c r="X24" s="3" t="s">
        <v>33</v>
      </c>
    </row>
    <row r="25" spans="1:24" x14ac:dyDescent="0.35">
      <c r="A25" s="8">
        <v>119</v>
      </c>
      <c r="B25" s="8">
        <f t="shared" si="0"/>
        <v>2.0755469613925306</v>
      </c>
      <c r="C25" s="8">
        <v>9</v>
      </c>
      <c r="D25" s="8">
        <v>80</v>
      </c>
      <c r="E25" s="8">
        <v>35</v>
      </c>
      <c r="F25" s="8">
        <v>0</v>
      </c>
      <c r="G25" s="8">
        <v>29</v>
      </c>
      <c r="H25" s="8">
        <v>0.26300000000000001</v>
      </c>
      <c r="I25" s="8">
        <v>29</v>
      </c>
      <c r="J25" s="1">
        <v>1.9783412003559468</v>
      </c>
      <c r="K25" s="1">
        <v>9.7205761036583738E-2</v>
      </c>
      <c r="L25">
        <f t="shared" si="1"/>
        <v>9.4489599787014218E-3</v>
      </c>
      <c r="P25" s="1" t="s">
        <v>21</v>
      </c>
      <c r="Q25" s="1">
        <v>4.7379527932233829E-2</v>
      </c>
      <c r="R25" s="1">
        <v>6.2575957548719197E-2</v>
      </c>
      <c r="S25" s="1">
        <v>0.75715226403600744</v>
      </c>
      <c r="T25" s="1">
        <v>0.44919331362342818</v>
      </c>
      <c r="U25" s="1">
        <v>-7.5462726498717464E-2</v>
      </c>
      <c r="V25" s="1">
        <v>0.17022178236318511</v>
      </c>
      <c r="W25" s="1">
        <v>-7.5462726498717464E-2</v>
      </c>
      <c r="X25" s="1">
        <v>0.17022178236318511</v>
      </c>
    </row>
    <row r="26" spans="1:24" x14ac:dyDescent="0.35">
      <c r="A26" s="8">
        <v>143</v>
      </c>
      <c r="B26" s="8">
        <f t="shared" si="0"/>
        <v>2.1553360374650619</v>
      </c>
      <c r="C26" s="8">
        <v>11</v>
      </c>
      <c r="D26" s="8">
        <v>94</v>
      </c>
      <c r="E26" s="8">
        <v>33</v>
      </c>
      <c r="F26" s="8">
        <v>146</v>
      </c>
      <c r="G26" s="8">
        <v>36.6</v>
      </c>
      <c r="H26" s="8">
        <v>0.254</v>
      </c>
      <c r="I26" s="8">
        <v>51</v>
      </c>
      <c r="J26" s="1">
        <v>2.1267518121092861</v>
      </c>
      <c r="K26" s="1">
        <v>2.8584225355775761E-2</v>
      </c>
      <c r="L26">
        <f t="shared" si="1"/>
        <v>8.1705793918977396E-4</v>
      </c>
      <c r="P26" s="1" t="s">
        <v>0</v>
      </c>
      <c r="Q26" s="1">
        <v>-1.5867220455978506E-3</v>
      </c>
      <c r="R26" s="1">
        <v>4.0955579876096873E-3</v>
      </c>
      <c r="S26" s="1">
        <v>-0.38742512019074543</v>
      </c>
      <c r="T26" s="1">
        <v>0.69854998117468847</v>
      </c>
      <c r="U26" s="1">
        <v>-9.626672148781875E-3</v>
      </c>
      <c r="V26" s="1">
        <v>6.4532280575861738E-3</v>
      </c>
      <c r="W26" s="1">
        <v>-9.626672148781875E-3</v>
      </c>
      <c r="X26" s="1">
        <v>6.4532280575861738E-3</v>
      </c>
    </row>
    <row r="27" spans="1:24" x14ac:dyDescent="0.35">
      <c r="A27" s="8">
        <v>125</v>
      </c>
      <c r="B27" s="8">
        <f t="shared" si="0"/>
        <v>2.0969100130080562</v>
      </c>
      <c r="C27" s="8">
        <v>10</v>
      </c>
      <c r="D27" s="8">
        <v>70</v>
      </c>
      <c r="E27" s="8">
        <v>26</v>
      </c>
      <c r="F27" s="8">
        <v>115</v>
      </c>
      <c r="G27" s="8">
        <v>31.1</v>
      </c>
      <c r="H27" s="8">
        <v>0.20499999999999999</v>
      </c>
      <c r="I27" s="8">
        <v>41</v>
      </c>
      <c r="J27" s="1">
        <v>2.077727466757866</v>
      </c>
      <c r="K27" s="1">
        <v>1.9182546250190224E-2</v>
      </c>
      <c r="L27">
        <f t="shared" si="1"/>
        <v>3.6797008064068701E-4</v>
      </c>
      <c r="P27" s="1" t="s">
        <v>1</v>
      </c>
      <c r="Q27" s="1">
        <v>-1.6721402701924221E-4</v>
      </c>
      <c r="R27" s="1">
        <v>6.4734924116568527E-4</v>
      </c>
      <c r="S27" s="1">
        <v>-0.25830574346258445</v>
      </c>
      <c r="T27" s="1">
        <v>0.7962408879512145</v>
      </c>
      <c r="U27" s="1">
        <v>-1.4380190343105132E-3</v>
      </c>
      <c r="V27" s="1">
        <v>1.1035909802720287E-3</v>
      </c>
      <c r="W27" s="1">
        <v>-1.4380190343105132E-3</v>
      </c>
      <c r="X27" s="1">
        <v>1.1035909802720287E-3</v>
      </c>
    </row>
    <row r="28" spans="1:24" x14ac:dyDescent="0.35">
      <c r="A28" s="8">
        <v>147</v>
      </c>
      <c r="B28" s="8">
        <f t="shared" si="0"/>
        <v>2.167317334748176</v>
      </c>
      <c r="C28" s="8">
        <v>7</v>
      </c>
      <c r="D28" s="8">
        <v>76</v>
      </c>
      <c r="E28" s="8">
        <v>0</v>
      </c>
      <c r="F28" s="8">
        <v>0</v>
      </c>
      <c r="G28" s="8">
        <v>39.4</v>
      </c>
      <c r="H28" s="8">
        <v>0.25700000000000001</v>
      </c>
      <c r="I28" s="8">
        <v>43</v>
      </c>
      <c r="J28" s="1">
        <v>2.1041045198857997</v>
      </c>
      <c r="K28" s="1">
        <v>6.3212814862376288E-2</v>
      </c>
      <c r="L28">
        <f t="shared" si="1"/>
        <v>3.9958599628250602E-3</v>
      </c>
      <c r="P28" s="1" t="s">
        <v>2</v>
      </c>
      <c r="Q28" s="1">
        <v>1.8518813983896087E-3</v>
      </c>
      <c r="R28" s="1">
        <v>8.7725577459100946E-4</v>
      </c>
      <c r="S28" s="1">
        <v>2.1109936828321083</v>
      </c>
      <c r="T28" s="1">
        <v>3.5098855719184766E-2</v>
      </c>
      <c r="U28" s="1">
        <v>1.2974910853325071E-4</v>
      </c>
      <c r="V28" s="1">
        <v>3.5740136882459667E-3</v>
      </c>
      <c r="W28" s="1">
        <v>1.2974910853325071E-4</v>
      </c>
      <c r="X28" s="1">
        <v>3.5740136882459667E-3</v>
      </c>
    </row>
    <row r="29" spans="1:24" x14ac:dyDescent="0.35">
      <c r="A29" s="8">
        <v>97</v>
      </c>
      <c r="B29" s="8">
        <f t="shared" si="0"/>
        <v>1.9867717342662448</v>
      </c>
      <c r="C29" s="8">
        <v>1</v>
      </c>
      <c r="D29" s="8">
        <v>66</v>
      </c>
      <c r="E29" s="8">
        <v>15</v>
      </c>
      <c r="F29" s="8">
        <v>140</v>
      </c>
      <c r="G29" s="8">
        <v>23.2</v>
      </c>
      <c r="H29" s="8">
        <v>0.48699999999999999</v>
      </c>
      <c r="I29" s="8">
        <v>22</v>
      </c>
      <c r="J29" s="1">
        <v>2.0429849895778851</v>
      </c>
      <c r="K29" s="1">
        <v>-5.6213255311640342E-2</v>
      </c>
      <c r="L29">
        <f t="shared" si="1"/>
        <v>3.159930072731661E-3</v>
      </c>
      <c r="P29" s="1" t="s">
        <v>3</v>
      </c>
      <c r="Q29" s="1">
        <v>-2.6384543056299972E-4</v>
      </c>
      <c r="R29" s="1">
        <v>1.1224620665938253E-4</v>
      </c>
      <c r="S29" s="1">
        <v>-2.3505955204673743</v>
      </c>
      <c r="T29" s="1">
        <v>1.8998074564986565E-2</v>
      </c>
      <c r="U29" s="1">
        <v>-4.8419486855003747E-4</v>
      </c>
      <c r="V29" s="1">
        <v>-4.3495992575961963E-5</v>
      </c>
      <c r="W29" s="1">
        <v>-4.8419486855003747E-4</v>
      </c>
      <c r="X29" s="1">
        <v>-4.3495992575961963E-5</v>
      </c>
    </row>
    <row r="30" spans="1:24" x14ac:dyDescent="0.35">
      <c r="A30" s="8">
        <v>145</v>
      </c>
      <c r="B30" s="8">
        <f t="shared" si="0"/>
        <v>2.1613680022349748</v>
      </c>
      <c r="C30" s="8">
        <v>13</v>
      </c>
      <c r="D30" s="8">
        <v>82</v>
      </c>
      <c r="E30" s="8">
        <v>19</v>
      </c>
      <c r="F30" s="8">
        <v>110</v>
      </c>
      <c r="G30" s="8">
        <v>22.2</v>
      </c>
      <c r="H30" s="8">
        <v>0.245</v>
      </c>
      <c r="I30" s="8">
        <v>57</v>
      </c>
      <c r="J30" s="1">
        <v>2.1102135265860591</v>
      </c>
      <c r="K30" s="1">
        <v>5.1154475648915732E-2</v>
      </c>
      <c r="L30">
        <f t="shared" si="1"/>
        <v>2.6167803789155127E-3</v>
      </c>
      <c r="P30" s="1" t="s">
        <v>4</v>
      </c>
      <c r="Q30" s="1">
        <v>9.7976994121928195E-5</v>
      </c>
      <c r="R30" s="1">
        <v>1.6379978232559712E-3</v>
      </c>
      <c r="S30" s="1">
        <v>5.9815094214943444E-2</v>
      </c>
      <c r="T30" s="1">
        <v>0.95231862826060898</v>
      </c>
      <c r="U30" s="1">
        <v>-3.1175606219840018E-3</v>
      </c>
      <c r="V30" s="1">
        <v>3.3135146102278579E-3</v>
      </c>
      <c r="W30" s="1">
        <v>-3.1175606219840018E-3</v>
      </c>
      <c r="X30" s="1">
        <v>3.3135146102278579E-3</v>
      </c>
    </row>
    <row r="31" spans="1:24" x14ac:dyDescent="0.35">
      <c r="A31" s="8">
        <v>117</v>
      </c>
      <c r="B31" s="8">
        <f t="shared" si="0"/>
        <v>2.0681858617461617</v>
      </c>
      <c r="C31" s="8">
        <v>5</v>
      </c>
      <c r="D31" s="8">
        <v>92</v>
      </c>
      <c r="E31" s="8">
        <v>0</v>
      </c>
      <c r="F31" s="8">
        <v>0</v>
      </c>
      <c r="G31" s="8">
        <v>34.1</v>
      </c>
      <c r="H31" s="8">
        <v>0.33700000000000002</v>
      </c>
      <c r="I31" s="8">
        <v>38</v>
      </c>
      <c r="J31" s="1">
        <v>2.0837874873718811</v>
      </c>
      <c r="K31" s="1">
        <v>-1.5601625625719429E-2</v>
      </c>
      <c r="L31">
        <f t="shared" si="1"/>
        <v>2.4341072216510514E-4</v>
      </c>
      <c r="P31" s="1" t="s">
        <v>5</v>
      </c>
      <c r="Q31" s="1">
        <v>-1.8597519242258966E-2</v>
      </c>
      <c r="R31" s="1">
        <v>3.5875821534554722E-2</v>
      </c>
      <c r="S31" s="1">
        <v>-0.51838587791909618</v>
      </c>
      <c r="T31" s="1">
        <v>0.60433995011099551</v>
      </c>
      <c r="U31" s="1">
        <v>-8.902499601616215E-2</v>
      </c>
      <c r="V31" s="1">
        <v>5.1829957531644211E-2</v>
      </c>
      <c r="W31" s="1">
        <v>-8.902499601616215E-2</v>
      </c>
      <c r="X31" s="1">
        <v>5.1829957531644211E-2</v>
      </c>
    </row>
    <row r="32" spans="1:24" ht="15" thickBot="1" x14ac:dyDescent="0.4">
      <c r="A32" s="8">
        <v>109</v>
      </c>
      <c r="B32" s="8">
        <f t="shared" si="0"/>
        <v>2.0374264979406238</v>
      </c>
      <c r="C32" s="8">
        <v>5</v>
      </c>
      <c r="D32" s="8">
        <v>75</v>
      </c>
      <c r="E32" s="8">
        <v>26</v>
      </c>
      <c r="F32" s="8">
        <v>0</v>
      </c>
      <c r="G32" s="8">
        <v>36</v>
      </c>
      <c r="H32" s="8">
        <v>0.54600000000000004</v>
      </c>
      <c r="I32" s="8">
        <v>60</v>
      </c>
      <c r="J32" s="1">
        <v>2.0897498876064957</v>
      </c>
      <c r="K32" s="1">
        <v>-5.2323389665871911E-2</v>
      </c>
      <c r="L32">
        <f t="shared" si="1"/>
        <v>2.7377371061266713E-3</v>
      </c>
      <c r="P32" s="2" t="s">
        <v>6</v>
      </c>
      <c r="Q32" s="2">
        <v>-1.6864255054222264E-4</v>
      </c>
      <c r="R32" s="2">
        <v>1.2075759090975724E-3</v>
      </c>
      <c r="S32" s="2">
        <v>-0.13965378844651685</v>
      </c>
      <c r="T32" s="2">
        <v>0.88897053983589336</v>
      </c>
      <c r="U32" s="2">
        <v>-2.5392230878765257E-3</v>
      </c>
      <c r="V32" s="2">
        <v>2.2019379867920805E-3</v>
      </c>
      <c r="W32" s="2">
        <v>-2.5392230878765257E-3</v>
      </c>
      <c r="X32" s="2">
        <v>2.2019379867920805E-3</v>
      </c>
    </row>
    <row r="33" spans="1:18" x14ac:dyDescent="0.35">
      <c r="A33" s="8">
        <v>158</v>
      </c>
      <c r="B33" s="8">
        <f t="shared" si="0"/>
        <v>2.1986570869544226</v>
      </c>
      <c r="C33" s="8">
        <v>3</v>
      </c>
      <c r="D33" s="8">
        <v>76</v>
      </c>
      <c r="E33" s="8">
        <v>36</v>
      </c>
      <c r="F33" s="8">
        <v>245</v>
      </c>
      <c r="G33" s="8">
        <v>31.6</v>
      </c>
      <c r="H33" s="8">
        <v>0.85099999999999998</v>
      </c>
      <c r="I33" s="8">
        <v>28</v>
      </c>
      <c r="J33" s="1">
        <v>2.1021318435914069</v>
      </c>
      <c r="K33" s="1">
        <v>9.6525243363015711E-2</v>
      </c>
      <c r="L33">
        <f t="shared" si="1"/>
        <v>9.3171226062894082E-3</v>
      </c>
    </row>
    <row r="34" spans="1:18" x14ac:dyDescent="0.35">
      <c r="A34" s="8">
        <v>88</v>
      </c>
      <c r="B34" s="8">
        <f t="shared" si="0"/>
        <v>1.9444826721501687</v>
      </c>
      <c r="C34" s="8">
        <v>3</v>
      </c>
      <c r="D34" s="8">
        <v>58</v>
      </c>
      <c r="E34" s="8">
        <v>11</v>
      </c>
      <c r="F34" s="8">
        <v>54</v>
      </c>
      <c r="G34" s="8">
        <v>24.8</v>
      </c>
      <c r="H34" s="8">
        <v>0.26700000000000002</v>
      </c>
      <c r="I34" s="8">
        <v>22</v>
      </c>
      <c r="J34" s="1">
        <v>2.0090307786790458</v>
      </c>
      <c r="K34" s="1">
        <v>-6.4548106528877103E-2</v>
      </c>
      <c r="L34">
        <f t="shared" si="1"/>
        <v>4.1664580564632668E-3</v>
      </c>
    </row>
    <row r="35" spans="1:18" x14ac:dyDescent="0.35">
      <c r="A35" s="8">
        <v>92</v>
      </c>
      <c r="B35" s="8">
        <f t="shared" si="0"/>
        <v>1.9637878273455553</v>
      </c>
      <c r="C35" s="8">
        <v>6</v>
      </c>
      <c r="D35" s="8">
        <v>92</v>
      </c>
      <c r="E35" s="8">
        <v>0</v>
      </c>
      <c r="F35" s="8">
        <v>0</v>
      </c>
      <c r="G35" s="8">
        <v>19.899999999999999</v>
      </c>
      <c r="H35" s="8">
        <v>0.188</v>
      </c>
      <c r="I35" s="8">
        <v>28</v>
      </c>
      <c r="J35" s="1">
        <v>2.0185998437475372</v>
      </c>
      <c r="K35" s="1">
        <v>-5.4812016401981856E-2</v>
      </c>
      <c r="L35">
        <f t="shared" si="1"/>
        <v>3.0043571420511278E-3</v>
      </c>
    </row>
    <row r="36" spans="1:18" x14ac:dyDescent="0.35">
      <c r="A36" s="8">
        <v>122</v>
      </c>
      <c r="B36" s="8">
        <f t="shared" si="0"/>
        <v>2.0863598306747484</v>
      </c>
      <c r="C36" s="8">
        <v>10</v>
      </c>
      <c r="D36" s="8">
        <v>78</v>
      </c>
      <c r="E36" s="8">
        <v>31</v>
      </c>
      <c r="F36" s="8">
        <v>0</v>
      </c>
      <c r="G36" s="8">
        <v>27.6</v>
      </c>
      <c r="H36" s="8">
        <v>0.51200000000000001</v>
      </c>
      <c r="I36" s="8">
        <v>45</v>
      </c>
      <c r="J36" s="1">
        <v>2.0270180287142838</v>
      </c>
      <c r="K36" s="1">
        <v>5.9341801960464569E-2</v>
      </c>
      <c r="L36">
        <f t="shared" si="1"/>
        <v>3.5214494599149966E-3</v>
      </c>
      <c r="P36" t="s">
        <v>34</v>
      </c>
    </row>
    <row r="37" spans="1:18" ht="15" thickBot="1" x14ac:dyDescent="0.4">
      <c r="A37" s="8">
        <v>103</v>
      </c>
      <c r="B37" s="8">
        <f t="shared" si="0"/>
        <v>2.012837224705172</v>
      </c>
      <c r="C37" s="8">
        <v>4</v>
      </c>
      <c r="D37" s="8">
        <v>60</v>
      </c>
      <c r="E37" s="8">
        <v>33</v>
      </c>
      <c r="F37" s="8">
        <v>192</v>
      </c>
      <c r="G37" s="8">
        <v>24</v>
      </c>
      <c r="H37" s="8">
        <v>0.96599999999999997</v>
      </c>
      <c r="I37" s="8">
        <v>33</v>
      </c>
      <c r="J37" s="1">
        <v>2.0738137116121971</v>
      </c>
      <c r="K37" s="1">
        <v>-6.0976486907025063E-2</v>
      </c>
      <c r="L37">
        <f t="shared" si="1"/>
        <v>3.7181319555225989E-3</v>
      </c>
    </row>
    <row r="38" spans="1:18" x14ac:dyDescent="0.35">
      <c r="A38" s="8">
        <v>138</v>
      </c>
      <c r="B38" s="8">
        <f t="shared" si="0"/>
        <v>2.1398790864012365</v>
      </c>
      <c r="C38" s="8">
        <v>11</v>
      </c>
      <c r="D38" s="8">
        <v>76</v>
      </c>
      <c r="E38" s="8">
        <v>0</v>
      </c>
      <c r="F38" s="8">
        <v>0</v>
      </c>
      <c r="G38" s="8">
        <v>33.200000000000003</v>
      </c>
      <c r="H38" s="8">
        <v>0.42</v>
      </c>
      <c r="I38" s="8">
        <v>35</v>
      </c>
      <c r="J38" s="1">
        <v>2.0770941344331892</v>
      </c>
      <c r="K38" s="1">
        <v>6.2784951968047231E-2</v>
      </c>
      <c r="L38">
        <f t="shared" si="1"/>
        <v>3.9419501936299979E-3</v>
      </c>
      <c r="P38" s="3" t="s">
        <v>35</v>
      </c>
      <c r="Q38" s="3" t="s">
        <v>38</v>
      </c>
      <c r="R38" s="3" t="s">
        <v>37</v>
      </c>
    </row>
    <row r="39" spans="1:18" x14ac:dyDescent="0.35">
      <c r="A39" s="8">
        <v>102</v>
      </c>
      <c r="B39" s="8">
        <f t="shared" si="0"/>
        <v>2.0086001717619175</v>
      </c>
      <c r="C39" s="8">
        <v>9</v>
      </c>
      <c r="D39" s="8">
        <v>76</v>
      </c>
      <c r="E39" s="8">
        <v>37</v>
      </c>
      <c r="F39" s="8">
        <v>0</v>
      </c>
      <c r="G39" s="8">
        <v>32.9</v>
      </c>
      <c r="H39" s="8">
        <v>0.66500000000000004</v>
      </c>
      <c r="I39" s="8">
        <v>46</v>
      </c>
      <c r="J39" s="1">
        <v>2.0347951725539901</v>
      </c>
      <c r="K39" s="1">
        <v>-2.6195000792072598E-2</v>
      </c>
      <c r="L39">
        <f t="shared" si="1"/>
        <v>6.8617806649668399E-4</v>
      </c>
      <c r="P39" s="1">
        <v>1</v>
      </c>
      <c r="Q39" s="1">
        <v>7.383488956738686E-2</v>
      </c>
      <c r="R39" s="1">
        <v>-5.8053530567058524E-2</v>
      </c>
    </row>
    <row r="40" spans="1:18" x14ac:dyDescent="0.35">
      <c r="A40" s="8">
        <v>90</v>
      </c>
      <c r="B40" s="8">
        <f t="shared" si="0"/>
        <v>1.954242509439325</v>
      </c>
      <c r="C40" s="8">
        <v>2</v>
      </c>
      <c r="D40" s="8">
        <v>68</v>
      </c>
      <c r="E40" s="8">
        <v>42</v>
      </c>
      <c r="F40" s="8">
        <v>0</v>
      </c>
      <c r="G40" s="8">
        <v>38.200000000000003</v>
      </c>
      <c r="H40" s="8">
        <v>0.503</v>
      </c>
      <c r="I40" s="8">
        <v>27</v>
      </c>
      <c r="J40" s="1">
        <v>1.9812110165485328</v>
      </c>
      <c r="K40" s="1">
        <v>-2.696850710920784E-2</v>
      </c>
      <c r="L40">
        <f t="shared" si="1"/>
        <v>7.2730037569939375E-4</v>
      </c>
      <c r="P40" s="1">
        <v>2</v>
      </c>
      <c r="Q40" s="1">
        <v>7.9311780379466137E-2</v>
      </c>
      <c r="R40" s="1">
        <v>-7.6911582247300478E-2</v>
      </c>
    </row>
    <row r="41" spans="1:18" x14ac:dyDescent="0.35">
      <c r="A41" s="8">
        <v>111</v>
      </c>
      <c r="B41" s="8">
        <f t="shared" si="0"/>
        <v>2.0453229787866576</v>
      </c>
      <c r="C41" s="8">
        <v>4</v>
      </c>
      <c r="D41" s="8">
        <v>72</v>
      </c>
      <c r="E41" s="8">
        <v>47</v>
      </c>
      <c r="F41" s="8">
        <v>207</v>
      </c>
      <c r="G41" s="8">
        <v>37.1</v>
      </c>
      <c r="H41" s="8">
        <v>1.39</v>
      </c>
      <c r="I41" s="8">
        <v>56</v>
      </c>
      <c r="J41" s="1">
        <v>2.1586087295945817</v>
      </c>
      <c r="K41" s="1">
        <v>-0.11328575080792413</v>
      </c>
      <c r="L41">
        <f t="shared" si="1"/>
        <v>1.2833661336115083E-2</v>
      </c>
      <c r="P41" s="1">
        <v>3</v>
      </c>
      <c r="Q41" s="1">
        <v>8.3728232531113007E-3</v>
      </c>
      <c r="R41" s="1">
        <v>3.9545769594892685E-2</v>
      </c>
    </row>
    <row r="42" spans="1:18" x14ac:dyDescent="0.35">
      <c r="A42" s="8">
        <v>180</v>
      </c>
      <c r="B42" s="8">
        <f t="shared" si="0"/>
        <v>2.255272505103306</v>
      </c>
      <c r="C42" s="8">
        <v>3</v>
      </c>
      <c r="D42" s="8">
        <v>64</v>
      </c>
      <c r="E42" s="8">
        <v>25</v>
      </c>
      <c r="F42" s="8">
        <v>70</v>
      </c>
      <c r="G42" s="8">
        <v>34</v>
      </c>
      <c r="H42" s="8">
        <v>0.27100000000000002</v>
      </c>
      <c r="I42" s="8">
        <v>26</v>
      </c>
      <c r="J42" s="1">
        <v>2.0254076755536987</v>
      </c>
      <c r="K42" s="1">
        <v>0.2298648295496073</v>
      </c>
      <c r="L42">
        <f t="shared" si="1"/>
        <v>5.2837839863870015E-2</v>
      </c>
      <c r="P42" s="1">
        <v>4</v>
      </c>
      <c r="Q42" s="1">
        <v>4.8654356053387283E-2</v>
      </c>
      <c r="R42" s="1">
        <v>-4.5181759265248853E-2</v>
      </c>
    </row>
    <row r="43" spans="1:18" x14ac:dyDescent="0.35">
      <c r="A43" s="8">
        <v>133</v>
      </c>
      <c r="B43" s="8">
        <f t="shared" si="0"/>
        <v>2.1238516409670858</v>
      </c>
      <c r="C43" s="8">
        <v>7</v>
      </c>
      <c r="D43" s="8">
        <v>84</v>
      </c>
      <c r="E43" s="8">
        <v>0</v>
      </c>
      <c r="F43" s="8">
        <v>0</v>
      </c>
      <c r="G43" s="8">
        <v>40.200000000000003</v>
      </c>
      <c r="H43" s="8">
        <v>0.69599999999999995</v>
      </c>
      <c r="I43" s="8">
        <v>37</v>
      </c>
      <c r="J43" s="1">
        <v>2.1075333159748904</v>
      </c>
      <c r="K43" s="1">
        <v>1.6318324992195432E-2</v>
      </c>
      <c r="L43">
        <f t="shared" si="1"/>
        <v>2.6628773055091006E-4</v>
      </c>
      <c r="P43" s="1">
        <v>5</v>
      </c>
      <c r="Q43" s="1">
        <v>1.7287263712989741E-2</v>
      </c>
      <c r="R43" s="1">
        <v>-1.728496332423864E-2</v>
      </c>
    </row>
    <row r="44" spans="1:18" x14ac:dyDescent="0.35">
      <c r="A44" s="8">
        <v>106</v>
      </c>
      <c r="B44" s="8">
        <f t="shared" si="0"/>
        <v>2.0253058652647704</v>
      </c>
      <c r="C44" s="8">
        <v>7</v>
      </c>
      <c r="D44" s="8">
        <v>92</v>
      </c>
      <c r="E44" s="8">
        <v>18</v>
      </c>
      <c r="F44" s="8">
        <v>0</v>
      </c>
      <c r="G44" s="8">
        <v>22.7</v>
      </c>
      <c r="H44" s="8">
        <v>0.23499999999999999</v>
      </c>
      <c r="I44" s="8">
        <v>48</v>
      </c>
      <c r="J44" s="1">
        <v>2.0399608675907728</v>
      </c>
      <c r="K44" s="1">
        <v>-1.4655002326002364E-2</v>
      </c>
      <c r="L44">
        <f t="shared" si="1"/>
        <v>2.147690931751347E-4</v>
      </c>
      <c r="P44" s="1">
        <v>6</v>
      </c>
      <c r="Q44" s="1">
        <v>2.0782912870381282E-2</v>
      </c>
      <c r="R44" s="1">
        <v>-1.9739220668207508E-2</v>
      </c>
    </row>
    <row r="45" spans="1:18" x14ac:dyDescent="0.35">
      <c r="A45" s="8">
        <v>171</v>
      </c>
      <c r="B45" s="8">
        <f t="shared" si="0"/>
        <v>2.2329961103921536</v>
      </c>
      <c r="C45" s="8">
        <v>9</v>
      </c>
      <c r="D45" s="8">
        <v>110</v>
      </c>
      <c r="E45" s="8">
        <v>24</v>
      </c>
      <c r="F45" s="8">
        <v>240</v>
      </c>
      <c r="G45" s="8">
        <v>45.4</v>
      </c>
      <c r="H45" s="8">
        <v>0.72099999999999997</v>
      </c>
      <c r="I45" s="8">
        <v>54</v>
      </c>
      <c r="J45" s="1">
        <v>2.2346949441145925</v>
      </c>
      <c r="K45" s="1">
        <v>-1.6988337224388417E-3</v>
      </c>
      <c r="L45">
        <f t="shared" si="1"/>
        <v>2.8860360164954115E-6</v>
      </c>
      <c r="P45" s="1">
        <v>7</v>
      </c>
      <c r="Q45" s="1">
        <v>6.4340863035003429E-2</v>
      </c>
      <c r="R45" s="1">
        <v>-5.1268045422548154E-2</v>
      </c>
    </row>
    <row r="46" spans="1:18" x14ac:dyDescent="0.35">
      <c r="A46" s="8">
        <v>159</v>
      </c>
      <c r="B46" s="8">
        <f t="shared" si="0"/>
        <v>2.2013971243204513</v>
      </c>
      <c r="C46" s="8">
        <v>7</v>
      </c>
      <c r="D46" s="8">
        <v>64</v>
      </c>
      <c r="E46" s="8">
        <v>0</v>
      </c>
      <c r="F46" s="8">
        <v>0</v>
      </c>
      <c r="G46" s="8">
        <v>27.4</v>
      </c>
      <c r="H46" s="8">
        <v>0.29399999999999998</v>
      </c>
      <c r="I46" s="8">
        <v>40</v>
      </c>
      <c r="J46" s="1">
        <v>2.0615582501252803</v>
      </c>
      <c r="K46" s="1">
        <v>0.13983887419517105</v>
      </c>
      <c r="L46">
        <f t="shared" si="1"/>
        <v>1.9554910736172874E-2</v>
      </c>
      <c r="P46" s="1">
        <v>8</v>
      </c>
      <c r="Q46" s="1">
        <v>2.7588193824572227E-2</v>
      </c>
      <c r="R46" s="1">
        <v>-2.6891147281719843E-2</v>
      </c>
    </row>
    <row r="47" spans="1:18" x14ac:dyDescent="0.35">
      <c r="A47" s="8">
        <v>180</v>
      </c>
      <c r="B47" s="8">
        <f t="shared" si="0"/>
        <v>2.255272505103306</v>
      </c>
      <c r="C47" s="8">
        <v>0</v>
      </c>
      <c r="D47" s="8">
        <v>66</v>
      </c>
      <c r="E47" s="8">
        <v>39</v>
      </c>
      <c r="F47" s="8">
        <v>0</v>
      </c>
      <c r="G47" s="8">
        <v>42</v>
      </c>
      <c r="H47" s="8">
        <v>1.893</v>
      </c>
      <c r="I47" s="8">
        <v>25</v>
      </c>
      <c r="J47" s="1">
        <v>2.0299207306523952</v>
      </c>
      <c r="K47" s="1">
        <v>0.22535177445091081</v>
      </c>
      <c r="L47">
        <f t="shared" si="1"/>
        <v>5.0783422248174177E-2</v>
      </c>
      <c r="P47" s="1">
        <v>9</v>
      </c>
      <c r="Q47" s="1">
        <v>-3.63204688167812E-2</v>
      </c>
      <c r="R47" s="1">
        <v>3.8095968752276811E-2</v>
      </c>
    </row>
    <row r="48" spans="1:18" x14ac:dyDescent="0.35">
      <c r="A48" s="8">
        <v>146</v>
      </c>
      <c r="B48" s="8">
        <f t="shared" si="0"/>
        <v>2.1643528557844371</v>
      </c>
      <c r="C48" s="8">
        <v>1</v>
      </c>
      <c r="D48" s="8">
        <v>56</v>
      </c>
      <c r="E48" s="8">
        <v>0</v>
      </c>
      <c r="F48" s="8">
        <v>0</v>
      </c>
      <c r="G48" s="8">
        <v>29.7</v>
      </c>
      <c r="H48" s="8">
        <v>0.56399999999999995</v>
      </c>
      <c r="I48" s="8">
        <v>29</v>
      </c>
      <c r="J48" s="1">
        <v>2.0415237318317074</v>
      </c>
      <c r="K48" s="1">
        <v>0.12282912395272971</v>
      </c>
      <c r="L48">
        <f t="shared" si="1"/>
        <v>1.5086993690995041E-2</v>
      </c>
      <c r="P48" s="1">
        <v>10</v>
      </c>
      <c r="Q48" s="1">
        <v>5.2118827801196713E-3</v>
      </c>
      <c r="R48" s="1">
        <v>-6.7946718089327476E-4</v>
      </c>
    </row>
    <row r="49" spans="1:18" x14ac:dyDescent="0.35">
      <c r="A49" s="8">
        <v>71</v>
      </c>
      <c r="B49" s="8">
        <f t="shared" si="0"/>
        <v>1.8512583487190752</v>
      </c>
      <c r="C49" s="8">
        <v>2</v>
      </c>
      <c r="D49" s="8">
        <v>70</v>
      </c>
      <c r="E49" s="8">
        <v>27</v>
      </c>
      <c r="F49" s="8">
        <v>0</v>
      </c>
      <c r="G49" s="8">
        <v>28</v>
      </c>
      <c r="H49" s="8">
        <v>0.58599999999999997</v>
      </c>
      <c r="I49" s="8">
        <v>22</v>
      </c>
      <c r="J49" s="1">
        <v>1.9741654307629588</v>
      </c>
      <c r="K49" s="1">
        <v>-0.12290708204388356</v>
      </c>
      <c r="L49">
        <f t="shared" si="1"/>
        <v>1.5106150816541925E-2</v>
      </c>
      <c r="P49" s="1">
        <v>11</v>
      </c>
      <c r="Q49" s="1">
        <v>2.0721481551518501E-2</v>
      </c>
      <c r="R49" s="1">
        <v>-1.992946736245373E-2</v>
      </c>
    </row>
    <row r="50" spans="1:18" x14ac:dyDescent="0.35">
      <c r="A50" s="8">
        <v>103</v>
      </c>
      <c r="B50" s="8">
        <f t="shared" si="0"/>
        <v>2.012837224705172</v>
      </c>
      <c r="C50" s="8">
        <v>7</v>
      </c>
      <c r="D50" s="8">
        <v>66</v>
      </c>
      <c r="E50" s="8">
        <v>32</v>
      </c>
      <c r="F50" s="8">
        <v>0</v>
      </c>
      <c r="G50" s="8">
        <v>39.1</v>
      </c>
      <c r="H50" s="8">
        <v>0.34399999999999997</v>
      </c>
      <c r="I50" s="8">
        <v>31</v>
      </c>
      <c r="J50" s="1">
        <v>2.0120335400211169</v>
      </c>
      <c r="K50" s="1">
        <v>8.0368468405511706E-4</v>
      </c>
      <c r="L50">
        <f t="shared" si="1"/>
        <v>6.459090713847733E-7</v>
      </c>
      <c r="P50" s="1">
        <v>12</v>
      </c>
      <c r="Q50" s="1">
        <v>7.1408807019360367E-3</v>
      </c>
      <c r="R50" s="1">
        <v>1.1294034067442112E-2</v>
      </c>
    </row>
    <row r="51" spans="1:18" x14ac:dyDescent="0.35">
      <c r="A51" s="8">
        <v>105</v>
      </c>
      <c r="B51" s="8">
        <f t="shared" si="0"/>
        <v>2.0211892990699383</v>
      </c>
      <c r="C51" s="8">
        <v>7</v>
      </c>
      <c r="D51" s="8">
        <v>0</v>
      </c>
      <c r="E51" s="8">
        <v>0</v>
      </c>
      <c r="F51" s="8">
        <v>0</v>
      </c>
      <c r="G51" s="8">
        <v>0</v>
      </c>
      <c r="H51" s="8">
        <v>0.30499999999999999</v>
      </c>
      <c r="I51" s="8">
        <v>24</v>
      </c>
      <c r="J51" s="1">
        <v>1.9287661890563532</v>
      </c>
      <c r="K51" s="1">
        <v>9.2423110013585053E-2</v>
      </c>
      <c r="L51">
        <f t="shared" si="1"/>
        <v>8.5420312645832462E-3</v>
      </c>
      <c r="P51" s="1">
        <v>13</v>
      </c>
      <c r="Q51" s="1">
        <v>-1.5621288753581663E-2</v>
      </c>
      <c r="R51" s="1">
        <v>1.5624051886773708E-2</v>
      </c>
    </row>
    <row r="52" spans="1:18" x14ac:dyDescent="0.35">
      <c r="A52" s="8">
        <v>103</v>
      </c>
      <c r="B52" s="8">
        <f t="shared" si="0"/>
        <v>2.012837224705172</v>
      </c>
      <c r="C52" s="8">
        <v>1</v>
      </c>
      <c r="D52" s="8">
        <v>80</v>
      </c>
      <c r="E52" s="8">
        <v>11</v>
      </c>
      <c r="F52" s="8">
        <v>82</v>
      </c>
      <c r="G52" s="8">
        <v>19.399999999999999</v>
      </c>
      <c r="H52" s="8">
        <v>0.49099999999999999</v>
      </c>
      <c r="I52" s="8">
        <v>22</v>
      </c>
      <c r="J52" s="1">
        <v>2.0189250160053813</v>
      </c>
      <c r="K52" s="1">
        <v>-6.0877913002093109E-3</v>
      </c>
      <c r="L52">
        <f t="shared" si="1"/>
        <v>3.7061202914904175E-5</v>
      </c>
      <c r="P52" s="1">
        <v>14</v>
      </c>
      <c r="Q52" s="1">
        <v>-0.15926261344519552</v>
      </c>
      <c r="R52" s="1">
        <v>0.18878919432547861</v>
      </c>
    </row>
    <row r="53" spans="1:18" x14ac:dyDescent="0.35">
      <c r="A53" s="8">
        <v>101</v>
      </c>
      <c r="B53" s="8">
        <f t="shared" si="0"/>
        <v>2.0043213737826426</v>
      </c>
      <c r="C53" s="8">
        <v>1</v>
      </c>
      <c r="D53" s="8">
        <v>50</v>
      </c>
      <c r="E53" s="8">
        <v>15</v>
      </c>
      <c r="F53" s="8">
        <v>36</v>
      </c>
      <c r="G53" s="8">
        <v>24.2</v>
      </c>
      <c r="H53" s="8">
        <v>0.52600000000000002</v>
      </c>
      <c r="I53" s="8">
        <v>26</v>
      </c>
      <c r="J53" s="1">
        <v>2.0035698455883892</v>
      </c>
      <c r="K53" s="1">
        <v>7.5152819425339246E-4</v>
      </c>
      <c r="L53">
        <f t="shared" si="1"/>
        <v>5.6479462675776474E-7</v>
      </c>
      <c r="P53" s="1">
        <v>15</v>
      </c>
      <c r="Q53" s="1">
        <v>-5.7040344477686002E-4</v>
      </c>
      <c r="R53" s="1">
        <v>7.9237352316662638E-3</v>
      </c>
    </row>
    <row r="54" spans="1:18" x14ac:dyDescent="0.35">
      <c r="A54" s="8">
        <v>88</v>
      </c>
      <c r="B54" s="8">
        <f t="shared" si="0"/>
        <v>1.9444826721501687</v>
      </c>
      <c r="C54" s="8">
        <v>5</v>
      </c>
      <c r="D54" s="8">
        <v>66</v>
      </c>
      <c r="E54" s="8">
        <v>21</v>
      </c>
      <c r="F54" s="8">
        <v>23</v>
      </c>
      <c r="G54" s="8">
        <v>24.4</v>
      </c>
      <c r="H54" s="8">
        <v>0.34200000000000003</v>
      </c>
      <c r="I54" s="8">
        <v>30</v>
      </c>
      <c r="J54" s="1">
        <v>1.9997097395277104</v>
      </c>
      <c r="K54" s="1">
        <v>-5.5227067377541683E-2</v>
      </c>
      <c r="L54">
        <f t="shared" si="1"/>
        <v>3.050028971123529E-3</v>
      </c>
      <c r="P54" s="1">
        <v>16</v>
      </c>
      <c r="Q54" s="1">
        <v>2.4814022506102255E-2</v>
      </c>
      <c r="R54" s="1">
        <v>-2.3655435392798744E-2</v>
      </c>
    </row>
    <row r="55" spans="1:18" x14ac:dyDescent="0.35">
      <c r="A55" s="8">
        <v>176</v>
      </c>
      <c r="B55" s="8">
        <f t="shared" si="0"/>
        <v>2.2455126678141499</v>
      </c>
      <c r="C55" s="8">
        <v>8</v>
      </c>
      <c r="D55" s="8">
        <v>90</v>
      </c>
      <c r="E55" s="8">
        <v>34</v>
      </c>
      <c r="F55" s="8">
        <v>300</v>
      </c>
      <c r="G55" s="8">
        <v>33.700000000000003</v>
      </c>
      <c r="H55" s="8">
        <v>0.46700000000000003</v>
      </c>
      <c r="I55" s="8">
        <v>58</v>
      </c>
      <c r="J55" s="1">
        <v>2.2050448902776849</v>
      </c>
      <c r="K55" s="1">
        <v>4.0467777536465022E-2</v>
      </c>
      <c r="L55">
        <f t="shared" si="1"/>
        <v>1.6376410187408229E-3</v>
      </c>
      <c r="P55" s="1">
        <v>17</v>
      </c>
      <c r="Q55" s="1">
        <v>4.869972051892988E-2</v>
      </c>
      <c r="R55" s="1">
        <v>-4.719581618396064E-2</v>
      </c>
    </row>
    <row r="56" spans="1:18" x14ac:dyDescent="0.35">
      <c r="A56" s="8">
        <v>150</v>
      </c>
      <c r="B56" s="8">
        <f t="shared" si="0"/>
        <v>2.1760912590556813</v>
      </c>
      <c r="C56" s="8">
        <v>7</v>
      </c>
      <c r="D56" s="8">
        <v>66</v>
      </c>
      <c r="E56" s="8">
        <v>42</v>
      </c>
      <c r="F56" s="8">
        <v>342</v>
      </c>
      <c r="G56" s="8">
        <v>34.700000000000003</v>
      </c>
      <c r="H56" s="8">
        <v>0.71799999999999997</v>
      </c>
      <c r="I56" s="8">
        <v>42</v>
      </c>
      <c r="J56" s="1">
        <v>2.1721580146960475</v>
      </c>
      <c r="K56" s="1">
        <v>3.9332443596338251E-3</v>
      </c>
      <c r="L56">
        <f t="shared" si="1"/>
        <v>1.5470411192591298E-5</v>
      </c>
      <c r="P56" s="1">
        <v>18</v>
      </c>
      <c r="Q56" s="1">
        <v>1.6847065685291346E-2</v>
      </c>
      <c r="R56" s="1">
        <v>-1.6471234217014998E-2</v>
      </c>
    </row>
    <row r="57" spans="1:18" x14ac:dyDescent="0.35">
      <c r="A57" s="8">
        <v>73</v>
      </c>
      <c r="B57" s="8">
        <f t="shared" si="0"/>
        <v>1.8633228601204559</v>
      </c>
      <c r="C57" s="8">
        <v>1</v>
      </c>
      <c r="D57" s="8">
        <v>50</v>
      </c>
      <c r="E57" s="8">
        <v>10</v>
      </c>
      <c r="F57" s="8">
        <v>0</v>
      </c>
      <c r="G57" s="8">
        <v>23</v>
      </c>
      <c r="H57" s="8">
        <v>0.248</v>
      </c>
      <c r="I57" s="8">
        <v>21</v>
      </c>
      <c r="J57" s="1">
        <v>1.9741239410144531</v>
      </c>
      <c r="K57" s="1">
        <v>-0.11080108089399721</v>
      </c>
      <c r="L57">
        <f t="shared" si="1"/>
        <v>1.2276879527278113E-2</v>
      </c>
      <c r="P57" s="1">
        <v>19</v>
      </c>
      <c r="Q57" s="1">
        <v>8.4522561134387608E-2</v>
      </c>
      <c r="R57" s="1">
        <v>-8.4165555431923639E-2</v>
      </c>
    </row>
    <row r="58" spans="1:18" x14ac:dyDescent="0.35">
      <c r="A58" s="8">
        <v>187</v>
      </c>
      <c r="B58" s="8">
        <f t="shared" si="0"/>
        <v>2.271841606536499</v>
      </c>
      <c r="C58" s="8">
        <v>7</v>
      </c>
      <c r="D58" s="8">
        <v>68</v>
      </c>
      <c r="E58" s="8">
        <v>39</v>
      </c>
      <c r="F58" s="8">
        <v>304</v>
      </c>
      <c r="G58" s="8">
        <v>37.700000000000003</v>
      </c>
      <c r="H58" s="8">
        <v>0.254</v>
      </c>
      <c r="I58" s="8">
        <v>41</v>
      </c>
      <c r="J58" s="1">
        <v>2.1539782184359377</v>
      </c>
      <c r="K58" s="1">
        <v>0.11786338810056129</v>
      </c>
      <c r="L58">
        <f t="shared" si="1"/>
        <v>1.3891778254543534E-2</v>
      </c>
      <c r="P58" s="1">
        <v>20</v>
      </c>
      <c r="Q58" s="1">
        <v>5.2470459313041909E-2</v>
      </c>
      <c r="R58" s="1">
        <v>-5.2367297783020759E-2</v>
      </c>
    </row>
    <row r="59" spans="1:18" x14ac:dyDescent="0.35">
      <c r="A59" s="8">
        <v>100</v>
      </c>
      <c r="B59" s="8">
        <f t="shared" si="0"/>
        <v>2</v>
      </c>
      <c r="C59" s="8">
        <v>0</v>
      </c>
      <c r="D59" s="8">
        <v>88</v>
      </c>
      <c r="E59" s="8">
        <v>60</v>
      </c>
      <c r="F59" s="8">
        <v>110</v>
      </c>
      <c r="G59" s="8">
        <v>46.8</v>
      </c>
      <c r="H59" s="8">
        <v>0.96199999999999997</v>
      </c>
      <c r="I59" s="8">
        <v>31</v>
      </c>
      <c r="J59" s="1">
        <v>2.0466185470264899</v>
      </c>
      <c r="K59" s="1">
        <v>-4.6618547026489932E-2</v>
      </c>
      <c r="L59">
        <f t="shared" si="1"/>
        <v>2.1732889268610534E-3</v>
      </c>
      <c r="P59" s="1">
        <v>21</v>
      </c>
      <c r="Q59" s="1">
        <v>2.8032482027217434E-2</v>
      </c>
      <c r="R59" s="1">
        <v>-2.7998124711444791E-2</v>
      </c>
    </row>
    <row r="60" spans="1:18" x14ac:dyDescent="0.35">
      <c r="A60" s="8">
        <v>146</v>
      </c>
      <c r="B60" s="8">
        <f t="shared" si="0"/>
        <v>2.1643528557844371</v>
      </c>
      <c r="C60" s="8">
        <v>0</v>
      </c>
      <c r="D60" s="8">
        <v>82</v>
      </c>
      <c r="E60" s="8">
        <v>0</v>
      </c>
      <c r="F60" s="8">
        <v>0</v>
      </c>
      <c r="G60" s="8">
        <v>40.5</v>
      </c>
      <c r="H60" s="8">
        <v>1.7809999999999999</v>
      </c>
      <c r="I60" s="8">
        <v>44</v>
      </c>
      <c r="J60" s="1">
        <v>2.1483566350450247</v>
      </c>
      <c r="K60" s="1">
        <v>1.5996220739412426E-2</v>
      </c>
      <c r="L60">
        <f t="shared" si="1"/>
        <v>2.5587907794400822E-4</v>
      </c>
      <c r="P60" s="1">
        <v>22</v>
      </c>
      <c r="Q60" s="1">
        <v>8.4601938966433251E-3</v>
      </c>
      <c r="R60" s="1">
        <v>6.2480735926959217E-3</v>
      </c>
    </row>
    <row r="61" spans="1:18" x14ac:dyDescent="0.35">
      <c r="A61" s="8">
        <v>105</v>
      </c>
      <c r="B61" s="8">
        <f t="shared" si="0"/>
        <v>2.0211892990699383</v>
      </c>
      <c r="C61" s="8">
        <v>0</v>
      </c>
      <c r="D61" s="8">
        <v>64</v>
      </c>
      <c r="E61" s="8">
        <v>41</v>
      </c>
      <c r="F61" s="8">
        <v>142</v>
      </c>
      <c r="G61" s="8">
        <v>41.5</v>
      </c>
      <c r="H61" s="8">
        <v>0.17299999999999999</v>
      </c>
      <c r="I61" s="8">
        <v>22</v>
      </c>
      <c r="J61" s="1">
        <v>2.032274577610254</v>
      </c>
      <c r="K61" s="1">
        <v>-1.1085278540315713E-2</v>
      </c>
      <c r="L61">
        <f t="shared" si="1"/>
        <v>1.2288340031638405E-4</v>
      </c>
      <c r="P61" s="1">
        <v>23</v>
      </c>
      <c r="Q61" s="1">
        <v>9.8208697968798966E-3</v>
      </c>
      <c r="R61" s="1">
        <v>2.3119845001367149E-2</v>
      </c>
    </row>
    <row r="62" spans="1:18" x14ac:dyDescent="0.35">
      <c r="A62" s="8">
        <v>84</v>
      </c>
      <c r="B62" s="8">
        <f t="shared" si="0"/>
        <v>1.9242792860618816</v>
      </c>
      <c r="C62" s="8">
        <v>2</v>
      </c>
      <c r="D62" s="8">
        <v>0</v>
      </c>
      <c r="E62" s="8">
        <v>0</v>
      </c>
      <c r="F62" s="8">
        <v>0</v>
      </c>
      <c r="G62" s="8">
        <v>0</v>
      </c>
      <c r="H62" s="8">
        <v>0.30399999999999999</v>
      </c>
      <c r="I62" s="8">
        <v>21</v>
      </c>
      <c r="J62" s="1">
        <v>1.9169895778391395</v>
      </c>
      <c r="K62" s="1">
        <v>7.2897082227421084E-3</v>
      </c>
      <c r="L62">
        <f t="shared" si="1"/>
        <v>5.3139845972713906E-5</v>
      </c>
      <c r="P62" s="1">
        <v>24</v>
      </c>
      <c r="Q62" s="1">
        <v>7.7597307607047458E-2</v>
      </c>
      <c r="R62" s="1">
        <v>-6.814834762834604E-2</v>
      </c>
    </row>
    <row r="63" spans="1:18" x14ac:dyDescent="0.35">
      <c r="A63" s="8">
        <v>133</v>
      </c>
      <c r="B63" s="8">
        <f t="shared" si="0"/>
        <v>2.1238516409670858</v>
      </c>
      <c r="C63" s="8">
        <v>8</v>
      </c>
      <c r="D63" s="8">
        <v>72</v>
      </c>
      <c r="E63" s="8">
        <v>0</v>
      </c>
      <c r="F63" s="8">
        <v>0</v>
      </c>
      <c r="G63" s="8">
        <v>32.9</v>
      </c>
      <c r="H63" s="8">
        <v>0.27</v>
      </c>
      <c r="I63" s="8">
        <v>39</v>
      </c>
      <c r="J63" s="1">
        <v>2.077112616139499</v>
      </c>
      <c r="K63" s="1">
        <v>4.6739024827586739E-2</v>
      </c>
      <c r="L63">
        <f t="shared" si="1"/>
        <v>2.1845364418337696E-3</v>
      </c>
      <c r="P63" s="1">
        <v>25</v>
      </c>
      <c r="Q63" s="1">
        <v>2.7059538195183273E-2</v>
      </c>
      <c r="R63" s="1">
        <v>-2.6242480255993499E-2</v>
      </c>
    </row>
    <row r="64" spans="1:18" x14ac:dyDescent="0.35">
      <c r="A64" s="8">
        <v>44</v>
      </c>
      <c r="B64" s="8">
        <f t="shared" si="0"/>
        <v>1.6434526764861874</v>
      </c>
      <c r="C64" s="8">
        <v>5</v>
      </c>
      <c r="D64" s="8">
        <v>62</v>
      </c>
      <c r="E64" s="8">
        <v>0</v>
      </c>
      <c r="F64" s="8">
        <v>0</v>
      </c>
      <c r="G64" s="8">
        <v>25</v>
      </c>
      <c r="H64" s="8">
        <v>0.58699999999999997</v>
      </c>
      <c r="I64" s="8">
        <v>36</v>
      </c>
      <c r="J64" s="1">
        <v>2.0515285107542121</v>
      </c>
      <c r="K64" s="1">
        <v>-0.40807583426802463</v>
      </c>
      <c r="L64">
        <f t="shared" si="1"/>
        <v>0.1665258865135443</v>
      </c>
      <c r="P64" s="1">
        <v>26</v>
      </c>
      <c r="Q64" s="1">
        <v>2.9934265928590977E-2</v>
      </c>
      <c r="R64" s="1">
        <v>-2.9566295847950289E-2</v>
      </c>
    </row>
    <row r="65" spans="1:18" x14ac:dyDescent="0.35">
      <c r="A65" s="8">
        <v>141</v>
      </c>
      <c r="B65" s="8">
        <f t="shared" si="0"/>
        <v>2.1492191126553797</v>
      </c>
      <c r="C65" s="8">
        <v>2</v>
      </c>
      <c r="D65" s="8">
        <v>58</v>
      </c>
      <c r="E65" s="8">
        <v>34</v>
      </c>
      <c r="F65" s="8">
        <v>128</v>
      </c>
      <c r="G65" s="8">
        <v>25.4</v>
      </c>
      <c r="H65" s="8">
        <v>0.69899999999999995</v>
      </c>
      <c r="I65" s="8">
        <v>24</v>
      </c>
      <c r="J65" s="1">
        <v>2.0154354671639334</v>
      </c>
      <c r="K65" s="1">
        <v>0.13378364549144628</v>
      </c>
      <c r="L65">
        <f t="shared" si="1"/>
        <v>1.7898063800980975E-2</v>
      </c>
      <c r="P65" s="1">
        <v>27</v>
      </c>
      <c r="Q65" s="1">
        <v>1.539330900941431E-2</v>
      </c>
      <c r="R65" s="1">
        <v>-1.139744904658925E-2</v>
      </c>
    </row>
    <row r="66" spans="1:18" x14ac:dyDescent="0.35">
      <c r="A66" s="8">
        <v>114</v>
      </c>
      <c r="B66" s="8">
        <f t="shared" si="0"/>
        <v>2.0569048513364727</v>
      </c>
      <c r="C66" s="8">
        <v>7</v>
      </c>
      <c r="D66" s="8">
        <v>66</v>
      </c>
      <c r="E66" s="8">
        <v>0</v>
      </c>
      <c r="F66" s="8">
        <v>0</v>
      </c>
      <c r="G66" s="8">
        <v>32.799999999999997</v>
      </c>
      <c r="H66" s="8">
        <v>0.25800000000000001</v>
      </c>
      <c r="I66" s="8">
        <v>42</v>
      </c>
      <c r="J66" s="1">
        <v>2.080528477554914</v>
      </c>
      <c r="K66" s="1">
        <v>-2.3623626218441274E-2</v>
      </c>
      <c r="L66">
        <f t="shared" si="1"/>
        <v>5.5807571570862594E-4</v>
      </c>
      <c r="P66" s="1">
        <v>28</v>
      </c>
      <c r="Q66" s="1">
        <v>1.5102479081109893E-2</v>
      </c>
      <c r="R66" s="1">
        <v>-1.1942549008378232E-2</v>
      </c>
    </row>
    <row r="67" spans="1:18" x14ac:dyDescent="0.35">
      <c r="A67" s="8">
        <v>99</v>
      </c>
      <c r="B67" s="8">
        <f t="shared" ref="B67:B130" si="2">LOG(A67)</f>
        <v>1.9956351945975499</v>
      </c>
      <c r="C67" s="8">
        <v>5</v>
      </c>
      <c r="D67" s="8">
        <v>74</v>
      </c>
      <c r="E67" s="8">
        <v>27</v>
      </c>
      <c r="F67" s="8">
        <v>0</v>
      </c>
      <c r="G67" s="8">
        <v>29</v>
      </c>
      <c r="H67" s="8">
        <v>0.20300000000000001</v>
      </c>
      <c r="I67" s="8">
        <v>32</v>
      </c>
      <c r="J67" s="1">
        <v>1.9934125634252502</v>
      </c>
      <c r="K67" s="1">
        <v>2.222631172299705E-3</v>
      </c>
      <c r="L67">
        <f t="shared" ref="L67:L130" si="3">K67*K67</f>
        <v>4.9400893280783605E-6</v>
      </c>
      <c r="P67" s="1">
        <v>29</v>
      </c>
      <c r="Q67" s="1">
        <v>7.2094120056031795E-3</v>
      </c>
      <c r="R67" s="1">
        <v>-4.5926316266876668E-3</v>
      </c>
    </row>
    <row r="68" spans="1:18" x14ac:dyDescent="0.35">
      <c r="A68" s="8">
        <v>109</v>
      </c>
      <c r="B68" s="8">
        <f t="shared" si="2"/>
        <v>2.0374264979406238</v>
      </c>
      <c r="C68" s="8">
        <v>0</v>
      </c>
      <c r="D68" s="8">
        <v>88</v>
      </c>
      <c r="E68" s="8">
        <v>30</v>
      </c>
      <c r="F68" s="8">
        <v>0</v>
      </c>
      <c r="G68" s="8">
        <v>32.5</v>
      </c>
      <c r="H68" s="8">
        <v>0.85499999999999998</v>
      </c>
      <c r="I68" s="8">
        <v>38</v>
      </c>
      <c r="J68" s="1">
        <v>2.0296117588996063</v>
      </c>
      <c r="K68" s="1">
        <v>7.8147390410174822E-3</v>
      </c>
      <c r="L68">
        <f t="shared" si="3"/>
        <v>6.1070146279202831E-5</v>
      </c>
      <c r="P68" s="1">
        <v>30</v>
      </c>
      <c r="Q68" s="1">
        <v>1.4727461812786311E-2</v>
      </c>
      <c r="R68" s="1">
        <v>-1.4484051090621206E-2</v>
      </c>
    </row>
    <row r="69" spans="1:18" x14ac:dyDescent="0.35">
      <c r="A69" s="8">
        <v>109</v>
      </c>
      <c r="B69" s="8">
        <f t="shared" si="2"/>
        <v>2.0374264979406238</v>
      </c>
      <c r="C69" s="8">
        <v>2</v>
      </c>
      <c r="D69" s="8">
        <v>92</v>
      </c>
      <c r="E69" s="8">
        <v>0</v>
      </c>
      <c r="F69" s="8">
        <v>0</v>
      </c>
      <c r="G69" s="8">
        <v>42.7</v>
      </c>
      <c r="H69" s="8">
        <v>0.84499999999999997</v>
      </c>
      <c r="I69" s="8">
        <v>54</v>
      </c>
      <c r="J69" s="1">
        <v>2.1560990609517789</v>
      </c>
      <c r="K69" s="1">
        <v>-0.11867256301115514</v>
      </c>
      <c r="L69">
        <f t="shared" si="3"/>
        <v>1.4083177211636587E-2</v>
      </c>
      <c r="P69" s="1">
        <v>31</v>
      </c>
      <c r="Q69" s="1">
        <v>5.8308155285513912E-2</v>
      </c>
      <c r="R69" s="1">
        <v>-5.5570418179387238E-2</v>
      </c>
    </row>
    <row r="70" spans="1:18" x14ac:dyDescent="0.35">
      <c r="A70" s="8">
        <v>95</v>
      </c>
      <c r="B70" s="8">
        <f t="shared" si="2"/>
        <v>1.9777236052888478</v>
      </c>
      <c r="C70" s="8">
        <v>1</v>
      </c>
      <c r="D70" s="8">
        <v>66</v>
      </c>
      <c r="E70" s="8">
        <v>13</v>
      </c>
      <c r="F70" s="8">
        <v>38</v>
      </c>
      <c r="G70" s="8">
        <v>19.600000000000001</v>
      </c>
      <c r="H70" s="8">
        <v>0.33400000000000002</v>
      </c>
      <c r="I70" s="8">
        <v>25</v>
      </c>
      <c r="J70" s="1">
        <v>1.9934068945707282</v>
      </c>
      <c r="K70" s="1">
        <v>-1.5683289281880342E-2</v>
      </c>
      <c r="L70">
        <f t="shared" si="3"/>
        <v>2.4596556269914282E-4</v>
      </c>
      <c r="P70" s="1">
        <v>32</v>
      </c>
      <c r="Q70" s="1">
        <v>1.4484288319977164E-2</v>
      </c>
      <c r="R70" s="1">
        <v>-5.1671657136877561E-3</v>
      </c>
    </row>
    <row r="71" spans="1:18" x14ac:dyDescent="0.35">
      <c r="A71" s="8">
        <v>146</v>
      </c>
      <c r="B71" s="8">
        <f t="shared" si="2"/>
        <v>2.1643528557844371</v>
      </c>
      <c r="C71" s="8">
        <v>4</v>
      </c>
      <c r="D71" s="8">
        <v>85</v>
      </c>
      <c r="E71" s="8">
        <v>27</v>
      </c>
      <c r="F71" s="8">
        <v>100</v>
      </c>
      <c r="G71" s="8">
        <v>28.9</v>
      </c>
      <c r="H71" s="8">
        <v>0.189</v>
      </c>
      <c r="I71" s="8">
        <v>27</v>
      </c>
      <c r="J71" s="1">
        <v>2.0292201718657066</v>
      </c>
      <c r="K71" s="1">
        <v>0.13513268391873057</v>
      </c>
      <c r="L71">
        <f t="shared" si="3"/>
        <v>1.8260842263079544E-2</v>
      </c>
      <c r="P71" s="1">
        <v>33</v>
      </c>
      <c r="Q71" s="1">
        <v>3.2798146064819719E-2</v>
      </c>
      <c r="R71" s="1">
        <v>-2.8631688008356453E-2</v>
      </c>
    </row>
    <row r="72" spans="1:18" x14ac:dyDescent="0.35">
      <c r="A72" s="8">
        <v>100</v>
      </c>
      <c r="B72" s="8">
        <f t="shared" si="2"/>
        <v>2</v>
      </c>
      <c r="C72" s="8">
        <v>2</v>
      </c>
      <c r="D72" s="8">
        <v>66</v>
      </c>
      <c r="E72" s="8">
        <v>20</v>
      </c>
      <c r="F72" s="8">
        <v>90</v>
      </c>
      <c r="G72" s="8">
        <v>32.9</v>
      </c>
      <c r="H72" s="8">
        <v>0.86699999999999999</v>
      </c>
      <c r="I72" s="8">
        <v>28</v>
      </c>
      <c r="J72" s="1">
        <v>2.0626803456408083</v>
      </c>
      <c r="K72" s="1">
        <v>-6.2680345640808266E-2</v>
      </c>
      <c r="L72">
        <f t="shared" si="3"/>
        <v>3.9288257296511914E-3</v>
      </c>
      <c r="P72" s="1">
        <v>34</v>
      </c>
      <c r="Q72" s="1">
        <v>1.6206922323175891E-2</v>
      </c>
      <c r="R72" s="1">
        <v>-1.3202565181124764E-2</v>
      </c>
    </row>
    <row r="73" spans="1:18" x14ac:dyDescent="0.35">
      <c r="A73" s="8">
        <v>139</v>
      </c>
      <c r="B73" s="8">
        <f t="shared" si="2"/>
        <v>2.143014800254095</v>
      </c>
      <c r="C73" s="8">
        <v>5</v>
      </c>
      <c r="D73" s="8">
        <v>64</v>
      </c>
      <c r="E73" s="8">
        <v>35</v>
      </c>
      <c r="F73" s="8">
        <v>140</v>
      </c>
      <c r="G73" s="8">
        <v>28.6</v>
      </c>
      <c r="H73" s="8">
        <v>0.41099999999999998</v>
      </c>
      <c r="I73" s="8">
        <v>26</v>
      </c>
      <c r="J73" s="1">
        <v>2.0289088331385923</v>
      </c>
      <c r="K73" s="1">
        <v>0.11410596711550269</v>
      </c>
      <c r="L73">
        <f t="shared" si="3"/>
        <v>1.3020171731364182E-2</v>
      </c>
      <c r="P73" s="1">
        <v>35</v>
      </c>
      <c r="Q73" s="1">
        <v>6.1471257130160911E-2</v>
      </c>
      <c r="R73" s="1">
        <v>-5.7949807670245913E-2</v>
      </c>
    </row>
    <row r="74" spans="1:18" x14ac:dyDescent="0.35">
      <c r="A74" s="8">
        <v>126</v>
      </c>
      <c r="B74" s="8">
        <f t="shared" si="2"/>
        <v>2.1003705451175629</v>
      </c>
      <c r="C74" s="8">
        <v>13</v>
      </c>
      <c r="D74" s="8">
        <v>90</v>
      </c>
      <c r="E74" s="8">
        <v>0</v>
      </c>
      <c r="F74" s="8">
        <v>0</v>
      </c>
      <c r="G74" s="8">
        <v>43.4</v>
      </c>
      <c r="H74" s="8">
        <v>0.58299999999999996</v>
      </c>
      <c r="I74" s="8">
        <v>42</v>
      </c>
      <c r="J74" s="1">
        <v>2.1323597080003012</v>
      </c>
      <c r="K74" s="1">
        <v>-3.1989162882738231E-2</v>
      </c>
      <c r="L74">
        <f t="shared" si="3"/>
        <v>1.0233065419383573E-3</v>
      </c>
      <c r="P74" s="1">
        <v>36</v>
      </c>
      <c r="Q74" s="1">
        <v>2.0274601710459805E-2</v>
      </c>
      <c r="R74" s="1">
        <v>-1.6556469754937207E-2</v>
      </c>
    </row>
    <row r="75" spans="1:18" x14ac:dyDescent="0.35">
      <c r="A75" s="8">
        <v>129</v>
      </c>
      <c r="B75" s="8">
        <f t="shared" si="2"/>
        <v>2.1105897102992488</v>
      </c>
      <c r="C75" s="8">
        <v>4</v>
      </c>
      <c r="D75" s="8">
        <v>86</v>
      </c>
      <c r="E75" s="8">
        <v>20</v>
      </c>
      <c r="F75" s="8">
        <v>270</v>
      </c>
      <c r="G75" s="8">
        <v>35.1</v>
      </c>
      <c r="H75" s="8">
        <v>0.23100000000000001</v>
      </c>
      <c r="I75" s="8">
        <v>23</v>
      </c>
      <c r="J75" s="1">
        <v>2.1291311268135931</v>
      </c>
      <c r="K75" s="1">
        <v>-1.8541416514344267E-2</v>
      </c>
      <c r="L75">
        <f t="shared" si="3"/>
        <v>3.4378412635839827E-4</v>
      </c>
      <c r="P75" s="1">
        <v>37</v>
      </c>
      <c r="Q75" s="1">
        <v>6.7567082313165225E-3</v>
      </c>
      <c r="R75" s="1">
        <v>-2.8147580376865246E-3</v>
      </c>
    </row>
    <row r="76" spans="1:18" x14ac:dyDescent="0.35">
      <c r="A76" s="8">
        <v>79</v>
      </c>
      <c r="B76" s="8">
        <f t="shared" si="2"/>
        <v>1.8976270912904414</v>
      </c>
      <c r="C76" s="8">
        <v>1</v>
      </c>
      <c r="D76" s="8">
        <v>75</v>
      </c>
      <c r="E76" s="8">
        <v>30</v>
      </c>
      <c r="F76" s="8">
        <v>0</v>
      </c>
      <c r="G76" s="8">
        <v>32</v>
      </c>
      <c r="H76" s="8">
        <v>0.39600000000000002</v>
      </c>
      <c r="I76" s="8">
        <v>22</v>
      </c>
      <c r="J76" s="1">
        <v>1.9744634575076925</v>
      </c>
      <c r="K76" s="1">
        <v>-7.6836366217251095E-2</v>
      </c>
      <c r="L76">
        <f t="shared" si="3"/>
        <v>5.9038271734715257E-3</v>
      </c>
      <c r="P76" s="1">
        <v>38</v>
      </c>
      <c r="Q76" s="1">
        <v>7.2008910694373277E-2</v>
      </c>
      <c r="R76" s="1">
        <v>-7.1322732627876598E-2</v>
      </c>
    </row>
    <row r="77" spans="1:18" x14ac:dyDescent="0.35">
      <c r="A77" s="8">
        <v>0</v>
      </c>
      <c r="B77" s="8">
        <v>0</v>
      </c>
      <c r="C77" s="8">
        <v>1</v>
      </c>
      <c r="D77" s="8">
        <v>48</v>
      </c>
      <c r="E77" s="8">
        <v>20</v>
      </c>
      <c r="F77" s="8">
        <v>0</v>
      </c>
      <c r="G77" s="8">
        <v>24.7</v>
      </c>
      <c r="H77" s="8">
        <v>0.14000000000000001</v>
      </c>
      <c r="I77" s="8">
        <v>22</v>
      </c>
      <c r="J77" s="1">
        <v>1.9577987960523182</v>
      </c>
      <c r="K77" s="1">
        <v>-1.9577987960523182</v>
      </c>
      <c r="L77">
        <f t="shared" si="3"/>
        <v>3.8329761258239068</v>
      </c>
      <c r="P77" s="1">
        <v>39</v>
      </c>
      <c r="Q77" s="1">
        <v>0.1004493688680546</v>
      </c>
      <c r="R77" s="1">
        <v>-9.9722068492355209E-2</v>
      </c>
    </row>
    <row r="78" spans="1:18" x14ac:dyDescent="0.35">
      <c r="A78" s="8">
        <v>62</v>
      </c>
      <c r="B78" s="8">
        <f t="shared" si="2"/>
        <v>1.7923916894982539</v>
      </c>
      <c r="C78" s="8">
        <v>7</v>
      </c>
      <c r="D78" s="8">
        <v>78</v>
      </c>
      <c r="E78" s="8">
        <v>0</v>
      </c>
      <c r="F78" s="8">
        <v>0</v>
      </c>
      <c r="G78" s="8">
        <v>32.6</v>
      </c>
      <c r="H78" s="8">
        <v>0.39100000000000001</v>
      </c>
      <c r="I78" s="8">
        <v>41</v>
      </c>
      <c r="J78" s="1">
        <v>2.0854699949003712</v>
      </c>
      <c r="K78" s="1">
        <v>-0.29307830540211732</v>
      </c>
      <c r="L78">
        <f t="shared" si="3"/>
        <v>8.5894893097376745E-2</v>
      </c>
      <c r="P78" s="1">
        <v>40</v>
      </c>
      <c r="Q78" s="1">
        <v>2.9756063307046769E-2</v>
      </c>
      <c r="R78" s="1">
        <v>-1.6922401970931686E-2</v>
      </c>
    </row>
    <row r="79" spans="1:18" x14ac:dyDescent="0.35">
      <c r="A79" s="8">
        <v>95</v>
      </c>
      <c r="B79" s="8">
        <f t="shared" si="2"/>
        <v>1.9777236052888478</v>
      </c>
      <c r="C79" s="8">
        <v>5</v>
      </c>
      <c r="D79" s="8">
        <v>72</v>
      </c>
      <c r="E79" s="8">
        <v>33</v>
      </c>
      <c r="F79" s="8">
        <v>0</v>
      </c>
      <c r="G79" s="8">
        <v>37.700000000000003</v>
      </c>
      <c r="H79" s="8">
        <v>0.37</v>
      </c>
      <c r="I79" s="8">
        <v>27</v>
      </c>
      <c r="J79" s="1">
        <v>1.9978052613282551</v>
      </c>
      <c r="K79" s="1">
        <v>-2.0081656039407259E-2</v>
      </c>
      <c r="L79">
        <f t="shared" si="3"/>
        <v>4.03272909285062E-4</v>
      </c>
      <c r="P79" s="1">
        <v>41</v>
      </c>
      <c r="Q79" s="1">
        <v>5.365210265793461E-2</v>
      </c>
      <c r="R79" s="1">
        <v>-8.1426279406459495E-4</v>
      </c>
    </row>
    <row r="80" spans="1:18" x14ac:dyDescent="0.35">
      <c r="A80" s="8">
        <v>131</v>
      </c>
      <c r="B80" s="8">
        <f t="shared" si="2"/>
        <v>2.1172712956557644</v>
      </c>
      <c r="C80" s="8">
        <v>0</v>
      </c>
      <c r="D80" s="8">
        <v>0</v>
      </c>
      <c r="E80" s="8">
        <v>0</v>
      </c>
      <c r="F80" s="8">
        <v>0</v>
      </c>
      <c r="G80" s="8">
        <v>43.2</v>
      </c>
      <c r="H80" s="8">
        <v>0.27</v>
      </c>
      <c r="I80" s="8">
        <v>26</v>
      </c>
      <c r="J80" s="1">
        <v>2.0431444732140878</v>
      </c>
      <c r="K80" s="1">
        <v>7.4126822441676676E-2</v>
      </c>
      <c r="L80">
        <f t="shared" si="3"/>
        <v>5.4947858052998609E-3</v>
      </c>
      <c r="P80" s="1">
        <v>42</v>
      </c>
      <c r="Q80" s="1">
        <v>6.9815227444595673E-3</v>
      </c>
      <c r="R80" s="1">
        <v>-6.7152350139086572E-3</v>
      </c>
    </row>
    <row r="81" spans="1:18" x14ac:dyDescent="0.35">
      <c r="A81" s="8">
        <v>112</v>
      </c>
      <c r="B81" s="8">
        <f t="shared" si="2"/>
        <v>2.0492180226701815</v>
      </c>
      <c r="C81" s="8">
        <v>2</v>
      </c>
      <c r="D81" s="8">
        <v>66</v>
      </c>
      <c r="E81" s="8">
        <v>22</v>
      </c>
      <c r="F81" s="8">
        <v>0</v>
      </c>
      <c r="G81" s="8">
        <v>25</v>
      </c>
      <c r="H81" s="8">
        <v>0.307</v>
      </c>
      <c r="I81" s="8">
        <v>24</v>
      </c>
      <c r="J81" s="1">
        <v>1.971113021659106</v>
      </c>
      <c r="K81" s="1">
        <v>7.8105001011075537E-2</v>
      </c>
      <c r="L81">
        <f t="shared" si="3"/>
        <v>6.1003911829401103E-3</v>
      </c>
      <c r="P81" s="1">
        <v>43</v>
      </c>
      <c r="Q81" s="1">
        <v>4.3981466616901777E-2</v>
      </c>
      <c r="R81" s="1">
        <v>-4.3766697523726639E-2</v>
      </c>
    </row>
    <row r="82" spans="1:18" x14ac:dyDescent="0.35">
      <c r="A82" s="8">
        <v>113</v>
      </c>
      <c r="B82" s="8">
        <f t="shared" si="2"/>
        <v>2.0530784434834195</v>
      </c>
      <c r="C82" s="8">
        <v>3</v>
      </c>
      <c r="D82" s="8">
        <v>44</v>
      </c>
      <c r="E82" s="8">
        <v>13</v>
      </c>
      <c r="F82" s="8">
        <v>0</v>
      </c>
      <c r="G82" s="8">
        <v>22.4</v>
      </c>
      <c r="H82" s="8">
        <v>0.14000000000000001</v>
      </c>
      <c r="I82" s="8">
        <v>22</v>
      </c>
      <c r="J82" s="1">
        <v>1.9657778934160177</v>
      </c>
      <c r="K82" s="1">
        <v>8.7300550067401783E-2</v>
      </c>
      <c r="L82">
        <f t="shared" si="3"/>
        <v>7.6213860420709257E-3</v>
      </c>
      <c r="P82" s="1">
        <v>44</v>
      </c>
      <c r="Q82" s="1">
        <v>-2.2239616793845993E-2</v>
      </c>
      <c r="R82" s="1">
        <v>2.2242502829862489E-2</v>
      </c>
    </row>
    <row r="83" spans="1:18" x14ac:dyDescent="0.35">
      <c r="A83" s="8">
        <v>74</v>
      </c>
      <c r="B83" s="8">
        <f t="shared" si="2"/>
        <v>1.8692317197309762</v>
      </c>
      <c r="C83" s="8">
        <v>2</v>
      </c>
      <c r="D83" s="8">
        <v>0</v>
      </c>
      <c r="E83" s="8">
        <v>0</v>
      </c>
      <c r="F83" s="8">
        <v>0</v>
      </c>
      <c r="G83" s="8">
        <v>0</v>
      </c>
      <c r="H83" s="8">
        <v>0.10199999999999999</v>
      </c>
      <c r="I83" s="8">
        <v>22</v>
      </c>
      <c r="J83" s="1">
        <v>1.9135407372658979</v>
      </c>
      <c r="K83" s="1">
        <v>-4.4309017534921669E-2</v>
      </c>
      <c r="L83">
        <f t="shared" si="3"/>
        <v>1.9632890349099959E-3</v>
      </c>
      <c r="P83" s="1">
        <v>45</v>
      </c>
      <c r="Q83" s="1">
        <v>1.6041972843845162E-2</v>
      </c>
      <c r="R83" s="1">
        <v>3.5129378923277124E-3</v>
      </c>
    </row>
    <row r="84" spans="1:18" x14ac:dyDescent="0.35">
      <c r="A84" s="8">
        <v>83</v>
      </c>
      <c r="B84" s="8">
        <f t="shared" si="2"/>
        <v>1.919078092376074</v>
      </c>
      <c r="C84" s="8">
        <v>7</v>
      </c>
      <c r="D84" s="8">
        <v>78</v>
      </c>
      <c r="E84" s="8">
        <v>26</v>
      </c>
      <c r="F84" s="8">
        <v>71</v>
      </c>
      <c r="G84" s="8">
        <v>29.3</v>
      </c>
      <c r="H84" s="8">
        <v>0.76700000000000002</v>
      </c>
      <c r="I84" s="8">
        <v>36</v>
      </c>
      <c r="J84" s="1">
        <v>2.0571058135988269</v>
      </c>
      <c r="K84" s="1">
        <v>-0.13802772122275297</v>
      </c>
      <c r="L84">
        <f t="shared" si="3"/>
        <v>1.9051651825946012E-2</v>
      </c>
      <c r="P84" s="1">
        <v>46</v>
      </c>
      <c r="Q84" s="1">
        <v>7.3260642750127766E-2</v>
      </c>
      <c r="R84" s="1">
        <v>-2.2477220501953589E-2</v>
      </c>
    </row>
    <row r="85" spans="1:18" x14ac:dyDescent="0.35">
      <c r="A85" s="8">
        <v>101</v>
      </c>
      <c r="B85" s="8">
        <f t="shared" si="2"/>
        <v>2.0043213737826426</v>
      </c>
      <c r="C85" s="8">
        <v>0</v>
      </c>
      <c r="D85" s="8">
        <v>65</v>
      </c>
      <c r="E85" s="8">
        <v>28</v>
      </c>
      <c r="F85" s="8">
        <v>0</v>
      </c>
      <c r="G85" s="8">
        <v>24.6</v>
      </c>
      <c r="H85" s="8">
        <v>0.23699999999999999</v>
      </c>
      <c r="I85" s="8">
        <v>22</v>
      </c>
      <c r="J85" s="1">
        <v>1.949417351006004</v>
      </c>
      <c r="K85" s="1">
        <v>5.4904022776638639E-2</v>
      </c>
      <c r="L85">
        <f t="shared" si="3"/>
        <v>3.0144517170576546E-3</v>
      </c>
      <c r="P85" s="1">
        <v>47</v>
      </c>
      <c r="Q85" s="1">
        <v>2.3959102280621172E-2</v>
      </c>
      <c r="R85" s="1">
        <v>-8.872108589626131E-3</v>
      </c>
    </row>
    <row r="86" spans="1:18" x14ac:dyDescent="0.35">
      <c r="A86" s="8">
        <v>137</v>
      </c>
      <c r="B86" s="8">
        <f t="shared" si="2"/>
        <v>2.1367205671564067</v>
      </c>
      <c r="C86" s="8">
        <v>5</v>
      </c>
      <c r="D86" s="8">
        <v>108</v>
      </c>
      <c r="E86" s="8">
        <v>0</v>
      </c>
      <c r="F86" s="8">
        <v>0</v>
      </c>
      <c r="G86" s="8">
        <v>48.8</v>
      </c>
      <c r="H86" s="8">
        <v>0.22700000000000001</v>
      </c>
      <c r="I86" s="8">
        <v>37</v>
      </c>
      <c r="J86" s="1">
        <v>2.1236017496889712</v>
      </c>
      <c r="K86" s="1">
        <v>1.3118817467435484E-2</v>
      </c>
      <c r="L86">
        <f t="shared" si="3"/>
        <v>1.7210337174389037E-4</v>
      </c>
      <c r="P86" s="1">
        <v>48</v>
      </c>
      <c r="Q86" s="1">
        <v>7.063697315373195E-2</v>
      </c>
      <c r="R86" s="1">
        <v>-5.5530822337190026E-2</v>
      </c>
    </row>
    <row r="87" spans="1:18" x14ac:dyDescent="0.35">
      <c r="A87" s="8">
        <v>110</v>
      </c>
      <c r="B87" s="8">
        <f t="shared" si="2"/>
        <v>2.0413926851582249</v>
      </c>
      <c r="C87" s="8">
        <v>2</v>
      </c>
      <c r="D87" s="8">
        <v>74</v>
      </c>
      <c r="E87" s="8">
        <v>29</v>
      </c>
      <c r="F87" s="8">
        <v>125</v>
      </c>
      <c r="G87" s="8">
        <v>32.4</v>
      </c>
      <c r="H87" s="8">
        <v>0.69799999999999995</v>
      </c>
      <c r="I87" s="8">
        <v>27</v>
      </c>
      <c r="J87" s="1">
        <v>2.0551578591795581</v>
      </c>
      <c r="K87" s="1">
        <v>-1.3765174021333149E-2</v>
      </c>
      <c r="L87">
        <f t="shared" si="3"/>
        <v>1.89480015837585E-4</v>
      </c>
      <c r="P87" s="1">
        <v>49</v>
      </c>
      <c r="Q87" s="1">
        <v>7.6701987362267771E-2</v>
      </c>
      <c r="R87" s="1">
        <v>-7.6701341453196389E-2</v>
      </c>
    </row>
    <row r="88" spans="1:18" x14ac:dyDescent="0.35">
      <c r="A88" s="8">
        <v>106</v>
      </c>
      <c r="B88" s="8">
        <f t="shared" si="2"/>
        <v>2.0253058652647704</v>
      </c>
      <c r="C88" s="8">
        <v>13</v>
      </c>
      <c r="D88" s="8">
        <v>72</v>
      </c>
      <c r="E88" s="8">
        <v>54</v>
      </c>
      <c r="F88" s="8">
        <v>0</v>
      </c>
      <c r="G88" s="8">
        <v>36.6</v>
      </c>
      <c r="H88" s="8">
        <v>0.17799999999999999</v>
      </c>
      <c r="I88" s="8">
        <v>45</v>
      </c>
      <c r="J88" s="1">
        <v>1.9978834495019806</v>
      </c>
      <c r="K88" s="1">
        <v>2.7422415762789809E-2</v>
      </c>
      <c r="L88">
        <f t="shared" si="3"/>
        <v>7.5198888626730302E-4</v>
      </c>
      <c r="P88" s="1">
        <v>50</v>
      </c>
      <c r="Q88" s="1">
        <v>2.6552809031146547E-2</v>
      </c>
      <c r="R88" s="1">
        <v>-1.8010777766563301E-2</v>
      </c>
    </row>
    <row r="89" spans="1:18" x14ac:dyDescent="0.35">
      <c r="A89" s="8">
        <v>100</v>
      </c>
      <c r="B89" s="8">
        <f t="shared" si="2"/>
        <v>2</v>
      </c>
      <c r="C89" s="8">
        <v>2</v>
      </c>
      <c r="D89" s="8">
        <v>68</v>
      </c>
      <c r="E89" s="8">
        <v>25</v>
      </c>
      <c r="F89" s="8">
        <v>71</v>
      </c>
      <c r="G89" s="8">
        <v>38.5</v>
      </c>
      <c r="H89" s="8">
        <v>0.32400000000000001</v>
      </c>
      <c r="I89" s="8">
        <v>26</v>
      </c>
      <c r="J89" s="1">
        <v>2.0399899340708929</v>
      </c>
      <c r="K89" s="1">
        <v>-3.9989934070892907E-2</v>
      </c>
      <c r="L89">
        <f t="shared" si="3"/>
        <v>1.5991948269943614E-3</v>
      </c>
      <c r="P89" s="1">
        <v>51</v>
      </c>
      <c r="Q89" s="1">
        <v>2.0210289427303678E-2</v>
      </c>
      <c r="R89" s="1">
        <v>-2.0173228224388773E-2</v>
      </c>
    </row>
    <row r="90" spans="1:18" x14ac:dyDescent="0.35">
      <c r="A90" s="8">
        <v>136</v>
      </c>
      <c r="B90" s="8">
        <f t="shared" si="2"/>
        <v>2.1335389083702174</v>
      </c>
      <c r="C90" s="8">
        <v>15</v>
      </c>
      <c r="D90" s="8">
        <v>70</v>
      </c>
      <c r="E90" s="8">
        <v>32</v>
      </c>
      <c r="F90" s="8">
        <v>110</v>
      </c>
      <c r="G90" s="8">
        <v>37.1</v>
      </c>
      <c r="H90" s="8">
        <v>0.153</v>
      </c>
      <c r="I90" s="8">
        <v>43</v>
      </c>
      <c r="J90" s="1">
        <v>2.0879824613437243</v>
      </c>
      <c r="K90" s="1">
        <v>4.5556447026493085E-2</v>
      </c>
      <c r="L90">
        <f t="shared" si="3"/>
        <v>2.0753898656776706E-3</v>
      </c>
      <c r="P90" s="1">
        <v>52</v>
      </c>
      <c r="Q90" s="1">
        <v>4.3915931833474656E-2</v>
      </c>
      <c r="R90" s="1">
        <v>-4.3915367038847901E-2</v>
      </c>
    </row>
    <row r="91" spans="1:18" x14ac:dyDescent="0.35">
      <c r="A91" s="8">
        <v>107</v>
      </c>
      <c r="B91" s="8">
        <f t="shared" si="2"/>
        <v>2.0293837776852097</v>
      </c>
      <c r="C91" s="8">
        <v>1</v>
      </c>
      <c r="D91" s="8">
        <v>68</v>
      </c>
      <c r="E91" s="8">
        <v>19</v>
      </c>
      <c r="F91" s="8">
        <v>0</v>
      </c>
      <c r="G91" s="8">
        <v>26.5</v>
      </c>
      <c r="H91" s="8">
        <v>0.16500000000000001</v>
      </c>
      <c r="I91" s="8">
        <v>24</v>
      </c>
      <c r="J91" s="1">
        <v>1.9766981671809889</v>
      </c>
      <c r="K91" s="1">
        <v>5.2685610504220826E-2</v>
      </c>
      <c r="L91">
        <f t="shared" si="3"/>
        <v>2.7757735542024639E-3</v>
      </c>
      <c r="P91" s="1">
        <v>53</v>
      </c>
      <c r="Q91" s="1">
        <v>5.2201866943663189E-2</v>
      </c>
      <c r="R91" s="1">
        <v>-4.9151837972539657E-2</v>
      </c>
    </row>
    <row r="92" spans="1:18" x14ac:dyDescent="0.35">
      <c r="A92" s="8">
        <v>80</v>
      </c>
      <c r="B92" s="8">
        <f t="shared" si="2"/>
        <v>1.9030899869919435</v>
      </c>
      <c r="C92" s="8">
        <v>1</v>
      </c>
      <c r="D92" s="8">
        <v>55</v>
      </c>
      <c r="E92" s="8">
        <v>0</v>
      </c>
      <c r="F92" s="8">
        <v>0</v>
      </c>
      <c r="G92" s="8">
        <v>19.100000000000001</v>
      </c>
      <c r="H92" s="8">
        <v>0.25800000000000001</v>
      </c>
      <c r="I92" s="8">
        <v>21</v>
      </c>
      <c r="J92" s="1">
        <v>1.9849996217871415</v>
      </c>
      <c r="K92" s="1">
        <v>-8.1909634795197972E-2</v>
      </c>
      <c r="L92">
        <f t="shared" si="3"/>
        <v>6.7091882722827064E-3</v>
      </c>
      <c r="P92" s="1">
        <v>54</v>
      </c>
      <c r="Q92" s="1">
        <v>-1.1717657203608869E-2</v>
      </c>
      <c r="R92" s="1">
        <v>1.3355298222349692E-2</v>
      </c>
    </row>
    <row r="93" spans="1:18" x14ac:dyDescent="0.35">
      <c r="A93" s="8">
        <v>123</v>
      </c>
      <c r="B93" s="8">
        <f t="shared" si="2"/>
        <v>2.0899051114393981</v>
      </c>
      <c r="C93" s="8">
        <v>4</v>
      </c>
      <c r="D93" s="8">
        <v>80</v>
      </c>
      <c r="E93" s="8">
        <v>15</v>
      </c>
      <c r="F93" s="8">
        <v>176</v>
      </c>
      <c r="G93" s="8">
        <v>32</v>
      </c>
      <c r="H93" s="8">
        <v>0.443</v>
      </c>
      <c r="I93" s="8">
        <v>34</v>
      </c>
      <c r="J93" s="1">
        <v>2.1174685536392133</v>
      </c>
      <c r="K93" s="1">
        <v>-2.7563442199815213E-2</v>
      </c>
      <c r="L93">
        <f t="shared" si="3"/>
        <v>7.5974334590255411E-4</v>
      </c>
      <c r="P93" s="1">
        <v>55</v>
      </c>
      <c r="Q93" s="1">
        <v>-4.2559749330878336E-3</v>
      </c>
      <c r="R93" s="1">
        <v>4.2714453442804249E-3</v>
      </c>
    </row>
    <row r="94" spans="1:18" x14ac:dyDescent="0.35">
      <c r="A94" s="8">
        <v>81</v>
      </c>
      <c r="B94" s="8">
        <f t="shared" si="2"/>
        <v>1.9084850188786497</v>
      </c>
      <c r="C94" s="8">
        <v>7</v>
      </c>
      <c r="D94" s="8">
        <v>78</v>
      </c>
      <c r="E94" s="8">
        <v>40</v>
      </c>
      <c r="F94" s="8">
        <v>48</v>
      </c>
      <c r="G94" s="8">
        <v>46.7</v>
      </c>
      <c r="H94" s="8">
        <v>0.26100000000000001</v>
      </c>
      <c r="I94" s="8">
        <v>42</v>
      </c>
      <c r="J94" s="1">
        <v>2.0661225143740887</v>
      </c>
      <c r="K94" s="1">
        <v>-0.15763749549543893</v>
      </c>
      <c r="L94">
        <f t="shared" si="3"/>
        <v>2.4849579986074528E-2</v>
      </c>
      <c r="P94" s="1">
        <v>56</v>
      </c>
      <c r="Q94" s="1">
        <v>5.0050711050907408E-2</v>
      </c>
      <c r="R94" s="1">
        <v>-3.7773831523629293E-2</v>
      </c>
    </row>
    <row r="95" spans="1:18" x14ac:dyDescent="0.35">
      <c r="A95" s="8">
        <v>134</v>
      </c>
      <c r="B95" s="8">
        <f t="shared" si="2"/>
        <v>2.1271047983648077</v>
      </c>
      <c r="C95" s="8">
        <v>4</v>
      </c>
      <c r="D95" s="8">
        <v>72</v>
      </c>
      <c r="E95" s="8">
        <v>0</v>
      </c>
      <c r="F95" s="8">
        <v>0</v>
      </c>
      <c r="G95" s="8">
        <v>23.8</v>
      </c>
      <c r="H95" s="8">
        <v>0.27700000000000002</v>
      </c>
      <c r="I95" s="8">
        <v>60</v>
      </c>
      <c r="J95" s="1">
        <v>2.0976923075900982</v>
      </c>
      <c r="K95" s="1">
        <v>2.9412490774709532E-2</v>
      </c>
      <c r="L95">
        <f t="shared" si="3"/>
        <v>8.6509461357237331E-4</v>
      </c>
      <c r="P95" s="1">
        <v>57</v>
      </c>
      <c r="Q95" s="1">
        <v>8.9719016404150257E-3</v>
      </c>
      <c r="R95" s="1">
        <v>4.9198766141285086E-3</v>
      </c>
    </row>
    <row r="96" spans="1:18" x14ac:dyDescent="0.35">
      <c r="A96" s="8">
        <v>142</v>
      </c>
      <c r="B96" s="8">
        <f t="shared" si="2"/>
        <v>2.1522883443830563</v>
      </c>
      <c r="C96" s="8">
        <v>2</v>
      </c>
      <c r="D96" s="8">
        <v>82</v>
      </c>
      <c r="E96" s="8">
        <v>18</v>
      </c>
      <c r="F96" s="8">
        <v>64</v>
      </c>
      <c r="G96" s="8">
        <v>24.7</v>
      </c>
      <c r="H96" s="8">
        <v>0.76100000000000001</v>
      </c>
      <c r="I96" s="8">
        <v>21</v>
      </c>
      <c r="J96" s="1">
        <v>2.0185069846564896</v>
      </c>
      <c r="K96" s="1">
        <v>0.13378135972656668</v>
      </c>
      <c r="L96">
        <f t="shared" si="3"/>
        <v>1.7897452210289037E-2</v>
      </c>
      <c r="P96" s="1">
        <v>58</v>
      </c>
      <c r="Q96" s="1">
        <v>9.6221170843031278E-2</v>
      </c>
      <c r="R96" s="1">
        <v>-9.4047881916170223E-2</v>
      </c>
    </row>
    <row r="97" spans="1:18" x14ac:dyDescent="0.35">
      <c r="A97" s="8">
        <v>144</v>
      </c>
      <c r="B97" s="8">
        <f t="shared" si="2"/>
        <v>2.1583624920952498</v>
      </c>
      <c r="C97" s="8">
        <v>6</v>
      </c>
      <c r="D97" s="8">
        <v>72</v>
      </c>
      <c r="E97" s="8">
        <v>27</v>
      </c>
      <c r="F97" s="8">
        <v>228</v>
      </c>
      <c r="G97" s="8">
        <v>33.9</v>
      </c>
      <c r="H97" s="8">
        <v>0.255</v>
      </c>
      <c r="I97" s="8">
        <v>40</v>
      </c>
      <c r="J97" s="1">
        <v>2.1306500613937653</v>
      </c>
      <c r="K97" s="1">
        <v>2.7712430701484436E-2</v>
      </c>
      <c r="L97">
        <f t="shared" si="3"/>
        <v>7.6797881538457713E-4</v>
      </c>
      <c r="P97" s="1">
        <v>59</v>
      </c>
      <c r="Q97" s="1">
        <v>-2.9064080157269441E-3</v>
      </c>
      <c r="R97" s="1">
        <v>3.1622870936709522E-3</v>
      </c>
    </row>
    <row r="98" spans="1:18" x14ac:dyDescent="0.35">
      <c r="A98" s="8">
        <v>92</v>
      </c>
      <c r="B98" s="8">
        <f t="shared" si="2"/>
        <v>1.9637878273455553</v>
      </c>
      <c r="C98" s="8">
        <v>2</v>
      </c>
      <c r="D98" s="8">
        <v>62</v>
      </c>
      <c r="E98" s="8">
        <v>28</v>
      </c>
      <c r="F98" s="8">
        <v>0</v>
      </c>
      <c r="G98" s="8">
        <v>31.6</v>
      </c>
      <c r="H98" s="8">
        <v>0.13</v>
      </c>
      <c r="I98" s="8">
        <v>24</v>
      </c>
      <c r="J98" s="1">
        <v>1.9709375768864594</v>
      </c>
      <c r="K98" s="1">
        <v>-7.1497495409040823E-3</v>
      </c>
      <c r="L98">
        <f t="shared" si="3"/>
        <v>5.1118918497658134E-5</v>
      </c>
      <c r="P98" s="1">
        <v>60</v>
      </c>
      <c r="Q98" s="1">
        <v>7.2277454712250652E-2</v>
      </c>
      <c r="R98" s="1">
        <v>-7.2154571311934271E-2</v>
      </c>
    </row>
    <row r="99" spans="1:18" x14ac:dyDescent="0.35">
      <c r="A99" s="8">
        <v>71</v>
      </c>
      <c r="B99" s="8">
        <f t="shared" si="2"/>
        <v>1.8512583487190752</v>
      </c>
      <c r="C99" s="8">
        <v>1</v>
      </c>
      <c r="D99" s="8">
        <v>48</v>
      </c>
      <c r="E99" s="8">
        <v>18</v>
      </c>
      <c r="F99" s="8">
        <v>76</v>
      </c>
      <c r="G99" s="8">
        <v>20.399999999999999</v>
      </c>
      <c r="H99" s="8">
        <v>0.32300000000000001</v>
      </c>
      <c r="I99" s="8">
        <v>22</v>
      </c>
      <c r="J99" s="1">
        <v>1.9897583626706772</v>
      </c>
      <c r="K99" s="1">
        <v>-0.13850001395160194</v>
      </c>
      <c r="L99">
        <f t="shared" si="3"/>
        <v>1.9182253864593931E-2</v>
      </c>
      <c r="P99" s="1">
        <v>61</v>
      </c>
      <c r="Q99" s="1">
        <v>3.5010944430004728E-2</v>
      </c>
      <c r="R99" s="1">
        <v>-3.4957804584032012E-2</v>
      </c>
    </row>
    <row r="100" spans="1:18" x14ac:dyDescent="0.35">
      <c r="A100" s="8">
        <v>93</v>
      </c>
      <c r="B100" s="8">
        <f t="shared" si="2"/>
        <v>1.968482948553935</v>
      </c>
      <c r="C100" s="8">
        <v>6</v>
      </c>
      <c r="D100" s="8">
        <v>50</v>
      </c>
      <c r="E100" s="8">
        <v>30</v>
      </c>
      <c r="F100" s="8">
        <v>64</v>
      </c>
      <c r="G100" s="8">
        <v>28.7</v>
      </c>
      <c r="H100" s="8">
        <v>0.35599999999999998</v>
      </c>
      <c r="I100" s="8">
        <v>23</v>
      </c>
      <c r="J100" s="1">
        <v>1.9921455919974895</v>
      </c>
      <c r="K100" s="1">
        <v>-2.366264344355451E-2</v>
      </c>
      <c r="L100">
        <f t="shared" si="3"/>
        <v>5.5992069473679326E-4</v>
      </c>
      <c r="P100" s="1">
        <v>62</v>
      </c>
      <c r="Q100" s="1">
        <v>1.4271395062120419E-2</v>
      </c>
      <c r="R100" s="1">
        <v>-1.2086858620286649E-2</v>
      </c>
    </row>
    <row r="101" spans="1:18" x14ac:dyDescent="0.35">
      <c r="A101" s="8">
        <v>122</v>
      </c>
      <c r="B101" s="8">
        <f t="shared" si="2"/>
        <v>2.0863598306747484</v>
      </c>
      <c r="C101" s="8">
        <v>1</v>
      </c>
      <c r="D101" s="8">
        <v>90</v>
      </c>
      <c r="E101" s="8">
        <v>51</v>
      </c>
      <c r="F101" s="8">
        <v>220</v>
      </c>
      <c r="G101" s="8">
        <v>49.7</v>
      </c>
      <c r="H101" s="8">
        <v>0.32500000000000001</v>
      </c>
      <c r="I101" s="8">
        <v>31</v>
      </c>
      <c r="J101" s="1">
        <v>2.1054051253046957</v>
      </c>
      <c r="K101" s="1">
        <v>-1.9045294629947307E-2</v>
      </c>
      <c r="L101">
        <f t="shared" si="3"/>
        <v>3.6272324754149974E-4</v>
      </c>
      <c r="P101" s="1">
        <v>63</v>
      </c>
      <c r="Q101" s="1">
        <v>1.4540197267373739E-2</v>
      </c>
      <c r="R101" s="1">
        <v>0.15198568924617056</v>
      </c>
    </row>
    <row r="102" spans="1:18" x14ac:dyDescent="0.35">
      <c r="A102" s="8">
        <v>163</v>
      </c>
      <c r="B102" s="8">
        <f t="shared" si="2"/>
        <v>2.2121876044039577</v>
      </c>
      <c r="C102" s="8">
        <v>1</v>
      </c>
      <c r="D102" s="8">
        <v>72</v>
      </c>
      <c r="E102" s="8">
        <v>0</v>
      </c>
      <c r="F102" s="8">
        <v>0</v>
      </c>
      <c r="G102" s="8">
        <v>39</v>
      </c>
      <c r="H102" s="8">
        <v>1.222</v>
      </c>
      <c r="I102" s="8">
        <v>33</v>
      </c>
      <c r="J102" s="1">
        <v>2.1002794270536604</v>
      </c>
      <c r="K102" s="1">
        <v>0.11190817735029723</v>
      </c>
      <c r="L102">
        <f t="shared" si="3"/>
        <v>1.2523440157865579E-2</v>
      </c>
      <c r="P102" s="1">
        <v>64</v>
      </c>
      <c r="Q102" s="1">
        <v>4.9140951194449431E-2</v>
      </c>
      <c r="R102" s="1">
        <v>-3.1242887393468456E-2</v>
      </c>
    </row>
    <row r="103" spans="1:18" x14ac:dyDescent="0.35">
      <c r="A103" s="8">
        <v>151</v>
      </c>
      <c r="B103" s="8">
        <f t="shared" si="2"/>
        <v>2.1789769472931693</v>
      </c>
      <c r="C103" s="8">
        <v>1</v>
      </c>
      <c r="D103" s="8">
        <v>60</v>
      </c>
      <c r="E103" s="8">
        <v>0</v>
      </c>
      <c r="F103" s="8">
        <v>0</v>
      </c>
      <c r="G103" s="8">
        <v>26.1</v>
      </c>
      <c r="H103" s="8">
        <v>0.17899999999999999</v>
      </c>
      <c r="I103" s="8">
        <v>22</v>
      </c>
      <c r="J103" s="1">
        <v>2.0057606485027137</v>
      </c>
      <c r="K103" s="1">
        <v>0.17321629879045553</v>
      </c>
      <c r="L103">
        <f t="shared" si="3"/>
        <v>3.0003886166664363E-2</v>
      </c>
      <c r="P103" s="1">
        <v>65</v>
      </c>
      <c r="Q103" s="1">
        <v>1.6568846149701971E-2</v>
      </c>
      <c r="R103" s="1">
        <v>-1.6010770433993345E-2</v>
      </c>
    </row>
    <row r="104" spans="1:18" x14ac:dyDescent="0.35">
      <c r="A104" s="8">
        <v>125</v>
      </c>
      <c r="B104" s="8">
        <f t="shared" si="2"/>
        <v>2.0969100130080562</v>
      </c>
      <c r="C104" s="8">
        <v>0</v>
      </c>
      <c r="D104" s="8">
        <v>96</v>
      </c>
      <c r="E104" s="8">
        <v>0</v>
      </c>
      <c r="F104" s="8">
        <v>0</v>
      </c>
      <c r="G104" s="8">
        <v>22.5</v>
      </c>
      <c r="H104" s="8">
        <v>0.26200000000000001</v>
      </c>
      <c r="I104" s="8">
        <v>21</v>
      </c>
      <c r="J104" s="1">
        <v>2.0071009234500097</v>
      </c>
      <c r="K104" s="1">
        <v>8.9809089558046562E-2</v>
      </c>
      <c r="L104">
        <f t="shared" si="3"/>
        <v>8.0656725672452276E-3</v>
      </c>
      <c r="P104" s="1">
        <v>66</v>
      </c>
      <c r="Q104" s="1">
        <v>7.0742352267346306E-2</v>
      </c>
      <c r="R104" s="1">
        <v>-7.0737412178018225E-2</v>
      </c>
    </row>
    <row r="105" spans="1:18" x14ac:dyDescent="0.35">
      <c r="A105" s="8">
        <v>81</v>
      </c>
      <c r="B105" s="8">
        <f t="shared" si="2"/>
        <v>1.9084850188786497</v>
      </c>
      <c r="C105" s="8">
        <v>1</v>
      </c>
      <c r="D105" s="8">
        <v>72</v>
      </c>
      <c r="E105" s="8">
        <v>18</v>
      </c>
      <c r="F105" s="8">
        <v>40</v>
      </c>
      <c r="G105" s="8">
        <v>26.6</v>
      </c>
      <c r="H105" s="8">
        <v>0.28299999999999997</v>
      </c>
      <c r="I105" s="8">
        <v>24</v>
      </c>
      <c r="J105" s="1">
        <v>2.0017944438431257</v>
      </c>
      <c r="K105" s="1">
        <v>-9.3309424964475918E-2</v>
      </c>
      <c r="L105">
        <f t="shared" si="3"/>
        <v>8.706648787201161E-3</v>
      </c>
      <c r="P105" s="1">
        <v>67</v>
      </c>
      <c r="Q105" s="1">
        <v>6.9096091942455584E-2</v>
      </c>
      <c r="R105" s="1">
        <v>-6.9035021796176377E-2</v>
      </c>
    </row>
    <row r="106" spans="1:18" x14ac:dyDescent="0.35">
      <c r="A106" s="8">
        <v>85</v>
      </c>
      <c r="B106" s="8">
        <f t="shared" si="2"/>
        <v>1.9294189257142926</v>
      </c>
      <c r="C106" s="8">
        <v>2</v>
      </c>
      <c r="D106" s="8">
        <v>65</v>
      </c>
      <c r="E106" s="8">
        <v>0</v>
      </c>
      <c r="F106" s="8">
        <v>0</v>
      </c>
      <c r="G106" s="8">
        <v>39.6</v>
      </c>
      <c r="H106" s="8">
        <v>0.93</v>
      </c>
      <c r="I106" s="8">
        <v>27</v>
      </c>
      <c r="J106" s="1">
        <v>2.0781946355727663</v>
      </c>
      <c r="K106" s="1">
        <v>-0.14877570985847366</v>
      </c>
      <c r="L106">
        <f t="shared" si="3"/>
        <v>2.2134211843892738E-2</v>
      </c>
      <c r="P106" s="1">
        <v>68</v>
      </c>
      <c r="Q106" s="1">
        <v>8.1844095152853319E-3</v>
      </c>
      <c r="R106" s="1">
        <v>5.8987676963512554E-3</v>
      </c>
    </row>
    <row r="107" spans="1:18" x14ac:dyDescent="0.35">
      <c r="A107" s="8">
        <v>126</v>
      </c>
      <c r="B107" s="8">
        <f t="shared" si="2"/>
        <v>2.1003705451175629</v>
      </c>
      <c r="C107" s="8">
        <v>1</v>
      </c>
      <c r="D107" s="8">
        <v>56</v>
      </c>
      <c r="E107" s="8">
        <v>29</v>
      </c>
      <c r="F107" s="8">
        <v>152</v>
      </c>
      <c r="G107" s="8">
        <v>28.7</v>
      </c>
      <c r="H107" s="8">
        <v>0.80100000000000005</v>
      </c>
      <c r="I107" s="8">
        <v>21</v>
      </c>
      <c r="J107" s="1">
        <v>2.0393665722845302</v>
      </c>
      <c r="K107" s="1">
        <v>6.1003972833032716E-2</v>
      </c>
      <c r="L107">
        <f t="shared" si="3"/>
        <v>3.7214847014133937E-3</v>
      </c>
      <c r="P107" s="1">
        <v>69</v>
      </c>
      <c r="Q107" s="1">
        <v>4.029772581535665E-2</v>
      </c>
      <c r="R107" s="1">
        <v>-4.0051760252657505E-2</v>
      </c>
    </row>
    <row r="108" spans="1:18" x14ac:dyDescent="0.35">
      <c r="A108" s="8">
        <v>96</v>
      </c>
      <c r="B108" s="8">
        <f t="shared" si="2"/>
        <v>1.9822712330395684</v>
      </c>
      <c r="C108" s="8">
        <v>1</v>
      </c>
      <c r="D108" s="8">
        <v>122</v>
      </c>
      <c r="E108" s="8">
        <v>0</v>
      </c>
      <c r="F108" s="8">
        <v>0</v>
      </c>
      <c r="G108" s="8">
        <v>22.4</v>
      </c>
      <c r="H108" s="8">
        <v>0.20699999999999999</v>
      </c>
      <c r="I108" s="8">
        <v>27</v>
      </c>
      <c r="J108" s="1">
        <v>2.0288715721736472</v>
      </c>
      <c r="K108" s="1">
        <v>-4.6600339134078794E-2</v>
      </c>
      <c r="L108">
        <f t="shared" si="3"/>
        <v>2.1715916074111557E-3</v>
      </c>
      <c r="P108" s="1">
        <v>70</v>
      </c>
      <c r="Q108" s="1">
        <v>4.5198957282123073E-2</v>
      </c>
      <c r="R108" s="1">
        <v>-2.6938115019043529E-2</v>
      </c>
    </row>
    <row r="109" spans="1:18" x14ac:dyDescent="0.35">
      <c r="A109" s="8">
        <v>144</v>
      </c>
      <c r="B109" s="8">
        <f t="shared" si="2"/>
        <v>2.1583624920952498</v>
      </c>
      <c r="C109" s="8">
        <v>4</v>
      </c>
      <c r="D109" s="8">
        <v>58</v>
      </c>
      <c r="E109" s="8">
        <v>28</v>
      </c>
      <c r="F109" s="8">
        <v>140</v>
      </c>
      <c r="G109" s="8">
        <v>29.5</v>
      </c>
      <c r="H109" s="8">
        <v>0.28699999999999998</v>
      </c>
      <c r="I109" s="8">
        <v>37</v>
      </c>
      <c r="J109" s="1">
        <v>2.0641336765107874</v>
      </c>
      <c r="K109" s="1">
        <v>9.4228815584462389E-2</v>
      </c>
      <c r="L109">
        <f t="shared" si="3"/>
        <v>8.8790696864506219E-3</v>
      </c>
      <c r="P109" s="1">
        <v>71</v>
      </c>
      <c r="Q109" s="1">
        <v>2.8838899783281021E-2</v>
      </c>
      <c r="R109" s="1">
        <v>-2.4910074053629831E-2</v>
      </c>
    </row>
    <row r="110" spans="1:18" x14ac:dyDescent="0.35">
      <c r="A110" s="8">
        <v>83</v>
      </c>
      <c r="B110" s="8">
        <f t="shared" si="2"/>
        <v>1.919078092376074</v>
      </c>
      <c r="C110" s="8">
        <v>3</v>
      </c>
      <c r="D110" s="8">
        <v>58</v>
      </c>
      <c r="E110" s="8">
        <v>31</v>
      </c>
      <c r="F110" s="8">
        <v>18</v>
      </c>
      <c r="G110" s="8">
        <v>34.299999999999997</v>
      </c>
      <c r="H110" s="8">
        <v>0.33600000000000002</v>
      </c>
      <c r="I110" s="8">
        <v>25</v>
      </c>
      <c r="J110" s="1">
        <v>1.9884289768355243</v>
      </c>
      <c r="K110" s="1">
        <v>-6.9350884459450368E-2</v>
      </c>
      <c r="L110">
        <f t="shared" si="3"/>
        <v>4.8095451753080347E-3</v>
      </c>
      <c r="P110" s="1">
        <v>72</v>
      </c>
      <c r="Q110" s="1">
        <v>4.739556394905034E-2</v>
      </c>
      <c r="R110" s="1">
        <v>-3.4375392217686158E-2</v>
      </c>
    </row>
    <row r="111" spans="1:18" x14ac:dyDescent="0.35">
      <c r="A111" s="8">
        <v>95</v>
      </c>
      <c r="B111" s="8">
        <f t="shared" si="2"/>
        <v>1.9777236052888478</v>
      </c>
      <c r="C111" s="8">
        <v>0</v>
      </c>
      <c r="D111" s="8">
        <v>85</v>
      </c>
      <c r="E111" s="8">
        <v>25</v>
      </c>
      <c r="F111" s="8">
        <v>36</v>
      </c>
      <c r="G111" s="8">
        <v>37.4</v>
      </c>
      <c r="H111" s="8">
        <v>0.247</v>
      </c>
      <c r="I111" s="8">
        <v>24</v>
      </c>
      <c r="J111" s="1">
        <v>2.0180255286439706</v>
      </c>
      <c r="K111" s="1">
        <v>-4.0301923355122726E-2</v>
      </c>
      <c r="L111">
        <f t="shared" si="3"/>
        <v>1.6242450261221867E-3</v>
      </c>
      <c r="P111" s="1">
        <v>73</v>
      </c>
      <c r="Q111" s="1">
        <v>-1.9702603883886716E-3</v>
      </c>
      <c r="R111" s="1">
        <v>2.993566930327029E-3</v>
      </c>
    </row>
    <row r="112" spans="1:18" x14ac:dyDescent="0.35">
      <c r="A112" s="8">
        <v>171</v>
      </c>
      <c r="B112" s="8">
        <f t="shared" si="2"/>
        <v>2.2329961103921536</v>
      </c>
      <c r="C112" s="8">
        <v>3</v>
      </c>
      <c r="D112" s="8">
        <v>72</v>
      </c>
      <c r="E112" s="8">
        <v>33</v>
      </c>
      <c r="F112" s="8">
        <v>135</v>
      </c>
      <c r="G112" s="8">
        <v>33.299999999999997</v>
      </c>
      <c r="H112" s="8">
        <v>0.19900000000000001</v>
      </c>
      <c r="I112" s="8">
        <v>24</v>
      </c>
      <c r="J112" s="1">
        <v>2.0333594688397847</v>
      </c>
      <c r="K112" s="1">
        <v>0.19963664155236893</v>
      </c>
      <c r="L112">
        <f t="shared" si="3"/>
        <v>3.9854788650309038E-2</v>
      </c>
      <c r="P112" s="1">
        <v>74</v>
      </c>
      <c r="Q112" s="1">
        <v>-1.2284217971783404E-2</v>
      </c>
      <c r="R112" s="1">
        <v>1.2628002098141801E-2</v>
      </c>
    </row>
    <row r="113" spans="1:18" x14ac:dyDescent="0.35">
      <c r="A113" s="8">
        <v>155</v>
      </c>
      <c r="B113" s="8">
        <f t="shared" si="2"/>
        <v>2.1903316981702914</v>
      </c>
      <c r="C113" s="8">
        <v>8</v>
      </c>
      <c r="D113" s="8">
        <v>62</v>
      </c>
      <c r="E113" s="8">
        <v>26</v>
      </c>
      <c r="F113" s="8">
        <v>495</v>
      </c>
      <c r="G113" s="8">
        <v>34</v>
      </c>
      <c r="H113" s="8">
        <v>0.54300000000000004</v>
      </c>
      <c r="I113" s="8">
        <v>46</v>
      </c>
      <c r="J113" s="1">
        <v>2.2748742877760555</v>
      </c>
      <c r="K113" s="1">
        <v>-8.4542589605764107E-2</v>
      </c>
      <c r="L113">
        <f t="shared" si="3"/>
        <v>7.1474494572486532E-3</v>
      </c>
      <c r="P113" s="1">
        <v>75</v>
      </c>
      <c r="Q113" s="1">
        <v>8.0868705891919315E-2</v>
      </c>
      <c r="R113" s="1">
        <v>-7.4964878718447786E-2</v>
      </c>
    </row>
    <row r="114" spans="1:18" x14ac:dyDescent="0.35">
      <c r="A114" s="8">
        <v>89</v>
      </c>
      <c r="B114" s="8">
        <f t="shared" si="2"/>
        <v>1.9493900066449128</v>
      </c>
      <c r="C114" s="8">
        <v>1</v>
      </c>
      <c r="D114" s="8">
        <v>76</v>
      </c>
      <c r="E114" s="8">
        <v>34</v>
      </c>
      <c r="F114" s="8">
        <v>37</v>
      </c>
      <c r="G114" s="8">
        <v>31.2</v>
      </c>
      <c r="H114" s="8">
        <v>0.192</v>
      </c>
      <c r="I114" s="8">
        <v>23</v>
      </c>
      <c r="J114" s="1">
        <v>1.9781102232342276</v>
      </c>
      <c r="K114" s="1">
        <v>-2.8720216589314784E-2</v>
      </c>
      <c r="L114">
        <f t="shared" si="3"/>
        <v>8.2485084093715218E-4</v>
      </c>
      <c r="P114" s="1">
        <v>76</v>
      </c>
      <c r="Q114" s="1">
        <v>7.0910403506471001E-2</v>
      </c>
      <c r="R114" s="1">
        <v>3.7620657223174359</v>
      </c>
    </row>
    <row r="115" spans="1:18" x14ac:dyDescent="0.35">
      <c r="A115" s="8">
        <v>76</v>
      </c>
      <c r="B115" s="8">
        <f t="shared" si="2"/>
        <v>1.8808135922807914</v>
      </c>
      <c r="C115" s="8">
        <v>4</v>
      </c>
      <c r="D115" s="8">
        <v>62</v>
      </c>
      <c r="E115" s="8">
        <v>0</v>
      </c>
      <c r="F115" s="8">
        <v>0</v>
      </c>
      <c r="G115" s="8">
        <v>34</v>
      </c>
      <c r="H115" s="8">
        <v>0.39100000000000001</v>
      </c>
      <c r="I115" s="8">
        <v>25</v>
      </c>
      <c r="J115" s="1">
        <v>2.0438033053248192</v>
      </c>
      <c r="K115" s="1">
        <v>-0.16298971304402787</v>
      </c>
      <c r="L115">
        <f t="shared" si="3"/>
        <v>2.656564655817455E-2</v>
      </c>
      <c r="P115" s="1">
        <v>77</v>
      </c>
      <c r="Q115" s="1">
        <v>1.2237854917968459E-2</v>
      </c>
      <c r="R115" s="1">
        <v>7.3657038179408288E-2</v>
      </c>
    </row>
    <row r="116" spans="1:18" x14ac:dyDescent="0.35">
      <c r="A116" s="8">
        <v>160</v>
      </c>
      <c r="B116" s="8">
        <f t="shared" si="2"/>
        <v>2.2041199826559246</v>
      </c>
      <c r="C116" s="8">
        <v>7</v>
      </c>
      <c r="D116" s="8">
        <v>54</v>
      </c>
      <c r="E116" s="8">
        <v>32</v>
      </c>
      <c r="F116" s="8">
        <v>175</v>
      </c>
      <c r="G116" s="8">
        <v>30.5</v>
      </c>
      <c r="H116" s="8">
        <v>0.58799999999999997</v>
      </c>
      <c r="I116" s="8">
        <v>39</v>
      </c>
      <c r="J116" s="1">
        <v>2.0897233359027316</v>
      </c>
      <c r="K116" s="1">
        <v>0.11439664675319294</v>
      </c>
      <c r="L116">
        <f t="shared" si="3"/>
        <v>1.3086592788374809E-2</v>
      </c>
      <c r="P116" s="1">
        <v>78</v>
      </c>
      <c r="Q116" s="1">
        <v>8.0777895599837099E-2</v>
      </c>
      <c r="R116" s="1">
        <v>-8.0374622690552039E-2</v>
      </c>
    </row>
    <row r="117" spans="1:18" x14ac:dyDescent="0.35">
      <c r="A117" s="8">
        <v>146</v>
      </c>
      <c r="B117" s="8">
        <f t="shared" si="2"/>
        <v>2.1643528557844371</v>
      </c>
      <c r="C117" s="8">
        <v>4</v>
      </c>
      <c r="D117" s="8">
        <v>92</v>
      </c>
      <c r="E117" s="8">
        <v>0</v>
      </c>
      <c r="F117" s="8">
        <v>0</v>
      </c>
      <c r="G117" s="8">
        <v>31.2</v>
      </c>
      <c r="H117" s="8">
        <v>0.53900000000000003</v>
      </c>
      <c r="I117" s="8">
        <v>61</v>
      </c>
      <c r="J117" s="1">
        <v>2.1343066616224786</v>
      </c>
      <c r="K117" s="1">
        <v>3.0046194161958528E-2</v>
      </c>
      <c r="L117">
        <f t="shared" si="3"/>
        <v>9.0277378361811077E-4</v>
      </c>
      <c r="P117" s="1">
        <v>79</v>
      </c>
      <c r="Q117" s="1">
        <v>4.2206097568793413E-2</v>
      </c>
      <c r="R117" s="1">
        <v>-3.671131176349355E-2</v>
      </c>
    </row>
    <row r="118" spans="1:18" x14ac:dyDescent="0.35">
      <c r="A118" s="8">
        <v>124</v>
      </c>
      <c r="B118" s="8">
        <f t="shared" si="2"/>
        <v>2.0934216851622351</v>
      </c>
      <c r="C118" s="8">
        <v>5</v>
      </c>
      <c r="D118" s="8">
        <v>74</v>
      </c>
      <c r="E118" s="8">
        <v>0</v>
      </c>
      <c r="F118" s="8">
        <v>0</v>
      </c>
      <c r="G118" s="8">
        <v>34</v>
      </c>
      <c r="H118" s="8">
        <v>0.22</v>
      </c>
      <c r="I118" s="8">
        <v>38</v>
      </c>
      <c r="J118" s="1">
        <v>2.0741542819147858</v>
      </c>
      <c r="K118" s="1">
        <v>1.9267403247449355E-2</v>
      </c>
      <c r="L118">
        <f t="shared" si="3"/>
        <v>3.7123282789982198E-4</v>
      </c>
      <c r="P118" s="1">
        <v>80</v>
      </c>
      <c r="Q118" s="1">
        <v>6.6603914055000907E-2</v>
      </c>
      <c r="R118" s="1">
        <v>-6.0503522872060796E-2</v>
      </c>
    </row>
    <row r="119" spans="1:18" x14ac:dyDescent="0.35">
      <c r="A119" s="8">
        <v>78</v>
      </c>
      <c r="B119" s="8">
        <f t="shared" si="2"/>
        <v>1.8920946026904804</v>
      </c>
      <c r="C119" s="8">
        <v>5</v>
      </c>
      <c r="D119" s="8">
        <v>48</v>
      </c>
      <c r="E119" s="8">
        <v>0</v>
      </c>
      <c r="F119" s="8">
        <v>0</v>
      </c>
      <c r="G119" s="8">
        <v>33.700000000000003</v>
      </c>
      <c r="H119" s="8">
        <v>0.65400000000000003</v>
      </c>
      <c r="I119" s="8">
        <v>25</v>
      </c>
      <c r="J119" s="1">
        <v>2.0467850101249736</v>
      </c>
      <c r="K119" s="1">
        <v>-0.15469040743449325</v>
      </c>
      <c r="L119">
        <f t="shared" si="3"/>
        <v>2.3929122152249523E-2</v>
      </c>
      <c r="P119" s="1">
        <v>81</v>
      </c>
      <c r="Q119" s="1">
        <v>5.5217298648144571E-2</v>
      </c>
      <c r="R119" s="1">
        <v>-4.7595912606073647E-2</v>
      </c>
    </row>
    <row r="120" spans="1:18" x14ac:dyDescent="0.35">
      <c r="A120" s="8">
        <v>97</v>
      </c>
      <c r="B120" s="8">
        <f t="shared" si="2"/>
        <v>1.9867717342662448</v>
      </c>
      <c r="C120" s="8">
        <v>4</v>
      </c>
      <c r="D120" s="8">
        <v>60</v>
      </c>
      <c r="E120" s="8">
        <v>23</v>
      </c>
      <c r="F120" s="8">
        <v>0</v>
      </c>
      <c r="G120" s="8">
        <v>28.2</v>
      </c>
      <c r="H120" s="8">
        <v>0.443</v>
      </c>
      <c r="I120" s="8">
        <v>22</v>
      </c>
      <c r="J120" s="1">
        <v>1.9769874487945607</v>
      </c>
      <c r="K120" s="1">
        <v>9.7842854716840844E-3</v>
      </c>
      <c r="L120">
        <f t="shared" si="3"/>
        <v>9.5732242191408243E-5</v>
      </c>
      <c r="P120" s="1">
        <v>82</v>
      </c>
      <c r="Q120" s="1">
        <v>3.8599000766398814E-2</v>
      </c>
      <c r="R120" s="1">
        <v>-3.6635711731488815E-2</v>
      </c>
    </row>
    <row r="121" spans="1:18" x14ac:dyDescent="0.35">
      <c r="A121" s="8">
        <v>99</v>
      </c>
      <c r="B121" s="8">
        <f t="shared" si="2"/>
        <v>1.9956351945975499</v>
      </c>
      <c r="C121" s="8">
        <v>4</v>
      </c>
      <c r="D121" s="8">
        <v>76</v>
      </c>
      <c r="E121" s="8">
        <v>15</v>
      </c>
      <c r="F121" s="8">
        <v>51</v>
      </c>
      <c r="G121" s="8">
        <v>23.2</v>
      </c>
      <c r="H121" s="8">
        <v>0.223</v>
      </c>
      <c r="I121" s="8">
        <v>21</v>
      </c>
      <c r="J121" s="1">
        <v>1.9988935780672712</v>
      </c>
      <c r="K121" s="1">
        <v>-3.2583834697212932E-3</v>
      </c>
      <c r="L121">
        <f t="shared" si="3"/>
        <v>1.0617062835752974E-5</v>
      </c>
      <c r="P121" s="1">
        <v>83</v>
      </c>
      <c r="Q121" s="1">
        <v>3.5180967143144691E-2</v>
      </c>
      <c r="R121" s="1">
        <v>-1.6129315317198679E-2</v>
      </c>
    </row>
    <row r="122" spans="1:18" x14ac:dyDescent="0.35">
      <c r="A122" s="8">
        <v>162</v>
      </c>
      <c r="B122" s="8">
        <f t="shared" si="2"/>
        <v>2.2095150145426308</v>
      </c>
      <c r="C122" s="8">
        <v>0</v>
      </c>
      <c r="D122" s="8">
        <v>76</v>
      </c>
      <c r="E122" s="8">
        <v>56</v>
      </c>
      <c r="F122" s="8">
        <v>100</v>
      </c>
      <c r="G122" s="8">
        <v>53.2</v>
      </c>
      <c r="H122" s="8">
        <v>0.75900000000000001</v>
      </c>
      <c r="I122" s="8">
        <v>25</v>
      </c>
      <c r="J122" s="1">
        <v>2.0434830077124277</v>
      </c>
      <c r="K122" s="1">
        <v>0.16603200683020303</v>
      </c>
      <c r="L122">
        <f t="shared" si="3"/>
        <v>2.7566627292064584E-2</v>
      </c>
      <c r="P122" s="1">
        <v>84</v>
      </c>
      <c r="Q122" s="1">
        <v>8.2655781213947288E-2</v>
      </c>
      <c r="R122" s="1">
        <v>-7.9641329496889637E-2</v>
      </c>
    </row>
    <row r="123" spans="1:18" x14ac:dyDescent="0.35">
      <c r="A123" s="8">
        <v>111</v>
      </c>
      <c r="B123" s="8">
        <f t="shared" si="2"/>
        <v>2.0453229787866576</v>
      </c>
      <c r="C123" s="8">
        <v>6</v>
      </c>
      <c r="D123" s="8">
        <v>64</v>
      </c>
      <c r="E123" s="8">
        <v>39</v>
      </c>
      <c r="F123" s="8">
        <v>0</v>
      </c>
      <c r="G123" s="8">
        <v>34.200000000000003</v>
      </c>
      <c r="H123" s="8">
        <v>0.26</v>
      </c>
      <c r="I123" s="8">
        <v>24</v>
      </c>
      <c r="J123" s="1">
        <v>1.964729722208554</v>
      </c>
      <c r="K123" s="1">
        <v>8.0593256578103567E-2</v>
      </c>
      <c r="L123">
        <f t="shared" si="3"/>
        <v>6.4952730058640343E-3</v>
      </c>
      <c r="P123" s="1">
        <v>85</v>
      </c>
      <c r="Q123" s="1">
        <v>1.5706668861261489E-2</v>
      </c>
      <c r="R123" s="1">
        <v>-1.5534565489517599E-2</v>
      </c>
    </row>
    <row r="124" spans="1:18" x14ac:dyDescent="0.35">
      <c r="A124" s="8">
        <v>107</v>
      </c>
      <c r="B124" s="8">
        <f t="shared" si="2"/>
        <v>2.0293837776852097</v>
      </c>
      <c r="C124" s="8">
        <v>2</v>
      </c>
      <c r="D124" s="8">
        <v>74</v>
      </c>
      <c r="E124" s="8">
        <v>30</v>
      </c>
      <c r="F124" s="8">
        <v>100</v>
      </c>
      <c r="G124" s="8">
        <v>33.6</v>
      </c>
      <c r="H124" s="8">
        <v>0.40400000000000003</v>
      </c>
      <c r="I124" s="8">
        <v>23</v>
      </c>
      <c r="J124" s="1">
        <v>2.0273895356607348</v>
      </c>
      <c r="K124" s="1">
        <v>1.994242024474957E-3</v>
      </c>
      <c r="L124">
        <f t="shared" si="3"/>
        <v>3.977001252181975E-6</v>
      </c>
      <c r="P124" s="1">
        <v>86</v>
      </c>
      <c r="Q124" s="1">
        <v>3.8196164888351605E-2</v>
      </c>
      <c r="R124" s="1">
        <v>-3.8006684872514018E-2</v>
      </c>
    </row>
    <row r="125" spans="1:18" x14ac:dyDescent="0.35">
      <c r="A125" s="8">
        <v>132</v>
      </c>
      <c r="B125" s="8">
        <f t="shared" si="2"/>
        <v>2.12057393120585</v>
      </c>
      <c r="C125" s="8">
        <v>5</v>
      </c>
      <c r="D125" s="8">
        <v>80</v>
      </c>
      <c r="E125" s="8">
        <v>0</v>
      </c>
      <c r="F125" s="8">
        <v>0</v>
      </c>
      <c r="G125" s="8">
        <v>26.8</v>
      </c>
      <c r="H125" s="8">
        <v>0.186</v>
      </c>
      <c r="I125" s="8">
        <v>69</v>
      </c>
      <c r="J125" s="1">
        <v>2.1278297144432425</v>
      </c>
      <c r="K125" s="1">
        <v>-7.2557832373925102E-3</v>
      </c>
      <c r="L125">
        <f t="shared" si="3"/>
        <v>5.2646390388026136E-5</v>
      </c>
      <c r="P125" s="1">
        <v>87</v>
      </c>
      <c r="Q125" s="1">
        <v>0.10740101169245567</v>
      </c>
      <c r="R125" s="1">
        <v>-0.10664902280618836</v>
      </c>
    </row>
    <row r="126" spans="1:18" x14ac:dyDescent="0.35">
      <c r="A126" s="8">
        <v>113</v>
      </c>
      <c r="B126" s="8">
        <f t="shared" si="2"/>
        <v>2.0530784434834195</v>
      </c>
      <c r="C126" s="8">
        <v>0</v>
      </c>
      <c r="D126" s="8">
        <v>76</v>
      </c>
      <c r="E126" s="8">
        <v>0</v>
      </c>
      <c r="F126" s="8">
        <v>0</v>
      </c>
      <c r="G126" s="8">
        <v>33.299999999999997</v>
      </c>
      <c r="H126" s="8">
        <v>0.27800000000000002</v>
      </c>
      <c r="I126" s="8">
        <v>23</v>
      </c>
      <c r="J126" s="1">
        <v>2.034880366904035</v>
      </c>
      <c r="K126" s="1">
        <v>1.8198076579384548E-2</v>
      </c>
      <c r="L126">
        <f t="shared" si="3"/>
        <v>3.3116999118914441E-4</v>
      </c>
      <c r="P126" s="1">
        <v>88</v>
      </c>
      <c r="Q126" s="1">
        <v>5.3761351118601433E-2</v>
      </c>
      <c r="R126" s="1">
        <v>-5.2162156291607073E-2</v>
      </c>
    </row>
    <row r="127" spans="1:18" x14ac:dyDescent="0.35">
      <c r="A127" s="8">
        <v>88</v>
      </c>
      <c r="B127" s="8">
        <f t="shared" si="2"/>
        <v>1.9444826721501687</v>
      </c>
      <c r="C127" s="8">
        <v>1</v>
      </c>
      <c r="D127" s="8">
        <v>30</v>
      </c>
      <c r="E127" s="8">
        <v>42</v>
      </c>
      <c r="F127" s="8">
        <v>99</v>
      </c>
      <c r="G127" s="8">
        <v>55</v>
      </c>
      <c r="H127" s="8">
        <v>0.496</v>
      </c>
      <c r="I127" s="8">
        <v>26</v>
      </c>
      <c r="J127" s="1">
        <v>2.0556299225241141</v>
      </c>
      <c r="K127" s="1">
        <v>-0.11114725037394546</v>
      </c>
      <c r="L127">
        <f t="shared" si="3"/>
        <v>1.235371126568852E-2</v>
      </c>
      <c r="P127" s="1">
        <v>89</v>
      </c>
      <c r="Q127" s="1">
        <v>3.5648819107998969E-2</v>
      </c>
      <c r="R127" s="1">
        <v>-3.3573429242321297E-2</v>
      </c>
    </row>
    <row r="128" spans="1:18" x14ac:dyDescent="0.35">
      <c r="A128" s="8">
        <v>120</v>
      </c>
      <c r="B128" s="8">
        <f t="shared" si="2"/>
        <v>2.0791812460476247</v>
      </c>
      <c r="C128" s="8">
        <v>3</v>
      </c>
      <c r="D128" s="8">
        <v>70</v>
      </c>
      <c r="E128" s="8">
        <v>30</v>
      </c>
      <c r="F128" s="8">
        <v>135</v>
      </c>
      <c r="G128" s="8">
        <v>42.9</v>
      </c>
      <c r="H128" s="8">
        <v>0.45200000000000001</v>
      </c>
      <c r="I128" s="8">
        <v>30</v>
      </c>
      <c r="J128" s="1">
        <v>2.0858441420279772</v>
      </c>
      <c r="K128" s="1">
        <v>-6.6628959803525234E-3</v>
      </c>
      <c r="L128">
        <f t="shared" si="3"/>
        <v>4.4394182844997812E-5</v>
      </c>
      <c r="P128" s="1">
        <v>90</v>
      </c>
      <c r="Q128" s="1">
        <v>6.5088377074975098E-2</v>
      </c>
      <c r="R128" s="1">
        <v>-6.2312603520772634E-2</v>
      </c>
    </row>
    <row r="129" spans="1:18" x14ac:dyDescent="0.35">
      <c r="A129" s="8">
        <v>118</v>
      </c>
      <c r="B129" s="8">
        <f t="shared" si="2"/>
        <v>2.0718820073061255</v>
      </c>
      <c r="C129" s="8">
        <v>1</v>
      </c>
      <c r="D129" s="8">
        <v>58</v>
      </c>
      <c r="E129" s="8">
        <v>36</v>
      </c>
      <c r="F129" s="8">
        <v>94</v>
      </c>
      <c r="G129" s="8">
        <v>33.299999999999997</v>
      </c>
      <c r="H129" s="8">
        <v>0.26100000000000001</v>
      </c>
      <c r="I129" s="8">
        <v>23</v>
      </c>
      <c r="J129" s="1">
        <v>2.0017515917468884</v>
      </c>
      <c r="K129" s="1">
        <v>7.0130415559237047E-2</v>
      </c>
      <c r="L129">
        <f t="shared" si="3"/>
        <v>4.9182751865112775E-3</v>
      </c>
      <c r="P129" s="1">
        <v>91</v>
      </c>
      <c r="Q129" s="1">
        <v>3.012774146241699E-2</v>
      </c>
      <c r="R129" s="1">
        <v>-2.3418553190134285E-2</v>
      </c>
    </row>
    <row r="130" spans="1:18" x14ac:dyDescent="0.35">
      <c r="A130" s="8">
        <v>117</v>
      </c>
      <c r="B130" s="8">
        <f t="shared" si="2"/>
        <v>2.0681858617461617</v>
      </c>
      <c r="C130" s="8">
        <v>1</v>
      </c>
      <c r="D130" s="8">
        <v>88</v>
      </c>
      <c r="E130" s="8">
        <v>24</v>
      </c>
      <c r="F130" s="8">
        <v>145</v>
      </c>
      <c r="G130" s="8">
        <v>34.5</v>
      </c>
      <c r="H130" s="8">
        <v>0.40300000000000002</v>
      </c>
      <c r="I130" s="8">
        <v>40</v>
      </c>
      <c r="J130" s="1">
        <v>2.1052708972941314</v>
      </c>
      <c r="K130" s="1">
        <v>-3.7085035547969714E-2</v>
      </c>
      <c r="L130">
        <f t="shared" si="3"/>
        <v>1.3752998615941773E-3</v>
      </c>
      <c r="P130" s="1">
        <v>92</v>
      </c>
      <c r="Q130" s="1">
        <v>-1.8403411457953564E-3</v>
      </c>
      <c r="R130" s="1">
        <v>2.6000844916979106E-3</v>
      </c>
    </row>
    <row r="131" spans="1:18" x14ac:dyDescent="0.35">
      <c r="A131" s="8">
        <v>105</v>
      </c>
      <c r="B131" s="8">
        <f t="shared" ref="B131:B194" si="4">LOG(A131)</f>
        <v>2.0211892990699383</v>
      </c>
      <c r="C131" s="8">
        <v>0</v>
      </c>
      <c r="D131" s="8">
        <v>84</v>
      </c>
      <c r="E131" s="8">
        <v>0</v>
      </c>
      <c r="F131" s="8">
        <v>0</v>
      </c>
      <c r="G131" s="8">
        <v>27.9</v>
      </c>
      <c r="H131" s="8">
        <v>0.74099999999999999</v>
      </c>
      <c r="I131" s="8">
        <v>62</v>
      </c>
      <c r="J131" s="1">
        <v>2.1269657208769241</v>
      </c>
      <c r="K131" s="1">
        <v>-0.10577642180698588</v>
      </c>
      <c r="L131">
        <f t="shared" ref="L131:L194" si="5">K131*K131</f>
        <v>1.1188651410289397E-2</v>
      </c>
      <c r="P131" s="1">
        <v>93</v>
      </c>
      <c r="Q131" s="1">
        <v>7.727904075459946E-2</v>
      </c>
      <c r="R131" s="1">
        <v>-5.2429460768524935E-2</v>
      </c>
    </row>
    <row r="132" spans="1:18" x14ac:dyDescent="0.35">
      <c r="A132" s="8">
        <v>173</v>
      </c>
      <c r="B132" s="8">
        <f t="shared" si="4"/>
        <v>2.2380461031287955</v>
      </c>
      <c r="C132" s="8">
        <v>4</v>
      </c>
      <c r="D132" s="8">
        <v>70</v>
      </c>
      <c r="E132" s="8">
        <v>14</v>
      </c>
      <c r="F132" s="8">
        <v>168</v>
      </c>
      <c r="G132" s="8">
        <v>29.7</v>
      </c>
      <c r="H132" s="8">
        <v>0.36099999999999999</v>
      </c>
      <c r="I132" s="8">
        <v>33</v>
      </c>
      <c r="J132" s="1">
        <v>2.101521928829194</v>
      </c>
      <c r="K132" s="1">
        <v>0.13652417429960151</v>
      </c>
      <c r="L132">
        <f t="shared" si="5"/>
        <v>1.8638850168187972E-2</v>
      </c>
      <c r="P132" s="1">
        <v>94</v>
      </c>
      <c r="Q132" s="1">
        <v>1.6055016401919787E-2</v>
      </c>
      <c r="R132" s="1">
        <v>-1.5189921788347414E-2</v>
      </c>
    </row>
    <row r="133" spans="1:18" x14ac:dyDescent="0.35">
      <c r="A133" s="8">
        <v>122</v>
      </c>
      <c r="B133" s="8">
        <f t="shared" si="4"/>
        <v>2.0863598306747484</v>
      </c>
      <c r="C133" s="8">
        <v>9</v>
      </c>
      <c r="D133" s="8">
        <v>56</v>
      </c>
      <c r="E133" s="8">
        <v>0</v>
      </c>
      <c r="F133" s="8">
        <v>0</v>
      </c>
      <c r="G133" s="8">
        <v>33.299999999999997</v>
      </c>
      <c r="H133" s="8">
        <v>1.1140000000000001</v>
      </c>
      <c r="I133" s="8">
        <v>33</v>
      </c>
      <c r="J133" s="1">
        <v>2.0839716992453918</v>
      </c>
      <c r="K133" s="1">
        <v>2.3881314293565659E-3</v>
      </c>
      <c r="L133">
        <f t="shared" si="5"/>
        <v>5.7031717238806346E-6</v>
      </c>
      <c r="P133" s="1">
        <v>95</v>
      </c>
      <c r="Q133" s="1">
        <v>3.1668117290507128E-2</v>
      </c>
      <c r="R133" s="1">
        <v>-1.377066508021809E-2</v>
      </c>
    </row>
    <row r="134" spans="1:18" x14ac:dyDescent="0.35">
      <c r="A134" s="8">
        <v>170</v>
      </c>
      <c r="B134" s="8">
        <f t="shared" si="4"/>
        <v>2.2304489213782741</v>
      </c>
      <c r="C134" s="8">
        <v>3</v>
      </c>
      <c r="D134" s="8">
        <v>64</v>
      </c>
      <c r="E134" s="8">
        <v>37</v>
      </c>
      <c r="F134" s="8">
        <v>225</v>
      </c>
      <c r="G134" s="8">
        <v>34.5</v>
      </c>
      <c r="H134" s="8">
        <v>0.35599999999999998</v>
      </c>
      <c r="I134" s="8">
        <v>30</v>
      </c>
      <c r="J134" s="1">
        <v>2.0854692299053803</v>
      </c>
      <c r="K134" s="1">
        <v>0.1449796914728938</v>
      </c>
      <c r="L134">
        <f t="shared" si="5"/>
        <v>2.1019110939575477E-2</v>
      </c>
      <c r="P134" s="1">
        <v>96</v>
      </c>
      <c r="Q134" s="1">
        <v>7.4971759736852089E-3</v>
      </c>
      <c r="R134" s="1">
        <v>-6.7291971583006314E-3</v>
      </c>
    </row>
    <row r="135" spans="1:18" x14ac:dyDescent="0.35">
      <c r="A135" s="8">
        <v>84</v>
      </c>
      <c r="B135" s="8">
        <f t="shared" si="4"/>
        <v>1.9242792860618816</v>
      </c>
      <c r="C135" s="8">
        <v>8</v>
      </c>
      <c r="D135" s="8">
        <v>74</v>
      </c>
      <c r="E135" s="8">
        <v>31</v>
      </c>
      <c r="F135" s="8">
        <v>0</v>
      </c>
      <c r="G135" s="8">
        <v>38.299999999999997</v>
      </c>
      <c r="H135" s="8">
        <v>0.45700000000000002</v>
      </c>
      <c r="I135" s="8">
        <v>39</v>
      </c>
      <c r="J135" s="1">
        <v>2.0373030611882053</v>
      </c>
      <c r="K135" s="1">
        <v>-0.11302377512632367</v>
      </c>
      <c r="L135">
        <f t="shared" si="5"/>
        <v>1.2774373743805781E-2</v>
      </c>
      <c r="P135" s="1">
        <v>97</v>
      </c>
      <c r="Q135" s="1">
        <v>8.2322467620500092E-2</v>
      </c>
      <c r="R135" s="1">
        <v>-8.2271348702002436E-2</v>
      </c>
    </row>
    <row r="136" spans="1:18" x14ac:dyDescent="0.35">
      <c r="A136" s="8">
        <v>96</v>
      </c>
      <c r="B136" s="8">
        <f t="shared" si="4"/>
        <v>1.9822712330395684</v>
      </c>
      <c r="C136" s="8">
        <v>2</v>
      </c>
      <c r="D136" s="8">
        <v>68</v>
      </c>
      <c r="E136" s="8">
        <v>13</v>
      </c>
      <c r="F136" s="8">
        <v>49</v>
      </c>
      <c r="G136" s="8">
        <v>21.1</v>
      </c>
      <c r="H136" s="8">
        <v>0.64700000000000002</v>
      </c>
      <c r="I136" s="8">
        <v>26</v>
      </c>
      <c r="J136" s="1">
        <v>2.0153798629752222</v>
      </c>
      <c r="K136" s="1">
        <v>-3.3108629935653777E-2</v>
      </c>
      <c r="L136">
        <f t="shared" si="5"/>
        <v>1.0961813762160695E-3</v>
      </c>
      <c r="P136" s="1">
        <v>98</v>
      </c>
      <c r="Q136" s="1">
        <v>4.3329740890846132E-2</v>
      </c>
      <c r="R136" s="1">
        <v>-2.4147487026252201E-2</v>
      </c>
    </row>
    <row r="137" spans="1:18" x14ac:dyDescent="0.35">
      <c r="A137" s="8">
        <v>125</v>
      </c>
      <c r="B137" s="8">
        <f t="shared" si="4"/>
        <v>2.0969100130080562</v>
      </c>
      <c r="C137" s="8">
        <v>2</v>
      </c>
      <c r="D137" s="8">
        <v>60</v>
      </c>
      <c r="E137" s="8">
        <v>20</v>
      </c>
      <c r="F137" s="8">
        <v>140</v>
      </c>
      <c r="G137" s="8">
        <v>33.799999999999997</v>
      </c>
      <c r="H137" s="8">
        <v>8.7999999999999995E-2</v>
      </c>
      <c r="I137" s="8">
        <v>31</v>
      </c>
      <c r="J137" s="1">
        <v>2.0705270972332821</v>
      </c>
      <c r="K137" s="1">
        <v>2.6382915774774141E-2</v>
      </c>
      <c r="L137">
        <f t="shared" si="5"/>
        <v>6.9605824477882616E-4</v>
      </c>
      <c r="P137" s="1">
        <v>99</v>
      </c>
      <c r="Q137" s="1">
        <v>6.0481272921924928E-2</v>
      </c>
      <c r="R137" s="1">
        <v>-5.9921352227188134E-2</v>
      </c>
    </row>
    <row r="138" spans="1:18" x14ac:dyDescent="0.35">
      <c r="A138" s="8">
        <v>100</v>
      </c>
      <c r="B138" s="8">
        <f t="shared" si="4"/>
        <v>2</v>
      </c>
      <c r="C138" s="8">
        <v>0</v>
      </c>
      <c r="D138" s="8">
        <v>70</v>
      </c>
      <c r="E138" s="8">
        <v>26</v>
      </c>
      <c r="F138" s="8">
        <v>50</v>
      </c>
      <c r="G138" s="8">
        <v>30.8</v>
      </c>
      <c r="H138" s="8">
        <v>0.59699999999999998</v>
      </c>
      <c r="I138" s="8">
        <v>21</v>
      </c>
      <c r="J138" s="1">
        <v>2.002507888861444</v>
      </c>
      <c r="K138" s="1">
        <v>-2.5078888614440409E-3</v>
      </c>
      <c r="L138">
        <f t="shared" si="5"/>
        <v>6.2895065413550876E-6</v>
      </c>
      <c r="P138" s="1">
        <v>100</v>
      </c>
      <c r="Q138" s="1">
        <v>6.0740843836231073E-2</v>
      </c>
      <c r="R138" s="1">
        <v>-6.0378120588689577E-2</v>
      </c>
    </row>
    <row r="139" spans="1:18" x14ac:dyDescent="0.35">
      <c r="A139" s="8">
        <v>93</v>
      </c>
      <c r="B139" s="8">
        <f t="shared" si="4"/>
        <v>1.968482948553935</v>
      </c>
      <c r="C139" s="8">
        <v>0</v>
      </c>
      <c r="D139" s="8">
        <v>60</v>
      </c>
      <c r="E139" s="8">
        <v>25</v>
      </c>
      <c r="F139" s="8">
        <v>92</v>
      </c>
      <c r="G139" s="8">
        <v>28.7</v>
      </c>
      <c r="H139" s="8">
        <v>0.53200000000000003</v>
      </c>
      <c r="I139" s="8">
        <v>22</v>
      </c>
      <c r="J139" s="1">
        <v>2.0149507673934224</v>
      </c>
      <c r="K139" s="1">
        <v>-4.6467818839487363E-2</v>
      </c>
      <c r="L139">
        <f t="shared" si="5"/>
        <v>2.1592581876994166E-3</v>
      </c>
      <c r="P139" s="1">
        <v>101</v>
      </c>
      <c r="Q139" s="1">
        <v>9.2831260300719389E-3</v>
      </c>
      <c r="R139" s="1">
        <v>3.2403141277936396E-3</v>
      </c>
    </row>
    <row r="140" spans="1:18" x14ac:dyDescent="0.35">
      <c r="A140" s="8">
        <v>129</v>
      </c>
      <c r="B140" s="8">
        <f t="shared" si="4"/>
        <v>2.1105897102992488</v>
      </c>
      <c r="C140" s="8">
        <v>0</v>
      </c>
      <c r="D140" s="8">
        <v>80</v>
      </c>
      <c r="E140" s="8">
        <v>0</v>
      </c>
      <c r="F140" s="8">
        <v>0</v>
      </c>
      <c r="G140" s="8">
        <v>31.2</v>
      </c>
      <c r="H140" s="8">
        <v>0.70299999999999996</v>
      </c>
      <c r="I140" s="8">
        <v>29</v>
      </c>
      <c r="J140" s="1">
        <v>2.0566432629943701</v>
      </c>
      <c r="K140" s="1">
        <v>5.3946447304878742E-2</v>
      </c>
      <c r="L140">
        <f t="shared" si="5"/>
        <v>2.9102191768180588E-3</v>
      </c>
      <c r="P140" s="1">
        <v>102</v>
      </c>
      <c r="Q140" s="1">
        <v>3.127807175577052E-2</v>
      </c>
      <c r="R140" s="1">
        <v>-1.2741855891061568E-3</v>
      </c>
    </row>
    <row r="141" spans="1:18" x14ac:dyDescent="0.35">
      <c r="A141" s="8">
        <v>105</v>
      </c>
      <c r="B141" s="8">
        <f t="shared" si="4"/>
        <v>2.0211892990699383</v>
      </c>
      <c r="C141" s="8">
        <v>5</v>
      </c>
      <c r="D141" s="8">
        <v>72</v>
      </c>
      <c r="E141" s="8">
        <v>29</v>
      </c>
      <c r="F141" s="8">
        <v>325</v>
      </c>
      <c r="G141" s="8">
        <v>36.9</v>
      </c>
      <c r="H141" s="8">
        <v>0.159</v>
      </c>
      <c r="I141" s="8">
        <v>28</v>
      </c>
      <c r="J141" s="1">
        <v>2.1472897224499934</v>
      </c>
      <c r="K141" s="1">
        <v>-0.12610042338005512</v>
      </c>
      <c r="L141">
        <f t="shared" si="5"/>
        <v>1.5901316776629152E-2</v>
      </c>
      <c r="P141" s="1">
        <v>103</v>
      </c>
      <c r="Q141" s="1">
        <v>2.5117420103271438E-2</v>
      </c>
      <c r="R141" s="1">
        <v>-1.7051747536026209E-2</v>
      </c>
    </row>
    <row r="142" spans="1:18" x14ac:dyDescent="0.35">
      <c r="A142" s="8">
        <v>128</v>
      </c>
      <c r="B142" s="8">
        <f t="shared" si="4"/>
        <v>2.1072099696478683</v>
      </c>
      <c r="C142" s="8">
        <v>3</v>
      </c>
      <c r="D142" s="8">
        <v>78</v>
      </c>
      <c r="E142" s="8">
        <v>0</v>
      </c>
      <c r="F142" s="8">
        <v>0</v>
      </c>
      <c r="G142" s="8">
        <v>21.1</v>
      </c>
      <c r="H142" s="8">
        <v>0.26800000000000002</v>
      </c>
      <c r="I142" s="8">
        <v>55</v>
      </c>
      <c r="J142" s="1">
        <v>2.0795048360032173</v>
      </c>
      <c r="K142" s="1">
        <v>2.7705133644650992E-2</v>
      </c>
      <c r="L142">
        <f t="shared" si="5"/>
        <v>7.6757443026797233E-4</v>
      </c>
      <c r="P142" s="1">
        <v>104</v>
      </c>
      <c r="Q142" s="1">
        <v>4.9829112774814173E-2</v>
      </c>
      <c r="R142" s="1">
        <v>-4.112246398761301E-2</v>
      </c>
    </row>
    <row r="143" spans="1:18" x14ac:dyDescent="0.35">
      <c r="A143" s="8">
        <v>106</v>
      </c>
      <c r="B143" s="8">
        <f t="shared" si="4"/>
        <v>2.0253058652647704</v>
      </c>
      <c r="C143" s="8">
        <v>5</v>
      </c>
      <c r="D143" s="8">
        <v>82</v>
      </c>
      <c r="E143" s="8">
        <v>30</v>
      </c>
      <c r="F143" s="8">
        <v>0</v>
      </c>
      <c r="G143" s="8">
        <v>39.5</v>
      </c>
      <c r="H143" s="8">
        <v>0.28599999999999998</v>
      </c>
      <c r="I143" s="8">
        <v>38</v>
      </c>
      <c r="J143" s="1">
        <v>2.0351118413799627</v>
      </c>
      <c r="K143" s="1">
        <v>-9.8059761151922942E-3</v>
      </c>
      <c r="L143">
        <f t="shared" si="5"/>
        <v>9.6157167571721752E-5</v>
      </c>
      <c r="P143" s="1">
        <v>105</v>
      </c>
      <c r="Q143" s="1">
        <v>1.5368019292074892E-2</v>
      </c>
      <c r="R143" s="1">
        <v>6.7661925518178456E-3</v>
      </c>
    </row>
    <row r="144" spans="1:18" x14ac:dyDescent="0.35">
      <c r="A144" s="8">
        <v>108</v>
      </c>
      <c r="B144" s="8">
        <f t="shared" si="4"/>
        <v>2.0334237554869499</v>
      </c>
      <c r="C144" s="8">
        <v>2</v>
      </c>
      <c r="D144" s="8">
        <v>52</v>
      </c>
      <c r="E144" s="8">
        <v>26</v>
      </c>
      <c r="F144" s="8">
        <v>63</v>
      </c>
      <c r="G144" s="8">
        <v>32.5</v>
      </c>
      <c r="H144" s="8">
        <v>0.318</v>
      </c>
      <c r="I144" s="8">
        <v>22</v>
      </c>
      <c r="J144" s="1">
        <v>2.003267478430661</v>
      </c>
      <c r="K144" s="1">
        <v>3.0156277056288872E-2</v>
      </c>
      <c r="L144">
        <f t="shared" si="5"/>
        <v>9.0940104589565458E-4</v>
      </c>
      <c r="P144" s="1">
        <v>106</v>
      </c>
      <c r="Q144" s="1">
        <v>3.4402708738144355E-2</v>
      </c>
      <c r="R144" s="1">
        <v>-3.0681224036730962E-2</v>
      </c>
    </row>
    <row r="145" spans="1:18" x14ac:dyDescent="0.35">
      <c r="A145" s="8">
        <v>108</v>
      </c>
      <c r="B145" s="8">
        <f t="shared" si="4"/>
        <v>2.0334237554869499</v>
      </c>
      <c r="C145" s="8">
        <v>10</v>
      </c>
      <c r="D145" s="8">
        <v>66</v>
      </c>
      <c r="E145" s="8">
        <v>0</v>
      </c>
      <c r="F145" s="8">
        <v>0</v>
      </c>
      <c r="G145" s="8">
        <v>32.4</v>
      </c>
      <c r="H145" s="8">
        <v>0.27200000000000002</v>
      </c>
      <c r="I145" s="8">
        <v>42</v>
      </c>
      <c r="J145" s="1">
        <v>2.0826981645022644</v>
      </c>
      <c r="K145" s="1">
        <v>-4.9274409015314546E-2</v>
      </c>
      <c r="L145">
        <f t="shared" si="5"/>
        <v>2.4279673838085115E-3</v>
      </c>
      <c r="P145" s="1">
        <v>107</v>
      </c>
      <c r="Q145" s="1">
        <v>1.9184343910832003E-2</v>
      </c>
      <c r="R145" s="1">
        <v>-1.7012752303420847E-2</v>
      </c>
    </row>
    <row r="146" spans="1:18" x14ac:dyDescent="0.35">
      <c r="A146" s="8">
        <v>154</v>
      </c>
      <c r="B146" s="8">
        <f t="shared" si="4"/>
        <v>2.1875207208364631</v>
      </c>
      <c r="C146" s="8">
        <v>4</v>
      </c>
      <c r="D146" s="8">
        <v>62</v>
      </c>
      <c r="E146" s="8">
        <v>31</v>
      </c>
      <c r="F146" s="8">
        <v>284</v>
      </c>
      <c r="G146" s="8">
        <v>32.799999999999997</v>
      </c>
      <c r="H146" s="8">
        <v>0.23699999999999999</v>
      </c>
      <c r="I146" s="8">
        <v>23</v>
      </c>
      <c r="J146" s="1">
        <v>2.0999219939180818</v>
      </c>
      <c r="K146" s="1">
        <v>8.7598726918381331E-2</v>
      </c>
      <c r="L146">
        <f t="shared" si="5"/>
        <v>7.6735369577211462E-3</v>
      </c>
      <c r="P146" s="1">
        <v>108</v>
      </c>
      <c r="Q146" s="1">
        <v>3.7561603992821796E-2</v>
      </c>
      <c r="R146" s="1">
        <v>-2.8682534306371174E-2</v>
      </c>
    </row>
    <row r="147" spans="1:18" x14ac:dyDescent="0.35">
      <c r="A147" s="8">
        <v>102</v>
      </c>
      <c r="B147" s="8">
        <f t="shared" si="4"/>
        <v>2.0086001717619175</v>
      </c>
      <c r="C147" s="8">
        <v>0</v>
      </c>
      <c r="D147" s="8">
        <v>75</v>
      </c>
      <c r="E147" s="8">
        <v>23</v>
      </c>
      <c r="F147" s="8">
        <v>0</v>
      </c>
      <c r="G147" s="8">
        <v>0</v>
      </c>
      <c r="H147" s="8">
        <v>0.57199999999999995</v>
      </c>
      <c r="I147" s="8">
        <v>21</v>
      </c>
      <c r="J147" s="1">
        <v>1.9029258435828076</v>
      </c>
      <c r="K147" s="1">
        <v>0.10567432817910993</v>
      </c>
      <c r="L147">
        <f t="shared" si="5"/>
        <v>1.1167063636106228E-2</v>
      </c>
      <c r="P147" s="1">
        <v>109</v>
      </c>
      <c r="Q147" s="1">
        <v>7.8475834497695643E-2</v>
      </c>
      <c r="R147" s="1">
        <v>-7.3666289322387613E-2</v>
      </c>
    </row>
    <row r="148" spans="1:18" x14ac:dyDescent="0.35">
      <c r="A148" s="8">
        <v>57</v>
      </c>
      <c r="B148" s="8">
        <f t="shared" si="4"/>
        <v>1.7558748556724915</v>
      </c>
      <c r="C148" s="8">
        <v>9</v>
      </c>
      <c r="D148" s="8">
        <v>80</v>
      </c>
      <c r="E148" s="8">
        <v>37</v>
      </c>
      <c r="F148" s="8">
        <v>0</v>
      </c>
      <c r="G148" s="8">
        <v>32.799999999999997</v>
      </c>
      <c r="H148" s="8">
        <v>9.6000000000000002E-2</v>
      </c>
      <c r="I148" s="8">
        <v>41</v>
      </c>
      <c r="J148" s="1">
        <v>2.007937770950238</v>
      </c>
      <c r="K148" s="1">
        <v>-0.25206291527774649</v>
      </c>
      <c r="L148">
        <f t="shared" si="5"/>
        <v>6.3535713258316404E-2</v>
      </c>
      <c r="P148" s="1">
        <v>110</v>
      </c>
      <c r="Q148" s="1">
        <v>6.4988266209379281E-2</v>
      </c>
      <c r="R148" s="1">
        <v>-6.3364021183257097E-2</v>
      </c>
    </row>
    <row r="149" spans="1:18" x14ac:dyDescent="0.35">
      <c r="A149" s="8">
        <v>106</v>
      </c>
      <c r="B149" s="8">
        <f t="shared" si="4"/>
        <v>2.0253058652647704</v>
      </c>
      <c r="C149" s="8">
        <v>2</v>
      </c>
      <c r="D149" s="8">
        <v>64</v>
      </c>
      <c r="E149" s="8">
        <v>35</v>
      </c>
      <c r="F149" s="8">
        <v>119</v>
      </c>
      <c r="G149" s="8">
        <v>30.5</v>
      </c>
      <c r="H149" s="8">
        <v>1.4</v>
      </c>
      <c r="I149" s="8">
        <v>34</v>
      </c>
      <c r="J149" s="1">
        <v>2.0686049367737569</v>
      </c>
      <c r="K149" s="1">
        <v>-4.3299071508986486E-2</v>
      </c>
      <c r="L149">
        <f t="shared" si="5"/>
        <v>1.8748095935403252E-3</v>
      </c>
      <c r="P149" s="1">
        <v>111</v>
      </c>
      <c r="Q149" s="1">
        <v>5.158721123294429E-2</v>
      </c>
      <c r="R149" s="1">
        <v>-1.1732422582635252E-2</v>
      </c>
    </row>
    <row r="150" spans="1:18" x14ac:dyDescent="0.35">
      <c r="A150" s="8">
        <v>147</v>
      </c>
      <c r="B150" s="8">
        <f t="shared" si="4"/>
        <v>2.167317334748176</v>
      </c>
      <c r="C150" s="8">
        <v>5</v>
      </c>
      <c r="D150" s="8">
        <v>78</v>
      </c>
      <c r="E150" s="8">
        <v>0</v>
      </c>
      <c r="F150" s="8">
        <v>0</v>
      </c>
      <c r="G150" s="8">
        <v>33.700000000000003</v>
      </c>
      <c r="H150" s="8">
        <v>0.218</v>
      </c>
      <c r="I150" s="8">
        <v>65</v>
      </c>
      <c r="J150" s="1">
        <v>2.1375087100073853</v>
      </c>
      <c r="K150" s="1">
        <v>2.9808624740790712E-2</v>
      </c>
      <c r="L150">
        <f t="shared" si="5"/>
        <v>8.8855410893728015E-4</v>
      </c>
      <c r="P150" s="1">
        <v>112</v>
      </c>
      <c r="Q150" s="1">
        <v>-7.2660882351640324E-2</v>
      </c>
      <c r="R150" s="1">
        <v>7.980833180888898E-2</v>
      </c>
    </row>
    <row r="151" spans="1:18" x14ac:dyDescent="0.35">
      <c r="A151" s="8">
        <v>90</v>
      </c>
      <c r="B151" s="8">
        <f t="shared" si="4"/>
        <v>1.954242509439325</v>
      </c>
      <c r="C151" s="8">
        <v>2</v>
      </c>
      <c r="D151" s="8">
        <v>70</v>
      </c>
      <c r="E151" s="8">
        <v>17</v>
      </c>
      <c r="F151" s="8">
        <v>0</v>
      </c>
      <c r="G151" s="8">
        <v>27.3</v>
      </c>
      <c r="H151" s="8">
        <v>8.5000000000000006E-2</v>
      </c>
      <c r="I151" s="8">
        <v>22</v>
      </c>
      <c r="J151" s="1">
        <v>1.9774486510421654</v>
      </c>
      <c r="K151" s="1">
        <v>-2.3206141602840402E-2</v>
      </c>
      <c r="L151">
        <f t="shared" si="5"/>
        <v>5.3852500809108009E-4</v>
      </c>
      <c r="P151" s="1">
        <v>113</v>
      </c>
      <c r="Q151" s="1">
        <v>8.1893606307208586E-2</v>
      </c>
      <c r="R151" s="1">
        <v>-8.106875546627143E-2</v>
      </c>
    </row>
    <row r="152" spans="1:18" x14ac:dyDescent="0.35">
      <c r="A152" s="8">
        <v>136</v>
      </c>
      <c r="B152" s="8">
        <f t="shared" si="4"/>
        <v>2.1335389083702174</v>
      </c>
      <c r="C152" s="8">
        <v>1</v>
      </c>
      <c r="D152" s="8">
        <v>74</v>
      </c>
      <c r="E152" s="8">
        <v>50</v>
      </c>
      <c r="F152" s="8">
        <v>204</v>
      </c>
      <c r="G152" s="8">
        <v>37.4</v>
      </c>
      <c r="H152" s="8">
        <v>0.39900000000000002</v>
      </c>
      <c r="I152" s="8">
        <v>24</v>
      </c>
      <c r="J152" s="1">
        <v>2.0471355844343182</v>
      </c>
      <c r="K152" s="1">
        <v>8.6403323935899223E-2</v>
      </c>
      <c r="L152">
        <f t="shared" si="5"/>
        <v>7.4655343871719354E-3</v>
      </c>
      <c r="P152" s="1">
        <v>114</v>
      </c>
      <c r="Q152" s="1">
        <v>2.2508894087516145E-2</v>
      </c>
      <c r="R152" s="1">
        <v>4.0567524706584049E-3</v>
      </c>
    </row>
    <row r="153" spans="1:18" x14ac:dyDescent="0.35">
      <c r="A153" s="8">
        <v>114</v>
      </c>
      <c r="B153" s="8">
        <f t="shared" si="4"/>
        <v>2.0569048513364727</v>
      </c>
      <c r="C153" s="8">
        <v>4</v>
      </c>
      <c r="D153" s="8">
        <v>65</v>
      </c>
      <c r="E153" s="8">
        <v>0</v>
      </c>
      <c r="F153" s="8">
        <v>0</v>
      </c>
      <c r="G153" s="8">
        <v>21.9</v>
      </c>
      <c r="H153" s="8">
        <v>0.432</v>
      </c>
      <c r="I153" s="8">
        <v>37</v>
      </c>
      <c r="J153" s="1">
        <v>2.041051024267003</v>
      </c>
      <c r="K153" s="1">
        <v>1.5853827069469695E-2</v>
      </c>
      <c r="L153">
        <f t="shared" si="5"/>
        <v>2.5134383274865005E-4</v>
      </c>
      <c r="P153" s="1">
        <v>115</v>
      </c>
      <c r="Q153" s="1">
        <v>2.5806068089076182E-2</v>
      </c>
      <c r="R153" s="1">
        <v>-1.2719475300701373E-2</v>
      </c>
    </row>
    <row r="154" spans="1:18" x14ac:dyDescent="0.35">
      <c r="A154" s="8">
        <v>156</v>
      </c>
      <c r="B154" s="8">
        <f t="shared" si="4"/>
        <v>2.1931245983544616</v>
      </c>
      <c r="C154" s="8">
        <v>9</v>
      </c>
      <c r="D154" s="8">
        <v>86</v>
      </c>
      <c r="E154" s="8">
        <v>28</v>
      </c>
      <c r="F154" s="8">
        <v>155</v>
      </c>
      <c r="G154" s="8">
        <v>34.299999999999997</v>
      </c>
      <c r="H154" s="8">
        <v>1.1890000000000001</v>
      </c>
      <c r="I154" s="8">
        <v>42</v>
      </c>
      <c r="J154" s="1">
        <v>2.1355509260289391</v>
      </c>
      <c r="K154" s="1">
        <v>5.7573672325522463E-2</v>
      </c>
      <c r="L154">
        <f t="shared" si="5"/>
        <v>3.3147277450466311E-3</v>
      </c>
      <c r="P154" s="1">
        <v>116</v>
      </c>
      <c r="Q154" s="1">
        <v>8.3945730260231357E-3</v>
      </c>
      <c r="R154" s="1">
        <v>-7.4917992424050252E-3</v>
      </c>
    </row>
    <row r="155" spans="1:18" x14ac:dyDescent="0.35">
      <c r="A155" s="8">
        <v>153</v>
      </c>
      <c r="B155" s="8">
        <f t="shared" si="4"/>
        <v>2.1846914308175989</v>
      </c>
      <c r="C155" s="8">
        <v>1</v>
      </c>
      <c r="D155" s="8">
        <v>82</v>
      </c>
      <c r="E155" s="8">
        <v>42</v>
      </c>
      <c r="F155" s="8">
        <v>485</v>
      </c>
      <c r="G155" s="8">
        <v>40.6</v>
      </c>
      <c r="H155" s="8">
        <v>0.68700000000000006</v>
      </c>
      <c r="I155" s="8">
        <v>23</v>
      </c>
      <c r="J155" s="1">
        <v>2.207606741279998</v>
      </c>
      <c r="K155" s="1">
        <v>-2.2915310462399141E-2</v>
      </c>
      <c r="L155">
        <f t="shared" si="5"/>
        <v>5.2511145358813958E-4</v>
      </c>
      <c r="P155" s="1">
        <v>117</v>
      </c>
      <c r="Q155" s="1">
        <v>1.9903426351064776E-2</v>
      </c>
      <c r="R155" s="1">
        <v>-1.9532193523164956E-2</v>
      </c>
    </row>
    <row r="156" spans="1:18" x14ac:dyDescent="0.35">
      <c r="A156" s="8">
        <v>188</v>
      </c>
      <c r="B156" s="8">
        <f t="shared" si="4"/>
        <v>2.27415784926368</v>
      </c>
      <c r="C156" s="8">
        <v>8</v>
      </c>
      <c r="D156" s="8">
        <v>78</v>
      </c>
      <c r="E156" s="8">
        <v>0</v>
      </c>
      <c r="F156" s="8">
        <v>0</v>
      </c>
      <c r="G156" s="8">
        <v>47.9</v>
      </c>
      <c r="H156" s="8">
        <v>0.13700000000000001</v>
      </c>
      <c r="I156" s="8">
        <v>43</v>
      </c>
      <c r="J156" s="1">
        <v>2.1253889528958338</v>
      </c>
      <c r="K156" s="1">
        <v>0.14876889636784618</v>
      </c>
      <c r="L156">
        <f t="shared" si="5"/>
        <v>2.2132184526506955E-2</v>
      </c>
      <c r="P156" s="1">
        <v>118</v>
      </c>
      <c r="Q156" s="1">
        <v>1.8342627761236997E-2</v>
      </c>
      <c r="R156" s="1">
        <v>5.5864943910125253E-3</v>
      </c>
    </row>
    <row r="157" spans="1:18" x14ac:dyDescent="0.35">
      <c r="A157" s="8">
        <v>152</v>
      </c>
      <c r="B157" s="8">
        <f t="shared" si="4"/>
        <v>2.1818435879447726</v>
      </c>
      <c r="C157" s="8">
        <v>7</v>
      </c>
      <c r="D157" s="8">
        <v>88</v>
      </c>
      <c r="E157" s="8">
        <v>44</v>
      </c>
      <c r="F157" s="8">
        <v>0</v>
      </c>
      <c r="G157" s="8">
        <v>50</v>
      </c>
      <c r="H157" s="8">
        <v>0.33700000000000002</v>
      </c>
      <c r="I157" s="8">
        <v>36</v>
      </c>
      <c r="J157" s="1">
        <v>2.0370296590231662</v>
      </c>
      <c r="K157" s="1">
        <v>0.14481392892160638</v>
      </c>
      <c r="L157">
        <f t="shared" si="5"/>
        <v>2.0971074009712067E-2</v>
      </c>
      <c r="P157" s="1">
        <v>119</v>
      </c>
      <c r="Q157" s="1">
        <v>6.4407184389637648E-2</v>
      </c>
      <c r="R157" s="1">
        <v>-6.4311452147446241E-2</v>
      </c>
    </row>
    <row r="158" spans="1:18" x14ac:dyDescent="0.35">
      <c r="A158" s="8">
        <v>99</v>
      </c>
      <c r="B158" s="8">
        <f t="shared" si="4"/>
        <v>1.9956351945975499</v>
      </c>
      <c r="C158" s="8">
        <v>2</v>
      </c>
      <c r="D158" s="8">
        <v>52</v>
      </c>
      <c r="E158" s="8">
        <v>15</v>
      </c>
      <c r="F158" s="8">
        <v>94</v>
      </c>
      <c r="G158" s="8">
        <v>24.6</v>
      </c>
      <c r="H158" s="8">
        <v>0.63700000000000001</v>
      </c>
      <c r="I158" s="8">
        <v>21</v>
      </c>
      <c r="J158" s="1">
        <v>2.0241393009193329</v>
      </c>
      <c r="K158" s="1">
        <v>-2.8504106321783018E-2</v>
      </c>
      <c r="L158">
        <f t="shared" si="5"/>
        <v>8.1248407720351066E-4</v>
      </c>
      <c r="P158" s="1">
        <v>120</v>
      </c>
      <c r="Q158" s="1">
        <v>3.7230803624729483E-2</v>
      </c>
      <c r="R158" s="1">
        <v>-3.7220186561893728E-2</v>
      </c>
    </row>
    <row r="159" spans="1:18" x14ac:dyDescent="0.35">
      <c r="A159" s="8">
        <v>109</v>
      </c>
      <c r="B159" s="8">
        <f t="shared" si="4"/>
        <v>2.0374264979406238</v>
      </c>
      <c r="C159" s="8">
        <v>1</v>
      </c>
      <c r="D159" s="8">
        <v>56</v>
      </c>
      <c r="E159" s="8">
        <v>21</v>
      </c>
      <c r="F159" s="8">
        <v>135</v>
      </c>
      <c r="G159" s="8">
        <v>25.2</v>
      </c>
      <c r="H159" s="8">
        <v>0.83299999999999996</v>
      </c>
      <c r="I159" s="8">
        <v>23</v>
      </c>
      <c r="J159" s="1">
        <v>2.0433245679658474</v>
      </c>
      <c r="K159" s="1">
        <v>-5.8980700252235785E-3</v>
      </c>
      <c r="L159">
        <f t="shared" si="5"/>
        <v>3.4787230022440864E-5</v>
      </c>
      <c r="P159" s="1">
        <v>121</v>
      </c>
      <c r="Q159" s="1">
        <v>9.8872872351145988E-2</v>
      </c>
      <c r="R159" s="1">
        <v>-7.1306245059081397E-2</v>
      </c>
    </row>
    <row r="160" spans="1:18" x14ac:dyDescent="0.35">
      <c r="A160" s="8">
        <v>88</v>
      </c>
      <c r="B160" s="8">
        <f t="shared" si="4"/>
        <v>1.9444826721501687</v>
      </c>
      <c r="C160" s="8">
        <v>2</v>
      </c>
      <c r="D160" s="8">
        <v>74</v>
      </c>
      <c r="E160" s="8">
        <v>19</v>
      </c>
      <c r="F160" s="8">
        <v>53</v>
      </c>
      <c r="G160" s="8">
        <v>29</v>
      </c>
      <c r="H160" s="8">
        <v>0.22900000000000001</v>
      </c>
      <c r="I160" s="8">
        <v>22</v>
      </c>
      <c r="J160" s="1">
        <v>2.0076837241329919</v>
      </c>
      <c r="K160" s="1">
        <v>-6.320105198282322E-2</v>
      </c>
      <c r="L160">
        <f t="shared" si="5"/>
        <v>3.9943729717355232E-3</v>
      </c>
      <c r="P160" s="1">
        <v>122</v>
      </c>
      <c r="Q160" s="1">
        <v>9.3848909449579243E-2</v>
      </c>
      <c r="R160" s="1">
        <v>-8.7353636443715216E-2</v>
      </c>
    </row>
    <row r="161" spans="1:18" x14ac:dyDescent="0.35">
      <c r="A161" s="8">
        <v>163</v>
      </c>
      <c r="B161" s="8">
        <f t="shared" si="4"/>
        <v>2.2121876044039577</v>
      </c>
      <c r="C161" s="8">
        <v>17</v>
      </c>
      <c r="D161" s="8">
        <v>72</v>
      </c>
      <c r="E161" s="8">
        <v>41</v>
      </c>
      <c r="F161" s="8">
        <v>114</v>
      </c>
      <c r="G161" s="8">
        <v>40.9</v>
      </c>
      <c r="H161" s="8">
        <v>0.81699999999999995</v>
      </c>
      <c r="I161" s="8">
        <v>47</v>
      </c>
      <c r="J161" s="1">
        <v>2.1134424174381183</v>
      </c>
      <c r="K161" s="1">
        <v>9.8745186965839338E-2</v>
      </c>
      <c r="L161">
        <f t="shared" si="5"/>
        <v>9.7506119489185663E-3</v>
      </c>
      <c r="P161" s="1">
        <v>123</v>
      </c>
      <c r="Q161" s="1">
        <v>5.2903995303155538E-2</v>
      </c>
      <c r="R161" s="1">
        <v>-5.2900018301903357E-2</v>
      </c>
    </row>
    <row r="162" spans="1:18" x14ac:dyDescent="0.35">
      <c r="A162" s="8">
        <v>151</v>
      </c>
      <c r="B162" s="8">
        <f t="shared" si="4"/>
        <v>2.1789769472931693</v>
      </c>
      <c r="C162" s="8">
        <v>4</v>
      </c>
      <c r="D162" s="8">
        <v>90</v>
      </c>
      <c r="E162" s="8">
        <v>38</v>
      </c>
      <c r="F162" s="8">
        <v>0</v>
      </c>
      <c r="G162" s="8">
        <v>29.7</v>
      </c>
      <c r="H162" s="8">
        <v>0.29399999999999998</v>
      </c>
      <c r="I162" s="8">
        <v>36</v>
      </c>
      <c r="J162" s="1">
        <v>1.9901613613651341</v>
      </c>
      <c r="K162" s="1">
        <v>0.18881558592803516</v>
      </c>
      <c r="L162">
        <f t="shared" si="5"/>
        <v>3.5651325489347227E-2</v>
      </c>
      <c r="P162" s="1">
        <v>124</v>
      </c>
      <c r="Q162" s="1">
        <v>1.3599104418699345E-2</v>
      </c>
      <c r="R162" s="1">
        <v>-1.3546458028311319E-2</v>
      </c>
    </row>
    <row r="163" spans="1:18" x14ac:dyDescent="0.35">
      <c r="A163" s="8">
        <v>102</v>
      </c>
      <c r="B163" s="8">
        <f t="shared" si="4"/>
        <v>2.0086001717619175</v>
      </c>
      <c r="C163" s="8">
        <v>7</v>
      </c>
      <c r="D163" s="8">
        <v>74</v>
      </c>
      <c r="E163" s="8">
        <v>40</v>
      </c>
      <c r="F163" s="8">
        <v>105</v>
      </c>
      <c r="G163" s="8">
        <v>37.200000000000003</v>
      </c>
      <c r="H163" s="8">
        <v>0.20399999999999999</v>
      </c>
      <c r="I163" s="8">
        <v>45</v>
      </c>
      <c r="J163" s="1">
        <v>2.0702087894876682</v>
      </c>
      <c r="K163" s="1">
        <v>-6.1608617725750658E-2</v>
      </c>
      <c r="L163">
        <f t="shared" si="5"/>
        <v>3.7956217780776781E-3</v>
      </c>
      <c r="P163" s="1">
        <v>125</v>
      </c>
      <c r="Q163" s="1">
        <v>2.8885006771212522E-2</v>
      </c>
      <c r="R163" s="1">
        <v>-2.8553836780023378E-2</v>
      </c>
    </row>
    <row r="164" spans="1:18" x14ac:dyDescent="0.35">
      <c r="A164" s="8">
        <v>114</v>
      </c>
      <c r="B164" s="8">
        <f t="shared" si="4"/>
        <v>2.0569048513364727</v>
      </c>
      <c r="C164" s="8">
        <v>0</v>
      </c>
      <c r="D164" s="8">
        <v>80</v>
      </c>
      <c r="E164" s="8">
        <v>34</v>
      </c>
      <c r="F164" s="8">
        <v>285</v>
      </c>
      <c r="G164" s="8">
        <v>44.2</v>
      </c>
      <c r="H164" s="8">
        <v>0.16700000000000001</v>
      </c>
      <c r="I164" s="8">
        <v>27</v>
      </c>
      <c r="J164" s="1">
        <v>2.1350191663626279</v>
      </c>
      <c r="K164" s="1">
        <v>-7.8114315026155179E-2</v>
      </c>
      <c r="L164">
        <f t="shared" si="5"/>
        <v>6.1018462120054125E-3</v>
      </c>
      <c r="P164" s="1">
        <v>126</v>
      </c>
      <c r="Q164" s="1">
        <v>8.4214365001133107E-2</v>
      </c>
      <c r="R164" s="1">
        <v>-7.1860653735444591E-2</v>
      </c>
    </row>
    <row r="165" spans="1:18" x14ac:dyDescent="0.35">
      <c r="A165" s="8">
        <v>100</v>
      </c>
      <c r="B165" s="8">
        <f t="shared" si="4"/>
        <v>2</v>
      </c>
      <c r="C165" s="8">
        <v>2</v>
      </c>
      <c r="D165" s="8">
        <v>64</v>
      </c>
      <c r="E165" s="8">
        <v>23</v>
      </c>
      <c r="F165" s="8">
        <v>0</v>
      </c>
      <c r="G165" s="8">
        <v>29.7</v>
      </c>
      <c r="H165" s="8">
        <v>0.36799999999999999</v>
      </c>
      <c r="I165" s="8">
        <v>21</v>
      </c>
      <c r="J165" s="1">
        <v>1.9760212497233343</v>
      </c>
      <c r="K165" s="1">
        <v>2.3978750276665739E-2</v>
      </c>
      <c r="L165">
        <f t="shared" si="5"/>
        <v>5.7498046483069726E-4</v>
      </c>
      <c r="P165" s="1">
        <v>127</v>
      </c>
      <c r="Q165" s="1">
        <v>4.1589546563839612E-2</v>
      </c>
      <c r="R165" s="1">
        <v>-4.1545152380994613E-2</v>
      </c>
    </row>
    <row r="166" spans="1:18" x14ac:dyDescent="0.35">
      <c r="A166" s="8">
        <v>131</v>
      </c>
      <c r="B166" s="8">
        <f t="shared" si="4"/>
        <v>2.1172712956557644</v>
      </c>
      <c r="C166" s="8">
        <v>0</v>
      </c>
      <c r="D166" s="8">
        <v>88</v>
      </c>
      <c r="E166" s="8">
        <v>0</v>
      </c>
      <c r="F166" s="8">
        <v>0</v>
      </c>
      <c r="G166" s="8">
        <v>31.6</v>
      </c>
      <c r="H166" s="8">
        <v>0.74299999999999999</v>
      </c>
      <c r="I166" s="8">
        <v>32</v>
      </c>
      <c r="J166" s="1">
        <v>2.068535367041461</v>
      </c>
      <c r="K166" s="1">
        <v>4.8735928614303425E-2</v>
      </c>
      <c r="L166">
        <f t="shared" si="5"/>
        <v>2.3751907378984794E-3</v>
      </c>
      <c r="P166" s="1">
        <v>128</v>
      </c>
      <c r="Q166" s="1">
        <v>7.2490554908183374E-2</v>
      </c>
      <c r="R166" s="1">
        <v>-6.7572279721672096E-2</v>
      </c>
    </row>
    <row r="167" spans="1:18" x14ac:dyDescent="0.35">
      <c r="A167" s="8">
        <v>104</v>
      </c>
      <c r="B167" s="8">
        <f t="shared" si="4"/>
        <v>2.0170333392987803</v>
      </c>
      <c r="C167" s="8">
        <v>6</v>
      </c>
      <c r="D167" s="8">
        <v>74</v>
      </c>
      <c r="E167" s="8">
        <v>18</v>
      </c>
      <c r="F167" s="8">
        <v>156</v>
      </c>
      <c r="G167" s="8">
        <v>29.9</v>
      </c>
      <c r="H167" s="8">
        <v>0.72199999999999998</v>
      </c>
      <c r="I167" s="8">
        <v>41</v>
      </c>
      <c r="J167" s="1">
        <v>2.1210116717367633</v>
      </c>
      <c r="K167" s="1">
        <v>-0.10397833243798305</v>
      </c>
      <c r="L167">
        <f t="shared" si="5"/>
        <v>1.0811493616583717E-2</v>
      </c>
      <c r="P167" s="1">
        <v>129</v>
      </c>
      <c r="Q167" s="1">
        <v>2.640524165954556E-2</v>
      </c>
      <c r="R167" s="1">
        <v>-2.5029941797951382E-2</v>
      </c>
    </row>
    <row r="168" spans="1:18" x14ac:dyDescent="0.35">
      <c r="A168" s="8">
        <v>148</v>
      </c>
      <c r="B168" s="8">
        <f t="shared" si="4"/>
        <v>2.1702617153949575</v>
      </c>
      <c r="C168" s="8">
        <v>3</v>
      </c>
      <c r="D168" s="8">
        <v>66</v>
      </c>
      <c r="E168" s="8">
        <v>25</v>
      </c>
      <c r="F168" s="8">
        <v>0</v>
      </c>
      <c r="G168" s="8">
        <v>32.5</v>
      </c>
      <c r="H168" s="8">
        <v>0.25600000000000001</v>
      </c>
      <c r="I168" s="8">
        <v>22</v>
      </c>
      <c r="J168" s="1">
        <v>1.9804722315860819</v>
      </c>
      <c r="K168" s="1">
        <v>0.18978948380887561</v>
      </c>
      <c r="L168">
        <f t="shared" si="5"/>
        <v>3.6020048164439461E-2</v>
      </c>
      <c r="P168" s="1">
        <v>130</v>
      </c>
      <c r="Q168" s="1">
        <v>1.1830507906487587E-2</v>
      </c>
      <c r="R168" s="1">
        <v>-6.4185649619818985E-4</v>
      </c>
    </row>
    <row r="169" spans="1:18" x14ac:dyDescent="0.35">
      <c r="A169" s="8">
        <v>120</v>
      </c>
      <c r="B169" s="8">
        <f t="shared" si="4"/>
        <v>2.0791812460476247</v>
      </c>
      <c r="C169" s="8">
        <v>4</v>
      </c>
      <c r="D169" s="8">
        <v>68</v>
      </c>
      <c r="E169" s="8">
        <v>0</v>
      </c>
      <c r="F169" s="8">
        <v>0</v>
      </c>
      <c r="G169" s="8">
        <v>29.6</v>
      </c>
      <c r="H169" s="8">
        <v>0.70899999999999996</v>
      </c>
      <c r="I169" s="8">
        <v>34</v>
      </c>
      <c r="J169" s="1">
        <v>2.0639119520768445</v>
      </c>
      <c r="K169" s="1">
        <v>1.526929397078014E-2</v>
      </c>
      <c r="L169">
        <f t="shared" si="5"/>
        <v>2.3315133836610273E-4</v>
      </c>
      <c r="P169" s="1">
        <v>131</v>
      </c>
      <c r="Q169" s="1">
        <v>1.5589732124384782E-3</v>
      </c>
      <c r="R169" s="1">
        <v>1.7079876955749494E-2</v>
      </c>
    </row>
    <row r="170" spans="1:18" x14ac:dyDescent="0.35">
      <c r="A170" s="8">
        <v>110</v>
      </c>
      <c r="B170" s="8">
        <f t="shared" si="4"/>
        <v>2.0413926851582249</v>
      </c>
      <c r="C170" s="8">
        <v>4</v>
      </c>
      <c r="D170" s="8">
        <v>66</v>
      </c>
      <c r="E170" s="8">
        <v>0</v>
      </c>
      <c r="F170" s="8">
        <v>0</v>
      </c>
      <c r="G170" s="8">
        <v>31.9</v>
      </c>
      <c r="H170" s="8">
        <v>0.47099999999999997</v>
      </c>
      <c r="I170" s="8">
        <v>29</v>
      </c>
      <c r="J170" s="1">
        <v>2.0510391186101002</v>
      </c>
      <c r="K170" s="1">
        <v>-9.6464334518753247E-3</v>
      </c>
      <c r="L170">
        <f t="shared" si="5"/>
        <v>9.3053678341459289E-5</v>
      </c>
      <c r="P170" s="1">
        <v>132</v>
      </c>
      <c r="Q170" s="1">
        <v>7.1483730926598203E-4</v>
      </c>
      <c r="R170" s="1">
        <v>-7.0913413754210145E-4</v>
      </c>
    </row>
    <row r="171" spans="1:18" x14ac:dyDescent="0.35">
      <c r="A171" s="8">
        <v>111</v>
      </c>
      <c r="B171" s="8">
        <f t="shared" si="4"/>
        <v>2.0453229787866576</v>
      </c>
      <c r="C171" s="8">
        <v>3</v>
      </c>
      <c r="D171" s="8">
        <v>90</v>
      </c>
      <c r="E171" s="8">
        <v>12</v>
      </c>
      <c r="F171" s="8">
        <v>78</v>
      </c>
      <c r="G171" s="8">
        <v>28.4</v>
      </c>
      <c r="H171" s="8">
        <v>0.495</v>
      </c>
      <c r="I171" s="8">
        <v>29</v>
      </c>
      <c r="J171" s="1">
        <v>2.0612774492834851</v>
      </c>
      <c r="K171" s="1">
        <v>-1.5954470496827522E-2</v>
      </c>
      <c r="L171">
        <f t="shared" si="5"/>
        <v>2.5454512883413982E-4</v>
      </c>
      <c r="P171" s="1">
        <v>133</v>
      </c>
      <c r="Q171" s="1">
        <v>3.2772266860645015E-2</v>
      </c>
      <c r="R171" s="1">
        <v>-1.1753155921069538E-2</v>
      </c>
    </row>
    <row r="172" spans="1:18" x14ac:dyDescent="0.35">
      <c r="A172" s="8">
        <v>102</v>
      </c>
      <c r="B172" s="8">
        <f t="shared" si="4"/>
        <v>2.0086001717619175</v>
      </c>
      <c r="C172" s="8">
        <v>6</v>
      </c>
      <c r="D172" s="8">
        <v>82</v>
      </c>
      <c r="E172" s="8">
        <v>0</v>
      </c>
      <c r="F172" s="8">
        <v>0</v>
      </c>
      <c r="G172" s="8">
        <v>30.8</v>
      </c>
      <c r="H172" s="8">
        <v>0.18</v>
      </c>
      <c r="I172" s="8">
        <v>36</v>
      </c>
      <c r="J172" s="1">
        <v>2.0632816349173533</v>
      </c>
      <c r="K172" s="1">
        <v>-5.4681463155435761E-2</v>
      </c>
      <c r="L172">
        <f t="shared" si="5"/>
        <v>2.9900624128192787E-3</v>
      </c>
      <c r="P172" s="1">
        <v>134</v>
      </c>
      <c r="Q172" s="1">
        <v>6.8396630028115801E-2</v>
      </c>
      <c r="R172" s="1">
        <v>-5.5622256284310022E-2</v>
      </c>
    </row>
    <row r="173" spans="1:18" x14ac:dyDescent="0.35">
      <c r="A173" s="8">
        <v>134</v>
      </c>
      <c r="B173" s="8">
        <f t="shared" si="4"/>
        <v>2.1271047983648077</v>
      </c>
      <c r="C173" s="8">
        <v>6</v>
      </c>
      <c r="D173" s="8">
        <v>70</v>
      </c>
      <c r="E173" s="8">
        <v>23</v>
      </c>
      <c r="F173" s="8">
        <v>130</v>
      </c>
      <c r="G173" s="8">
        <v>35.4</v>
      </c>
      <c r="H173" s="8">
        <v>0.54200000000000004</v>
      </c>
      <c r="I173" s="8">
        <v>29</v>
      </c>
      <c r="J173" s="1">
        <v>2.0799572064482112</v>
      </c>
      <c r="K173" s="1">
        <v>4.7147591916596454E-2</v>
      </c>
      <c r="L173">
        <f t="shared" si="5"/>
        <v>2.2228954235339114E-3</v>
      </c>
      <c r="P173" s="1">
        <v>135</v>
      </c>
      <c r="Q173" s="1">
        <v>2.9631575397340928E-2</v>
      </c>
      <c r="R173" s="1">
        <v>-2.8535394021124857E-2</v>
      </c>
    </row>
    <row r="174" spans="1:18" x14ac:dyDescent="0.35">
      <c r="A174" s="8">
        <v>87</v>
      </c>
      <c r="B174" s="8">
        <f t="shared" si="4"/>
        <v>1.9395192526186185</v>
      </c>
      <c r="C174" s="8">
        <v>2</v>
      </c>
      <c r="D174" s="8">
        <v>0</v>
      </c>
      <c r="E174" s="8">
        <v>23</v>
      </c>
      <c r="F174" s="8">
        <v>0</v>
      </c>
      <c r="G174" s="8">
        <v>28.9</v>
      </c>
      <c r="H174" s="8">
        <v>0.77300000000000002</v>
      </c>
      <c r="I174" s="8">
        <v>25</v>
      </c>
      <c r="J174" s="1">
        <v>1.9733635398666753</v>
      </c>
      <c r="K174" s="1">
        <v>-3.3844287248056881E-2</v>
      </c>
      <c r="L174">
        <f t="shared" si="5"/>
        <v>1.1454357793289857E-3</v>
      </c>
      <c r="P174" s="1">
        <v>136</v>
      </c>
      <c r="Q174" s="1">
        <v>3.0719631550049295E-2</v>
      </c>
      <c r="R174" s="1">
        <v>-3.002357330527047E-2</v>
      </c>
    </row>
    <row r="175" spans="1:18" x14ac:dyDescent="0.35">
      <c r="A175" s="8">
        <v>79</v>
      </c>
      <c r="B175" s="8">
        <f t="shared" si="4"/>
        <v>1.8976270912904414</v>
      </c>
      <c r="C175" s="8">
        <v>1</v>
      </c>
      <c r="D175" s="8">
        <v>60</v>
      </c>
      <c r="E175" s="8">
        <v>42</v>
      </c>
      <c r="F175" s="8">
        <v>48</v>
      </c>
      <c r="G175" s="8">
        <v>43.5</v>
      </c>
      <c r="H175" s="8">
        <v>0.67800000000000005</v>
      </c>
      <c r="I175" s="8">
        <v>23</v>
      </c>
      <c r="J175" s="1">
        <v>2.0094690887123914</v>
      </c>
      <c r="K175" s="1">
        <v>-0.11184199742195</v>
      </c>
      <c r="L175">
        <f t="shared" si="5"/>
        <v>1.2508632387331471E-2</v>
      </c>
      <c r="P175" s="1">
        <v>137</v>
      </c>
      <c r="Q175" s="1">
        <v>5.9004669740806821E-2</v>
      </c>
      <c r="R175" s="1">
        <v>-5.8998380234265464E-2</v>
      </c>
    </row>
    <row r="176" spans="1:18" x14ac:dyDescent="0.35">
      <c r="A176" s="8">
        <v>75</v>
      </c>
      <c r="B176" s="8">
        <f t="shared" si="4"/>
        <v>1.8750612633917001</v>
      </c>
      <c r="C176" s="8">
        <v>2</v>
      </c>
      <c r="D176" s="8">
        <v>64</v>
      </c>
      <c r="E176" s="8">
        <v>24</v>
      </c>
      <c r="F176" s="8">
        <v>55</v>
      </c>
      <c r="G176" s="8">
        <v>29.7</v>
      </c>
      <c r="H176" s="8">
        <v>0.37</v>
      </c>
      <c r="I176" s="8">
        <v>33</v>
      </c>
      <c r="J176" s="1">
        <v>2.0270494121473166</v>
      </c>
      <c r="K176" s="1">
        <v>-0.1519881487556165</v>
      </c>
      <c r="L176">
        <f t="shared" si="5"/>
        <v>2.3100397362159412E-2</v>
      </c>
      <c r="P176" s="1">
        <v>138</v>
      </c>
      <c r="Q176" s="1">
        <v>4.8577865041512208E-2</v>
      </c>
      <c r="R176" s="1">
        <v>-4.6418606853812792E-2</v>
      </c>
    </row>
    <row r="177" spans="1:18" x14ac:dyDescent="0.35">
      <c r="A177" s="8">
        <v>179</v>
      </c>
      <c r="B177" s="8">
        <f t="shared" si="4"/>
        <v>2.2528530309798933</v>
      </c>
      <c r="C177" s="8">
        <v>8</v>
      </c>
      <c r="D177" s="8">
        <v>72</v>
      </c>
      <c r="E177" s="8">
        <v>42</v>
      </c>
      <c r="F177" s="8">
        <v>130</v>
      </c>
      <c r="G177" s="8">
        <v>32.700000000000003</v>
      </c>
      <c r="H177" s="8">
        <v>0.71899999999999997</v>
      </c>
      <c r="I177" s="8">
        <v>36</v>
      </c>
      <c r="J177" s="1">
        <v>2.0594802058103627</v>
      </c>
      <c r="K177" s="1">
        <v>0.19337282516953058</v>
      </c>
      <c r="L177">
        <f t="shared" si="5"/>
        <v>3.7393049514045838E-2</v>
      </c>
      <c r="P177" s="1">
        <v>139</v>
      </c>
      <c r="Q177" s="1">
        <v>1.9094597994266105E-2</v>
      </c>
      <c r="R177" s="1">
        <v>-1.6184378817448046E-2</v>
      </c>
    </row>
    <row r="178" spans="1:18" x14ac:dyDescent="0.35">
      <c r="A178" s="8">
        <v>85</v>
      </c>
      <c r="B178" s="8">
        <f t="shared" si="4"/>
        <v>1.9294189257142926</v>
      </c>
      <c r="C178" s="8">
        <v>6</v>
      </c>
      <c r="D178" s="8">
        <v>78</v>
      </c>
      <c r="E178" s="8">
        <v>0</v>
      </c>
      <c r="F178" s="8">
        <v>0</v>
      </c>
      <c r="G178" s="8">
        <v>31.2</v>
      </c>
      <c r="H178" s="8">
        <v>0.38200000000000001</v>
      </c>
      <c r="I178" s="8">
        <v>42</v>
      </c>
      <c r="J178" s="1">
        <v>2.0827856298728928</v>
      </c>
      <c r="K178" s="1">
        <v>-0.15336670415860021</v>
      </c>
      <c r="L178">
        <f t="shared" si="5"/>
        <v>2.3521345944471597E-2</v>
      </c>
      <c r="P178" s="1">
        <v>140</v>
      </c>
      <c r="Q178" s="1">
        <v>-8.7023425124193778E-3</v>
      </c>
      <c r="R178" s="1">
        <v>2.4603659289048528E-2</v>
      </c>
    </row>
    <row r="179" spans="1:18" x14ac:dyDescent="0.35">
      <c r="A179" s="8">
        <v>129</v>
      </c>
      <c r="B179" s="8">
        <f t="shared" si="4"/>
        <v>2.1105897102992488</v>
      </c>
      <c r="C179" s="8">
        <v>0</v>
      </c>
      <c r="D179" s="8">
        <v>110</v>
      </c>
      <c r="E179" s="8">
        <v>46</v>
      </c>
      <c r="F179" s="8">
        <v>130</v>
      </c>
      <c r="G179" s="8">
        <v>67.099999999999994</v>
      </c>
      <c r="H179" s="8">
        <v>0.31900000000000001</v>
      </c>
      <c r="I179" s="8">
        <v>26</v>
      </c>
      <c r="J179" s="1">
        <v>2.1154941678353518</v>
      </c>
      <c r="K179" s="1">
        <v>-4.904457536103024E-3</v>
      </c>
      <c r="L179">
        <f t="shared" si="5"/>
        <v>2.4053703723437746E-5</v>
      </c>
      <c r="P179" s="1">
        <v>141</v>
      </c>
      <c r="Q179" s="1">
        <v>1.7384506827164425E-2</v>
      </c>
      <c r="R179" s="1">
        <v>-1.6616932396896454E-2</v>
      </c>
    </row>
    <row r="180" spans="1:18" x14ac:dyDescent="0.35">
      <c r="A180" s="8">
        <v>143</v>
      </c>
      <c r="B180" s="8">
        <f t="shared" si="4"/>
        <v>2.1553360374650619</v>
      </c>
      <c r="C180" s="8">
        <v>5</v>
      </c>
      <c r="D180" s="8">
        <v>78</v>
      </c>
      <c r="E180" s="8">
        <v>0</v>
      </c>
      <c r="F180" s="8">
        <v>0</v>
      </c>
      <c r="G180" s="8">
        <v>45</v>
      </c>
      <c r="H180" s="8">
        <v>0.19</v>
      </c>
      <c r="I180" s="8">
        <v>47</v>
      </c>
      <c r="J180" s="1">
        <v>2.1254859086985678</v>
      </c>
      <c r="K180" s="1">
        <v>2.9850128766494066E-2</v>
      </c>
      <c r="L180">
        <f t="shared" si="5"/>
        <v>8.9103018737627662E-4</v>
      </c>
      <c r="P180" s="1">
        <v>142</v>
      </c>
      <c r="Q180" s="1">
        <v>7.3433593284280632E-2</v>
      </c>
      <c r="R180" s="1">
        <v>-7.3337436116708912E-2</v>
      </c>
    </row>
    <row r="181" spans="1:18" x14ac:dyDescent="0.35">
      <c r="A181" s="8">
        <v>130</v>
      </c>
      <c r="B181" s="8">
        <f t="shared" si="4"/>
        <v>2.1139433523068369</v>
      </c>
      <c r="C181" s="8">
        <v>5</v>
      </c>
      <c r="D181" s="8">
        <v>82</v>
      </c>
      <c r="E181" s="8">
        <v>0</v>
      </c>
      <c r="F181" s="8">
        <v>0</v>
      </c>
      <c r="G181" s="8">
        <v>39.1</v>
      </c>
      <c r="H181" s="8">
        <v>0.95599999999999996</v>
      </c>
      <c r="I181" s="8">
        <v>37</v>
      </c>
      <c r="J181" s="1">
        <v>2.1094091199589973</v>
      </c>
      <c r="K181" s="1">
        <v>4.5342323478396729E-3</v>
      </c>
      <c r="L181">
        <f t="shared" si="5"/>
        <v>2.0559262984195673E-5</v>
      </c>
      <c r="P181" s="1">
        <v>143</v>
      </c>
      <c r="Q181" s="1">
        <v>6.0597713746693815E-2</v>
      </c>
      <c r="R181" s="1">
        <v>-5.9688312700798163E-2</v>
      </c>
    </row>
    <row r="182" spans="1:18" x14ac:dyDescent="0.35">
      <c r="A182" s="8">
        <v>87</v>
      </c>
      <c r="B182" s="8">
        <f t="shared" si="4"/>
        <v>1.9395192526186185</v>
      </c>
      <c r="C182" s="8">
        <v>6</v>
      </c>
      <c r="D182" s="8">
        <v>80</v>
      </c>
      <c r="E182" s="8">
        <v>0</v>
      </c>
      <c r="F182" s="8">
        <v>0</v>
      </c>
      <c r="G182" s="8">
        <v>23.2</v>
      </c>
      <c r="H182" s="8">
        <v>8.4000000000000005E-2</v>
      </c>
      <c r="I182" s="8">
        <v>32</v>
      </c>
      <c r="J182" s="1">
        <v>2.0298991314491683</v>
      </c>
      <c r="K182" s="1">
        <v>-9.0379878830549876E-2</v>
      </c>
      <c r="L182">
        <f t="shared" si="5"/>
        <v>8.1685224974248783E-3</v>
      </c>
      <c r="P182" s="1">
        <v>144</v>
      </c>
      <c r="Q182" s="1">
        <v>1.1509123945868021E-2</v>
      </c>
      <c r="R182" s="1">
        <v>-9.08115656205951E-3</v>
      </c>
    </row>
    <row r="183" spans="1:18" x14ac:dyDescent="0.35">
      <c r="A183" s="8">
        <v>119</v>
      </c>
      <c r="B183" s="8">
        <f t="shared" si="4"/>
        <v>2.0755469613925306</v>
      </c>
      <c r="C183" s="8">
        <v>0</v>
      </c>
      <c r="D183" s="8">
        <v>64</v>
      </c>
      <c r="E183" s="8">
        <v>18</v>
      </c>
      <c r="F183" s="8">
        <v>92</v>
      </c>
      <c r="G183" s="8">
        <v>34.9</v>
      </c>
      <c r="H183" s="8">
        <v>0.72499999999999998</v>
      </c>
      <c r="I183" s="8">
        <v>23</v>
      </c>
      <c r="J183" s="1">
        <v>2.054645564473581</v>
      </c>
      <c r="K183" s="1">
        <v>2.0901396918949544E-2</v>
      </c>
      <c r="L183">
        <f t="shared" si="5"/>
        <v>4.3686839316347349E-4</v>
      </c>
      <c r="P183" s="1">
        <v>145</v>
      </c>
      <c r="Q183" s="1">
        <v>8.0688458291481215E-3</v>
      </c>
      <c r="R183" s="1">
        <v>-3.9530887142697532E-4</v>
      </c>
    </row>
    <row r="184" spans="1:18" x14ac:dyDescent="0.35">
      <c r="A184" s="8">
        <v>0</v>
      </c>
      <c r="B184" s="8">
        <v>0</v>
      </c>
      <c r="C184" s="8">
        <v>1</v>
      </c>
      <c r="D184" s="8">
        <v>74</v>
      </c>
      <c r="E184" s="8">
        <v>20</v>
      </c>
      <c r="F184" s="8">
        <v>23</v>
      </c>
      <c r="G184" s="8">
        <v>27.7</v>
      </c>
      <c r="H184" s="8">
        <v>0.29899999999999999</v>
      </c>
      <c r="I184" s="8">
        <v>21</v>
      </c>
      <c r="J184" s="1">
        <v>1.9872999448432196</v>
      </c>
      <c r="K184" s="1">
        <v>-1.9872999448432196</v>
      </c>
      <c r="L184">
        <f t="shared" si="5"/>
        <v>3.9493610707738638</v>
      </c>
      <c r="P184" s="1">
        <v>146</v>
      </c>
      <c r="Q184" s="1">
        <v>6.3252473500792855E-2</v>
      </c>
      <c r="R184" s="1">
        <v>-5.2085409864686627E-2</v>
      </c>
    </row>
    <row r="185" spans="1:18" x14ac:dyDescent="0.35">
      <c r="A185" s="8">
        <v>73</v>
      </c>
      <c r="B185" s="8">
        <f t="shared" si="4"/>
        <v>1.8633228601204559</v>
      </c>
      <c r="C185" s="8">
        <v>5</v>
      </c>
      <c r="D185" s="8">
        <v>60</v>
      </c>
      <c r="E185" s="8">
        <v>0</v>
      </c>
      <c r="F185" s="8">
        <v>0</v>
      </c>
      <c r="G185" s="8">
        <v>26.8</v>
      </c>
      <c r="H185" s="8">
        <v>0.26800000000000002</v>
      </c>
      <c r="I185" s="8">
        <v>27</v>
      </c>
      <c r="J185" s="1">
        <v>2.0256630218821705</v>
      </c>
      <c r="K185" s="1">
        <v>-0.16234016176171462</v>
      </c>
      <c r="L185">
        <f t="shared" si="5"/>
        <v>2.635432812081967E-2</v>
      </c>
      <c r="P185" s="1">
        <v>147</v>
      </c>
      <c r="Q185" s="1">
        <v>8.2755458088440592E-2</v>
      </c>
      <c r="R185" s="1">
        <v>-1.9219744830124189E-2</v>
      </c>
    </row>
    <row r="186" spans="1:18" x14ac:dyDescent="0.35">
      <c r="A186" s="8">
        <v>141</v>
      </c>
      <c r="B186" s="8">
        <f t="shared" si="4"/>
        <v>2.1492191126553797</v>
      </c>
      <c r="C186" s="8">
        <v>4</v>
      </c>
      <c r="D186" s="8">
        <v>74</v>
      </c>
      <c r="E186" s="8">
        <v>0</v>
      </c>
      <c r="F186" s="8">
        <v>0</v>
      </c>
      <c r="G186" s="8">
        <v>27.6</v>
      </c>
      <c r="H186" s="8">
        <v>0.24399999999999999</v>
      </c>
      <c r="I186" s="8">
        <v>40</v>
      </c>
      <c r="J186" s="1">
        <v>2.0611568820520865</v>
      </c>
      <c r="K186" s="1">
        <v>8.8062230603293212E-2</v>
      </c>
      <c r="L186">
        <f t="shared" si="5"/>
        <v>7.7549564588275917E-3</v>
      </c>
      <c r="P186" s="1">
        <v>148</v>
      </c>
      <c r="Q186" s="1">
        <v>3.8140553481566655E-2</v>
      </c>
      <c r="R186" s="1">
        <v>-3.6265743888026329E-2</v>
      </c>
    </row>
    <row r="187" spans="1:18" x14ac:dyDescent="0.35">
      <c r="A187" s="8">
        <v>194</v>
      </c>
      <c r="B187" s="8">
        <f t="shared" si="4"/>
        <v>2.287801729930226</v>
      </c>
      <c r="C187" s="8">
        <v>7</v>
      </c>
      <c r="D187" s="8">
        <v>68</v>
      </c>
      <c r="E187" s="8">
        <v>28</v>
      </c>
      <c r="F187" s="8">
        <v>0</v>
      </c>
      <c r="G187" s="8">
        <v>35.9</v>
      </c>
      <c r="H187" s="8">
        <v>0.745</v>
      </c>
      <c r="I187" s="8">
        <v>41</v>
      </c>
      <c r="J187" s="1">
        <v>2.0465761720620637</v>
      </c>
      <c r="K187" s="1">
        <v>0.24122555786816235</v>
      </c>
      <c r="L187">
        <f t="shared" si="5"/>
        <v>5.8189769768806146E-2</v>
      </c>
      <c r="P187" s="1">
        <v>149</v>
      </c>
      <c r="Q187" s="1">
        <v>1.4689023318595739E-2</v>
      </c>
      <c r="R187" s="1">
        <v>-1.3800469209658458E-2</v>
      </c>
    </row>
    <row r="188" spans="1:18" x14ac:dyDescent="0.35">
      <c r="A188" s="8">
        <v>181</v>
      </c>
      <c r="B188" s="8">
        <f t="shared" si="4"/>
        <v>2.2576785748691846</v>
      </c>
      <c r="C188" s="8">
        <v>8</v>
      </c>
      <c r="D188" s="8">
        <v>68</v>
      </c>
      <c r="E188" s="8">
        <v>36</v>
      </c>
      <c r="F188" s="8">
        <v>495</v>
      </c>
      <c r="G188" s="8">
        <v>30.1</v>
      </c>
      <c r="H188" s="8">
        <v>0.61499999999999999</v>
      </c>
      <c r="I188" s="8">
        <v>60</v>
      </c>
      <c r="J188" s="1">
        <v>2.2814350425949779</v>
      </c>
      <c r="K188" s="1">
        <v>-2.3756467725793318E-2</v>
      </c>
      <c r="L188">
        <f t="shared" si="5"/>
        <v>5.6436975880665955E-4</v>
      </c>
      <c r="P188" s="1">
        <v>150</v>
      </c>
      <c r="Q188" s="1">
        <v>6.1366932414322256E-2</v>
      </c>
      <c r="R188" s="1">
        <v>-6.0828407406231175E-2</v>
      </c>
    </row>
    <row r="189" spans="1:18" x14ac:dyDescent="0.35">
      <c r="A189" s="8">
        <v>128</v>
      </c>
      <c r="B189" s="8">
        <f t="shared" si="4"/>
        <v>2.1072099696478683</v>
      </c>
      <c r="C189" s="8">
        <v>1</v>
      </c>
      <c r="D189" s="8">
        <v>98</v>
      </c>
      <c r="E189" s="8">
        <v>41</v>
      </c>
      <c r="F189" s="8">
        <v>58</v>
      </c>
      <c r="G189" s="8">
        <v>32</v>
      </c>
      <c r="H189" s="8">
        <v>1.321</v>
      </c>
      <c r="I189" s="8">
        <v>33</v>
      </c>
      <c r="J189" s="1">
        <v>2.0390957482238115</v>
      </c>
      <c r="K189" s="1">
        <v>6.8114221424056876E-2</v>
      </c>
      <c r="L189">
        <f t="shared" si="5"/>
        <v>4.6395471602054487E-3</v>
      </c>
      <c r="P189" s="1">
        <v>151</v>
      </c>
      <c r="Q189" s="1">
        <v>6.4385078161325993E-2</v>
      </c>
      <c r="R189" s="1">
        <v>-5.6919543774154056E-2</v>
      </c>
    </row>
    <row r="190" spans="1:18" x14ac:dyDescent="0.35">
      <c r="A190" s="8">
        <v>109</v>
      </c>
      <c r="B190" s="8">
        <f t="shared" si="4"/>
        <v>2.0374264979406238</v>
      </c>
      <c r="C190" s="8">
        <v>8</v>
      </c>
      <c r="D190" s="8">
        <v>76</v>
      </c>
      <c r="E190" s="8">
        <v>39</v>
      </c>
      <c r="F190" s="8">
        <v>114</v>
      </c>
      <c r="G190" s="8">
        <v>27.9</v>
      </c>
      <c r="H190" s="8">
        <v>0.64</v>
      </c>
      <c r="I190" s="8">
        <v>31</v>
      </c>
      <c r="J190" s="1">
        <v>2.0324583758271242</v>
      </c>
      <c r="K190" s="1">
        <v>4.9681221134996179E-3</v>
      </c>
      <c r="L190">
        <f t="shared" si="5"/>
        <v>2.468223733464391E-5</v>
      </c>
      <c r="P190" s="1">
        <v>152</v>
      </c>
      <c r="Q190" s="1">
        <v>1.8035521482143799E-2</v>
      </c>
      <c r="R190" s="1">
        <v>-1.778417764939515E-2</v>
      </c>
    </row>
    <row r="191" spans="1:18" x14ac:dyDescent="0.35">
      <c r="A191" s="8">
        <v>139</v>
      </c>
      <c r="B191" s="8">
        <f t="shared" si="4"/>
        <v>2.143014800254095</v>
      </c>
      <c r="C191" s="8">
        <v>5</v>
      </c>
      <c r="D191" s="8">
        <v>80</v>
      </c>
      <c r="E191" s="8">
        <v>35</v>
      </c>
      <c r="F191" s="8">
        <v>160</v>
      </c>
      <c r="G191" s="8">
        <v>31.6</v>
      </c>
      <c r="H191" s="8">
        <v>0.36099999999999999</v>
      </c>
      <c r="I191" s="8">
        <v>25</v>
      </c>
      <c r="J191" s="1">
        <v>2.0477280380882039</v>
      </c>
      <c r="K191" s="1">
        <v>9.5286762165891048E-2</v>
      </c>
      <c r="L191">
        <f t="shared" si="5"/>
        <v>9.0795670440590864E-3</v>
      </c>
      <c r="P191" s="1">
        <v>153</v>
      </c>
      <c r="Q191" s="1">
        <v>3.8404340124052975E-3</v>
      </c>
      <c r="R191" s="1">
        <v>-5.2570626735866637E-4</v>
      </c>
    </row>
    <row r="192" spans="1:18" x14ac:dyDescent="0.35">
      <c r="A192" s="8">
        <v>111</v>
      </c>
      <c r="B192" s="8">
        <f t="shared" si="4"/>
        <v>2.0453229787866576</v>
      </c>
      <c r="C192" s="8">
        <v>3</v>
      </c>
      <c r="D192" s="8">
        <v>62</v>
      </c>
      <c r="E192" s="8">
        <v>0</v>
      </c>
      <c r="F192" s="8">
        <v>0</v>
      </c>
      <c r="G192" s="8">
        <v>22.6</v>
      </c>
      <c r="H192" s="8">
        <v>0.14199999999999999</v>
      </c>
      <c r="I192" s="8">
        <v>21</v>
      </c>
      <c r="J192" s="1">
        <v>1.9954350296774501</v>
      </c>
      <c r="K192" s="1">
        <v>4.9887949109207463E-2</v>
      </c>
      <c r="L192">
        <f t="shared" si="5"/>
        <v>2.4888074663228735E-3</v>
      </c>
      <c r="P192" s="1">
        <v>154</v>
      </c>
      <c r="Q192" s="1">
        <v>-3.078216784018592E-2</v>
      </c>
      <c r="R192" s="1">
        <v>3.1307279293774061E-2</v>
      </c>
    </row>
    <row r="193" spans="1:18" x14ac:dyDescent="0.35">
      <c r="A193" s="8">
        <v>123</v>
      </c>
      <c r="B193" s="8">
        <f t="shared" si="4"/>
        <v>2.0899051114393981</v>
      </c>
      <c r="C193" s="8">
        <v>9</v>
      </c>
      <c r="D193" s="8">
        <v>70</v>
      </c>
      <c r="E193" s="8">
        <v>44</v>
      </c>
      <c r="F193" s="8">
        <v>94</v>
      </c>
      <c r="G193" s="8">
        <v>33.1</v>
      </c>
      <c r="H193" s="8">
        <v>0.374</v>
      </c>
      <c r="I193" s="8">
        <v>40</v>
      </c>
      <c r="J193" s="1">
        <v>2.0400512336633456</v>
      </c>
      <c r="K193" s="1">
        <v>4.9853877776052435E-2</v>
      </c>
      <c r="L193">
        <f t="shared" si="5"/>
        <v>2.4854091293095748E-3</v>
      </c>
      <c r="P193" s="1">
        <v>155</v>
      </c>
      <c r="Q193" s="1">
        <v>1.6536665668885443E-2</v>
      </c>
      <c r="R193" s="1">
        <v>5.5955188576215127E-3</v>
      </c>
    </row>
    <row r="194" spans="1:18" x14ac:dyDescent="0.35">
      <c r="A194" s="8">
        <v>159</v>
      </c>
      <c r="B194" s="8">
        <f t="shared" si="4"/>
        <v>2.2013971243204513</v>
      </c>
      <c r="C194" s="8">
        <v>7</v>
      </c>
      <c r="D194" s="8">
        <v>66</v>
      </c>
      <c r="E194" s="8">
        <v>0</v>
      </c>
      <c r="F194" s="8">
        <v>0</v>
      </c>
      <c r="G194" s="8">
        <v>30.4</v>
      </c>
      <c r="H194" s="8">
        <v>0.38300000000000001</v>
      </c>
      <c r="I194" s="8">
        <v>36</v>
      </c>
      <c r="J194" s="1">
        <v>2.0636070391383949</v>
      </c>
      <c r="K194" s="1">
        <v>0.13779008518205638</v>
      </c>
      <c r="L194">
        <f t="shared" si="5"/>
        <v>1.8986107574478352E-2</v>
      </c>
      <c r="P194" s="1">
        <v>156</v>
      </c>
      <c r="Q194" s="1">
        <v>9.5600774666433477E-2</v>
      </c>
      <c r="R194" s="1">
        <v>-7.4629700656721407E-2</v>
      </c>
    </row>
    <row r="195" spans="1:18" x14ac:dyDescent="0.35">
      <c r="A195" s="8">
        <v>135</v>
      </c>
      <c r="B195" s="8">
        <f t="shared" ref="B195:B258" si="6">LOG(A195)</f>
        <v>2.1303337684950061</v>
      </c>
      <c r="C195" s="8">
        <v>11</v>
      </c>
      <c r="D195" s="8">
        <v>0</v>
      </c>
      <c r="E195" s="8">
        <v>0</v>
      </c>
      <c r="F195" s="8">
        <v>0</v>
      </c>
      <c r="G195" s="8">
        <v>52.3</v>
      </c>
      <c r="H195" s="8">
        <v>0.57799999999999996</v>
      </c>
      <c r="I195" s="8">
        <v>40</v>
      </c>
      <c r="J195" s="1">
        <v>2.1197638190748758</v>
      </c>
      <c r="K195" s="1">
        <v>1.0569949420130342E-2</v>
      </c>
      <c r="L195">
        <f t="shared" ref="L195:L258" si="7">K195*K195</f>
        <v>1.1172383074411376E-4</v>
      </c>
      <c r="P195" s="1">
        <v>157</v>
      </c>
      <c r="Q195" s="1">
        <v>2.5509825675653495E-2</v>
      </c>
      <c r="R195" s="1">
        <v>-2.4697341598449985E-2</v>
      </c>
    </row>
    <row r="196" spans="1:18" x14ac:dyDescent="0.35">
      <c r="A196" s="8">
        <v>85</v>
      </c>
      <c r="B196" s="8">
        <f t="shared" si="6"/>
        <v>1.9294189257142926</v>
      </c>
      <c r="C196" s="8">
        <v>8</v>
      </c>
      <c r="D196" s="8">
        <v>55</v>
      </c>
      <c r="E196" s="8">
        <v>20</v>
      </c>
      <c r="F196" s="8">
        <v>0</v>
      </c>
      <c r="G196" s="8">
        <v>24.4</v>
      </c>
      <c r="H196" s="8">
        <v>0.13600000000000001</v>
      </c>
      <c r="I196" s="8">
        <v>42</v>
      </c>
      <c r="J196" s="1">
        <v>2.012457897143392</v>
      </c>
      <c r="K196" s="1">
        <v>-8.3038971429099329E-2</v>
      </c>
      <c r="L196">
        <f t="shared" si="7"/>
        <v>6.895470776002775E-3</v>
      </c>
      <c r="P196" s="1">
        <v>158</v>
      </c>
      <c r="Q196" s="1">
        <v>2.2797704674334993E-2</v>
      </c>
      <c r="R196" s="1">
        <v>-2.2762917444312553E-2</v>
      </c>
    </row>
    <row r="197" spans="1:18" x14ac:dyDescent="0.35">
      <c r="A197" s="8">
        <v>158</v>
      </c>
      <c r="B197" s="8">
        <f t="shared" si="6"/>
        <v>2.1986570869544226</v>
      </c>
      <c r="C197" s="8">
        <v>5</v>
      </c>
      <c r="D197" s="8">
        <v>84</v>
      </c>
      <c r="E197" s="8">
        <v>41</v>
      </c>
      <c r="F197" s="8">
        <v>210</v>
      </c>
      <c r="G197" s="8">
        <v>39.4</v>
      </c>
      <c r="H197" s="8">
        <v>0.39500000000000002</v>
      </c>
      <c r="I197" s="8">
        <v>29</v>
      </c>
      <c r="J197" s="1">
        <v>2.0915403756624356</v>
      </c>
      <c r="K197" s="1">
        <v>0.10711671129198708</v>
      </c>
      <c r="L197">
        <f t="shared" si="7"/>
        <v>1.1473989838010911E-2</v>
      </c>
      <c r="P197" s="1">
        <v>159</v>
      </c>
      <c r="Q197" s="1">
        <v>4.7906549402307499E-2</v>
      </c>
      <c r="R197" s="1">
        <v>-4.3912176430571978E-2</v>
      </c>
    </row>
    <row r="198" spans="1:18" x14ac:dyDescent="0.35">
      <c r="A198" s="8">
        <v>105</v>
      </c>
      <c r="B198" s="8">
        <f t="shared" si="6"/>
        <v>2.0211892990699383</v>
      </c>
      <c r="C198" s="8">
        <v>1</v>
      </c>
      <c r="D198" s="8">
        <v>58</v>
      </c>
      <c r="E198" s="8">
        <v>0</v>
      </c>
      <c r="F198" s="8">
        <v>0</v>
      </c>
      <c r="G198" s="8">
        <v>24.3</v>
      </c>
      <c r="H198" s="8">
        <v>0.187</v>
      </c>
      <c r="I198" s="8">
        <v>21</v>
      </c>
      <c r="J198" s="1">
        <v>1.9981008617678853</v>
      </c>
      <c r="K198" s="1">
        <v>2.3088437302053011E-2</v>
      </c>
      <c r="L198">
        <f t="shared" si="7"/>
        <v>5.3307593705083291E-4</v>
      </c>
      <c r="P198" s="1">
        <v>160</v>
      </c>
      <c r="Q198" s="1">
        <v>3.5101487424653736E-2</v>
      </c>
      <c r="R198" s="1">
        <v>-2.5350875475735168E-2</v>
      </c>
    </row>
    <row r="199" spans="1:18" x14ac:dyDescent="0.35">
      <c r="A199" s="8">
        <v>107</v>
      </c>
      <c r="B199" s="8">
        <f t="shared" si="6"/>
        <v>2.0293837776852097</v>
      </c>
      <c r="C199" s="8">
        <v>3</v>
      </c>
      <c r="D199" s="8">
        <v>62</v>
      </c>
      <c r="E199" s="8">
        <v>13</v>
      </c>
      <c r="F199" s="8">
        <v>48</v>
      </c>
      <c r="G199" s="8">
        <v>22.9</v>
      </c>
      <c r="H199" s="8">
        <v>0.67800000000000005</v>
      </c>
      <c r="I199" s="8">
        <v>23</v>
      </c>
      <c r="J199" s="1">
        <v>2.0126629502633353</v>
      </c>
      <c r="K199" s="1">
        <v>1.6720827421874418E-2</v>
      </c>
      <c r="L199">
        <f t="shared" si="7"/>
        <v>2.7958606967210751E-4</v>
      </c>
      <c r="P199" s="1">
        <v>161</v>
      </c>
      <c r="Q199" s="1">
        <v>8.7725984705592883E-2</v>
      </c>
      <c r="R199" s="1">
        <v>-5.2074659216245656E-2</v>
      </c>
    </row>
    <row r="200" spans="1:18" x14ac:dyDescent="0.35">
      <c r="A200" s="8">
        <v>109</v>
      </c>
      <c r="B200" s="8">
        <f t="shared" si="6"/>
        <v>2.0374264979406238</v>
      </c>
      <c r="C200" s="8">
        <v>4</v>
      </c>
      <c r="D200" s="8">
        <v>64</v>
      </c>
      <c r="E200" s="8">
        <v>44</v>
      </c>
      <c r="F200" s="8">
        <v>99</v>
      </c>
      <c r="G200" s="8">
        <v>34.799999999999997</v>
      </c>
      <c r="H200" s="8">
        <v>0.90500000000000003</v>
      </c>
      <c r="I200" s="8">
        <v>26</v>
      </c>
      <c r="J200" s="1">
        <v>2.0227548094673446</v>
      </c>
      <c r="K200" s="1">
        <v>1.4671688473279154E-2</v>
      </c>
      <c r="L200">
        <f t="shared" si="7"/>
        <v>2.152584426569524E-4</v>
      </c>
      <c r="P200" s="1">
        <v>162</v>
      </c>
      <c r="Q200" s="1">
        <v>6.2532056821609214E-2</v>
      </c>
      <c r="R200" s="1">
        <v>-5.8736435043531536E-2</v>
      </c>
    </row>
    <row r="201" spans="1:18" x14ac:dyDescent="0.35">
      <c r="A201" s="8">
        <v>148</v>
      </c>
      <c r="B201" s="8">
        <f t="shared" si="6"/>
        <v>2.1702617153949575</v>
      </c>
      <c r="C201" s="8">
        <v>4</v>
      </c>
      <c r="D201" s="8">
        <v>60</v>
      </c>
      <c r="E201" s="8">
        <v>27</v>
      </c>
      <c r="F201" s="8">
        <v>318</v>
      </c>
      <c r="G201" s="8">
        <v>30.9</v>
      </c>
      <c r="H201" s="8">
        <v>0.15</v>
      </c>
      <c r="I201" s="8">
        <v>29</v>
      </c>
      <c r="J201" s="1">
        <v>2.1288212259907406</v>
      </c>
      <c r="K201" s="1">
        <v>4.1440489404216851E-2</v>
      </c>
      <c r="L201">
        <f t="shared" si="7"/>
        <v>1.7173141620610091E-3</v>
      </c>
      <c r="P201" s="1">
        <v>163</v>
      </c>
      <c r="Q201" s="1">
        <v>1.8441874167578195E-2</v>
      </c>
      <c r="R201" s="1">
        <v>-1.2340027955572782E-2</v>
      </c>
    </row>
    <row r="202" spans="1:18" x14ac:dyDescent="0.35">
      <c r="A202" s="8">
        <v>113</v>
      </c>
      <c r="B202" s="8">
        <f t="shared" si="6"/>
        <v>2.0530784434834195</v>
      </c>
      <c r="C202" s="8">
        <v>0</v>
      </c>
      <c r="D202" s="8">
        <v>80</v>
      </c>
      <c r="E202" s="8">
        <v>16</v>
      </c>
      <c r="F202" s="8">
        <v>0</v>
      </c>
      <c r="G202" s="8">
        <v>31</v>
      </c>
      <c r="H202" s="8">
        <v>0.874</v>
      </c>
      <c r="I202" s="8">
        <v>21</v>
      </c>
      <c r="J202" s="1">
        <v>2.0111312151527145</v>
      </c>
      <c r="K202" s="1">
        <v>4.1947228330704966E-2</v>
      </c>
      <c r="L202">
        <f t="shared" si="7"/>
        <v>1.7595699646282973E-3</v>
      </c>
      <c r="P202" s="1">
        <v>164</v>
      </c>
      <c r="Q202" s="1">
        <v>6.862219435765092E-2</v>
      </c>
      <c r="R202" s="1">
        <v>-6.804721389282023E-2</v>
      </c>
    </row>
    <row r="203" spans="1:18" x14ac:dyDescent="0.35">
      <c r="A203" s="8">
        <v>138</v>
      </c>
      <c r="B203" s="8">
        <f t="shared" si="6"/>
        <v>2.1398790864012365</v>
      </c>
      <c r="C203" s="8">
        <v>1</v>
      </c>
      <c r="D203" s="8">
        <v>82</v>
      </c>
      <c r="E203" s="8">
        <v>0</v>
      </c>
      <c r="F203" s="8">
        <v>0</v>
      </c>
      <c r="G203" s="8">
        <v>40.1</v>
      </c>
      <c r="H203" s="8">
        <v>0.23599999999999999</v>
      </c>
      <c r="I203" s="8">
        <v>28</v>
      </c>
      <c r="J203" s="1">
        <v>2.0667595708541113</v>
      </c>
      <c r="K203" s="1">
        <v>7.3119515547125147E-2</v>
      </c>
      <c r="L203">
        <f t="shared" si="7"/>
        <v>5.3464635538462762E-3</v>
      </c>
      <c r="P203" s="1">
        <v>165</v>
      </c>
      <c r="Q203" s="1">
        <v>1.6546248154443916E-2</v>
      </c>
      <c r="R203" s="1">
        <v>-1.4171057416545436E-2</v>
      </c>
    </row>
    <row r="204" spans="1:18" x14ac:dyDescent="0.35">
      <c r="A204" s="8">
        <v>108</v>
      </c>
      <c r="B204" s="8">
        <f t="shared" si="6"/>
        <v>2.0334237554869499</v>
      </c>
      <c r="C204" s="8">
        <v>0</v>
      </c>
      <c r="D204" s="8">
        <v>68</v>
      </c>
      <c r="E204" s="8">
        <v>20</v>
      </c>
      <c r="F204" s="8">
        <v>0</v>
      </c>
      <c r="G204" s="8">
        <v>27.3</v>
      </c>
      <c r="H204" s="8">
        <v>0.78700000000000003</v>
      </c>
      <c r="I204" s="8">
        <v>32</v>
      </c>
      <c r="J204" s="1">
        <v>2.0123944380969512</v>
      </c>
      <c r="K204" s="1">
        <v>2.1029317389998692E-2</v>
      </c>
      <c r="L204">
        <f t="shared" si="7"/>
        <v>4.4223218988930142E-4</v>
      </c>
      <c r="P204" s="1">
        <v>166</v>
      </c>
      <c r="Q204" s="1">
        <v>2.4709432151136072E-4</v>
      </c>
      <c r="R204" s="1">
        <v>1.0564399295072356E-2</v>
      </c>
    </row>
    <row r="205" spans="1:18" x14ac:dyDescent="0.35">
      <c r="A205" s="8">
        <v>99</v>
      </c>
      <c r="B205" s="8">
        <f t="shared" si="6"/>
        <v>1.9956351945975499</v>
      </c>
      <c r="C205" s="8">
        <v>2</v>
      </c>
      <c r="D205" s="8">
        <v>70</v>
      </c>
      <c r="E205" s="8">
        <v>16</v>
      </c>
      <c r="F205" s="8">
        <v>44</v>
      </c>
      <c r="G205" s="8">
        <v>20.399999999999999</v>
      </c>
      <c r="H205" s="8">
        <v>0.23499999999999999</v>
      </c>
      <c r="I205" s="8">
        <v>27</v>
      </c>
      <c r="J205" s="1">
        <v>1.9965653424130008</v>
      </c>
      <c r="K205" s="1">
        <v>-9.3014781545086578E-4</v>
      </c>
      <c r="L205">
        <f t="shared" si="7"/>
        <v>8.6517495858801789E-7</v>
      </c>
      <c r="P205" s="1">
        <v>167</v>
      </c>
      <c r="Q205" s="1">
        <v>7.259342224292599E-2</v>
      </c>
      <c r="R205" s="1">
        <v>-3.6573374078486529E-2</v>
      </c>
    </row>
    <row r="206" spans="1:18" x14ac:dyDescent="0.35">
      <c r="A206" s="8">
        <v>103</v>
      </c>
      <c r="B206" s="8">
        <f t="shared" si="6"/>
        <v>2.012837224705172</v>
      </c>
      <c r="C206" s="8">
        <v>6</v>
      </c>
      <c r="D206" s="8">
        <v>72</v>
      </c>
      <c r="E206" s="8">
        <v>32</v>
      </c>
      <c r="F206" s="8">
        <v>190</v>
      </c>
      <c r="G206" s="8">
        <v>37.700000000000003</v>
      </c>
      <c r="H206" s="8">
        <v>0.32400000000000001</v>
      </c>
      <c r="I206" s="8">
        <v>55</v>
      </c>
      <c r="J206" s="1">
        <v>2.1508773031018347</v>
      </c>
      <c r="K206" s="1">
        <v>-0.13804007839666266</v>
      </c>
      <c r="L206">
        <f t="shared" si="7"/>
        <v>1.9055063243756772E-2</v>
      </c>
      <c r="P206" s="1">
        <v>168</v>
      </c>
      <c r="Q206" s="1">
        <v>1.3642717077345858E-2</v>
      </c>
      <c r="R206" s="1">
        <v>-1.3409565738979754E-2</v>
      </c>
    </row>
    <row r="207" spans="1:18" x14ac:dyDescent="0.35">
      <c r="A207" s="8">
        <v>111</v>
      </c>
      <c r="B207" s="8">
        <f t="shared" si="6"/>
        <v>2.0453229787866576</v>
      </c>
      <c r="C207" s="8">
        <v>5</v>
      </c>
      <c r="D207" s="8">
        <v>72</v>
      </c>
      <c r="E207" s="8">
        <v>28</v>
      </c>
      <c r="F207" s="8">
        <v>0</v>
      </c>
      <c r="G207" s="8">
        <v>23.9</v>
      </c>
      <c r="H207" s="8">
        <v>0.40699999999999997</v>
      </c>
      <c r="I207" s="8">
        <v>27</v>
      </c>
      <c r="J207" s="1">
        <v>1.9711236509913896</v>
      </c>
      <c r="K207" s="1">
        <v>7.4199327795267944E-2</v>
      </c>
      <c r="L207">
        <f t="shared" si="7"/>
        <v>5.5055402452696221E-3</v>
      </c>
      <c r="P207" s="1">
        <v>169</v>
      </c>
      <c r="Q207" s="1">
        <v>1.9471914550233525E-2</v>
      </c>
      <c r="R207" s="1">
        <v>-1.9378860871892067E-2</v>
      </c>
    </row>
    <row r="208" spans="1:18" x14ac:dyDescent="0.35">
      <c r="A208" s="8">
        <v>196</v>
      </c>
      <c r="B208" s="8">
        <f t="shared" si="6"/>
        <v>2.2922560713564759</v>
      </c>
      <c r="C208" s="8">
        <v>8</v>
      </c>
      <c r="D208" s="8">
        <v>76</v>
      </c>
      <c r="E208" s="8">
        <v>29</v>
      </c>
      <c r="F208" s="8">
        <v>280</v>
      </c>
      <c r="G208" s="8">
        <v>37.5</v>
      </c>
      <c r="H208" s="8">
        <v>0.60499999999999998</v>
      </c>
      <c r="I208" s="8">
        <v>57</v>
      </c>
      <c r="J208" s="1">
        <v>2.212988025627928</v>
      </c>
      <c r="K208" s="1">
        <v>7.9268045728547953E-2</v>
      </c>
      <c r="L208">
        <f t="shared" si="7"/>
        <v>6.2834230736231698E-3</v>
      </c>
      <c r="P208" s="1">
        <v>170</v>
      </c>
      <c r="Q208" s="1">
        <v>1.7898873202889923E-2</v>
      </c>
      <c r="R208" s="1">
        <v>-1.7644328074055783E-2</v>
      </c>
    </row>
    <row r="209" spans="1:18" x14ac:dyDescent="0.35">
      <c r="A209" s="8">
        <v>162</v>
      </c>
      <c r="B209" s="8">
        <f t="shared" si="6"/>
        <v>2.2095150145426308</v>
      </c>
      <c r="C209" s="8">
        <v>5</v>
      </c>
      <c r="D209" s="8">
        <v>104</v>
      </c>
      <c r="E209" s="8">
        <v>0</v>
      </c>
      <c r="F209" s="8">
        <v>0</v>
      </c>
      <c r="G209" s="8">
        <v>37.700000000000003</v>
      </c>
      <c r="H209" s="8">
        <v>0.151</v>
      </c>
      <c r="I209" s="8">
        <v>52</v>
      </c>
      <c r="J209" s="1">
        <v>2.1248687216942148</v>
      </c>
      <c r="K209" s="1">
        <v>8.464629284841596E-2</v>
      </c>
      <c r="L209">
        <f t="shared" si="7"/>
        <v>7.1649948929797952E-3</v>
      </c>
      <c r="P209" s="1">
        <v>171</v>
      </c>
      <c r="Q209" s="1">
        <v>1.7746651578897623E-2</v>
      </c>
      <c r="R209" s="1">
        <v>-1.4756589166078344E-2</v>
      </c>
    </row>
    <row r="210" spans="1:18" x14ac:dyDescent="0.35">
      <c r="A210" s="8">
        <v>96</v>
      </c>
      <c r="B210" s="8">
        <f t="shared" si="6"/>
        <v>1.9822712330395684</v>
      </c>
      <c r="C210" s="8">
        <v>1</v>
      </c>
      <c r="D210" s="8">
        <v>64</v>
      </c>
      <c r="E210" s="8">
        <v>27</v>
      </c>
      <c r="F210" s="8">
        <v>87</v>
      </c>
      <c r="G210" s="8">
        <v>33.200000000000003</v>
      </c>
      <c r="H210" s="8">
        <v>0.28899999999999998</v>
      </c>
      <c r="I210" s="8">
        <v>21</v>
      </c>
      <c r="J210" s="1">
        <v>2.0140135342220837</v>
      </c>
      <c r="K210" s="1">
        <v>-3.1742301182515309E-2</v>
      </c>
      <c r="L210">
        <f t="shared" si="7"/>
        <v>1.0075736843615129E-3</v>
      </c>
      <c r="P210" s="1">
        <v>172</v>
      </c>
      <c r="Q210" s="1">
        <v>2.2945476153958241E-2</v>
      </c>
      <c r="R210" s="1">
        <v>-2.072258073042433E-2</v>
      </c>
    </row>
    <row r="211" spans="1:18" x14ac:dyDescent="0.35">
      <c r="A211" s="8">
        <v>184</v>
      </c>
      <c r="B211" s="8">
        <f t="shared" si="6"/>
        <v>2.2648178230095364</v>
      </c>
      <c r="C211" s="8">
        <v>7</v>
      </c>
      <c r="D211" s="8">
        <v>84</v>
      </c>
      <c r="E211" s="8">
        <v>33</v>
      </c>
      <c r="F211" s="8">
        <v>0</v>
      </c>
      <c r="G211" s="8">
        <v>35.5</v>
      </c>
      <c r="H211" s="8">
        <v>0.35499999999999998</v>
      </c>
      <c r="I211" s="8">
        <v>41</v>
      </c>
      <c r="J211" s="1">
        <v>2.029921896692537</v>
      </c>
      <c r="K211" s="1">
        <v>0.2348959263169994</v>
      </c>
      <c r="L211">
        <f t="shared" si="7"/>
        <v>5.5176096200321212E-2</v>
      </c>
      <c r="P211" s="1">
        <v>173</v>
      </c>
      <c r="Q211" s="1">
        <v>7.1038944996301104E-2</v>
      </c>
      <c r="R211" s="1">
        <v>-6.9893509216972113E-2</v>
      </c>
    </row>
    <row r="212" spans="1:18" x14ac:dyDescent="0.35">
      <c r="A212" s="8">
        <v>81</v>
      </c>
      <c r="B212" s="8">
        <f t="shared" si="6"/>
        <v>1.9084850188786497</v>
      </c>
      <c r="C212" s="8">
        <v>2</v>
      </c>
      <c r="D212" s="8">
        <v>60</v>
      </c>
      <c r="E212" s="8">
        <v>22</v>
      </c>
      <c r="F212" s="8">
        <v>0</v>
      </c>
      <c r="G212" s="8">
        <v>27.7</v>
      </c>
      <c r="H212" s="8">
        <v>0.28999999999999998</v>
      </c>
      <c r="I212" s="8">
        <v>25</v>
      </c>
      <c r="J212" s="1">
        <v>1.9782876684817856</v>
      </c>
      <c r="K212" s="1">
        <v>-6.9802649603135869E-2</v>
      </c>
      <c r="L212">
        <f t="shared" si="7"/>
        <v>4.8724098916181641E-3</v>
      </c>
      <c r="P212" s="1">
        <v>174</v>
      </c>
      <c r="Q212" s="1">
        <v>8.8648504866402203E-2</v>
      </c>
      <c r="R212" s="1">
        <v>-7.6139872479070725E-2</v>
      </c>
    </row>
    <row r="213" spans="1:18" x14ac:dyDescent="0.35">
      <c r="A213" s="8">
        <v>147</v>
      </c>
      <c r="B213" s="8">
        <f t="shared" si="6"/>
        <v>2.167317334748176</v>
      </c>
      <c r="C213" s="8">
        <v>0</v>
      </c>
      <c r="D213" s="8">
        <v>85</v>
      </c>
      <c r="E213" s="8">
        <v>54</v>
      </c>
      <c r="F213" s="8">
        <v>0</v>
      </c>
      <c r="G213" s="8">
        <v>42.8</v>
      </c>
      <c r="H213" s="8">
        <v>0.375</v>
      </c>
      <c r="I213" s="8">
        <v>24</v>
      </c>
      <c r="J213" s="1">
        <v>1.9634183362202808</v>
      </c>
      <c r="K213" s="1">
        <v>0.20389899852789517</v>
      </c>
      <c r="L213">
        <f t="shared" si="7"/>
        <v>4.1574801600678599E-2</v>
      </c>
      <c r="P213" s="1">
        <v>175</v>
      </c>
      <c r="Q213" s="1">
        <v>5.3901671430084341E-2</v>
      </c>
      <c r="R213" s="1">
        <v>-3.080127406792493E-2</v>
      </c>
    </row>
    <row r="214" spans="1:18" x14ac:dyDescent="0.35">
      <c r="A214" s="8">
        <v>179</v>
      </c>
      <c r="B214" s="8">
        <f t="shared" si="6"/>
        <v>2.2528530309798933</v>
      </c>
      <c r="C214" s="8">
        <v>7</v>
      </c>
      <c r="D214" s="8">
        <v>95</v>
      </c>
      <c r="E214" s="8">
        <v>31</v>
      </c>
      <c r="F214" s="8">
        <v>0</v>
      </c>
      <c r="G214" s="8">
        <v>34.200000000000003</v>
      </c>
      <c r="H214" s="8">
        <v>0.16400000000000001</v>
      </c>
      <c r="I214" s="8">
        <v>60</v>
      </c>
      <c r="J214" s="1">
        <v>2.072760993165601</v>
      </c>
      <c r="K214" s="1">
        <v>0.18009203781429228</v>
      </c>
      <c r="L214">
        <f t="shared" si="7"/>
        <v>3.2433142084104478E-2</v>
      </c>
      <c r="P214" s="1">
        <v>176</v>
      </c>
      <c r="Q214" s="1">
        <v>4.9886553934322016E-2</v>
      </c>
      <c r="R214" s="1">
        <v>-1.2493504420276177E-2</v>
      </c>
    </row>
    <row r="215" spans="1:18" x14ac:dyDescent="0.35">
      <c r="A215" s="8">
        <v>140</v>
      </c>
      <c r="B215" s="8">
        <f t="shared" si="6"/>
        <v>2.1461280356782382</v>
      </c>
      <c r="C215" s="8">
        <v>0</v>
      </c>
      <c r="D215" s="8">
        <v>65</v>
      </c>
      <c r="E215" s="8">
        <v>26</v>
      </c>
      <c r="F215" s="8">
        <v>130</v>
      </c>
      <c r="G215" s="8">
        <v>42.6</v>
      </c>
      <c r="H215" s="8">
        <v>0.43099999999999999</v>
      </c>
      <c r="I215" s="8">
        <v>24</v>
      </c>
      <c r="J215" s="1">
        <v>2.0714621172199483</v>
      </c>
      <c r="K215" s="1">
        <v>7.4665918458289848E-2</v>
      </c>
      <c r="L215">
        <f t="shared" si="7"/>
        <v>5.5749993792199885E-3</v>
      </c>
      <c r="P215" s="1">
        <v>177</v>
      </c>
      <c r="Q215" s="1">
        <v>1.3686144294433716E-2</v>
      </c>
      <c r="R215" s="1">
        <v>9.8352016500378812E-3</v>
      </c>
    </row>
    <row r="216" spans="1:18" x14ac:dyDescent="0.35">
      <c r="A216" s="8">
        <v>112</v>
      </c>
      <c r="B216" s="8">
        <f t="shared" si="6"/>
        <v>2.0492180226701815</v>
      </c>
      <c r="C216" s="8">
        <v>9</v>
      </c>
      <c r="D216" s="8">
        <v>82</v>
      </c>
      <c r="E216" s="8">
        <v>32</v>
      </c>
      <c r="F216" s="8">
        <v>175</v>
      </c>
      <c r="G216" s="8">
        <v>34.200000000000003</v>
      </c>
      <c r="H216" s="8">
        <v>0.26</v>
      </c>
      <c r="I216" s="8">
        <v>36</v>
      </c>
      <c r="J216" s="1">
        <v>2.0946674558029708</v>
      </c>
      <c r="K216" s="1">
        <v>-4.5449433132789263E-2</v>
      </c>
      <c r="L216">
        <f t="shared" si="7"/>
        <v>2.0656509720918823E-3</v>
      </c>
      <c r="P216" s="1">
        <v>178</v>
      </c>
      <c r="Q216" s="1">
        <v>7.6129564666052196E-2</v>
      </c>
      <c r="R216" s="1">
        <v>-7.610551096232876E-2</v>
      </c>
    </row>
    <row r="217" spans="1:18" x14ac:dyDescent="0.35">
      <c r="A217" s="8">
        <v>151</v>
      </c>
      <c r="B217" s="8">
        <f t="shared" si="6"/>
        <v>2.1789769472931693</v>
      </c>
      <c r="C217" s="8">
        <v>12</v>
      </c>
      <c r="D217" s="8">
        <v>70</v>
      </c>
      <c r="E217" s="8">
        <v>40</v>
      </c>
      <c r="F217" s="8">
        <v>271</v>
      </c>
      <c r="G217" s="8">
        <v>41.8</v>
      </c>
      <c r="H217" s="8">
        <v>0.74199999999999999</v>
      </c>
      <c r="I217" s="8">
        <v>38</v>
      </c>
      <c r="J217" s="1">
        <v>2.1605842124355941</v>
      </c>
      <c r="K217" s="1">
        <v>1.8392734857575199E-2</v>
      </c>
      <c r="L217">
        <f t="shared" si="7"/>
        <v>3.3829269554106178E-4</v>
      </c>
      <c r="P217" s="1">
        <v>179</v>
      </c>
      <c r="Q217" s="1">
        <v>1.9352459800716787E-2</v>
      </c>
      <c r="R217" s="1">
        <v>-1.8461429613340512E-2</v>
      </c>
    </row>
    <row r="218" spans="1:18" x14ac:dyDescent="0.35">
      <c r="A218" s="8">
        <v>109</v>
      </c>
      <c r="B218" s="8">
        <f t="shared" si="6"/>
        <v>2.0374264979406238</v>
      </c>
      <c r="C218" s="8">
        <v>5</v>
      </c>
      <c r="D218" s="8">
        <v>62</v>
      </c>
      <c r="E218" s="8">
        <v>41</v>
      </c>
      <c r="F218" s="8">
        <v>129</v>
      </c>
      <c r="G218" s="8">
        <v>35.799999999999997</v>
      </c>
      <c r="H218" s="8">
        <v>0.51400000000000001</v>
      </c>
      <c r="I218" s="8">
        <v>25</v>
      </c>
      <c r="J218" s="1">
        <v>2.0317177617218536</v>
      </c>
      <c r="K218" s="1">
        <v>5.7087362187702162E-3</v>
      </c>
      <c r="L218">
        <f t="shared" si="7"/>
        <v>3.2589669215498869E-5</v>
      </c>
      <c r="P218" s="1">
        <v>180</v>
      </c>
      <c r="Q218" s="1">
        <v>5.5462651931722992E-3</v>
      </c>
      <c r="R218" s="1">
        <v>-5.5257059301881033E-3</v>
      </c>
    </row>
    <row r="219" spans="1:18" x14ac:dyDescent="0.35">
      <c r="A219" s="8">
        <v>125</v>
      </c>
      <c r="B219" s="8">
        <f t="shared" si="6"/>
        <v>2.0969100130080562</v>
      </c>
      <c r="C219" s="8">
        <v>6</v>
      </c>
      <c r="D219" s="8">
        <v>68</v>
      </c>
      <c r="E219" s="8">
        <v>30</v>
      </c>
      <c r="F219" s="8">
        <v>120</v>
      </c>
      <c r="G219" s="8">
        <v>30</v>
      </c>
      <c r="H219" s="8">
        <v>0.46400000000000002</v>
      </c>
      <c r="I219" s="8">
        <v>32</v>
      </c>
      <c r="J219" s="1">
        <v>2.0511708498318817</v>
      </c>
      <c r="K219" s="1">
        <v>4.5739163176174547E-2</v>
      </c>
      <c r="L219">
        <f t="shared" si="7"/>
        <v>2.0920710480567218E-3</v>
      </c>
      <c r="P219" s="1">
        <v>181</v>
      </c>
      <c r="Q219" s="1">
        <v>1.9796386527035206E-2</v>
      </c>
      <c r="R219" s="1">
        <v>-1.1627864029610328E-2</v>
      </c>
    </row>
    <row r="220" spans="1:18" x14ac:dyDescent="0.35">
      <c r="A220" s="8">
        <v>85</v>
      </c>
      <c r="B220" s="8">
        <f t="shared" si="6"/>
        <v>1.9294189257142926</v>
      </c>
      <c r="C220" s="8">
        <v>5</v>
      </c>
      <c r="D220" s="8">
        <v>74</v>
      </c>
      <c r="E220" s="8">
        <v>22</v>
      </c>
      <c r="F220" s="8">
        <v>0</v>
      </c>
      <c r="G220" s="8">
        <v>29</v>
      </c>
      <c r="H220" s="8">
        <v>1.224</v>
      </c>
      <c r="I220" s="8">
        <v>32</v>
      </c>
      <c r="J220" s="1">
        <v>2.0323758216777201</v>
      </c>
      <c r="K220" s="1">
        <v>-0.1029568959634275</v>
      </c>
      <c r="L220">
        <f t="shared" si="7"/>
        <v>1.0600122426424033E-2</v>
      </c>
      <c r="P220" s="1">
        <v>182</v>
      </c>
      <c r="Q220" s="1">
        <v>3.1795332743965746E-2</v>
      </c>
      <c r="R220" s="1">
        <v>-3.1358464350802272E-2</v>
      </c>
    </row>
    <row r="221" spans="1:18" x14ac:dyDescent="0.35">
      <c r="A221" s="8">
        <v>112</v>
      </c>
      <c r="B221" s="8">
        <f t="shared" si="6"/>
        <v>2.0492180226701815</v>
      </c>
      <c r="C221" s="8">
        <v>5</v>
      </c>
      <c r="D221" s="8">
        <v>66</v>
      </c>
      <c r="E221" s="8">
        <v>0</v>
      </c>
      <c r="F221" s="8">
        <v>0</v>
      </c>
      <c r="G221" s="8">
        <v>37.799999999999997</v>
      </c>
      <c r="H221" s="8">
        <v>0.26100000000000001</v>
      </c>
      <c r="I221" s="8">
        <v>41</v>
      </c>
      <c r="J221" s="1">
        <v>2.089967191377827</v>
      </c>
      <c r="K221" s="1">
        <v>-4.0749168707645556E-2</v>
      </c>
      <c r="L221">
        <f t="shared" si="7"/>
        <v>1.6604947503641597E-3</v>
      </c>
      <c r="P221" s="1">
        <v>183</v>
      </c>
      <c r="Q221" s="1">
        <v>5.7999961874410547E-2</v>
      </c>
      <c r="R221" s="1">
        <v>3.8913611088994533</v>
      </c>
    </row>
    <row r="222" spans="1:18" x14ac:dyDescent="0.35">
      <c r="A222" s="8">
        <v>177</v>
      </c>
      <c r="B222" s="8">
        <f t="shared" si="6"/>
        <v>2.2479732663618068</v>
      </c>
      <c r="C222" s="8">
        <v>0</v>
      </c>
      <c r="D222" s="8">
        <v>60</v>
      </c>
      <c r="E222" s="8">
        <v>29</v>
      </c>
      <c r="F222" s="8">
        <v>478</v>
      </c>
      <c r="G222" s="8">
        <v>34.6</v>
      </c>
      <c r="H222" s="8">
        <v>1.0720000000000001</v>
      </c>
      <c r="I222" s="8">
        <v>21</v>
      </c>
      <c r="J222" s="1">
        <v>2.2115468437400967</v>
      </c>
      <c r="K222" s="1">
        <v>3.6426422621710142E-2</v>
      </c>
      <c r="L222">
        <f t="shared" si="7"/>
        <v>1.3268842650154364E-3</v>
      </c>
      <c r="P222" s="1">
        <v>184</v>
      </c>
      <c r="Q222" s="1">
        <v>2.2501375503992303E-2</v>
      </c>
      <c r="R222" s="1">
        <v>3.8529526168273667E-3</v>
      </c>
    </row>
    <row r="223" spans="1:18" x14ac:dyDescent="0.35">
      <c r="A223" s="8">
        <v>158</v>
      </c>
      <c r="B223" s="8">
        <f t="shared" si="6"/>
        <v>2.1986570869544226</v>
      </c>
      <c r="C223" s="8">
        <v>2</v>
      </c>
      <c r="D223" s="8">
        <v>90</v>
      </c>
      <c r="E223" s="8">
        <v>0</v>
      </c>
      <c r="F223" s="8">
        <v>0</v>
      </c>
      <c r="G223" s="8">
        <v>31.6</v>
      </c>
      <c r="H223" s="8">
        <v>0.80500000000000005</v>
      </c>
      <c r="I223" s="8">
        <v>66</v>
      </c>
      <c r="J223" s="1">
        <v>2.1520763007697656</v>
      </c>
      <c r="K223" s="1">
        <v>4.6580786184656997E-2</v>
      </c>
      <c r="L223">
        <f t="shared" si="7"/>
        <v>2.1697696415807323E-3</v>
      </c>
      <c r="P223" s="1">
        <v>185</v>
      </c>
      <c r="Q223" s="1">
        <v>2.0079470071383623E-2</v>
      </c>
      <c r="R223" s="1">
        <v>-1.2324513612556032E-2</v>
      </c>
    </row>
    <row r="224" spans="1:18" x14ac:dyDescent="0.35">
      <c r="A224" s="8">
        <v>119</v>
      </c>
      <c r="B224" s="8">
        <f t="shared" si="6"/>
        <v>2.0755469613925306</v>
      </c>
      <c r="C224" s="8">
        <v>7</v>
      </c>
      <c r="D224" s="8">
        <v>0</v>
      </c>
      <c r="E224" s="8">
        <v>0</v>
      </c>
      <c r="F224" s="8">
        <v>0</v>
      </c>
      <c r="G224" s="8">
        <v>25.2</v>
      </c>
      <c r="H224" s="8">
        <v>0.20899999999999999</v>
      </c>
      <c r="I224" s="8">
        <v>37</v>
      </c>
      <c r="J224" s="1">
        <v>2.0247753230098042</v>
      </c>
      <c r="K224" s="1">
        <v>5.0771638382726358E-2</v>
      </c>
      <c r="L224">
        <f t="shared" si="7"/>
        <v>2.5777592640663324E-3</v>
      </c>
      <c r="P224" s="1">
        <v>186</v>
      </c>
      <c r="Q224" s="1">
        <v>5.9502476611912616E-2</v>
      </c>
      <c r="R224" s="1">
        <v>-1.3127068431064703E-3</v>
      </c>
    </row>
    <row r="225" spans="1:18" x14ac:dyDescent="0.35">
      <c r="A225" s="8">
        <v>142</v>
      </c>
      <c r="B225" s="8">
        <f t="shared" si="6"/>
        <v>2.1522883443830563</v>
      </c>
      <c r="C225" s="8">
        <v>7</v>
      </c>
      <c r="D225" s="8">
        <v>60</v>
      </c>
      <c r="E225" s="8">
        <v>33</v>
      </c>
      <c r="F225" s="8">
        <v>190</v>
      </c>
      <c r="G225" s="8">
        <v>28.8</v>
      </c>
      <c r="H225" s="8">
        <v>0.68700000000000006</v>
      </c>
      <c r="I225" s="8">
        <v>61</v>
      </c>
      <c r="J225" s="1">
        <v>2.1460433990688323</v>
      </c>
      <c r="K225" s="1">
        <v>6.2449453142239264E-3</v>
      </c>
      <c r="L225">
        <f t="shared" si="7"/>
        <v>3.8999341977647376E-5</v>
      </c>
      <c r="P225" s="1">
        <v>187</v>
      </c>
      <c r="Q225" s="1">
        <v>-5.9227479899968974E-2</v>
      </c>
      <c r="R225" s="1">
        <v>5.9791849658775632E-2</v>
      </c>
    </row>
    <row r="226" spans="1:18" x14ac:dyDescent="0.35">
      <c r="A226" s="8">
        <v>100</v>
      </c>
      <c r="B226" s="8">
        <f t="shared" si="6"/>
        <v>2</v>
      </c>
      <c r="C226" s="8">
        <v>1</v>
      </c>
      <c r="D226" s="8">
        <v>66</v>
      </c>
      <c r="E226" s="8">
        <v>15</v>
      </c>
      <c r="F226" s="8">
        <v>56</v>
      </c>
      <c r="G226" s="8">
        <v>23.6</v>
      </c>
      <c r="H226" s="8">
        <v>0.66600000000000004</v>
      </c>
      <c r="I226" s="8">
        <v>26</v>
      </c>
      <c r="J226" s="1">
        <v>2.0203710707482072</v>
      </c>
      <c r="K226" s="1">
        <v>-2.037107074820721E-2</v>
      </c>
      <c r="L226">
        <f t="shared" si="7"/>
        <v>4.1498052342846346E-4</v>
      </c>
      <c r="P226" s="1">
        <v>188</v>
      </c>
      <c r="Q226" s="1">
        <v>6.3032670325054482E-2</v>
      </c>
      <c r="R226" s="1">
        <v>-5.8393123164849035E-2</v>
      </c>
    </row>
    <row r="227" spans="1:18" x14ac:dyDescent="0.35">
      <c r="A227" s="8">
        <v>87</v>
      </c>
      <c r="B227" s="8">
        <f t="shared" si="6"/>
        <v>1.9395192526186185</v>
      </c>
      <c r="C227" s="8">
        <v>1</v>
      </c>
      <c r="D227" s="8">
        <v>78</v>
      </c>
      <c r="E227" s="8">
        <v>27</v>
      </c>
      <c r="F227" s="8">
        <v>32</v>
      </c>
      <c r="G227" s="8">
        <v>34.6</v>
      </c>
      <c r="H227" s="8">
        <v>0.10100000000000001</v>
      </c>
      <c r="I227" s="8">
        <v>22</v>
      </c>
      <c r="J227" s="1">
        <v>1.9944760811622386</v>
      </c>
      <c r="K227" s="1">
        <v>-5.4956828543620162E-2</v>
      </c>
      <c r="L227">
        <f t="shared" si="7"/>
        <v>3.0202530035728639E-3</v>
      </c>
      <c r="P227" s="1">
        <v>189</v>
      </c>
      <c r="Q227" s="1">
        <v>4.9725707721148538E-2</v>
      </c>
      <c r="R227" s="1">
        <v>-4.9701025483813895E-2</v>
      </c>
    </row>
    <row r="228" spans="1:18" x14ac:dyDescent="0.35">
      <c r="A228" s="8">
        <v>101</v>
      </c>
      <c r="B228" s="8">
        <f t="shared" si="6"/>
        <v>2.0043213737826426</v>
      </c>
      <c r="C228" s="8">
        <v>0</v>
      </c>
      <c r="D228" s="8">
        <v>76</v>
      </c>
      <c r="E228" s="8">
        <v>0</v>
      </c>
      <c r="F228" s="8">
        <v>0</v>
      </c>
      <c r="G228" s="8">
        <v>35.700000000000003</v>
      </c>
      <c r="H228" s="8">
        <v>0.19800000000000001</v>
      </c>
      <c r="I228" s="8">
        <v>26</v>
      </c>
      <c r="J228" s="1">
        <v>2.0461012074450688</v>
      </c>
      <c r="K228" s="1">
        <v>-4.1779833662426213E-2</v>
      </c>
      <c r="L228">
        <f t="shared" si="7"/>
        <v>1.7455545008600026E-3</v>
      </c>
      <c r="P228" s="1">
        <v>190</v>
      </c>
      <c r="Q228" s="1">
        <v>4.0835680400503435E-2</v>
      </c>
      <c r="R228" s="1">
        <v>-3.1756113356444349E-2</v>
      </c>
    </row>
    <row r="229" spans="1:18" x14ac:dyDescent="0.35">
      <c r="A229" s="8">
        <v>162</v>
      </c>
      <c r="B229" s="8">
        <f t="shared" si="6"/>
        <v>2.2095150145426308</v>
      </c>
      <c r="C229" s="8">
        <v>3</v>
      </c>
      <c r="D229" s="8">
        <v>52</v>
      </c>
      <c r="E229" s="8">
        <v>38</v>
      </c>
      <c r="F229" s="8">
        <v>0</v>
      </c>
      <c r="G229" s="8">
        <v>37.200000000000003</v>
      </c>
      <c r="H229" s="8">
        <v>0.65200000000000002</v>
      </c>
      <c r="I229" s="8">
        <v>24</v>
      </c>
      <c r="J229" s="1">
        <v>1.9791800864379656</v>
      </c>
      <c r="K229" s="1">
        <v>0.23033492810466516</v>
      </c>
      <c r="L229">
        <f t="shared" si="7"/>
        <v>5.3054179104981267E-2</v>
      </c>
      <c r="P229" s="1">
        <v>191</v>
      </c>
      <c r="Q229" s="1">
        <v>2.8284030893615388E-2</v>
      </c>
      <c r="R229" s="1">
        <v>-2.5795223427292513E-2</v>
      </c>
    </row>
    <row r="230" spans="1:18" x14ac:dyDescent="0.35">
      <c r="A230" s="8">
        <v>197</v>
      </c>
      <c r="B230" s="8">
        <f t="shared" si="6"/>
        <v>2.2944662261615929</v>
      </c>
      <c r="C230" s="8">
        <v>4</v>
      </c>
      <c r="D230" s="8">
        <v>70</v>
      </c>
      <c r="E230" s="8">
        <v>39</v>
      </c>
      <c r="F230" s="8">
        <v>744</v>
      </c>
      <c r="G230" s="8">
        <v>36.700000000000003</v>
      </c>
      <c r="H230" s="8">
        <v>2.3290000000000002</v>
      </c>
      <c r="I230" s="8">
        <v>31</v>
      </c>
      <c r="J230" s="1">
        <v>2.3849057477016942</v>
      </c>
      <c r="K230" s="1">
        <v>-9.0439521540101264E-2</v>
      </c>
      <c r="L230">
        <f t="shared" si="7"/>
        <v>8.1793070564024403E-3</v>
      </c>
      <c r="P230" s="1">
        <v>192</v>
      </c>
      <c r="Q230" s="1">
        <v>6.7617222973869101E-2</v>
      </c>
      <c r="R230" s="1">
        <v>-6.513181384455953E-2</v>
      </c>
    </row>
    <row r="231" spans="1:18" x14ac:dyDescent="0.35">
      <c r="A231" s="8">
        <v>117</v>
      </c>
      <c r="B231" s="8">
        <f t="shared" si="6"/>
        <v>2.0681858617461617</v>
      </c>
      <c r="C231" s="8">
        <v>0</v>
      </c>
      <c r="D231" s="8">
        <v>80</v>
      </c>
      <c r="E231" s="8">
        <v>31</v>
      </c>
      <c r="F231" s="8">
        <v>53</v>
      </c>
      <c r="G231" s="8">
        <v>45.2</v>
      </c>
      <c r="H231" s="8">
        <v>8.8999999999999996E-2</v>
      </c>
      <c r="I231" s="8">
        <v>24</v>
      </c>
      <c r="J231" s="1">
        <v>2.0290385389317387</v>
      </c>
      <c r="K231" s="1">
        <v>3.9147322814423013E-2</v>
      </c>
      <c r="L231">
        <f t="shared" si="7"/>
        <v>1.5325128835366447E-3</v>
      </c>
      <c r="P231" s="1">
        <v>193</v>
      </c>
      <c r="Q231" s="1">
        <v>1.5020866761780306E-2</v>
      </c>
      <c r="R231" s="1">
        <v>3.9652408126980461E-3</v>
      </c>
    </row>
    <row r="232" spans="1:18" x14ac:dyDescent="0.35">
      <c r="A232" s="8">
        <v>142</v>
      </c>
      <c r="B232" s="8">
        <f t="shared" si="6"/>
        <v>2.1522883443830563</v>
      </c>
      <c r="C232" s="8">
        <v>4</v>
      </c>
      <c r="D232" s="8">
        <v>86</v>
      </c>
      <c r="E232" s="8">
        <v>0</v>
      </c>
      <c r="F232" s="8">
        <v>0</v>
      </c>
      <c r="G232" s="8">
        <v>44</v>
      </c>
      <c r="H232" s="8">
        <v>0.64500000000000002</v>
      </c>
      <c r="I232" s="8">
        <v>22</v>
      </c>
      <c r="J232" s="1">
        <v>2.0792732188513301</v>
      </c>
      <c r="K232" s="1">
        <v>7.3015125531726177E-2</v>
      </c>
      <c r="L232">
        <f t="shared" si="7"/>
        <v>5.3312085564137315E-3</v>
      </c>
      <c r="P232" s="1">
        <v>194</v>
      </c>
      <c r="Q232" s="1">
        <v>1.755471407951973E-2</v>
      </c>
      <c r="R232" s="1">
        <v>-1.7442990248775617E-2</v>
      </c>
    </row>
    <row r="233" spans="1:18" x14ac:dyDescent="0.35">
      <c r="A233" s="8">
        <v>134</v>
      </c>
      <c r="B233" s="8">
        <f t="shared" si="6"/>
        <v>2.1271047983648077</v>
      </c>
      <c r="C233" s="8">
        <v>6</v>
      </c>
      <c r="D233" s="8">
        <v>80</v>
      </c>
      <c r="E233" s="8">
        <v>37</v>
      </c>
      <c r="F233" s="8">
        <v>370</v>
      </c>
      <c r="G233" s="8">
        <v>46.2</v>
      </c>
      <c r="H233" s="8">
        <v>0.23799999999999999</v>
      </c>
      <c r="I233" s="8">
        <v>46</v>
      </c>
      <c r="J233" s="1">
        <v>2.22519017042075</v>
      </c>
      <c r="K233" s="1">
        <v>-9.8085372055942255E-2</v>
      </c>
      <c r="L233">
        <f t="shared" si="7"/>
        <v>9.6207402113526186E-3</v>
      </c>
      <c r="P233" s="1">
        <v>195</v>
      </c>
      <c r="Q233" s="1">
        <v>5.5304996966039348E-2</v>
      </c>
      <c r="R233" s="1">
        <v>-4.8409526190036571E-2</v>
      </c>
    </row>
    <row r="234" spans="1:18" x14ac:dyDescent="0.35">
      <c r="A234" s="8">
        <v>79</v>
      </c>
      <c r="B234" s="8">
        <f t="shared" si="6"/>
        <v>1.8976270912904414</v>
      </c>
      <c r="C234" s="8">
        <v>1</v>
      </c>
      <c r="D234" s="8">
        <v>80</v>
      </c>
      <c r="E234" s="8">
        <v>25</v>
      </c>
      <c r="F234" s="8">
        <v>37</v>
      </c>
      <c r="G234" s="8">
        <v>25.4</v>
      </c>
      <c r="H234" s="8">
        <v>0.58299999999999996</v>
      </c>
      <c r="I234" s="8">
        <v>22</v>
      </c>
      <c r="J234" s="1">
        <v>1.9901064060357905</v>
      </c>
      <c r="K234" s="1">
        <v>-9.2479314745349095E-2</v>
      </c>
      <c r="L234">
        <f t="shared" si="7"/>
        <v>8.5524236557693433E-3</v>
      </c>
      <c r="P234" s="1">
        <v>196</v>
      </c>
      <c r="Q234" s="1">
        <v>3.7543175852359466E-2</v>
      </c>
      <c r="R234" s="1">
        <v>-2.6069186014348555E-2</v>
      </c>
    </row>
    <row r="235" spans="1:18" x14ac:dyDescent="0.35">
      <c r="A235" s="8">
        <v>122</v>
      </c>
      <c r="B235" s="8">
        <f t="shared" si="6"/>
        <v>2.0863598306747484</v>
      </c>
      <c r="C235" s="8">
        <v>4</v>
      </c>
      <c r="D235" s="8">
        <v>68</v>
      </c>
      <c r="E235" s="8">
        <v>0</v>
      </c>
      <c r="F235" s="8">
        <v>0</v>
      </c>
      <c r="G235" s="8">
        <v>35</v>
      </c>
      <c r="H235" s="8">
        <v>0.39400000000000002</v>
      </c>
      <c r="I235" s="8">
        <v>29</v>
      </c>
      <c r="J235" s="1">
        <v>2.0579283537114286</v>
      </c>
      <c r="K235" s="1">
        <v>2.8431476963319824E-2</v>
      </c>
      <c r="L235">
        <f t="shared" si="7"/>
        <v>8.0834888231578583E-4</v>
      </c>
      <c r="P235" s="1">
        <v>197</v>
      </c>
      <c r="Q235" s="1">
        <v>3.1456003616993689E-2</v>
      </c>
      <c r="R235" s="1">
        <v>-3.0922927679942855E-2</v>
      </c>
    </row>
    <row r="236" spans="1:18" x14ac:dyDescent="0.35">
      <c r="A236" s="8">
        <v>74</v>
      </c>
      <c r="B236" s="8">
        <f t="shared" si="6"/>
        <v>1.8692317197309762</v>
      </c>
      <c r="C236" s="8">
        <v>3</v>
      </c>
      <c r="D236" s="8">
        <v>68</v>
      </c>
      <c r="E236" s="8">
        <v>28</v>
      </c>
      <c r="F236" s="8">
        <v>45</v>
      </c>
      <c r="G236" s="8">
        <v>29.7</v>
      </c>
      <c r="H236" s="8">
        <v>0.29299999999999998</v>
      </c>
      <c r="I236" s="8">
        <v>23</v>
      </c>
      <c r="J236" s="1">
        <v>1.9914961464021408</v>
      </c>
      <c r="K236" s="1">
        <v>-0.12226442667116455</v>
      </c>
      <c r="L236">
        <f t="shared" si="7"/>
        <v>1.4948590029228574E-2</v>
      </c>
      <c r="P236" s="1">
        <v>198</v>
      </c>
      <c r="Q236" s="1">
        <v>2.9417746088957641E-2</v>
      </c>
      <c r="R236" s="1">
        <v>-2.9138160019285535E-2</v>
      </c>
    </row>
    <row r="237" spans="1:18" x14ac:dyDescent="0.35">
      <c r="A237" s="8">
        <v>171</v>
      </c>
      <c r="B237" s="8">
        <f t="shared" si="6"/>
        <v>2.2329961103921536</v>
      </c>
      <c r="C237" s="8">
        <v>4</v>
      </c>
      <c r="D237" s="8">
        <v>72</v>
      </c>
      <c r="E237" s="8">
        <v>0</v>
      </c>
      <c r="F237" s="8">
        <v>0</v>
      </c>
      <c r="G237" s="8">
        <v>43.6</v>
      </c>
      <c r="H237" s="8">
        <v>0.47899999999999998</v>
      </c>
      <c r="I237" s="8">
        <v>26</v>
      </c>
      <c r="J237" s="1">
        <v>2.0780768972020152</v>
      </c>
      <c r="K237" s="1">
        <v>0.15491921319013846</v>
      </c>
      <c r="L237">
        <f t="shared" si="7"/>
        <v>2.3999962615451571E-2</v>
      </c>
      <c r="P237" s="1">
        <v>199</v>
      </c>
      <c r="Q237" s="1">
        <v>6.7887164091117683E-2</v>
      </c>
      <c r="R237" s="1">
        <v>-6.7671905648460734E-2</v>
      </c>
    </row>
    <row r="238" spans="1:18" x14ac:dyDescent="0.35">
      <c r="A238" s="8">
        <v>181</v>
      </c>
      <c r="B238" s="8">
        <f t="shared" si="6"/>
        <v>2.2576785748691846</v>
      </c>
      <c r="C238" s="8">
        <v>7</v>
      </c>
      <c r="D238" s="8">
        <v>84</v>
      </c>
      <c r="E238" s="8">
        <v>21</v>
      </c>
      <c r="F238" s="8">
        <v>192</v>
      </c>
      <c r="G238" s="8">
        <v>35.9</v>
      </c>
      <c r="H238" s="8">
        <v>0.58599999999999997</v>
      </c>
      <c r="I238" s="8">
        <v>51</v>
      </c>
      <c r="J238" s="1">
        <v>2.1715012509208842</v>
      </c>
      <c r="K238" s="1">
        <v>8.6177323948300355E-2</v>
      </c>
      <c r="L238">
        <f t="shared" si="7"/>
        <v>7.426531162890302E-3</v>
      </c>
      <c r="P238" s="1">
        <v>200</v>
      </c>
      <c r="Q238" s="1">
        <v>-7.555023767522295E-3</v>
      </c>
      <c r="R238" s="1">
        <v>9.2723379295833047E-3</v>
      </c>
    </row>
    <row r="239" spans="1:18" x14ac:dyDescent="0.35">
      <c r="A239" s="8">
        <v>179</v>
      </c>
      <c r="B239" s="8">
        <f t="shared" si="6"/>
        <v>2.2528530309798933</v>
      </c>
      <c r="C239" s="8">
        <v>0</v>
      </c>
      <c r="D239" s="8">
        <v>90</v>
      </c>
      <c r="E239" s="8">
        <v>27</v>
      </c>
      <c r="F239" s="8">
        <v>0</v>
      </c>
      <c r="G239" s="8">
        <v>44.1</v>
      </c>
      <c r="H239" s="8">
        <v>0.68600000000000005</v>
      </c>
      <c r="I239" s="8">
        <v>23</v>
      </c>
      <c r="J239" s="1">
        <v>2.0278818490049888</v>
      </c>
      <c r="K239" s="1">
        <v>0.22497118197490451</v>
      </c>
      <c r="L239">
        <f t="shared" si="7"/>
        <v>5.0612032719185601E-2</v>
      </c>
      <c r="P239" s="1">
        <v>201</v>
      </c>
      <c r="Q239" s="1">
        <v>4.6874069583586954E-2</v>
      </c>
      <c r="R239" s="1">
        <v>-4.5114499618958658E-2</v>
      </c>
    </row>
    <row r="240" spans="1:18" x14ac:dyDescent="0.35">
      <c r="A240" s="8">
        <v>164</v>
      </c>
      <c r="B240" s="8">
        <f t="shared" si="6"/>
        <v>2.214843848047698</v>
      </c>
      <c r="C240" s="8">
        <v>9</v>
      </c>
      <c r="D240" s="8">
        <v>84</v>
      </c>
      <c r="E240" s="8">
        <v>21</v>
      </c>
      <c r="F240" s="8">
        <v>0</v>
      </c>
      <c r="G240" s="8">
        <v>30.8</v>
      </c>
      <c r="H240" s="8">
        <v>0.83099999999999996</v>
      </c>
      <c r="I240" s="8">
        <v>32</v>
      </c>
      <c r="J240" s="1">
        <v>2.0351266169869882</v>
      </c>
      <c r="K240" s="1">
        <v>0.1797172310607098</v>
      </c>
      <c r="L240">
        <f t="shared" si="7"/>
        <v>3.2298283140128559E-2</v>
      </c>
      <c r="P240" s="1">
        <v>202</v>
      </c>
      <c r="Q240" s="1">
        <v>2.6899127178992083E-2</v>
      </c>
      <c r="R240" s="1">
        <v>-2.1552663625145806E-2</v>
      </c>
    </row>
    <row r="241" spans="1:18" x14ac:dyDescent="0.35">
      <c r="A241" s="8">
        <v>104</v>
      </c>
      <c r="B241" s="8">
        <f t="shared" si="6"/>
        <v>2.0170333392987803</v>
      </c>
      <c r="C241" s="8">
        <v>0</v>
      </c>
      <c r="D241" s="8">
        <v>76</v>
      </c>
      <c r="E241" s="8">
        <v>0</v>
      </c>
      <c r="F241" s="8">
        <v>0</v>
      </c>
      <c r="G241" s="8">
        <v>18.399999999999999</v>
      </c>
      <c r="H241" s="8">
        <v>0.58199999999999996</v>
      </c>
      <c r="I241" s="8">
        <v>27</v>
      </c>
      <c r="J241" s="1">
        <v>2.0124061747609021</v>
      </c>
      <c r="K241" s="1">
        <v>4.6271645378781479E-3</v>
      </c>
      <c r="L241">
        <f t="shared" si="7"/>
        <v>2.1410651660597093E-5</v>
      </c>
      <c r="P241" s="1">
        <v>203</v>
      </c>
      <c r="Q241" s="1">
        <v>5.5688564741237255E-2</v>
      </c>
      <c r="R241" s="1">
        <v>-5.5246332551347956E-2</v>
      </c>
    </row>
    <row r="242" spans="1:18" x14ac:dyDescent="0.35">
      <c r="A242" s="8">
        <v>91</v>
      </c>
      <c r="B242" s="8">
        <f t="shared" si="6"/>
        <v>1.9590413923210936</v>
      </c>
      <c r="C242" s="8">
        <v>1</v>
      </c>
      <c r="D242" s="8">
        <v>64</v>
      </c>
      <c r="E242" s="8">
        <v>24</v>
      </c>
      <c r="F242" s="8">
        <v>0</v>
      </c>
      <c r="G242" s="8">
        <v>29.2</v>
      </c>
      <c r="H242" s="8">
        <v>0.192</v>
      </c>
      <c r="I242" s="8">
        <v>21</v>
      </c>
      <c r="J242" s="1">
        <v>1.9667245784067702</v>
      </c>
      <c r="K242" s="1">
        <v>-7.6831860856765299E-3</v>
      </c>
      <c r="L242">
        <f t="shared" si="7"/>
        <v>5.9031348427133436E-5</v>
      </c>
      <c r="P242" s="1">
        <v>204</v>
      </c>
      <c r="Q242" s="1">
        <v>4.3596970172669398E-2</v>
      </c>
      <c r="R242" s="1">
        <v>-4.3596104997710813E-2</v>
      </c>
    </row>
    <row r="243" spans="1:18" x14ac:dyDescent="0.35">
      <c r="A243" s="8">
        <v>91</v>
      </c>
      <c r="B243" s="8">
        <f t="shared" si="6"/>
        <v>1.9590413923210936</v>
      </c>
      <c r="C243" s="8">
        <v>4</v>
      </c>
      <c r="D243" s="8">
        <v>70</v>
      </c>
      <c r="E243" s="8">
        <v>32</v>
      </c>
      <c r="F243" s="8">
        <v>88</v>
      </c>
      <c r="G243" s="8">
        <v>33.1</v>
      </c>
      <c r="H243" s="8">
        <v>0.44600000000000001</v>
      </c>
      <c r="I243" s="8">
        <v>22</v>
      </c>
      <c r="J243" s="1">
        <v>2.0161189755855502</v>
      </c>
      <c r="K243" s="1">
        <v>-5.7077583264456555E-2</v>
      </c>
      <c r="L243">
        <f t="shared" si="7"/>
        <v>3.2578505113109711E-3</v>
      </c>
      <c r="P243" s="1">
        <v>205</v>
      </c>
      <c r="Q243" s="1">
        <v>2.3342154818841356E-2</v>
      </c>
      <c r="R243" s="1">
        <v>-4.2870915750845839E-3</v>
      </c>
    </row>
    <row r="244" spans="1:18" x14ac:dyDescent="0.35">
      <c r="A244" s="8">
        <v>139</v>
      </c>
      <c r="B244" s="8">
        <f t="shared" si="6"/>
        <v>2.143014800254095</v>
      </c>
      <c r="C244" s="8">
        <v>3</v>
      </c>
      <c r="D244" s="8">
        <v>54</v>
      </c>
      <c r="E244" s="8">
        <v>0</v>
      </c>
      <c r="F244" s="8">
        <v>0</v>
      </c>
      <c r="G244" s="8">
        <v>25.6</v>
      </c>
      <c r="H244" s="8">
        <v>0.40200000000000002</v>
      </c>
      <c r="I244" s="8">
        <v>22</v>
      </c>
      <c r="J244" s="1">
        <v>2.0106799894512366</v>
      </c>
      <c r="K244" s="1">
        <v>0.13233481080285836</v>
      </c>
      <c r="L244">
        <f t="shared" si="7"/>
        <v>1.7512502150228319E-2</v>
      </c>
      <c r="P244" s="1">
        <v>206</v>
      </c>
      <c r="Q244" s="1">
        <v>6.9478297877042849E-2</v>
      </c>
      <c r="R244" s="1">
        <v>-6.3972757631773222E-2</v>
      </c>
    </row>
    <row r="245" spans="1:18" x14ac:dyDescent="0.35">
      <c r="A245" s="8">
        <v>119</v>
      </c>
      <c r="B245" s="8">
        <f t="shared" si="6"/>
        <v>2.0755469613925306</v>
      </c>
      <c r="C245" s="8">
        <v>6</v>
      </c>
      <c r="D245" s="8">
        <v>50</v>
      </c>
      <c r="E245" s="8">
        <v>22</v>
      </c>
      <c r="F245" s="8">
        <v>176</v>
      </c>
      <c r="G245" s="8">
        <v>27.1</v>
      </c>
      <c r="H245" s="8">
        <v>1.3180000000000001</v>
      </c>
      <c r="I245" s="8">
        <v>33</v>
      </c>
      <c r="J245" s="1">
        <v>2.1050718814190379</v>
      </c>
      <c r="K245" s="1">
        <v>-2.9524920026507306E-2</v>
      </c>
      <c r="L245">
        <f t="shared" si="7"/>
        <v>8.7172090257165216E-4</v>
      </c>
      <c r="P245" s="1">
        <v>207</v>
      </c>
      <c r="Q245" s="1">
        <v>-1.5384661733253696E-2</v>
      </c>
      <c r="R245" s="1">
        <v>2.1668084806876868E-2</v>
      </c>
    </row>
    <row r="246" spans="1:18" x14ac:dyDescent="0.35">
      <c r="A246" s="8">
        <v>146</v>
      </c>
      <c r="B246" s="8">
        <f t="shared" si="6"/>
        <v>2.1643528557844371</v>
      </c>
      <c r="C246" s="8">
        <v>2</v>
      </c>
      <c r="D246" s="8">
        <v>76</v>
      </c>
      <c r="E246" s="8">
        <v>35</v>
      </c>
      <c r="F246" s="8">
        <v>194</v>
      </c>
      <c r="G246" s="8">
        <v>38.200000000000003</v>
      </c>
      <c r="H246" s="8">
        <v>0.32900000000000001</v>
      </c>
      <c r="I246" s="8">
        <v>29</v>
      </c>
      <c r="J246" s="1">
        <v>2.0853077200620969</v>
      </c>
      <c r="K246" s="1">
        <v>7.9045135722340287E-2</v>
      </c>
      <c r="L246">
        <f t="shared" si="7"/>
        <v>6.2481334813631962E-3</v>
      </c>
      <c r="P246" s="1">
        <v>208</v>
      </c>
      <c r="Q246" s="1">
        <v>1.4171753538863399E-2</v>
      </c>
      <c r="R246" s="1">
        <v>-7.0067586458836036E-3</v>
      </c>
    </row>
    <row r="247" spans="1:18" x14ac:dyDescent="0.35">
      <c r="A247" s="8">
        <v>184</v>
      </c>
      <c r="B247" s="8">
        <f t="shared" si="6"/>
        <v>2.2648178230095364</v>
      </c>
      <c r="C247" s="8">
        <v>9</v>
      </c>
      <c r="D247" s="8">
        <v>85</v>
      </c>
      <c r="E247" s="8">
        <v>15</v>
      </c>
      <c r="F247" s="8">
        <v>0</v>
      </c>
      <c r="G247" s="8">
        <v>30</v>
      </c>
      <c r="H247" s="8">
        <v>1.2130000000000001</v>
      </c>
      <c r="I247" s="8">
        <v>49</v>
      </c>
      <c r="J247" s="1">
        <v>2.0955211061952213</v>
      </c>
      <c r="K247" s="1">
        <v>0.16929671681431513</v>
      </c>
      <c r="L247">
        <f t="shared" si="7"/>
        <v>2.866137832410641E-2</v>
      </c>
      <c r="P247" s="1">
        <v>209</v>
      </c>
      <c r="Q247" s="1">
        <v>5.6474013037391434E-2</v>
      </c>
      <c r="R247" s="1">
        <v>-5.5466439353029924E-2</v>
      </c>
    </row>
    <row r="248" spans="1:18" x14ac:dyDescent="0.35">
      <c r="A248" s="8">
        <v>122</v>
      </c>
      <c r="B248" s="8">
        <f t="shared" si="6"/>
        <v>2.0863598306747484</v>
      </c>
      <c r="C248" s="8">
        <v>10</v>
      </c>
      <c r="D248" s="8">
        <v>68</v>
      </c>
      <c r="E248" s="8">
        <v>0</v>
      </c>
      <c r="F248" s="8">
        <v>0</v>
      </c>
      <c r="G248" s="8">
        <v>31.2</v>
      </c>
      <c r="H248" s="8">
        <v>0.25800000000000001</v>
      </c>
      <c r="I248" s="8">
        <v>41</v>
      </c>
      <c r="J248" s="1">
        <v>2.0773760411437499</v>
      </c>
      <c r="K248" s="1">
        <v>8.9837895309985427E-3</v>
      </c>
      <c r="L248">
        <f t="shared" si="7"/>
        <v>8.070847433727901E-5</v>
      </c>
      <c r="P248" s="1">
        <v>210</v>
      </c>
      <c r="Q248" s="1">
        <v>7.3300300878385002E-2</v>
      </c>
      <c r="R248" s="1">
        <v>-1.8124204678063791E-2</v>
      </c>
    </row>
    <row r="249" spans="1:18" x14ac:dyDescent="0.35">
      <c r="A249" s="8">
        <v>165</v>
      </c>
      <c r="B249" s="8">
        <f t="shared" si="6"/>
        <v>2.2174839442139063</v>
      </c>
      <c r="C249" s="8">
        <v>0</v>
      </c>
      <c r="D249" s="8">
        <v>90</v>
      </c>
      <c r="E249" s="8">
        <v>33</v>
      </c>
      <c r="F249" s="8">
        <v>680</v>
      </c>
      <c r="G249" s="8">
        <v>52.3</v>
      </c>
      <c r="H249" s="8">
        <v>0.42699999999999999</v>
      </c>
      <c r="I249" s="8">
        <v>23</v>
      </c>
      <c r="J249" s="1">
        <v>2.3397819621358176</v>
      </c>
      <c r="K249" s="1">
        <v>-0.12229801792191131</v>
      </c>
      <c r="L249">
        <f t="shared" si="7"/>
        <v>1.4956805187628139E-2</v>
      </c>
      <c r="P249" s="1">
        <v>211</v>
      </c>
      <c r="Q249" s="1">
        <v>6.8019251377821749E-2</v>
      </c>
      <c r="R249" s="1">
        <v>-6.3146841486203587E-2</v>
      </c>
    </row>
    <row r="250" spans="1:18" x14ac:dyDescent="0.35">
      <c r="A250" s="8">
        <v>124</v>
      </c>
      <c r="B250" s="8">
        <f t="shared" si="6"/>
        <v>2.0934216851622351</v>
      </c>
      <c r="C250" s="8">
        <v>9</v>
      </c>
      <c r="D250" s="8">
        <v>70</v>
      </c>
      <c r="E250" s="8">
        <v>33</v>
      </c>
      <c r="F250" s="8">
        <v>402</v>
      </c>
      <c r="G250" s="8">
        <v>35.4</v>
      </c>
      <c r="H250" s="8">
        <v>0.28199999999999997</v>
      </c>
      <c r="I250" s="8">
        <v>34</v>
      </c>
      <c r="J250" s="1">
        <v>2.191001116337556</v>
      </c>
      <c r="K250" s="1">
        <v>-9.7579431175320863E-2</v>
      </c>
      <c r="L250">
        <f t="shared" si="7"/>
        <v>9.5217453884991806E-3</v>
      </c>
      <c r="P250" s="1">
        <v>212</v>
      </c>
      <c r="Q250" s="1">
        <v>0.12633985556819519</v>
      </c>
      <c r="R250" s="1">
        <v>-8.4765053967516588E-2</v>
      </c>
    </row>
    <row r="251" spans="1:18" x14ac:dyDescent="0.35">
      <c r="A251" s="8">
        <v>111</v>
      </c>
      <c r="B251" s="8">
        <f t="shared" si="6"/>
        <v>2.0453229787866576</v>
      </c>
      <c r="C251" s="8">
        <v>1</v>
      </c>
      <c r="D251" s="8">
        <v>86</v>
      </c>
      <c r="E251" s="8">
        <v>19</v>
      </c>
      <c r="F251" s="8">
        <v>0</v>
      </c>
      <c r="G251" s="8">
        <v>30.1</v>
      </c>
      <c r="H251" s="8">
        <v>0.14299999999999999</v>
      </c>
      <c r="I251" s="8">
        <v>23</v>
      </c>
      <c r="J251" s="1">
        <v>1.9895364564878404</v>
      </c>
      <c r="K251" s="1">
        <v>5.5786522298817198E-2</v>
      </c>
      <c r="L251">
        <f t="shared" si="7"/>
        <v>3.1121360701964287E-3</v>
      </c>
      <c r="P251" s="1">
        <v>213</v>
      </c>
      <c r="Q251" s="1">
        <v>6.797773140700486E-2</v>
      </c>
      <c r="R251" s="1">
        <v>-3.5544589322900381E-2</v>
      </c>
    </row>
    <row r="252" spans="1:18" x14ac:dyDescent="0.35">
      <c r="A252" s="8">
        <v>106</v>
      </c>
      <c r="B252" s="8">
        <f t="shared" si="6"/>
        <v>2.0253058652647704</v>
      </c>
      <c r="C252" s="8">
        <v>9</v>
      </c>
      <c r="D252" s="8">
        <v>52</v>
      </c>
      <c r="E252" s="8">
        <v>0</v>
      </c>
      <c r="F252" s="8">
        <v>0</v>
      </c>
      <c r="G252" s="8">
        <v>31.2</v>
      </c>
      <c r="H252" s="8">
        <v>0.38</v>
      </c>
      <c r="I252" s="8">
        <v>42</v>
      </c>
      <c r="J252" s="1">
        <v>2.0768965655126834</v>
      </c>
      <c r="K252" s="1">
        <v>-5.1590700247913013E-2</v>
      </c>
      <c r="L252">
        <f t="shared" si="7"/>
        <v>2.6616003520700117E-3</v>
      </c>
      <c r="P252" s="1">
        <v>214</v>
      </c>
      <c r="Q252" s="1">
        <v>4.2470494504090121E-2</v>
      </c>
      <c r="R252" s="1">
        <v>-3.6895495124870135E-2</v>
      </c>
    </row>
    <row r="253" spans="1:18" x14ac:dyDescent="0.35">
      <c r="A253" s="8">
        <v>129</v>
      </c>
      <c r="B253" s="8">
        <f t="shared" si="6"/>
        <v>2.1105897102992488</v>
      </c>
      <c r="C253" s="8">
        <v>2</v>
      </c>
      <c r="D253" s="8">
        <v>84</v>
      </c>
      <c r="E253" s="8">
        <v>0</v>
      </c>
      <c r="F253" s="8">
        <v>0</v>
      </c>
      <c r="G253" s="8">
        <v>28</v>
      </c>
      <c r="H253" s="8">
        <v>0.28399999999999997</v>
      </c>
      <c r="I253" s="8">
        <v>27</v>
      </c>
      <c r="J253" s="1">
        <v>2.0345449429402103</v>
      </c>
      <c r="K253" s="1">
        <v>7.6044767359038534E-2</v>
      </c>
      <c r="L253">
        <f t="shared" si="7"/>
        <v>5.7828066426902922E-3</v>
      </c>
      <c r="P253" s="1">
        <v>215</v>
      </c>
      <c r="Q253" s="1">
        <v>2.4919060082680439E-2</v>
      </c>
      <c r="R253" s="1">
        <v>-2.2853409110588557E-2</v>
      </c>
    </row>
    <row r="254" spans="1:18" x14ac:dyDescent="0.35">
      <c r="A254" s="8">
        <v>90</v>
      </c>
      <c r="B254" s="8">
        <f t="shared" si="6"/>
        <v>1.954242509439325</v>
      </c>
      <c r="C254" s="8">
        <v>2</v>
      </c>
      <c r="D254" s="8">
        <v>80</v>
      </c>
      <c r="E254" s="8">
        <v>14</v>
      </c>
      <c r="F254" s="8">
        <v>55</v>
      </c>
      <c r="G254" s="8">
        <v>24.4</v>
      </c>
      <c r="H254" s="8">
        <v>0.249</v>
      </c>
      <c r="I254" s="8">
        <v>24</v>
      </c>
      <c r="J254" s="1">
        <v>2.0130860383035811</v>
      </c>
      <c r="K254" s="1">
        <v>-5.8843528864256145E-2</v>
      </c>
      <c r="L254">
        <f t="shared" si="7"/>
        <v>3.4625608891985459E-3</v>
      </c>
      <c r="P254" s="1">
        <v>216</v>
      </c>
      <c r="Q254" s="1">
        <v>3.0946879026600886E-3</v>
      </c>
      <c r="R254" s="1">
        <v>-2.7563952071190268E-3</v>
      </c>
    </row>
    <row r="255" spans="1:18" x14ac:dyDescent="0.35">
      <c r="A255" s="8">
        <v>86</v>
      </c>
      <c r="B255" s="8">
        <f t="shared" si="6"/>
        <v>1.9344984512435677</v>
      </c>
      <c r="C255" s="8">
        <v>0</v>
      </c>
      <c r="D255" s="8">
        <v>68</v>
      </c>
      <c r="E255" s="8">
        <v>32</v>
      </c>
      <c r="F255" s="8">
        <v>0</v>
      </c>
      <c r="G255" s="8">
        <v>35.799999999999997</v>
      </c>
      <c r="H255" s="8">
        <v>0.23799999999999999</v>
      </c>
      <c r="I255" s="8">
        <v>25</v>
      </c>
      <c r="J255" s="1">
        <v>1.9800629558449634</v>
      </c>
      <c r="K255" s="1">
        <v>-4.5564504601395717E-2</v>
      </c>
      <c r="L255">
        <f t="shared" si="7"/>
        <v>2.0761240795706113E-3</v>
      </c>
      <c r="P255" s="1">
        <v>217</v>
      </c>
      <c r="Q255" s="1">
        <v>6.0702112555886915E-2</v>
      </c>
      <c r="R255" s="1">
        <v>-6.0669522886671413E-2</v>
      </c>
    </row>
    <row r="256" spans="1:18" x14ac:dyDescent="0.35">
      <c r="A256" s="8">
        <v>92</v>
      </c>
      <c r="B256" s="8">
        <f t="shared" si="6"/>
        <v>1.9637878273455553</v>
      </c>
      <c r="C256" s="8">
        <v>12</v>
      </c>
      <c r="D256" s="8">
        <v>62</v>
      </c>
      <c r="E256" s="8">
        <v>7</v>
      </c>
      <c r="F256" s="8">
        <v>258</v>
      </c>
      <c r="G256" s="8">
        <v>27.6</v>
      </c>
      <c r="H256" s="8">
        <v>0.92600000000000005</v>
      </c>
      <c r="I256" s="8">
        <v>44</v>
      </c>
      <c r="J256" s="1">
        <v>2.1970658215082901</v>
      </c>
      <c r="K256" s="1">
        <v>-0.23327799416273476</v>
      </c>
      <c r="L256">
        <f t="shared" si="7"/>
        <v>5.4418622560588915E-2</v>
      </c>
      <c r="P256" s="1">
        <v>218</v>
      </c>
      <c r="Q256" s="1">
        <v>3.9297131383365116E-2</v>
      </c>
      <c r="R256" s="1">
        <v>-3.7205060335308397E-2</v>
      </c>
    </row>
    <row r="257" spans="1:18" x14ac:dyDescent="0.35">
      <c r="A257" s="8">
        <v>113</v>
      </c>
      <c r="B257" s="8">
        <f t="shared" si="6"/>
        <v>2.0530784434834195</v>
      </c>
      <c r="C257" s="8">
        <v>1</v>
      </c>
      <c r="D257" s="8">
        <v>64</v>
      </c>
      <c r="E257" s="8">
        <v>35</v>
      </c>
      <c r="F257" s="8">
        <v>0</v>
      </c>
      <c r="G257" s="8">
        <v>33.6</v>
      </c>
      <c r="H257" s="8">
        <v>0.54300000000000004</v>
      </c>
      <c r="I257" s="8">
        <v>21</v>
      </c>
      <c r="J257" s="1">
        <v>1.967252894686669</v>
      </c>
      <c r="K257" s="1">
        <v>8.5825548796750528E-2</v>
      </c>
      <c r="L257">
        <f t="shared" si="7"/>
        <v>7.3660248262634063E-3</v>
      </c>
      <c r="P257" s="1">
        <v>219</v>
      </c>
      <c r="Q257" s="1">
        <v>4.2494878129051852E-2</v>
      </c>
      <c r="R257" s="1">
        <v>-3.1894755702627821E-2</v>
      </c>
    </row>
    <row r="258" spans="1:18" x14ac:dyDescent="0.35">
      <c r="A258" s="8">
        <v>111</v>
      </c>
      <c r="B258" s="8">
        <f t="shared" si="6"/>
        <v>2.0453229787866576</v>
      </c>
      <c r="C258" s="8">
        <v>3</v>
      </c>
      <c r="D258" s="8">
        <v>56</v>
      </c>
      <c r="E258" s="8">
        <v>39</v>
      </c>
      <c r="F258" s="8">
        <v>0</v>
      </c>
      <c r="G258" s="8">
        <v>30.1</v>
      </c>
      <c r="H258" s="8">
        <v>0.55700000000000005</v>
      </c>
      <c r="I258" s="8">
        <v>30</v>
      </c>
      <c r="J258" s="1">
        <v>1.97053078283144</v>
      </c>
      <c r="K258" s="1">
        <v>7.4792195955217577E-2</v>
      </c>
      <c r="L258">
        <f t="shared" si="7"/>
        <v>5.5938725758036649E-3</v>
      </c>
      <c r="P258" s="1">
        <v>220</v>
      </c>
      <c r="Q258" s="1">
        <v>2.0345025204322756E-2</v>
      </c>
      <c r="R258" s="1">
        <v>-1.8684530453958598E-2</v>
      </c>
    </row>
    <row r="259" spans="1:18" x14ac:dyDescent="0.35">
      <c r="A259" s="8">
        <v>114</v>
      </c>
      <c r="B259" s="8">
        <f t="shared" ref="B259:B322" si="8">LOG(A259)</f>
        <v>2.0569048513364727</v>
      </c>
      <c r="C259" s="8">
        <v>2</v>
      </c>
      <c r="D259" s="8">
        <v>68</v>
      </c>
      <c r="E259" s="8">
        <v>22</v>
      </c>
      <c r="F259" s="8">
        <v>0</v>
      </c>
      <c r="G259" s="8">
        <v>28.7</v>
      </c>
      <c r="H259" s="8">
        <v>9.1999999999999998E-2</v>
      </c>
      <c r="I259" s="8">
        <v>25</v>
      </c>
      <c r="J259" s="1">
        <v>1.978014453592531</v>
      </c>
      <c r="K259" s="1">
        <v>7.8890397743941687E-2</v>
      </c>
      <c r="L259">
        <f t="shared" ref="L259:L322" si="9">K259*K259</f>
        <v>6.2236948561973197E-3</v>
      </c>
      <c r="P259" s="1">
        <v>221</v>
      </c>
      <c r="Q259" s="1">
        <v>-5.5154899137205469E-2</v>
      </c>
      <c r="R259" s="1">
        <v>5.6481783402220903E-2</v>
      </c>
    </row>
    <row r="260" spans="1:18" x14ac:dyDescent="0.35">
      <c r="A260" s="8">
        <v>193</v>
      </c>
      <c r="B260" s="8">
        <f t="shared" si="8"/>
        <v>2.2855573090077739</v>
      </c>
      <c r="C260" s="8">
        <v>1</v>
      </c>
      <c r="D260" s="8">
        <v>50</v>
      </c>
      <c r="E260" s="8">
        <v>16</v>
      </c>
      <c r="F260" s="8">
        <v>375</v>
      </c>
      <c r="G260" s="8">
        <v>25.9</v>
      </c>
      <c r="H260" s="8">
        <v>0.65500000000000003</v>
      </c>
      <c r="I260" s="8">
        <v>24</v>
      </c>
      <c r="J260" s="1">
        <v>2.1591834341608251</v>
      </c>
      <c r="K260" s="1">
        <v>0.12637387484694873</v>
      </c>
      <c r="L260">
        <f t="shared" si="9"/>
        <v>1.5970356243832261E-2</v>
      </c>
      <c r="P260" s="1">
        <v>222</v>
      </c>
      <c r="Q260" s="1">
        <v>6.1514830977540992E-3</v>
      </c>
      <c r="R260" s="1">
        <v>-3.9817134561733669E-3</v>
      </c>
    </row>
    <row r="261" spans="1:18" x14ac:dyDescent="0.35">
      <c r="A261" s="8">
        <v>155</v>
      </c>
      <c r="B261" s="8">
        <f t="shared" si="8"/>
        <v>2.1903316981702914</v>
      </c>
      <c r="C261" s="8">
        <v>11</v>
      </c>
      <c r="D261" s="8">
        <v>76</v>
      </c>
      <c r="E261" s="8">
        <v>28</v>
      </c>
      <c r="F261" s="8">
        <v>150</v>
      </c>
      <c r="G261" s="8">
        <v>33.299999999999997</v>
      </c>
      <c r="H261" s="8">
        <v>1.353</v>
      </c>
      <c r="I261" s="8">
        <v>51</v>
      </c>
      <c r="J261" s="1">
        <v>2.1547806403815359</v>
      </c>
      <c r="K261" s="1">
        <v>3.5551057788755447E-2</v>
      </c>
      <c r="L261">
        <f t="shared" si="9"/>
        <v>1.2638777098994292E-3</v>
      </c>
      <c r="P261" s="1">
        <v>223</v>
      </c>
      <c r="Q261" s="1">
        <v>2.8614837973227104E-2</v>
      </c>
      <c r="R261" s="1">
        <v>-2.603707870916077E-2</v>
      </c>
    </row>
    <row r="262" spans="1:18" x14ac:dyDescent="0.35">
      <c r="A262" s="8">
        <v>191</v>
      </c>
      <c r="B262" s="8">
        <f t="shared" si="8"/>
        <v>2.2810333672477277</v>
      </c>
      <c r="C262" s="8">
        <v>3</v>
      </c>
      <c r="D262" s="8">
        <v>68</v>
      </c>
      <c r="E262" s="8">
        <v>15</v>
      </c>
      <c r="F262" s="8">
        <v>130</v>
      </c>
      <c r="G262" s="8">
        <v>30.9</v>
      </c>
      <c r="H262" s="8">
        <v>0.29899999999999999</v>
      </c>
      <c r="I262" s="8">
        <v>34</v>
      </c>
      <c r="J262" s="1">
        <v>2.0845135097700562</v>
      </c>
      <c r="K262" s="1">
        <v>0.19651985747767142</v>
      </c>
      <c r="L262">
        <f t="shared" si="9"/>
        <v>3.8620054383044292E-2</v>
      </c>
      <c r="P262" s="1">
        <v>224</v>
      </c>
      <c r="Q262" s="1">
        <v>1.6979132459985523E-2</v>
      </c>
      <c r="R262" s="1">
        <v>-1.6940133118007874E-2</v>
      </c>
    </row>
    <row r="263" spans="1:18" x14ac:dyDescent="0.35">
      <c r="A263" s="8">
        <v>141</v>
      </c>
      <c r="B263" s="8">
        <f t="shared" si="8"/>
        <v>2.1492191126553797</v>
      </c>
      <c r="C263" s="8">
        <v>3</v>
      </c>
      <c r="D263" s="8">
        <v>0</v>
      </c>
      <c r="E263" s="8">
        <v>0</v>
      </c>
      <c r="F263" s="8">
        <v>0</v>
      </c>
      <c r="G263" s="8">
        <v>30</v>
      </c>
      <c r="H263" s="8">
        <v>0.76100000000000001</v>
      </c>
      <c r="I263" s="8">
        <v>27</v>
      </c>
      <c r="J263" s="1">
        <v>2.0265069699008267</v>
      </c>
      <c r="K263" s="1">
        <v>0.122712142754553</v>
      </c>
      <c r="L263">
        <f t="shared" si="9"/>
        <v>1.5058269979413794E-2</v>
      </c>
      <c r="P263" s="1">
        <v>225</v>
      </c>
      <c r="Q263" s="1">
        <v>3.3301159899517381E-2</v>
      </c>
      <c r="R263" s="1">
        <v>-3.2886179376088918E-2</v>
      </c>
    </row>
    <row r="264" spans="1:18" x14ac:dyDescent="0.35">
      <c r="A264" s="8">
        <v>95</v>
      </c>
      <c r="B264" s="8">
        <f t="shared" si="8"/>
        <v>1.9777236052888478</v>
      </c>
      <c r="C264" s="8">
        <v>4</v>
      </c>
      <c r="D264" s="8">
        <v>70</v>
      </c>
      <c r="E264" s="8">
        <v>32</v>
      </c>
      <c r="F264" s="8">
        <v>0</v>
      </c>
      <c r="G264" s="8">
        <v>32.1</v>
      </c>
      <c r="H264" s="8">
        <v>0.61199999999999999</v>
      </c>
      <c r="I264" s="8">
        <v>24</v>
      </c>
      <c r="J264" s="1">
        <v>1.9828544156356167</v>
      </c>
      <c r="K264" s="1">
        <v>-5.130810346768877E-3</v>
      </c>
      <c r="L264">
        <f t="shared" si="9"/>
        <v>2.6325214814510563E-5</v>
      </c>
      <c r="P264" s="1">
        <v>226</v>
      </c>
      <c r="Q264" s="1">
        <v>7.210937419886021E-2</v>
      </c>
      <c r="R264" s="1">
        <v>-6.9089121195287345E-2</v>
      </c>
    </row>
    <row r="265" spans="1:18" x14ac:dyDescent="0.35">
      <c r="A265" s="8">
        <v>142</v>
      </c>
      <c r="B265" s="8">
        <f t="shared" si="8"/>
        <v>2.1522883443830563</v>
      </c>
      <c r="C265" s="8">
        <v>3</v>
      </c>
      <c r="D265" s="8">
        <v>80</v>
      </c>
      <c r="E265" s="8">
        <v>15</v>
      </c>
      <c r="F265" s="8">
        <v>0</v>
      </c>
      <c r="G265" s="8">
        <v>32.4</v>
      </c>
      <c r="H265" s="8">
        <v>0.2</v>
      </c>
      <c r="I265" s="8">
        <v>63</v>
      </c>
      <c r="J265" s="1">
        <v>2.0982928762944084</v>
      </c>
      <c r="K265" s="1">
        <v>5.3995468088647858E-2</v>
      </c>
      <c r="L265">
        <f t="shared" si="9"/>
        <v>2.9155105741121893E-3</v>
      </c>
      <c r="P265" s="1">
        <v>227</v>
      </c>
      <c r="Q265" s="1">
        <v>3.0102025444859199E-2</v>
      </c>
      <c r="R265" s="1">
        <v>-2.8356470943999196E-2</v>
      </c>
    </row>
    <row r="266" spans="1:18" x14ac:dyDescent="0.35">
      <c r="A266" s="8">
        <v>123</v>
      </c>
      <c r="B266" s="8">
        <f t="shared" si="8"/>
        <v>2.0899051114393981</v>
      </c>
      <c r="C266" s="8">
        <v>4</v>
      </c>
      <c r="D266" s="8">
        <v>62</v>
      </c>
      <c r="E266" s="8">
        <v>0</v>
      </c>
      <c r="F266" s="8">
        <v>0</v>
      </c>
      <c r="G266" s="8">
        <v>32</v>
      </c>
      <c r="H266" s="8">
        <v>0.22600000000000001</v>
      </c>
      <c r="I266" s="8">
        <v>35</v>
      </c>
      <c r="J266" s="1">
        <v>2.0569417309912916</v>
      </c>
      <c r="K266" s="1">
        <v>3.2963380448106427E-2</v>
      </c>
      <c r="L266">
        <f t="shared" si="9"/>
        <v>1.0865844505666051E-3</v>
      </c>
      <c r="P266" s="1">
        <v>228</v>
      </c>
      <c r="Q266" s="1">
        <v>9.1767465951614349E-2</v>
      </c>
      <c r="R266" s="1">
        <v>-3.8713286846633083E-2</v>
      </c>
    </row>
    <row r="267" spans="1:18" x14ac:dyDescent="0.35">
      <c r="A267" s="8">
        <v>96</v>
      </c>
      <c r="B267" s="8">
        <f t="shared" si="8"/>
        <v>1.9822712330395684</v>
      </c>
      <c r="C267" s="8">
        <v>5</v>
      </c>
      <c r="D267" s="8">
        <v>74</v>
      </c>
      <c r="E267" s="8">
        <v>18</v>
      </c>
      <c r="F267" s="8">
        <v>67</v>
      </c>
      <c r="G267" s="8">
        <v>33.6</v>
      </c>
      <c r="H267" s="8">
        <v>0.997</v>
      </c>
      <c r="I267" s="8">
        <v>43</v>
      </c>
      <c r="J267" s="1">
        <v>2.1022300098363935</v>
      </c>
      <c r="K267" s="1">
        <v>-0.1199587767968251</v>
      </c>
      <c r="L267">
        <f t="shared" si="9"/>
        <v>1.4390108130590502E-2</v>
      </c>
      <c r="P267" s="1">
        <v>229</v>
      </c>
      <c r="Q267" s="1">
        <v>-0.13969575364093684</v>
      </c>
      <c r="R267" s="1">
        <v>0.14787506069733927</v>
      </c>
    </row>
    <row r="268" spans="1:18" x14ac:dyDescent="0.35">
      <c r="A268" s="8">
        <v>138</v>
      </c>
      <c r="B268" s="8">
        <f t="shared" si="8"/>
        <v>2.1398790864012365</v>
      </c>
      <c r="C268" s="8">
        <v>0</v>
      </c>
      <c r="D268" s="8">
        <v>0</v>
      </c>
      <c r="E268" s="8">
        <v>0</v>
      </c>
      <c r="F268" s="8">
        <v>0</v>
      </c>
      <c r="G268" s="8">
        <v>36.299999999999997</v>
      </c>
      <c r="H268" s="8">
        <v>0.93300000000000005</v>
      </c>
      <c r="I268" s="8">
        <v>25</v>
      </c>
      <c r="J268" s="1">
        <v>2.0410309596606386</v>
      </c>
      <c r="K268" s="1">
        <v>9.8848126740597841E-2</v>
      </c>
      <c r="L268">
        <f t="shared" si="9"/>
        <v>9.7709521601252944E-3</v>
      </c>
      <c r="P268" s="1">
        <v>230</v>
      </c>
      <c r="Q268" s="1">
        <v>7.6152881009670118E-2</v>
      </c>
      <c r="R268" s="1">
        <v>-7.4620368126133471E-2</v>
      </c>
    </row>
    <row r="269" spans="1:18" x14ac:dyDescent="0.35">
      <c r="A269" s="8">
        <v>128</v>
      </c>
      <c r="B269" s="8">
        <f t="shared" si="8"/>
        <v>2.1072099696478683</v>
      </c>
      <c r="C269" s="8">
        <v>2</v>
      </c>
      <c r="D269" s="8">
        <v>64</v>
      </c>
      <c r="E269" s="8">
        <v>42</v>
      </c>
      <c r="F269" s="8">
        <v>0</v>
      </c>
      <c r="G269" s="8">
        <v>40</v>
      </c>
      <c r="H269" s="8">
        <v>1.101</v>
      </c>
      <c r="I269" s="8">
        <v>24</v>
      </c>
      <c r="J269" s="1">
        <v>1.9948831400137781</v>
      </c>
      <c r="K269" s="1">
        <v>0.11232682963409024</v>
      </c>
      <c r="L269">
        <f t="shared" si="9"/>
        <v>1.2617316655645933E-2</v>
      </c>
      <c r="P269" s="1">
        <v>231</v>
      </c>
      <c r="Q269" s="1">
        <v>1.5257685144366507E-2</v>
      </c>
      <c r="R269" s="1">
        <v>-9.9264765879527751E-3</v>
      </c>
    </row>
    <row r="270" spans="1:18" x14ac:dyDescent="0.35">
      <c r="A270" s="8">
        <v>102</v>
      </c>
      <c r="B270" s="8">
        <f t="shared" si="8"/>
        <v>2.0086001717619175</v>
      </c>
      <c r="C270" s="8">
        <v>0</v>
      </c>
      <c r="D270" s="8">
        <v>52</v>
      </c>
      <c r="E270" s="8">
        <v>0</v>
      </c>
      <c r="F270" s="8">
        <v>0</v>
      </c>
      <c r="G270" s="8">
        <v>25.1</v>
      </c>
      <c r="H270" s="8">
        <v>7.8E-2</v>
      </c>
      <c r="I270" s="8">
        <v>21</v>
      </c>
      <c r="J270" s="1">
        <v>1.9941998124966431</v>
      </c>
      <c r="K270" s="1">
        <v>1.4400359265274387E-2</v>
      </c>
      <c r="L270">
        <f t="shared" si="9"/>
        <v>2.0737034696897389E-4</v>
      </c>
      <c r="P270" s="1">
        <v>232</v>
      </c>
      <c r="Q270" s="1">
        <v>-1.2278353846953811E-2</v>
      </c>
      <c r="R270" s="1">
        <v>2.189909405830643E-2</v>
      </c>
    </row>
    <row r="271" spans="1:18" x14ac:dyDescent="0.35">
      <c r="A271" s="8">
        <v>146</v>
      </c>
      <c r="B271" s="8">
        <f t="shared" si="8"/>
        <v>2.1643528557844371</v>
      </c>
      <c r="C271" s="8">
        <v>2</v>
      </c>
      <c r="D271" s="8">
        <v>0</v>
      </c>
      <c r="E271" s="8">
        <v>0</v>
      </c>
      <c r="F271" s="8">
        <v>0</v>
      </c>
      <c r="G271" s="8">
        <v>27.5</v>
      </c>
      <c r="H271" s="8">
        <v>0.24</v>
      </c>
      <c r="I271" s="8">
        <v>28</v>
      </c>
      <c r="J271" s="1">
        <v>2.0061881304141091</v>
      </c>
      <c r="K271" s="1">
        <v>0.158164725370328</v>
      </c>
      <c r="L271">
        <f t="shared" si="9"/>
        <v>2.5016080351471275E-2</v>
      </c>
      <c r="P271" s="1">
        <v>233</v>
      </c>
      <c r="Q271" s="1">
        <v>5.6886563574536926E-2</v>
      </c>
      <c r="R271" s="1">
        <v>-4.8334139918767581E-2</v>
      </c>
    </row>
    <row r="272" spans="1:18" x14ac:dyDescent="0.35">
      <c r="A272" s="8">
        <v>101</v>
      </c>
      <c r="B272" s="8">
        <f t="shared" si="8"/>
        <v>2.0043213737826426</v>
      </c>
      <c r="C272" s="8">
        <v>10</v>
      </c>
      <c r="D272" s="8">
        <v>86</v>
      </c>
      <c r="E272" s="8">
        <v>37</v>
      </c>
      <c r="F272" s="8">
        <v>0</v>
      </c>
      <c r="G272" s="8">
        <v>45.6</v>
      </c>
      <c r="H272" s="8">
        <v>1.1359999999999999</v>
      </c>
      <c r="I272" s="8">
        <v>38</v>
      </c>
      <c r="J272" s="1">
        <v>2.0684364008038432</v>
      </c>
      <c r="K272" s="1">
        <v>-6.4115027021200532E-2</v>
      </c>
      <c r="L272">
        <f t="shared" si="9"/>
        <v>4.1107366899292746E-3</v>
      </c>
      <c r="P272" s="1">
        <v>234</v>
      </c>
      <c r="Q272" s="1">
        <v>2.0873224159626953E-2</v>
      </c>
      <c r="R272" s="1">
        <v>-2.0064875277311166E-2</v>
      </c>
    </row>
    <row r="273" spans="1:18" x14ac:dyDescent="0.35">
      <c r="A273" s="8">
        <v>108</v>
      </c>
      <c r="B273" s="8">
        <f t="shared" si="8"/>
        <v>2.0334237554869499</v>
      </c>
      <c r="C273" s="8">
        <v>2</v>
      </c>
      <c r="D273" s="8">
        <v>62</v>
      </c>
      <c r="E273" s="8">
        <v>32</v>
      </c>
      <c r="F273" s="8">
        <v>56</v>
      </c>
      <c r="G273" s="8">
        <v>25.2</v>
      </c>
      <c r="H273" s="8">
        <v>0.128</v>
      </c>
      <c r="I273" s="8">
        <v>21</v>
      </c>
      <c r="J273" s="1">
        <v>1.9641211030759056</v>
      </c>
      <c r="K273" s="1">
        <v>6.9302652411044274E-2</v>
      </c>
      <c r="L273">
        <f t="shared" si="9"/>
        <v>4.8028576312060204E-3</v>
      </c>
      <c r="P273" s="1">
        <v>235</v>
      </c>
      <c r="Q273" s="1">
        <v>6.4810507662674141E-2</v>
      </c>
      <c r="R273" s="1">
        <v>-4.9861917633445565E-2</v>
      </c>
    </row>
    <row r="274" spans="1:18" x14ac:dyDescent="0.35">
      <c r="A274" s="8">
        <v>122</v>
      </c>
      <c r="B274" s="8">
        <f t="shared" si="8"/>
        <v>2.0863598306747484</v>
      </c>
      <c r="C274" s="8">
        <v>3</v>
      </c>
      <c r="D274" s="8">
        <v>78</v>
      </c>
      <c r="E274" s="8">
        <v>0</v>
      </c>
      <c r="F274" s="8">
        <v>0</v>
      </c>
      <c r="G274" s="8">
        <v>23</v>
      </c>
      <c r="H274" s="8">
        <v>0.254</v>
      </c>
      <c r="I274" s="8">
        <v>40</v>
      </c>
      <c r="J274" s="1">
        <v>2.0493281481041628</v>
      </c>
      <c r="K274" s="1">
        <v>3.7031682570585644E-2</v>
      </c>
      <c r="L274">
        <f t="shared" si="9"/>
        <v>1.3713455140086166E-3</v>
      </c>
      <c r="P274" s="1">
        <v>236</v>
      </c>
      <c r="Q274" s="1">
        <v>1.997210871703323E-2</v>
      </c>
      <c r="R274" s="1">
        <v>4.0278538984183411E-3</v>
      </c>
    </row>
    <row r="275" spans="1:18" x14ac:dyDescent="0.35">
      <c r="A275" s="8">
        <v>71</v>
      </c>
      <c r="B275" s="8">
        <f t="shared" si="8"/>
        <v>1.8512583487190752</v>
      </c>
      <c r="C275" s="8">
        <v>1</v>
      </c>
      <c r="D275" s="8">
        <v>78</v>
      </c>
      <c r="E275" s="8">
        <v>50</v>
      </c>
      <c r="F275" s="8">
        <v>45</v>
      </c>
      <c r="G275" s="8">
        <v>33.200000000000003</v>
      </c>
      <c r="H275" s="8">
        <v>0.42199999999999999</v>
      </c>
      <c r="I275" s="8">
        <v>21</v>
      </c>
      <c r="J275" s="1">
        <v>1.9585398953105904</v>
      </c>
      <c r="K275" s="1">
        <v>-0.10728154659151512</v>
      </c>
      <c r="L275">
        <f t="shared" si="9"/>
        <v>1.1509330239067429E-2</v>
      </c>
      <c r="P275" s="1">
        <v>237</v>
      </c>
      <c r="Q275" s="1">
        <v>-5.523860223121518E-3</v>
      </c>
      <c r="R275" s="1">
        <v>1.295039138601182E-2</v>
      </c>
    </row>
    <row r="276" spans="1:18" x14ac:dyDescent="0.35">
      <c r="A276" s="8">
        <v>106</v>
      </c>
      <c r="B276" s="8">
        <f t="shared" si="8"/>
        <v>2.0253058652647704</v>
      </c>
      <c r="C276" s="8">
        <v>13</v>
      </c>
      <c r="D276" s="8">
        <v>70</v>
      </c>
      <c r="E276" s="8">
        <v>0</v>
      </c>
      <c r="F276" s="8">
        <v>0</v>
      </c>
      <c r="G276" s="8">
        <v>34.200000000000003</v>
      </c>
      <c r="H276" s="8">
        <v>0.251</v>
      </c>
      <c r="I276" s="8">
        <v>52</v>
      </c>
      <c r="J276" s="1">
        <v>2.1144739229527931</v>
      </c>
      <c r="K276" s="1">
        <v>-8.9168057688022717E-2</v>
      </c>
      <c r="L276">
        <f t="shared" si="9"/>
        <v>7.9509425118545474E-3</v>
      </c>
      <c r="P276" s="1">
        <v>238</v>
      </c>
      <c r="Q276" s="1">
        <v>7.0015171835137738E-2</v>
      </c>
      <c r="R276" s="1">
        <v>-1.9403139115952137E-2</v>
      </c>
    </row>
    <row r="277" spans="1:18" x14ac:dyDescent="0.35">
      <c r="A277" s="8">
        <v>100</v>
      </c>
      <c r="B277" s="8">
        <f t="shared" si="8"/>
        <v>2</v>
      </c>
      <c r="C277" s="8">
        <v>2</v>
      </c>
      <c r="D277" s="8">
        <v>70</v>
      </c>
      <c r="E277" s="8">
        <v>52</v>
      </c>
      <c r="F277" s="8">
        <v>57</v>
      </c>
      <c r="G277" s="8">
        <v>40.5</v>
      </c>
      <c r="H277" s="8">
        <v>0.67700000000000005</v>
      </c>
      <c r="I277" s="8">
        <v>25</v>
      </c>
      <c r="J277" s="1">
        <v>1.994810918119104</v>
      </c>
      <c r="K277" s="1">
        <v>5.1890818808959516E-3</v>
      </c>
      <c r="L277">
        <f t="shared" si="9"/>
        <v>2.6926570766642665E-5</v>
      </c>
      <c r="P277" s="1">
        <v>239</v>
      </c>
      <c r="Q277" s="1">
        <v>4.0109151929705676E-2</v>
      </c>
      <c r="R277" s="1">
        <v>-7.8108687895771176E-3</v>
      </c>
    </row>
    <row r="278" spans="1:18" x14ac:dyDescent="0.35">
      <c r="A278" s="8">
        <v>106</v>
      </c>
      <c r="B278" s="8">
        <f t="shared" si="8"/>
        <v>2.0253058652647704</v>
      </c>
      <c r="C278" s="8">
        <v>7</v>
      </c>
      <c r="D278" s="8">
        <v>60</v>
      </c>
      <c r="E278" s="8">
        <v>24</v>
      </c>
      <c r="F278" s="8">
        <v>0</v>
      </c>
      <c r="G278" s="8">
        <v>26.5</v>
      </c>
      <c r="H278" s="8">
        <v>0.29599999999999999</v>
      </c>
      <c r="I278" s="8">
        <v>29</v>
      </c>
      <c r="J278" s="1">
        <v>1.9853726398145906</v>
      </c>
      <c r="K278" s="1">
        <v>3.9933225450179854E-2</v>
      </c>
      <c r="L278">
        <f t="shared" si="9"/>
        <v>1.594662494854892E-3</v>
      </c>
      <c r="P278" s="1">
        <v>240</v>
      </c>
      <c r="Q278" s="1">
        <v>2.1096933506980175E-2</v>
      </c>
      <c r="R278" s="1">
        <v>-2.1075522855319578E-2</v>
      </c>
    </row>
    <row r="279" spans="1:18" x14ac:dyDescent="0.35">
      <c r="A279" s="8">
        <v>104</v>
      </c>
      <c r="B279" s="8">
        <f t="shared" si="8"/>
        <v>2.0170333392987803</v>
      </c>
      <c r="C279" s="8">
        <v>0</v>
      </c>
      <c r="D279" s="8">
        <v>64</v>
      </c>
      <c r="E279" s="8">
        <v>23</v>
      </c>
      <c r="F279" s="8">
        <v>116</v>
      </c>
      <c r="G279" s="8">
        <v>27.8</v>
      </c>
      <c r="H279" s="8">
        <v>0.45400000000000001</v>
      </c>
      <c r="I279" s="8">
        <v>23</v>
      </c>
      <c r="J279" s="1">
        <v>2.0287397970462768</v>
      </c>
      <c r="K279" s="1">
        <v>-1.1706457747496568E-2</v>
      </c>
      <c r="L279">
        <f t="shared" si="9"/>
        <v>1.3704115299392243E-4</v>
      </c>
      <c r="P279" s="1">
        <v>241</v>
      </c>
      <c r="Q279" s="1">
        <v>7.528497269121498E-2</v>
      </c>
      <c r="R279" s="1">
        <v>-7.5225941342787844E-2</v>
      </c>
    </row>
    <row r="280" spans="1:18" x14ac:dyDescent="0.35">
      <c r="A280" s="8">
        <v>114</v>
      </c>
      <c r="B280" s="8">
        <f t="shared" si="8"/>
        <v>2.0569048513364727</v>
      </c>
      <c r="C280" s="8">
        <v>5</v>
      </c>
      <c r="D280" s="8">
        <v>74</v>
      </c>
      <c r="E280" s="8">
        <v>0</v>
      </c>
      <c r="F280" s="8">
        <v>0</v>
      </c>
      <c r="G280" s="8">
        <v>24.9</v>
      </c>
      <c r="H280" s="8">
        <v>0.74399999999999999</v>
      </c>
      <c r="I280" s="8">
        <v>57</v>
      </c>
      <c r="J280" s="1">
        <v>2.1086721274190392</v>
      </c>
      <c r="K280" s="1">
        <v>-5.1767276082566482E-2</v>
      </c>
      <c r="L280">
        <f t="shared" si="9"/>
        <v>2.6798508730086598E-3</v>
      </c>
      <c r="P280" s="1">
        <v>242</v>
      </c>
      <c r="Q280" s="1">
        <v>5.6607873528878395E-2</v>
      </c>
      <c r="R280" s="1">
        <v>-5.3350023017567423E-2</v>
      </c>
    </row>
    <row r="281" spans="1:18" x14ac:dyDescent="0.35">
      <c r="A281" s="8">
        <v>108</v>
      </c>
      <c r="B281" s="8">
        <f t="shared" si="8"/>
        <v>2.0334237554869499</v>
      </c>
      <c r="C281" s="8">
        <v>2</v>
      </c>
      <c r="D281" s="8">
        <v>62</v>
      </c>
      <c r="E281" s="8">
        <v>10</v>
      </c>
      <c r="F281" s="8">
        <v>278</v>
      </c>
      <c r="G281" s="8">
        <v>25.3</v>
      </c>
      <c r="H281" s="8">
        <v>0.88100000000000001</v>
      </c>
      <c r="I281" s="8">
        <v>22</v>
      </c>
      <c r="J281" s="1">
        <v>2.131990318378441</v>
      </c>
      <c r="K281" s="1">
        <v>-9.8566562891491127E-2</v>
      </c>
      <c r="L281">
        <f t="shared" si="9"/>
        <v>9.7153673202422762E-3</v>
      </c>
      <c r="P281" s="1">
        <v>243</v>
      </c>
      <c r="Q281" s="1">
        <v>2.4911676538605557E-2</v>
      </c>
      <c r="R281" s="1">
        <v>-7.399174388377238E-3</v>
      </c>
    </row>
    <row r="282" spans="1:18" x14ac:dyDescent="0.35">
      <c r="A282" s="8">
        <v>146</v>
      </c>
      <c r="B282" s="8">
        <f t="shared" si="8"/>
        <v>2.1643528557844371</v>
      </c>
      <c r="C282" s="8">
        <v>0</v>
      </c>
      <c r="D282" s="8">
        <v>70</v>
      </c>
      <c r="E282" s="8">
        <v>0</v>
      </c>
      <c r="F282" s="8">
        <v>0</v>
      </c>
      <c r="G282" s="8">
        <v>37.9</v>
      </c>
      <c r="H282" s="8">
        <v>0.33400000000000002</v>
      </c>
      <c r="I282" s="8">
        <v>28</v>
      </c>
      <c r="J282" s="1">
        <v>2.0586229831200238</v>
      </c>
      <c r="K282" s="1">
        <v>0.10572987266441336</v>
      </c>
      <c r="L282">
        <f t="shared" si="9"/>
        <v>1.1178805973633063E-2</v>
      </c>
      <c r="P282" s="1">
        <v>244</v>
      </c>
      <c r="Q282" s="1">
        <v>-3.6184686953183529E-3</v>
      </c>
      <c r="R282" s="1">
        <v>4.4901895978900052E-3</v>
      </c>
    </row>
    <row r="283" spans="1:18" x14ac:dyDescent="0.35">
      <c r="A283" s="8">
        <v>129</v>
      </c>
      <c r="B283" s="8">
        <f t="shared" si="8"/>
        <v>2.1105897102992488</v>
      </c>
      <c r="C283" s="8">
        <v>10</v>
      </c>
      <c r="D283" s="8">
        <v>76</v>
      </c>
      <c r="E283" s="8">
        <v>28</v>
      </c>
      <c r="F283" s="8">
        <v>122</v>
      </c>
      <c r="G283" s="8">
        <v>35.9</v>
      </c>
      <c r="H283" s="8">
        <v>0.28000000000000003</v>
      </c>
      <c r="I283" s="8">
        <v>39</v>
      </c>
      <c r="J283" s="1">
        <v>2.0895369333722225</v>
      </c>
      <c r="K283" s="1">
        <v>2.105277692702634E-2</v>
      </c>
      <c r="L283">
        <f t="shared" si="9"/>
        <v>4.4321941633913262E-4</v>
      </c>
      <c r="P283" s="1">
        <v>245</v>
      </c>
      <c r="Q283" s="1">
        <v>3.7861156581020086E-2</v>
      </c>
      <c r="R283" s="1">
        <v>-3.1613023099656891E-2</v>
      </c>
    </row>
    <row r="284" spans="1:18" x14ac:dyDescent="0.35">
      <c r="A284" s="8">
        <v>133</v>
      </c>
      <c r="B284" s="8">
        <f t="shared" si="8"/>
        <v>2.1238516409670858</v>
      </c>
      <c r="C284" s="8">
        <v>7</v>
      </c>
      <c r="D284" s="8">
        <v>88</v>
      </c>
      <c r="E284" s="8">
        <v>15</v>
      </c>
      <c r="F284" s="8">
        <v>155</v>
      </c>
      <c r="G284" s="8">
        <v>32.4</v>
      </c>
      <c r="H284" s="8">
        <v>0.26200000000000001</v>
      </c>
      <c r="I284" s="8">
        <v>37</v>
      </c>
      <c r="J284" s="1">
        <v>2.1163606668188324</v>
      </c>
      <c r="K284" s="1">
        <v>7.4909741482533931E-3</v>
      </c>
      <c r="L284">
        <f t="shared" si="9"/>
        <v>5.6114693689800648E-5</v>
      </c>
      <c r="P284" s="1">
        <v>246</v>
      </c>
      <c r="Q284" s="1">
        <v>1.8781092207290524E-2</v>
      </c>
      <c r="R284" s="1">
        <v>9.8802861168158854E-3</v>
      </c>
    </row>
    <row r="285" spans="1:18" x14ac:dyDescent="0.35">
      <c r="A285" s="8">
        <v>161</v>
      </c>
      <c r="B285" s="8">
        <f t="shared" si="8"/>
        <v>2.2068258760318495</v>
      </c>
      <c r="C285" s="8">
        <v>7</v>
      </c>
      <c r="D285" s="8">
        <v>86</v>
      </c>
      <c r="E285" s="8">
        <v>0</v>
      </c>
      <c r="F285" s="8">
        <v>0</v>
      </c>
      <c r="G285" s="8">
        <v>30.4</v>
      </c>
      <c r="H285" s="8">
        <v>0.16500000000000001</v>
      </c>
      <c r="I285" s="8">
        <v>47</v>
      </c>
      <c r="J285" s="1">
        <v>2.0896762544072964</v>
      </c>
      <c r="K285" s="1">
        <v>0.11714962162455311</v>
      </c>
      <c r="L285">
        <f t="shared" si="9"/>
        <v>1.3724033846775962E-2</v>
      </c>
      <c r="P285" s="1">
        <v>247</v>
      </c>
      <c r="Q285" s="1">
        <v>1.1486131318817068E-2</v>
      </c>
      <c r="R285" s="1">
        <v>-1.140542284447979E-2</v>
      </c>
    </row>
    <row r="286" spans="1:18" x14ac:dyDescent="0.35">
      <c r="A286" s="8">
        <v>108</v>
      </c>
      <c r="B286" s="8">
        <f t="shared" si="8"/>
        <v>2.0334237554869499</v>
      </c>
      <c r="C286" s="8">
        <v>2</v>
      </c>
      <c r="D286" s="8">
        <v>80</v>
      </c>
      <c r="E286" s="8">
        <v>0</v>
      </c>
      <c r="F286" s="8">
        <v>0</v>
      </c>
      <c r="G286" s="8">
        <v>27</v>
      </c>
      <c r="H286" s="8">
        <v>0.25900000000000001</v>
      </c>
      <c r="I286" s="8">
        <v>52</v>
      </c>
      <c r="J286" s="1">
        <v>2.0880076350153289</v>
      </c>
      <c r="K286" s="1">
        <v>-5.4583879528379065E-2</v>
      </c>
      <c r="L286">
        <f t="shared" si="9"/>
        <v>2.9793999043685993E-3</v>
      </c>
      <c r="P286" s="1">
        <v>248</v>
      </c>
      <c r="Q286" s="1">
        <v>-9.2668263721819549E-2</v>
      </c>
      <c r="R286" s="1">
        <v>0.10762506890944769</v>
      </c>
    </row>
    <row r="287" spans="1:18" x14ac:dyDescent="0.35">
      <c r="A287" s="8">
        <v>136</v>
      </c>
      <c r="B287" s="8">
        <f t="shared" si="8"/>
        <v>2.1335389083702174</v>
      </c>
      <c r="C287" s="8">
        <v>7</v>
      </c>
      <c r="D287" s="8">
        <v>74</v>
      </c>
      <c r="E287" s="8">
        <v>26</v>
      </c>
      <c r="F287" s="8">
        <v>135</v>
      </c>
      <c r="G287" s="8">
        <v>26</v>
      </c>
      <c r="H287" s="8">
        <v>0.64700000000000002</v>
      </c>
      <c r="I287" s="8">
        <v>51</v>
      </c>
      <c r="J287" s="1">
        <v>2.1073663294439182</v>
      </c>
      <c r="K287" s="1">
        <v>2.6172578926299206E-2</v>
      </c>
      <c r="L287">
        <f t="shared" si="9"/>
        <v>6.850038876533613E-4</v>
      </c>
      <c r="P287" s="1">
        <v>249</v>
      </c>
      <c r="Q287" s="1">
        <v>-3.1069690861798921E-2</v>
      </c>
      <c r="R287" s="1">
        <v>4.0591436250298103E-2</v>
      </c>
    </row>
    <row r="288" spans="1:18" x14ac:dyDescent="0.35">
      <c r="A288" s="8">
        <v>155</v>
      </c>
      <c r="B288" s="8">
        <f t="shared" si="8"/>
        <v>2.1903316981702914</v>
      </c>
      <c r="C288" s="8">
        <v>5</v>
      </c>
      <c r="D288" s="8">
        <v>84</v>
      </c>
      <c r="E288" s="8">
        <v>44</v>
      </c>
      <c r="F288" s="8">
        <v>545</v>
      </c>
      <c r="G288" s="8">
        <v>38.700000000000003</v>
      </c>
      <c r="H288" s="8">
        <v>0.61899999999999999</v>
      </c>
      <c r="I288" s="8">
        <v>34</v>
      </c>
      <c r="J288" s="1">
        <v>2.2539355291034533</v>
      </c>
      <c r="K288" s="1">
        <v>-6.3603830933161909E-2</v>
      </c>
      <c r="L288">
        <f t="shared" si="9"/>
        <v>4.0454473093742439E-3</v>
      </c>
      <c r="P288" s="1">
        <v>250</v>
      </c>
      <c r="Q288" s="1">
        <v>6.3009029741339595E-2</v>
      </c>
      <c r="R288" s="1">
        <v>-5.9896893671143168E-2</v>
      </c>
    </row>
    <row r="289" spans="1:18" x14ac:dyDescent="0.35">
      <c r="A289" s="8">
        <v>119</v>
      </c>
      <c r="B289" s="8">
        <f t="shared" si="8"/>
        <v>2.0755469613925306</v>
      </c>
      <c r="C289" s="8">
        <v>1</v>
      </c>
      <c r="D289" s="8">
        <v>86</v>
      </c>
      <c r="E289" s="8">
        <v>39</v>
      </c>
      <c r="F289" s="8">
        <v>220</v>
      </c>
      <c r="G289" s="8">
        <v>45.6</v>
      </c>
      <c r="H289" s="8">
        <v>0.80800000000000005</v>
      </c>
      <c r="I289" s="8">
        <v>29</v>
      </c>
      <c r="J289" s="1">
        <v>2.125504598710978</v>
      </c>
      <c r="K289" s="1">
        <v>-4.9957637318447379E-2</v>
      </c>
      <c r="L289">
        <f t="shared" si="9"/>
        <v>2.4957655264415263E-3</v>
      </c>
      <c r="P289" s="1">
        <v>251</v>
      </c>
      <c r="Q289" s="1">
        <v>1.3310737898624978E-2</v>
      </c>
      <c r="R289" s="1">
        <v>-1.0649137546554966E-2</v>
      </c>
    </row>
    <row r="290" spans="1:18" x14ac:dyDescent="0.35">
      <c r="A290" s="8">
        <v>96</v>
      </c>
      <c r="B290" s="8">
        <f t="shared" si="8"/>
        <v>1.9822712330395684</v>
      </c>
      <c r="C290" s="8">
        <v>4</v>
      </c>
      <c r="D290" s="8">
        <v>56</v>
      </c>
      <c r="E290" s="8">
        <v>17</v>
      </c>
      <c r="F290" s="8">
        <v>49</v>
      </c>
      <c r="G290" s="8">
        <v>20.8</v>
      </c>
      <c r="H290" s="8">
        <v>0.34</v>
      </c>
      <c r="I290" s="8">
        <v>26</v>
      </c>
      <c r="J290" s="1">
        <v>1.9958708970739649</v>
      </c>
      <c r="K290" s="1">
        <v>-1.3599664034396497E-2</v>
      </c>
      <c r="L290">
        <f t="shared" si="9"/>
        <v>1.8495086184845761E-4</v>
      </c>
      <c r="P290" s="1">
        <v>252</v>
      </c>
      <c r="Q290" s="1">
        <v>2.3068417077394217E-2</v>
      </c>
      <c r="R290" s="1">
        <v>-1.7285610434703925E-2</v>
      </c>
    </row>
    <row r="291" spans="1:18" x14ac:dyDescent="0.35">
      <c r="A291" s="8">
        <v>108</v>
      </c>
      <c r="B291" s="8">
        <f t="shared" si="8"/>
        <v>2.0334237554869499</v>
      </c>
      <c r="C291" s="8">
        <v>5</v>
      </c>
      <c r="D291" s="8">
        <v>72</v>
      </c>
      <c r="E291" s="8">
        <v>43</v>
      </c>
      <c r="F291" s="8">
        <v>75</v>
      </c>
      <c r="G291" s="8">
        <v>36.1</v>
      </c>
      <c r="H291" s="8">
        <v>0.26300000000000001</v>
      </c>
      <c r="I291" s="8">
        <v>33</v>
      </c>
      <c r="J291" s="1">
        <v>2.01890830098491</v>
      </c>
      <c r="K291" s="1">
        <v>1.4515454502039837E-2</v>
      </c>
      <c r="L291">
        <f t="shared" si="9"/>
        <v>2.1069841940078859E-4</v>
      </c>
      <c r="P291" s="1">
        <v>253</v>
      </c>
      <c r="Q291" s="1">
        <v>3.5956237728227508E-2</v>
      </c>
      <c r="R291" s="1">
        <v>-3.2493676839028963E-2</v>
      </c>
    </row>
    <row r="292" spans="1:18" x14ac:dyDescent="0.35">
      <c r="A292" s="8">
        <v>78</v>
      </c>
      <c r="B292" s="8">
        <f t="shared" si="8"/>
        <v>1.8920946026904804</v>
      </c>
      <c r="C292" s="8">
        <v>0</v>
      </c>
      <c r="D292" s="8">
        <v>88</v>
      </c>
      <c r="E292" s="8">
        <v>29</v>
      </c>
      <c r="F292" s="8">
        <v>40</v>
      </c>
      <c r="G292" s="8">
        <v>36.9</v>
      </c>
      <c r="H292" s="8">
        <v>0.434</v>
      </c>
      <c r="I292" s="8">
        <v>21</v>
      </c>
      <c r="J292" s="1">
        <v>2.0100402440718272</v>
      </c>
      <c r="K292" s="1">
        <v>-0.11794564138134689</v>
      </c>
      <c r="L292">
        <f t="shared" si="9"/>
        <v>1.3911174320857287E-2</v>
      </c>
      <c r="P292" s="1">
        <v>254</v>
      </c>
      <c r="Q292" s="1">
        <v>9.0134481889744669E-2</v>
      </c>
      <c r="R292" s="1">
        <v>-8.8058357810174057E-2</v>
      </c>
    </row>
    <row r="293" spans="1:18" x14ac:dyDescent="0.35">
      <c r="A293" s="8">
        <v>107</v>
      </c>
      <c r="B293" s="8">
        <f t="shared" si="8"/>
        <v>2.0293837776852097</v>
      </c>
      <c r="C293" s="8">
        <v>0</v>
      </c>
      <c r="D293" s="8">
        <v>62</v>
      </c>
      <c r="E293" s="8">
        <v>30</v>
      </c>
      <c r="F293" s="8">
        <v>74</v>
      </c>
      <c r="G293" s="8">
        <v>36.6</v>
      </c>
      <c r="H293" s="8">
        <v>0.75700000000000001</v>
      </c>
      <c r="I293" s="8">
        <v>25</v>
      </c>
      <c r="J293" s="1">
        <v>2.0325786381513664</v>
      </c>
      <c r="K293" s="1">
        <v>-3.1948604661566904E-3</v>
      </c>
      <c r="L293">
        <f t="shared" si="9"/>
        <v>1.0207133398210945E-5</v>
      </c>
      <c r="P293" s="1">
        <v>255</v>
      </c>
      <c r="Q293" s="1">
        <v>-5.9074767591084446E-2</v>
      </c>
      <c r="R293" s="1">
        <v>0.11349339015167337</v>
      </c>
    </row>
    <row r="294" spans="1:18" x14ac:dyDescent="0.35">
      <c r="A294" s="8">
        <v>128</v>
      </c>
      <c r="B294" s="8">
        <f t="shared" si="8"/>
        <v>2.1072099696478683</v>
      </c>
      <c r="C294" s="8">
        <v>2</v>
      </c>
      <c r="D294" s="8">
        <v>78</v>
      </c>
      <c r="E294" s="8">
        <v>37</v>
      </c>
      <c r="F294" s="8">
        <v>182</v>
      </c>
      <c r="G294" s="8">
        <v>43.3</v>
      </c>
      <c r="H294" s="8">
        <v>1.224</v>
      </c>
      <c r="I294" s="8">
        <v>31</v>
      </c>
      <c r="J294" s="1">
        <v>2.1207420263145726</v>
      </c>
      <c r="K294" s="1">
        <v>-1.3532056666704317E-2</v>
      </c>
      <c r="L294">
        <f t="shared" si="9"/>
        <v>1.8311655763089677E-4</v>
      </c>
      <c r="P294" s="1">
        <v>256</v>
      </c>
      <c r="Q294" s="1">
        <v>8.9559037593604257E-2</v>
      </c>
      <c r="R294" s="1">
        <v>-8.2193012767340853E-2</v>
      </c>
    </row>
    <row r="295" spans="1:18" x14ac:dyDescent="0.35">
      <c r="A295" s="8">
        <v>128</v>
      </c>
      <c r="B295" s="8">
        <f t="shared" si="8"/>
        <v>2.1072099696478683</v>
      </c>
      <c r="C295" s="8">
        <v>1</v>
      </c>
      <c r="D295" s="8">
        <v>48</v>
      </c>
      <c r="E295" s="8">
        <v>45</v>
      </c>
      <c r="F295" s="8">
        <v>194</v>
      </c>
      <c r="G295" s="8">
        <v>40.5</v>
      </c>
      <c r="H295" s="8">
        <v>0.61299999999999999</v>
      </c>
      <c r="I295" s="8">
        <v>24</v>
      </c>
      <c r="J295" s="1">
        <v>2.0582102649006924</v>
      </c>
      <c r="K295" s="1">
        <v>4.8999704747175965E-2</v>
      </c>
      <c r="L295">
        <f t="shared" si="9"/>
        <v>2.400971065310419E-3</v>
      </c>
      <c r="P295" s="1">
        <v>257</v>
      </c>
      <c r="Q295" s="1">
        <v>9.3009763608422572E-2</v>
      </c>
      <c r="R295" s="1">
        <v>-8.7415891032618903E-2</v>
      </c>
    </row>
    <row r="296" spans="1:18" x14ac:dyDescent="0.35">
      <c r="A296" s="8">
        <v>161</v>
      </c>
      <c r="B296" s="8">
        <f t="shared" si="8"/>
        <v>2.2068258760318495</v>
      </c>
      <c r="C296" s="8">
        <v>0</v>
      </c>
      <c r="D296" s="8">
        <v>50</v>
      </c>
      <c r="E296" s="8">
        <v>0</v>
      </c>
      <c r="F296" s="8">
        <v>0</v>
      </c>
      <c r="G296" s="8">
        <v>21.9</v>
      </c>
      <c r="H296" s="8">
        <v>0.254</v>
      </c>
      <c r="I296" s="8">
        <v>65</v>
      </c>
      <c r="J296" s="1">
        <v>2.0923584301057216</v>
      </c>
      <c r="K296" s="1">
        <v>0.1144674459261279</v>
      </c>
      <c r="L296">
        <f t="shared" si="9"/>
        <v>1.3102796176851015E-2</v>
      </c>
      <c r="P296" s="1">
        <v>258</v>
      </c>
      <c r="Q296" s="1">
        <v>7.0461824965756994E-2</v>
      </c>
      <c r="R296" s="1">
        <v>-6.4238130109559671E-2</v>
      </c>
    </row>
    <row r="297" spans="1:18" x14ac:dyDescent="0.35">
      <c r="A297" s="8">
        <v>151</v>
      </c>
      <c r="B297" s="8">
        <f t="shared" si="8"/>
        <v>2.1789769472931693</v>
      </c>
      <c r="C297" s="8">
        <v>6</v>
      </c>
      <c r="D297" s="8">
        <v>62</v>
      </c>
      <c r="E297" s="8">
        <v>31</v>
      </c>
      <c r="F297" s="8">
        <v>120</v>
      </c>
      <c r="G297" s="8">
        <v>35.5</v>
      </c>
      <c r="H297" s="8">
        <v>0.69199999999999995</v>
      </c>
      <c r="I297" s="8">
        <v>28</v>
      </c>
      <c r="J297" s="1">
        <v>2.059363949009454</v>
      </c>
      <c r="K297" s="1">
        <v>0.1196129982837153</v>
      </c>
      <c r="L297">
        <f t="shared" si="9"/>
        <v>1.4307269358420079E-2</v>
      </c>
      <c r="P297" s="1">
        <v>259</v>
      </c>
      <c r="Q297" s="1">
        <v>-4.5571021720152323E-2</v>
      </c>
      <c r="R297" s="1">
        <v>6.1541377963984581E-2</v>
      </c>
    </row>
    <row r="298" spans="1:18" x14ac:dyDescent="0.35">
      <c r="A298" s="8">
        <v>146</v>
      </c>
      <c r="B298" s="8">
        <f t="shared" si="8"/>
        <v>2.1643528557844371</v>
      </c>
      <c r="C298" s="8">
        <v>2</v>
      </c>
      <c r="D298" s="8">
        <v>70</v>
      </c>
      <c r="E298" s="8">
        <v>38</v>
      </c>
      <c r="F298" s="8">
        <v>360</v>
      </c>
      <c r="G298" s="8">
        <v>28</v>
      </c>
      <c r="H298" s="8">
        <v>0.33700000000000002</v>
      </c>
      <c r="I298" s="8">
        <v>29</v>
      </c>
      <c r="J298" s="1">
        <v>2.1253289736738505</v>
      </c>
      <c r="K298" s="1">
        <v>3.9023882110586605E-2</v>
      </c>
      <c r="L298">
        <f t="shared" si="9"/>
        <v>1.5228633749809614E-3</v>
      </c>
      <c r="P298" s="1">
        <v>260</v>
      </c>
      <c r="Q298" s="1">
        <v>-1.0073957605153793E-3</v>
      </c>
      <c r="R298" s="1">
        <v>2.2712734704148085E-3</v>
      </c>
    </row>
    <row r="299" spans="1:18" x14ac:dyDescent="0.35">
      <c r="A299" s="8">
        <v>126</v>
      </c>
      <c r="B299" s="8">
        <f t="shared" si="8"/>
        <v>2.1003705451175629</v>
      </c>
      <c r="C299" s="8">
        <v>0</v>
      </c>
      <c r="D299" s="8">
        <v>84</v>
      </c>
      <c r="E299" s="8">
        <v>29</v>
      </c>
      <c r="F299" s="8">
        <v>215</v>
      </c>
      <c r="G299" s="8">
        <v>30.7</v>
      </c>
      <c r="H299" s="8">
        <v>0.52</v>
      </c>
      <c r="I299" s="8">
        <v>24</v>
      </c>
      <c r="J299" s="1">
        <v>2.080758821329117</v>
      </c>
      <c r="K299" s="1">
        <v>1.9611723788445889E-2</v>
      </c>
      <c r="L299">
        <f t="shared" si="9"/>
        <v>3.8461970995429441E-4</v>
      </c>
      <c r="P299" s="1">
        <v>261</v>
      </c>
      <c r="Q299" s="1">
        <v>1.6460107107282549E-2</v>
      </c>
      <c r="R299" s="1">
        <v>2.2159947275761743E-2</v>
      </c>
    </row>
    <row r="300" spans="1:18" x14ac:dyDescent="0.35">
      <c r="A300" s="8">
        <v>100</v>
      </c>
      <c r="B300" s="8">
        <f t="shared" si="8"/>
        <v>2</v>
      </c>
      <c r="C300" s="8">
        <v>14</v>
      </c>
      <c r="D300" s="8">
        <v>78</v>
      </c>
      <c r="E300" s="8">
        <v>25</v>
      </c>
      <c r="F300" s="8">
        <v>184</v>
      </c>
      <c r="G300" s="8">
        <v>36.6</v>
      </c>
      <c r="H300" s="8">
        <v>0.41199999999999998</v>
      </c>
      <c r="I300" s="8">
        <v>46</v>
      </c>
      <c r="J300" s="1">
        <v>2.150000525078446</v>
      </c>
      <c r="K300" s="1">
        <v>-0.15000052507844597</v>
      </c>
      <c r="L300">
        <f t="shared" si="9"/>
        <v>2.2500157523809499E-2</v>
      </c>
      <c r="P300" s="1">
        <v>262</v>
      </c>
      <c r="Q300" s="1">
        <v>2.6852610611099038E-2</v>
      </c>
      <c r="R300" s="1">
        <v>-1.1794340631685244E-2</v>
      </c>
    </row>
    <row r="301" spans="1:18" x14ac:dyDescent="0.35">
      <c r="A301" s="8">
        <v>112</v>
      </c>
      <c r="B301" s="8">
        <f t="shared" si="8"/>
        <v>2.0492180226701815</v>
      </c>
      <c r="C301" s="8">
        <v>8</v>
      </c>
      <c r="D301" s="8">
        <v>72</v>
      </c>
      <c r="E301" s="8">
        <v>0</v>
      </c>
      <c r="F301" s="8">
        <v>0</v>
      </c>
      <c r="G301" s="8">
        <v>23.6</v>
      </c>
      <c r="H301" s="8">
        <v>0.84</v>
      </c>
      <c r="I301" s="8">
        <v>58</v>
      </c>
      <c r="J301" s="1">
        <v>2.1124028182532815</v>
      </c>
      <c r="K301" s="1">
        <v>-6.3184795583099973E-2</v>
      </c>
      <c r="L301">
        <f t="shared" si="9"/>
        <v>3.9923183928781301E-3</v>
      </c>
      <c r="P301" s="1">
        <v>263</v>
      </c>
      <c r="Q301" s="1">
        <v>7.6303821129001026E-2</v>
      </c>
      <c r="R301" s="1">
        <v>-7.6277495914186519E-2</v>
      </c>
    </row>
    <row r="302" spans="1:18" x14ac:dyDescent="0.35">
      <c r="A302" s="8">
        <v>167</v>
      </c>
      <c r="B302" s="8">
        <f t="shared" si="8"/>
        <v>2.2227164711475833</v>
      </c>
      <c r="C302" s="8">
        <v>0</v>
      </c>
      <c r="D302" s="8">
        <v>0</v>
      </c>
      <c r="E302" s="8">
        <v>0</v>
      </c>
      <c r="F302" s="8">
        <v>0</v>
      </c>
      <c r="G302" s="8">
        <v>32.299999999999997</v>
      </c>
      <c r="H302" s="8">
        <v>0.83899999999999997</v>
      </c>
      <c r="I302" s="8">
        <v>30</v>
      </c>
      <c r="J302" s="1">
        <v>2.039119471019986</v>
      </c>
      <c r="K302" s="1">
        <v>0.18359700012759728</v>
      </c>
      <c r="L302">
        <f t="shared" si="9"/>
        <v>3.3707858455852953E-2</v>
      </c>
      <c r="P302" s="1">
        <v>264</v>
      </c>
      <c r="Q302" s="1">
        <v>4.585093068668368E-2</v>
      </c>
      <c r="R302" s="1">
        <v>-4.2935420112571489E-2</v>
      </c>
    </row>
    <row r="303" spans="1:18" x14ac:dyDescent="0.35">
      <c r="A303" s="8">
        <v>144</v>
      </c>
      <c r="B303" s="8">
        <f t="shared" si="8"/>
        <v>2.1583624920952498</v>
      </c>
      <c r="C303" s="8">
        <v>2</v>
      </c>
      <c r="D303" s="8">
        <v>58</v>
      </c>
      <c r="E303" s="8">
        <v>33</v>
      </c>
      <c r="F303" s="8">
        <v>135</v>
      </c>
      <c r="G303" s="8">
        <v>31.6</v>
      </c>
      <c r="H303" s="8">
        <v>0.42199999999999999</v>
      </c>
      <c r="I303" s="8">
        <v>25</v>
      </c>
      <c r="J303" s="1">
        <v>2.0318180280347105</v>
      </c>
      <c r="K303" s="1">
        <v>0.12654446406053932</v>
      </c>
      <c r="L303">
        <f t="shared" si="9"/>
        <v>1.6013501384369126E-2</v>
      </c>
      <c r="P303" s="1">
        <v>265</v>
      </c>
      <c r="Q303" s="1">
        <v>2.3695105268822795E-2</v>
      </c>
      <c r="R303" s="1">
        <v>-2.2608520818256189E-2</v>
      </c>
    </row>
    <row r="304" spans="1:18" x14ac:dyDescent="0.35">
      <c r="A304" s="8">
        <v>77</v>
      </c>
      <c r="B304" s="8">
        <f t="shared" si="8"/>
        <v>1.8864907251724818</v>
      </c>
      <c r="C304" s="8">
        <v>5</v>
      </c>
      <c r="D304" s="8">
        <v>82</v>
      </c>
      <c r="E304" s="8">
        <v>41</v>
      </c>
      <c r="F304" s="8">
        <v>42</v>
      </c>
      <c r="G304" s="8">
        <v>35.799999999999997</v>
      </c>
      <c r="H304" s="8">
        <v>0.156</v>
      </c>
      <c r="I304" s="8">
        <v>35</v>
      </c>
      <c r="J304" s="1">
        <v>2.0119529175492055</v>
      </c>
      <c r="K304" s="1">
        <v>-0.12546219237672362</v>
      </c>
      <c r="L304">
        <f t="shared" si="9"/>
        <v>1.5740761715974008E-2</v>
      </c>
      <c r="P304" s="1">
        <v>266</v>
      </c>
      <c r="Q304" s="1">
        <v>2.0226971672761662E-2</v>
      </c>
      <c r="R304" s="1">
        <v>-5.8368635421711598E-3</v>
      </c>
    </row>
    <row r="305" spans="1:18" x14ac:dyDescent="0.35">
      <c r="A305" s="8">
        <v>115</v>
      </c>
      <c r="B305" s="8">
        <f t="shared" si="8"/>
        <v>2.0606978403536118</v>
      </c>
      <c r="C305" s="8">
        <v>5</v>
      </c>
      <c r="D305" s="8">
        <v>98</v>
      </c>
      <c r="E305" s="8">
        <v>0</v>
      </c>
      <c r="F305" s="8">
        <v>0</v>
      </c>
      <c r="G305" s="8">
        <v>52.9</v>
      </c>
      <c r="H305" s="8">
        <v>0.20899999999999999</v>
      </c>
      <c r="I305" s="8">
        <v>28</v>
      </c>
      <c r="J305" s="1">
        <v>2.1099226631125374</v>
      </c>
      <c r="K305" s="1">
        <v>-4.922482275892559E-2</v>
      </c>
      <c r="L305">
        <f t="shared" si="9"/>
        <v>2.4230831756476387E-3</v>
      </c>
      <c r="P305" s="1">
        <v>267</v>
      </c>
      <c r="Q305" s="1">
        <v>2.9368543602276642E-2</v>
      </c>
      <c r="R305" s="1">
        <v>-1.9597591442151348E-2</v>
      </c>
    </row>
    <row r="306" spans="1:18" x14ac:dyDescent="0.35">
      <c r="A306" s="8">
        <v>150</v>
      </c>
      <c r="B306" s="8">
        <f t="shared" si="8"/>
        <v>2.1760912590556813</v>
      </c>
      <c r="C306" s="8">
        <v>3</v>
      </c>
      <c r="D306" s="8">
        <v>76</v>
      </c>
      <c r="E306" s="8">
        <v>0</v>
      </c>
      <c r="F306" s="8">
        <v>0</v>
      </c>
      <c r="G306" s="8">
        <v>21</v>
      </c>
      <c r="H306" s="8">
        <v>0.20699999999999999</v>
      </c>
      <c r="I306" s="8">
        <v>37</v>
      </c>
      <c r="J306" s="1">
        <v>2.0348931310405316</v>
      </c>
      <c r="K306" s="1">
        <v>0.14119812801514975</v>
      </c>
      <c r="L306">
        <f t="shared" si="9"/>
        <v>1.9936911354982618E-2</v>
      </c>
      <c r="P306" s="1">
        <v>268</v>
      </c>
      <c r="Q306" s="1">
        <v>9.067919471030686E-2</v>
      </c>
      <c r="R306" s="1">
        <v>-7.806187805466093E-2</v>
      </c>
    </row>
    <row r="307" spans="1:18" x14ac:dyDescent="0.35">
      <c r="A307" s="8">
        <v>120</v>
      </c>
      <c r="B307" s="8">
        <f t="shared" si="8"/>
        <v>2.0791812460476247</v>
      </c>
      <c r="C307" s="8">
        <v>2</v>
      </c>
      <c r="D307" s="8">
        <v>76</v>
      </c>
      <c r="E307" s="8">
        <v>37</v>
      </c>
      <c r="F307" s="8">
        <v>105</v>
      </c>
      <c r="G307" s="8">
        <v>39.700000000000003</v>
      </c>
      <c r="H307" s="8">
        <v>0.215</v>
      </c>
      <c r="I307" s="8">
        <v>29</v>
      </c>
      <c r="J307" s="1">
        <v>2.0418112401472874</v>
      </c>
      <c r="K307" s="1">
        <v>3.7370005900337233E-2</v>
      </c>
      <c r="L307">
        <f t="shared" si="9"/>
        <v>1.3965173409912397E-3</v>
      </c>
      <c r="P307" s="1">
        <v>269</v>
      </c>
      <c r="Q307" s="1">
        <v>3.6151521017410766E-2</v>
      </c>
      <c r="R307" s="1">
        <v>-3.5944150670441793E-2</v>
      </c>
    </row>
    <row r="308" spans="1:18" x14ac:dyDescent="0.35">
      <c r="A308" s="8">
        <v>161</v>
      </c>
      <c r="B308" s="8">
        <f t="shared" si="8"/>
        <v>2.2068258760318495</v>
      </c>
      <c r="C308" s="8">
        <v>10</v>
      </c>
      <c r="D308" s="8">
        <v>68</v>
      </c>
      <c r="E308" s="8">
        <v>23</v>
      </c>
      <c r="F308" s="8">
        <v>132</v>
      </c>
      <c r="G308" s="8">
        <v>25.5</v>
      </c>
      <c r="H308" s="8">
        <v>0.32600000000000001</v>
      </c>
      <c r="I308" s="8">
        <v>47</v>
      </c>
      <c r="J308" s="1">
        <v>2.0928525708411954</v>
      </c>
      <c r="K308" s="1">
        <v>0.11397330519065418</v>
      </c>
      <c r="L308">
        <f t="shared" si="9"/>
        <v>1.2989914296081999E-2</v>
      </c>
      <c r="P308" s="1">
        <v>270</v>
      </c>
      <c r="Q308" s="1">
        <v>3.7715055146066767E-2</v>
      </c>
      <c r="R308" s="1">
        <v>-1.2698974794595492E-2</v>
      </c>
    </row>
    <row r="309" spans="1:18" x14ac:dyDescent="0.35">
      <c r="A309" s="8">
        <v>137</v>
      </c>
      <c r="B309" s="8">
        <f t="shared" si="8"/>
        <v>2.1367205671564067</v>
      </c>
      <c r="C309" s="8">
        <v>0</v>
      </c>
      <c r="D309" s="8">
        <v>68</v>
      </c>
      <c r="E309" s="8">
        <v>14</v>
      </c>
      <c r="F309" s="8">
        <v>148</v>
      </c>
      <c r="G309" s="8">
        <v>24.8</v>
      </c>
      <c r="H309" s="8">
        <v>0.14299999999999999</v>
      </c>
      <c r="I309" s="8">
        <v>21</v>
      </c>
      <c r="J309" s="1">
        <v>2.0404634561166546</v>
      </c>
      <c r="K309" s="1">
        <v>9.6257111039752097E-2</v>
      </c>
      <c r="L309">
        <f t="shared" si="9"/>
        <v>9.2654314257191658E-3</v>
      </c>
      <c r="P309" s="1">
        <v>271</v>
      </c>
      <c r="Q309" s="1">
        <v>6.258406504516531E-2</v>
      </c>
      <c r="R309" s="1">
        <v>-5.8473328355236033E-2</v>
      </c>
    </row>
    <row r="310" spans="1:18" x14ac:dyDescent="0.35">
      <c r="A310" s="8">
        <v>128</v>
      </c>
      <c r="B310" s="8">
        <f t="shared" si="8"/>
        <v>2.1072099696478683</v>
      </c>
      <c r="C310" s="8">
        <v>0</v>
      </c>
      <c r="D310" s="8">
        <v>68</v>
      </c>
      <c r="E310" s="8">
        <v>19</v>
      </c>
      <c r="F310" s="8">
        <v>180</v>
      </c>
      <c r="G310" s="8">
        <v>30.5</v>
      </c>
      <c r="H310" s="8">
        <v>1.391</v>
      </c>
      <c r="I310" s="8">
        <v>25</v>
      </c>
      <c r="J310" s="1">
        <v>2.105737975791425</v>
      </c>
      <c r="K310" s="1">
        <v>1.4719938564433654E-3</v>
      </c>
      <c r="L310">
        <f t="shared" si="9"/>
        <v>2.1667659134070113E-6</v>
      </c>
      <c r="P310" s="1">
        <v>272</v>
      </c>
      <c r="Q310" s="1">
        <v>7.4870719030261365E-2</v>
      </c>
      <c r="R310" s="1">
        <v>-7.0067861399055339E-2</v>
      </c>
    </row>
    <row r="311" spans="1:18" x14ac:dyDescent="0.35">
      <c r="A311" s="8">
        <v>124</v>
      </c>
      <c r="B311" s="8">
        <f t="shared" si="8"/>
        <v>2.0934216851622351</v>
      </c>
      <c r="C311" s="8">
        <v>2</v>
      </c>
      <c r="D311" s="8">
        <v>68</v>
      </c>
      <c r="E311" s="8">
        <v>28</v>
      </c>
      <c r="F311" s="8">
        <v>205</v>
      </c>
      <c r="G311" s="8">
        <v>32.9</v>
      </c>
      <c r="H311" s="8">
        <v>0.875</v>
      </c>
      <c r="I311" s="8">
        <v>30</v>
      </c>
      <c r="J311" s="1">
        <v>2.1048359651815698</v>
      </c>
      <c r="K311" s="1">
        <v>-1.1414280019334644E-2</v>
      </c>
      <c r="L311">
        <f t="shared" si="9"/>
        <v>1.3028578835978208E-4</v>
      </c>
      <c r="P311" s="1">
        <v>273</v>
      </c>
      <c r="Q311" s="1">
        <v>2.0360666643521048E-2</v>
      </c>
      <c r="R311" s="1">
        <v>-1.8989321129512432E-2</v>
      </c>
    </row>
    <row r="312" spans="1:18" x14ac:dyDescent="0.35">
      <c r="A312" s="8">
        <v>80</v>
      </c>
      <c r="B312" s="8">
        <f t="shared" si="8"/>
        <v>1.9030899869919435</v>
      </c>
      <c r="C312" s="8">
        <v>6</v>
      </c>
      <c r="D312" s="8">
        <v>66</v>
      </c>
      <c r="E312" s="8">
        <v>30</v>
      </c>
      <c r="F312" s="8">
        <v>0</v>
      </c>
      <c r="G312" s="8">
        <v>26.2</v>
      </c>
      <c r="H312" s="8">
        <v>0.313</v>
      </c>
      <c r="I312" s="8">
        <v>41</v>
      </c>
      <c r="J312" s="1">
        <v>2.0023381308767552</v>
      </c>
      <c r="K312" s="1">
        <v>-9.9248143884811624E-2</v>
      </c>
      <c r="L312">
        <f t="shared" si="9"/>
        <v>9.8501940645802713E-3</v>
      </c>
      <c r="P312" s="1">
        <v>274</v>
      </c>
      <c r="Q312" s="1">
        <v>0.10533432684650861</v>
      </c>
      <c r="R312" s="1">
        <v>-9.3824996607441175E-2</v>
      </c>
    </row>
    <row r="313" spans="1:18" x14ac:dyDescent="0.35">
      <c r="A313" s="8">
        <v>106</v>
      </c>
      <c r="B313" s="8">
        <f t="shared" si="8"/>
        <v>2.0253058652647704</v>
      </c>
      <c r="C313" s="8">
        <v>0</v>
      </c>
      <c r="D313" s="8">
        <v>70</v>
      </c>
      <c r="E313" s="8">
        <v>37</v>
      </c>
      <c r="F313" s="8">
        <v>148</v>
      </c>
      <c r="G313" s="8">
        <v>39.4</v>
      </c>
      <c r="H313" s="8">
        <v>0.60499999999999998</v>
      </c>
      <c r="I313" s="8">
        <v>22</v>
      </c>
      <c r="J313" s="1">
        <v>2.0514610186697513</v>
      </c>
      <c r="K313" s="1">
        <v>-2.6155153404980869E-2</v>
      </c>
      <c r="L313">
        <f t="shared" si="9"/>
        <v>6.8409204963808235E-4</v>
      </c>
      <c r="P313" s="1">
        <v>275</v>
      </c>
      <c r="Q313" s="1">
        <v>4.9605826890821835E-3</v>
      </c>
      <c r="R313" s="1">
        <v>2.9903598227723639E-3</v>
      </c>
    </row>
    <row r="314" spans="1:18" x14ac:dyDescent="0.35">
      <c r="A314" s="8">
        <v>155</v>
      </c>
      <c r="B314" s="8">
        <f t="shared" si="8"/>
        <v>2.1903316981702914</v>
      </c>
      <c r="C314" s="8">
        <v>2</v>
      </c>
      <c r="D314" s="8">
        <v>74</v>
      </c>
      <c r="E314" s="8">
        <v>17</v>
      </c>
      <c r="F314" s="8">
        <v>96</v>
      </c>
      <c r="G314" s="8">
        <v>26.6</v>
      </c>
      <c r="H314" s="8">
        <v>0.433</v>
      </c>
      <c r="I314" s="8">
        <v>27</v>
      </c>
      <c r="J314" s="1">
        <v>2.0420702724305415</v>
      </c>
      <c r="K314" s="1">
        <v>0.14826142573974987</v>
      </c>
      <c r="L314">
        <f t="shared" si="9"/>
        <v>2.1981450362383366E-2</v>
      </c>
      <c r="P314" s="1">
        <v>276</v>
      </c>
      <c r="Q314" s="1">
        <v>0.10092122909523303</v>
      </c>
      <c r="R314" s="1">
        <v>-0.10089430252446639</v>
      </c>
    </row>
    <row r="315" spans="1:18" x14ac:dyDescent="0.35">
      <c r="A315" s="8">
        <v>113</v>
      </c>
      <c r="B315" s="8">
        <f t="shared" si="8"/>
        <v>2.0530784434834195</v>
      </c>
      <c r="C315" s="8">
        <v>3</v>
      </c>
      <c r="D315" s="8">
        <v>50</v>
      </c>
      <c r="E315" s="8">
        <v>10</v>
      </c>
      <c r="F315" s="8">
        <v>85</v>
      </c>
      <c r="G315" s="8">
        <v>29.5</v>
      </c>
      <c r="H315" s="8">
        <v>0.626</v>
      </c>
      <c r="I315" s="8">
        <v>25</v>
      </c>
      <c r="J315" s="1">
        <v>2.0524118269271616</v>
      </c>
      <c r="K315" s="1">
        <v>6.6661655625788185E-4</v>
      </c>
      <c r="L315">
        <f t="shared" si="9"/>
        <v>4.4437763307711775E-7</v>
      </c>
      <c r="P315" s="1">
        <v>277</v>
      </c>
      <c r="Q315" s="1">
        <v>6.2885676236042937E-2</v>
      </c>
      <c r="R315" s="1">
        <v>-6.1291013741188047E-2</v>
      </c>
    </row>
    <row r="316" spans="1:18" x14ac:dyDescent="0.35">
      <c r="A316" s="8">
        <v>109</v>
      </c>
      <c r="B316" s="8">
        <f t="shared" si="8"/>
        <v>2.0374264979406238</v>
      </c>
      <c r="C316" s="8">
        <v>7</v>
      </c>
      <c r="D316" s="8">
        <v>80</v>
      </c>
      <c r="E316" s="8">
        <v>31</v>
      </c>
      <c r="F316" s="8">
        <v>0</v>
      </c>
      <c r="G316" s="8">
        <v>35.9</v>
      </c>
      <c r="H316" s="8">
        <v>1.127</v>
      </c>
      <c r="I316" s="8">
        <v>43</v>
      </c>
      <c r="J316" s="1">
        <v>2.0603166140934683</v>
      </c>
      <c r="K316" s="1">
        <v>-2.2890116152844531E-2</v>
      </c>
      <c r="L316">
        <f t="shared" si="9"/>
        <v>5.2395741749071412E-4</v>
      </c>
      <c r="P316" s="1">
        <v>278</v>
      </c>
      <c r="Q316" s="1">
        <v>3.9066740458788267E-2</v>
      </c>
      <c r="R316" s="1">
        <v>-3.8929699305794346E-2</v>
      </c>
    </row>
    <row r="317" spans="1:18" x14ac:dyDescent="0.35">
      <c r="A317" s="8">
        <v>112</v>
      </c>
      <c r="B317" s="8">
        <f t="shared" si="8"/>
        <v>2.0492180226701815</v>
      </c>
      <c r="C317" s="8">
        <v>2</v>
      </c>
      <c r="D317" s="8">
        <v>68</v>
      </c>
      <c r="E317" s="8">
        <v>22</v>
      </c>
      <c r="F317" s="8">
        <v>94</v>
      </c>
      <c r="G317" s="8">
        <v>34.1</v>
      </c>
      <c r="H317" s="8">
        <v>0.315</v>
      </c>
      <c r="I317" s="8">
        <v>26</v>
      </c>
      <c r="J317" s="1">
        <v>2.0440740096077294</v>
      </c>
      <c r="K317" s="1">
        <v>5.1440130624520464E-3</v>
      </c>
      <c r="L317">
        <f t="shared" si="9"/>
        <v>2.646087038667728E-5</v>
      </c>
      <c r="P317" s="1">
        <v>279</v>
      </c>
      <c r="Q317" s="1">
        <v>6.0625271613093043E-3</v>
      </c>
      <c r="R317" s="1">
        <v>-3.3826762883006445E-3</v>
      </c>
    </row>
    <row r="318" spans="1:18" x14ac:dyDescent="0.35">
      <c r="A318" s="8">
        <v>99</v>
      </c>
      <c r="B318" s="8">
        <f t="shared" si="8"/>
        <v>1.9956351945975499</v>
      </c>
      <c r="C318" s="8">
        <v>3</v>
      </c>
      <c r="D318" s="8">
        <v>80</v>
      </c>
      <c r="E318" s="8">
        <v>11</v>
      </c>
      <c r="F318" s="8">
        <v>64</v>
      </c>
      <c r="G318" s="8">
        <v>19.3</v>
      </c>
      <c r="H318" s="8">
        <v>0.28399999999999997</v>
      </c>
      <c r="I318" s="8">
        <v>30</v>
      </c>
      <c r="J318" s="1">
        <v>2.0250979295789109</v>
      </c>
      <c r="K318" s="1">
        <v>-2.9462734981360983E-2</v>
      </c>
      <c r="L318">
        <f t="shared" si="9"/>
        <v>8.6805275258191217E-4</v>
      </c>
      <c r="P318" s="1">
        <v>280</v>
      </c>
      <c r="Q318" s="1">
        <v>-3.8607134159846998E-2</v>
      </c>
      <c r="R318" s="1">
        <v>4.8322501480089278E-2</v>
      </c>
    </row>
    <row r="319" spans="1:18" x14ac:dyDescent="0.35">
      <c r="A319" s="8">
        <v>182</v>
      </c>
      <c r="B319" s="8">
        <f t="shared" si="8"/>
        <v>2.2600713879850747</v>
      </c>
      <c r="C319" s="8">
        <v>3</v>
      </c>
      <c r="D319" s="8">
        <v>74</v>
      </c>
      <c r="E319" s="8">
        <v>0</v>
      </c>
      <c r="F319" s="8">
        <v>0</v>
      </c>
      <c r="G319" s="8">
        <v>30.5</v>
      </c>
      <c r="H319" s="8">
        <v>0.34499999999999997</v>
      </c>
      <c r="I319" s="8">
        <v>29</v>
      </c>
      <c r="J319" s="1">
        <v>2.0453519858830274</v>
      </c>
      <c r="K319" s="1">
        <v>0.21471940210204732</v>
      </c>
      <c r="L319">
        <f t="shared" si="9"/>
        <v>4.6104421639060686E-2</v>
      </c>
      <c r="P319" s="1">
        <v>281</v>
      </c>
      <c r="Q319" s="1">
        <v>2.8454311276011227E-2</v>
      </c>
      <c r="R319" s="1">
        <v>-1.7275505302378164E-2</v>
      </c>
    </row>
    <row r="320" spans="1:18" x14ac:dyDescent="0.35">
      <c r="A320" s="8">
        <v>115</v>
      </c>
      <c r="B320" s="8">
        <f t="shared" si="8"/>
        <v>2.0606978403536118</v>
      </c>
      <c r="C320" s="8">
        <v>3</v>
      </c>
      <c r="D320" s="8">
        <v>66</v>
      </c>
      <c r="E320" s="8">
        <v>39</v>
      </c>
      <c r="F320" s="8">
        <v>140</v>
      </c>
      <c r="G320" s="8">
        <v>38.1</v>
      </c>
      <c r="H320" s="8">
        <v>0.15</v>
      </c>
      <c r="I320" s="8">
        <v>28</v>
      </c>
      <c r="J320" s="1">
        <v>2.042873233954674</v>
      </c>
      <c r="K320" s="1">
        <v>1.7824606398937792E-2</v>
      </c>
      <c r="L320">
        <f t="shared" si="9"/>
        <v>3.1771659327705412E-4</v>
      </c>
      <c r="P320" s="1">
        <v>282</v>
      </c>
      <c r="Q320" s="1">
        <v>3.0200587279014025E-2</v>
      </c>
      <c r="R320" s="1">
        <v>-2.9757367862674893E-2</v>
      </c>
    </row>
    <row r="321" spans="1:18" x14ac:dyDescent="0.35">
      <c r="A321" s="8">
        <v>194</v>
      </c>
      <c r="B321" s="8">
        <f t="shared" si="8"/>
        <v>2.287801729930226</v>
      </c>
      <c r="C321" s="8">
        <v>6</v>
      </c>
      <c r="D321" s="8">
        <v>78</v>
      </c>
      <c r="E321" s="8">
        <v>0</v>
      </c>
      <c r="F321" s="8">
        <v>0</v>
      </c>
      <c r="G321" s="8">
        <v>23.5</v>
      </c>
      <c r="H321" s="8">
        <v>0.129</v>
      </c>
      <c r="I321" s="8">
        <v>59</v>
      </c>
      <c r="J321" s="1">
        <v>2.094223402267112</v>
      </c>
      <c r="K321" s="1">
        <v>0.193578327663114</v>
      </c>
      <c r="L321">
        <f t="shared" si="9"/>
        <v>3.7472568940847925E-2</v>
      </c>
      <c r="P321" s="1">
        <v>283</v>
      </c>
      <c r="Q321" s="1">
        <v>5.019486719511192E-4</v>
      </c>
      <c r="R321" s="1">
        <v>-4.4583397826131855E-4</v>
      </c>
    </row>
    <row r="322" spans="1:18" x14ac:dyDescent="0.35">
      <c r="A322" s="8">
        <v>129</v>
      </c>
      <c r="B322" s="8">
        <f t="shared" si="8"/>
        <v>2.1105897102992488</v>
      </c>
      <c r="C322" s="8">
        <v>4</v>
      </c>
      <c r="D322" s="8">
        <v>60</v>
      </c>
      <c r="E322" s="8">
        <v>12</v>
      </c>
      <c r="F322" s="8">
        <v>231</v>
      </c>
      <c r="G322" s="8">
        <v>27.5</v>
      </c>
      <c r="H322" s="8">
        <v>0.52700000000000002</v>
      </c>
      <c r="I322" s="8">
        <v>31</v>
      </c>
      <c r="J322" s="1">
        <v>2.1247990567471593</v>
      </c>
      <c r="K322" s="1">
        <v>-1.4209346447910498E-2</v>
      </c>
      <c r="L322">
        <f t="shared" si="9"/>
        <v>2.0190552647674669E-4</v>
      </c>
      <c r="P322" s="1">
        <v>284</v>
      </c>
      <c r="Q322" s="1">
        <v>1.3875777360243466E-2</v>
      </c>
      <c r="R322" s="1">
        <v>-1.5174351346750395E-4</v>
      </c>
    </row>
    <row r="323" spans="1:18" x14ac:dyDescent="0.35">
      <c r="A323" s="8">
        <v>112</v>
      </c>
      <c r="B323" s="8">
        <f t="shared" ref="B323:B386" si="10">LOG(A323)</f>
        <v>2.0492180226701815</v>
      </c>
      <c r="C323" s="8">
        <v>3</v>
      </c>
      <c r="D323" s="8">
        <v>74</v>
      </c>
      <c r="E323" s="8">
        <v>30</v>
      </c>
      <c r="F323" s="8">
        <v>0</v>
      </c>
      <c r="G323" s="8">
        <v>31.6</v>
      </c>
      <c r="H323" s="8">
        <v>0.19700000000000001</v>
      </c>
      <c r="I323" s="8">
        <v>25</v>
      </c>
      <c r="J323" s="1">
        <v>1.9762419933957902</v>
      </c>
      <c r="K323" s="1">
        <v>7.2976029274391285E-2</v>
      </c>
      <c r="L323">
        <f t="shared" ref="L323:L386" si="11">K323*K323</f>
        <v>5.3255008486568136E-3</v>
      </c>
      <c r="P323" s="1">
        <v>285</v>
      </c>
      <c r="Q323" s="1">
        <v>1.9888170408850159E-2</v>
      </c>
      <c r="R323" s="1">
        <v>-1.6908770504481561E-2</v>
      </c>
    </row>
    <row r="324" spans="1:18" x14ac:dyDescent="0.35">
      <c r="A324" s="8">
        <v>124</v>
      </c>
      <c r="B324" s="8">
        <f t="shared" si="10"/>
        <v>2.0934216851622351</v>
      </c>
      <c r="C324" s="8">
        <v>0</v>
      </c>
      <c r="D324" s="8">
        <v>70</v>
      </c>
      <c r="E324" s="8">
        <v>20</v>
      </c>
      <c r="F324" s="8">
        <v>0</v>
      </c>
      <c r="G324" s="8">
        <v>27.4</v>
      </c>
      <c r="H324" s="8">
        <v>0.254</v>
      </c>
      <c r="I324" s="8">
        <v>36</v>
      </c>
      <c r="J324" s="1">
        <v>2.0074053420033651</v>
      </c>
      <c r="K324" s="1">
        <v>8.6016343158870079E-2</v>
      </c>
      <c r="L324">
        <f t="shared" si="11"/>
        <v>7.3988112904244951E-3</v>
      </c>
      <c r="P324" s="1">
        <v>286</v>
      </c>
      <c r="Q324" s="1">
        <v>1.8342455665525038E-2</v>
      </c>
      <c r="R324" s="1">
        <v>-1.7657451777871678E-2</v>
      </c>
    </row>
    <row r="325" spans="1:18" x14ac:dyDescent="0.35">
      <c r="A325" s="8">
        <v>152</v>
      </c>
      <c r="B325" s="8">
        <f t="shared" si="10"/>
        <v>2.1818435879447726</v>
      </c>
      <c r="C325" s="8">
        <v>13</v>
      </c>
      <c r="D325" s="8">
        <v>90</v>
      </c>
      <c r="E325" s="8">
        <v>33</v>
      </c>
      <c r="F325" s="8">
        <v>29</v>
      </c>
      <c r="G325" s="8">
        <v>26.8</v>
      </c>
      <c r="H325" s="8">
        <v>0.73099999999999998</v>
      </c>
      <c r="I325" s="8">
        <v>43</v>
      </c>
      <c r="J325" s="1">
        <v>2.0425795319919731</v>
      </c>
      <c r="K325" s="1">
        <v>0.13926405595279956</v>
      </c>
      <c r="L325">
        <f t="shared" si="11"/>
        <v>1.9394477280424486E-2</v>
      </c>
      <c r="P325" s="1">
        <v>287</v>
      </c>
      <c r="Q325" s="1">
        <v>-5.0367040149939056E-2</v>
      </c>
      <c r="R325" s="1">
        <v>5.4412487459313298E-2</v>
      </c>
    </row>
    <row r="326" spans="1:18" x14ac:dyDescent="0.35">
      <c r="A326" s="8">
        <v>112</v>
      </c>
      <c r="B326" s="8">
        <f t="shared" si="10"/>
        <v>2.0492180226701815</v>
      </c>
      <c r="C326" s="8">
        <v>2</v>
      </c>
      <c r="D326" s="8">
        <v>75</v>
      </c>
      <c r="E326" s="8">
        <v>32</v>
      </c>
      <c r="F326" s="8">
        <v>0</v>
      </c>
      <c r="G326" s="8">
        <v>35.700000000000003</v>
      </c>
      <c r="H326" s="8">
        <v>0.14799999999999999</v>
      </c>
      <c r="I326" s="8">
        <v>21</v>
      </c>
      <c r="J326" s="1">
        <v>1.9721429140758997</v>
      </c>
      <c r="K326" s="1">
        <v>7.7075108594281794E-2</v>
      </c>
      <c r="L326">
        <f t="shared" si="11"/>
        <v>5.9405723648203309E-3</v>
      </c>
      <c r="P326" s="1">
        <v>288</v>
      </c>
      <c r="Q326" s="1">
        <v>3.0140100794806168E-2</v>
      </c>
      <c r="R326" s="1">
        <v>-2.7644335268364642E-2</v>
      </c>
    </row>
    <row r="327" spans="1:18" x14ac:dyDescent="0.35">
      <c r="A327" s="8">
        <v>157</v>
      </c>
      <c r="B327" s="8">
        <f t="shared" si="10"/>
        <v>2.1958996524092336</v>
      </c>
      <c r="C327" s="8">
        <v>1</v>
      </c>
      <c r="D327" s="8">
        <v>72</v>
      </c>
      <c r="E327" s="8">
        <v>21</v>
      </c>
      <c r="F327" s="8">
        <v>168</v>
      </c>
      <c r="G327" s="8">
        <v>25.6</v>
      </c>
      <c r="H327" s="8">
        <v>0.123</v>
      </c>
      <c r="I327" s="8">
        <v>24</v>
      </c>
      <c r="J327" s="1">
        <v>2.0467608155163779</v>
      </c>
      <c r="K327" s="1">
        <v>0.14913883689285568</v>
      </c>
      <c r="L327">
        <f t="shared" si="11"/>
        <v>2.2242392669753808E-2</v>
      </c>
      <c r="P327" s="1">
        <v>289</v>
      </c>
      <c r="Q327" s="1">
        <v>4.1552270533071485E-2</v>
      </c>
      <c r="R327" s="1">
        <v>-4.1367319671223028E-2</v>
      </c>
    </row>
    <row r="328" spans="1:18" x14ac:dyDescent="0.35">
      <c r="A328" s="8">
        <v>122</v>
      </c>
      <c r="B328" s="8">
        <f t="shared" si="10"/>
        <v>2.0863598306747484</v>
      </c>
      <c r="C328" s="8">
        <v>1</v>
      </c>
      <c r="D328" s="8">
        <v>64</v>
      </c>
      <c r="E328" s="8">
        <v>32</v>
      </c>
      <c r="F328" s="8">
        <v>156</v>
      </c>
      <c r="G328" s="8">
        <v>35.1</v>
      </c>
      <c r="H328" s="8">
        <v>0.69199999999999995</v>
      </c>
      <c r="I328" s="8">
        <v>30</v>
      </c>
      <c r="J328" s="1">
        <v>2.0732369626343603</v>
      </c>
      <c r="K328" s="1">
        <v>1.3122868040388092E-2</v>
      </c>
      <c r="L328">
        <f t="shared" si="11"/>
        <v>1.7220966560543919E-4</v>
      </c>
      <c r="P328" s="1">
        <v>290</v>
      </c>
      <c r="Q328" s="1">
        <v>8.0329618356581492E-2</v>
      </c>
      <c r="R328" s="1">
        <v>-8.0118919937180705E-2</v>
      </c>
    </row>
    <row r="329" spans="1:18" x14ac:dyDescent="0.35">
      <c r="A329" s="8">
        <v>179</v>
      </c>
      <c r="B329" s="8">
        <f t="shared" si="10"/>
        <v>2.2528530309798933</v>
      </c>
      <c r="C329" s="8">
        <v>10</v>
      </c>
      <c r="D329" s="8">
        <v>70</v>
      </c>
      <c r="E329" s="8">
        <v>0</v>
      </c>
      <c r="F329" s="8">
        <v>0</v>
      </c>
      <c r="G329" s="8">
        <v>35.1</v>
      </c>
      <c r="H329" s="8">
        <v>0.2</v>
      </c>
      <c r="I329" s="8">
        <v>37</v>
      </c>
      <c r="J329" s="1">
        <v>2.0776654948894073</v>
      </c>
      <c r="K329" s="1">
        <v>0.17518753609048598</v>
      </c>
      <c r="L329">
        <f t="shared" si="11"/>
        <v>3.0690672801455328E-2</v>
      </c>
      <c r="P329" s="1">
        <v>291</v>
      </c>
      <c r="Q329" s="1">
        <v>6.7817971055891282E-2</v>
      </c>
      <c r="R329" s="1">
        <v>-5.3906796735033999E-2</v>
      </c>
    </row>
    <row r="330" spans="1:18" x14ac:dyDescent="0.35">
      <c r="A330" s="8">
        <v>102</v>
      </c>
      <c r="B330" s="8">
        <f t="shared" si="10"/>
        <v>2.0086001717619175</v>
      </c>
      <c r="C330" s="8">
        <v>2</v>
      </c>
      <c r="D330" s="8">
        <v>86</v>
      </c>
      <c r="E330" s="8">
        <v>36</v>
      </c>
      <c r="F330" s="8">
        <v>120</v>
      </c>
      <c r="G330" s="8">
        <v>45.5</v>
      </c>
      <c r="H330" s="8">
        <v>0.127</v>
      </c>
      <c r="I330" s="8">
        <v>23</v>
      </c>
      <c r="J330" s="1">
        <v>2.0531820128009293</v>
      </c>
      <c r="K330" s="1">
        <v>-4.4581841039011749E-2</v>
      </c>
      <c r="L330">
        <f t="shared" si="11"/>
        <v>1.9875405504277124E-3</v>
      </c>
      <c r="P330" s="1">
        <v>292</v>
      </c>
      <c r="Q330" s="1">
        <v>5.8335710501984044E-2</v>
      </c>
      <c r="R330" s="1">
        <v>-5.8325503368585829E-2</v>
      </c>
    </row>
    <row r="331" spans="1:18" x14ac:dyDescent="0.35">
      <c r="A331" s="8">
        <v>105</v>
      </c>
      <c r="B331" s="8">
        <f t="shared" si="10"/>
        <v>2.0211892990699383</v>
      </c>
      <c r="C331" s="8">
        <v>6</v>
      </c>
      <c r="D331" s="8">
        <v>70</v>
      </c>
      <c r="E331" s="8">
        <v>32</v>
      </c>
      <c r="F331" s="8">
        <v>68</v>
      </c>
      <c r="G331" s="8">
        <v>30.8</v>
      </c>
      <c r="H331" s="8">
        <v>0.122</v>
      </c>
      <c r="I331" s="8">
        <v>37</v>
      </c>
      <c r="J331" s="1">
        <v>2.0283640306883046</v>
      </c>
      <c r="K331" s="1">
        <v>-7.1747316183663479E-3</v>
      </c>
      <c r="L331">
        <f t="shared" si="11"/>
        <v>5.1476773795585793E-5</v>
      </c>
      <c r="P331" s="1">
        <v>293</v>
      </c>
      <c r="Q331" s="1">
        <v>2.7914254337632421E-2</v>
      </c>
      <c r="R331" s="1">
        <v>-2.7731137780001525E-2</v>
      </c>
    </row>
    <row r="332" spans="1:18" x14ac:dyDescent="0.35">
      <c r="A332" s="8">
        <v>118</v>
      </c>
      <c r="B332" s="8">
        <f t="shared" si="10"/>
        <v>2.0718820073061255</v>
      </c>
      <c r="C332" s="8">
        <v>8</v>
      </c>
      <c r="D332" s="8">
        <v>72</v>
      </c>
      <c r="E332" s="8">
        <v>19</v>
      </c>
      <c r="F332" s="8">
        <v>0</v>
      </c>
      <c r="G332" s="8">
        <v>23.1</v>
      </c>
      <c r="H332" s="8">
        <v>1.476</v>
      </c>
      <c r="I332" s="8">
        <v>46</v>
      </c>
      <c r="J332" s="1">
        <v>2.0642047736135702</v>
      </c>
      <c r="K332" s="1">
        <v>7.6772336925552409E-3</v>
      </c>
      <c r="L332">
        <f t="shared" si="11"/>
        <v>5.8939917170105379E-5</v>
      </c>
      <c r="P332" s="1">
        <v>294</v>
      </c>
      <c r="Q332" s="1">
        <v>5.8435549741442792E-2</v>
      </c>
      <c r="R332" s="1">
        <v>-5.6034578676132374E-2</v>
      </c>
    </row>
    <row r="333" spans="1:18" x14ac:dyDescent="0.35">
      <c r="A333" s="8">
        <v>87</v>
      </c>
      <c r="B333" s="8">
        <f t="shared" si="10"/>
        <v>1.9395192526186185</v>
      </c>
      <c r="C333" s="8">
        <v>2</v>
      </c>
      <c r="D333" s="8">
        <v>58</v>
      </c>
      <c r="E333" s="8">
        <v>16</v>
      </c>
      <c r="F333" s="8">
        <v>52</v>
      </c>
      <c r="G333" s="8">
        <v>32.700000000000003</v>
      </c>
      <c r="H333" s="8">
        <v>0.16600000000000001</v>
      </c>
      <c r="I333" s="8">
        <v>25</v>
      </c>
      <c r="J333" s="1">
        <v>2.0229776358067748</v>
      </c>
      <c r="K333" s="1">
        <v>-8.3458383188156349E-2</v>
      </c>
      <c r="L333">
        <f t="shared" si="11"/>
        <v>6.9653017243811385E-3</v>
      </c>
      <c r="P333" s="1">
        <v>295</v>
      </c>
      <c r="Q333" s="1">
        <v>2.5478987079763697E-2</v>
      </c>
      <c r="R333" s="1">
        <v>-1.2376190902912683E-2</v>
      </c>
    </row>
    <row r="334" spans="1:18" x14ac:dyDescent="0.35">
      <c r="A334" s="8">
        <v>180</v>
      </c>
      <c r="B334" s="8">
        <f t="shared" si="10"/>
        <v>2.255272505103306</v>
      </c>
      <c r="C334" s="8">
        <v>1</v>
      </c>
      <c r="D334" s="8">
        <v>0</v>
      </c>
      <c r="E334" s="8">
        <v>0</v>
      </c>
      <c r="F334" s="8">
        <v>0</v>
      </c>
      <c r="G334" s="8">
        <v>43.3</v>
      </c>
      <c r="H334" s="8">
        <v>0.28199999999999997</v>
      </c>
      <c r="I334" s="8">
        <v>41</v>
      </c>
      <c r="J334" s="1">
        <v>2.0796504933623647</v>
      </c>
      <c r="K334" s="1">
        <v>0.17562201174094128</v>
      </c>
      <c r="L334">
        <f t="shared" si="11"/>
        <v>3.0843091007935315E-2</v>
      </c>
      <c r="P334" s="1">
        <v>296</v>
      </c>
      <c r="Q334" s="1">
        <v>3.9125506226474621E-2</v>
      </c>
      <c r="R334" s="1">
        <v>-2.4818236868054542E-2</v>
      </c>
    </row>
    <row r="335" spans="1:18" x14ac:dyDescent="0.35">
      <c r="A335" s="8">
        <v>106</v>
      </c>
      <c r="B335" s="8">
        <f t="shared" si="10"/>
        <v>2.0253058652647704</v>
      </c>
      <c r="C335" s="8">
        <v>12</v>
      </c>
      <c r="D335" s="8">
        <v>80</v>
      </c>
      <c r="E335" s="8">
        <v>0</v>
      </c>
      <c r="F335" s="8">
        <v>0</v>
      </c>
      <c r="G335" s="8">
        <v>23.6</v>
      </c>
      <c r="H335" s="8">
        <v>0.13700000000000001</v>
      </c>
      <c r="I335" s="8">
        <v>44</v>
      </c>
      <c r="J335" s="1">
        <v>2.0661655174832787</v>
      </c>
      <c r="K335" s="1">
        <v>-4.0859652218508291E-2</v>
      </c>
      <c r="L335">
        <f t="shared" si="11"/>
        <v>1.6695111794174495E-3</v>
      </c>
      <c r="P335" s="1">
        <v>297</v>
      </c>
      <c r="Q335" s="1">
        <v>-5.2640202913533871E-4</v>
      </c>
      <c r="R335" s="1">
        <v>2.0492654041163001E-3</v>
      </c>
    </row>
    <row r="336" spans="1:18" x14ac:dyDescent="0.35">
      <c r="A336" s="8">
        <v>95</v>
      </c>
      <c r="B336" s="8">
        <f t="shared" si="10"/>
        <v>1.9777236052888478</v>
      </c>
      <c r="C336" s="8">
        <v>1</v>
      </c>
      <c r="D336" s="8">
        <v>60</v>
      </c>
      <c r="E336" s="8">
        <v>18</v>
      </c>
      <c r="F336" s="8">
        <v>58</v>
      </c>
      <c r="G336" s="8">
        <v>23.9</v>
      </c>
      <c r="H336" s="8">
        <v>0.26</v>
      </c>
      <c r="I336" s="8">
        <v>22</v>
      </c>
      <c r="J336" s="1">
        <v>1.9933040434487548</v>
      </c>
      <c r="K336" s="1">
        <v>-1.5580438159906951E-2</v>
      </c>
      <c r="L336">
        <f t="shared" si="11"/>
        <v>2.427500532546847E-4</v>
      </c>
      <c r="P336" s="1">
        <v>298</v>
      </c>
      <c r="Q336" s="1">
        <v>1.9601105145426394E-2</v>
      </c>
      <c r="R336" s="1">
        <v>-1.9216485435472098E-2</v>
      </c>
    </row>
    <row r="337" spans="1:18" x14ac:dyDescent="0.35">
      <c r="A337" s="8">
        <v>165</v>
      </c>
      <c r="B337" s="8">
        <f t="shared" si="10"/>
        <v>2.2174839442139063</v>
      </c>
      <c r="C337" s="8">
        <v>0</v>
      </c>
      <c r="D337" s="8">
        <v>76</v>
      </c>
      <c r="E337" s="8">
        <v>43</v>
      </c>
      <c r="F337" s="8">
        <v>255</v>
      </c>
      <c r="G337" s="8">
        <v>47.9</v>
      </c>
      <c r="H337" s="8">
        <v>0.25900000000000001</v>
      </c>
      <c r="I337" s="8">
        <v>26</v>
      </c>
      <c r="J337" s="1">
        <v>2.1128534484311747</v>
      </c>
      <c r="K337" s="1">
        <v>0.10463049578273154</v>
      </c>
      <c r="L337">
        <f t="shared" si="11"/>
        <v>1.0947540647740202E-2</v>
      </c>
      <c r="P337" s="1">
        <v>299</v>
      </c>
      <c r="Q337" s="1">
        <v>-1.9615763453790618E-3</v>
      </c>
      <c r="R337" s="1">
        <v>2.4461733869188561E-2</v>
      </c>
    </row>
    <row r="338" spans="1:18" x14ac:dyDescent="0.35">
      <c r="A338" s="8">
        <v>117</v>
      </c>
      <c r="B338" s="8">
        <f t="shared" si="10"/>
        <v>2.0681858617461617</v>
      </c>
      <c r="C338" s="8">
        <v>0</v>
      </c>
      <c r="D338" s="8">
        <v>0</v>
      </c>
      <c r="E338" s="8">
        <v>0</v>
      </c>
      <c r="F338" s="8">
        <v>0</v>
      </c>
      <c r="G338" s="8">
        <v>33.799999999999997</v>
      </c>
      <c r="H338" s="8">
        <v>0.93200000000000005</v>
      </c>
      <c r="I338" s="8">
        <v>44</v>
      </c>
      <c r="J338" s="1">
        <v>2.0784652968686879</v>
      </c>
      <c r="K338" s="1">
        <v>-1.0279435122526159E-2</v>
      </c>
      <c r="L338">
        <f t="shared" si="11"/>
        <v>1.056667864382244E-4</v>
      </c>
      <c r="P338" s="1">
        <v>300</v>
      </c>
      <c r="Q338" s="1">
        <v>-4.4458541160335117E-4</v>
      </c>
      <c r="R338" s="1">
        <v>4.4369038044814813E-3</v>
      </c>
    </row>
    <row r="339" spans="1:18" x14ac:dyDescent="0.35">
      <c r="A339" s="8">
        <v>115</v>
      </c>
      <c r="B339" s="8">
        <f t="shared" si="10"/>
        <v>2.0606978403536118</v>
      </c>
      <c r="C339" s="8">
        <v>5</v>
      </c>
      <c r="D339" s="8">
        <v>76</v>
      </c>
      <c r="E339" s="8">
        <v>0</v>
      </c>
      <c r="F339" s="8">
        <v>0</v>
      </c>
      <c r="G339" s="8">
        <v>31.2</v>
      </c>
      <c r="H339" s="8">
        <v>0.34300000000000003</v>
      </c>
      <c r="I339" s="8">
        <v>44</v>
      </c>
      <c r="J339" s="1">
        <v>2.0847082405769135</v>
      </c>
      <c r="K339" s="1">
        <v>-2.4010400223301698E-2</v>
      </c>
      <c r="L339">
        <f t="shared" si="11"/>
        <v>5.7649931888312624E-4</v>
      </c>
      <c r="P339" s="1">
        <v>301</v>
      </c>
      <c r="Q339" s="1">
        <v>2.9881589681850156E-2</v>
      </c>
      <c r="R339" s="1">
        <v>3.8262687740027966E-3</v>
      </c>
    </row>
    <row r="340" spans="1:18" x14ac:dyDescent="0.35">
      <c r="A340" s="8">
        <v>152</v>
      </c>
      <c r="B340" s="8">
        <f t="shared" si="10"/>
        <v>2.1818435879447726</v>
      </c>
      <c r="C340" s="8">
        <v>9</v>
      </c>
      <c r="D340" s="8">
        <v>78</v>
      </c>
      <c r="E340" s="8">
        <v>34</v>
      </c>
      <c r="F340" s="8">
        <v>171</v>
      </c>
      <c r="G340" s="8">
        <v>34.200000000000003</v>
      </c>
      <c r="H340" s="8">
        <v>0.89300000000000002</v>
      </c>
      <c r="I340" s="8">
        <v>33</v>
      </c>
      <c r="J340" s="1">
        <v>2.0987303580014709</v>
      </c>
      <c r="K340" s="1">
        <v>8.3113229943301725E-2</v>
      </c>
      <c r="L340">
        <f t="shared" si="11"/>
        <v>6.9078089916081468E-3</v>
      </c>
      <c r="P340" s="1">
        <v>302</v>
      </c>
      <c r="Q340" s="1">
        <v>5.1032479425238281E-2</v>
      </c>
      <c r="R340" s="1">
        <v>-3.5018978040869154E-2</v>
      </c>
    </row>
    <row r="341" spans="1:18" x14ac:dyDescent="0.35">
      <c r="A341" s="8">
        <v>178</v>
      </c>
      <c r="B341" s="8">
        <f t="shared" si="10"/>
        <v>2.2504200023088941</v>
      </c>
      <c r="C341" s="8">
        <v>7</v>
      </c>
      <c r="D341" s="8">
        <v>84</v>
      </c>
      <c r="E341" s="8">
        <v>0</v>
      </c>
      <c r="F341" s="8">
        <v>0</v>
      </c>
      <c r="G341" s="8">
        <v>39.9</v>
      </c>
      <c r="H341" s="8">
        <v>0.33100000000000002</v>
      </c>
      <c r="I341" s="8">
        <v>41</v>
      </c>
      <c r="J341" s="1">
        <v>2.1055945683263579</v>
      </c>
      <c r="K341" s="1">
        <v>0.14482543398253611</v>
      </c>
      <c r="L341">
        <f t="shared" si="11"/>
        <v>2.0974406328229927E-2</v>
      </c>
      <c r="P341" s="1">
        <v>303</v>
      </c>
      <c r="Q341" s="1">
        <v>8.5283870857789518E-2</v>
      </c>
      <c r="R341" s="1">
        <v>-6.954310914181551E-2</v>
      </c>
    </row>
    <row r="342" spans="1:18" x14ac:dyDescent="0.35">
      <c r="A342" s="8">
        <v>130</v>
      </c>
      <c r="B342" s="8">
        <f t="shared" si="10"/>
        <v>2.1139433523068369</v>
      </c>
      <c r="C342" s="8">
        <v>1</v>
      </c>
      <c r="D342" s="8">
        <v>70</v>
      </c>
      <c r="E342" s="8">
        <v>13</v>
      </c>
      <c r="F342" s="8">
        <v>105</v>
      </c>
      <c r="G342" s="8">
        <v>25.9</v>
      </c>
      <c r="H342" s="8">
        <v>0.47199999999999998</v>
      </c>
      <c r="I342" s="8">
        <v>22</v>
      </c>
      <c r="J342" s="1">
        <v>2.0392414677650321</v>
      </c>
      <c r="K342" s="1">
        <v>7.4701884541804819E-2</v>
      </c>
      <c r="L342">
        <f t="shared" si="11"/>
        <v>5.5803715540971377E-3</v>
      </c>
      <c r="P342" s="1">
        <v>304</v>
      </c>
      <c r="Q342" s="1">
        <v>1.9633053108594482E-2</v>
      </c>
      <c r="R342" s="1">
        <v>-1.7209969932946843E-2</v>
      </c>
    </row>
    <row r="343" spans="1:18" x14ac:dyDescent="0.35">
      <c r="A343" s="8">
        <v>95</v>
      </c>
      <c r="B343" s="8">
        <f t="shared" si="10"/>
        <v>1.9777236052888478</v>
      </c>
      <c r="C343" s="8">
        <v>1</v>
      </c>
      <c r="D343" s="8">
        <v>74</v>
      </c>
      <c r="E343" s="8">
        <v>21</v>
      </c>
      <c r="F343" s="8">
        <v>73</v>
      </c>
      <c r="G343" s="8">
        <v>25.9</v>
      </c>
      <c r="H343" s="8">
        <v>0.67300000000000004</v>
      </c>
      <c r="I343" s="8">
        <v>36</v>
      </c>
      <c r="J343" s="1">
        <v>2.0487956037341242</v>
      </c>
      <c r="K343" s="1">
        <v>-7.1071998445276341E-2</v>
      </c>
      <c r="L343">
        <f t="shared" si="11"/>
        <v>5.0512289630053626E-3</v>
      </c>
      <c r="P343" s="1">
        <v>305</v>
      </c>
      <c r="Q343" s="1">
        <v>2.1879151765328515E-2</v>
      </c>
      <c r="R343" s="1">
        <v>-1.9422404103458975E-3</v>
      </c>
    </row>
    <row r="344" spans="1:18" x14ac:dyDescent="0.35">
      <c r="A344" s="8">
        <v>0</v>
      </c>
      <c r="B344" s="8">
        <v>0</v>
      </c>
      <c r="C344" s="8">
        <v>1</v>
      </c>
      <c r="D344" s="8">
        <v>68</v>
      </c>
      <c r="E344" s="8">
        <v>35</v>
      </c>
      <c r="F344" s="8">
        <v>0</v>
      </c>
      <c r="G344" s="8">
        <v>32</v>
      </c>
      <c r="H344" s="8">
        <v>0.38900000000000001</v>
      </c>
      <c r="I344" s="8">
        <v>22</v>
      </c>
      <c r="J344" s="1">
        <v>1.9621660820064848</v>
      </c>
      <c r="K344" s="1">
        <v>-1.9621660820064848</v>
      </c>
      <c r="L344">
        <f t="shared" si="11"/>
        <v>3.850095733376679</v>
      </c>
      <c r="P344" s="1">
        <v>306</v>
      </c>
      <c r="Q344" s="1">
        <v>6.7314245382706708E-2</v>
      </c>
      <c r="R344" s="1">
        <v>-6.5917728041715473E-2</v>
      </c>
    </row>
    <row r="345" spans="1:18" x14ac:dyDescent="0.35">
      <c r="A345" s="8">
        <v>122</v>
      </c>
      <c r="B345" s="8">
        <f t="shared" si="10"/>
        <v>2.0863598306747484</v>
      </c>
      <c r="C345" s="8">
        <v>5</v>
      </c>
      <c r="D345" s="8">
        <v>86</v>
      </c>
      <c r="E345" s="8">
        <v>0</v>
      </c>
      <c r="F345" s="8">
        <v>0</v>
      </c>
      <c r="G345" s="8">
        <v>34.700000000000003</v>
      </c>
      <c r="H345" s="8">
        <v>0.28999999999999998</v>
      </c>
      <c r="I345" s="8">
        <v>33</v>
      </c>
      <c r="J345" s="1">
        <v>2.0704221746156413</v>
      </c>
      <c r="K345" s="1">
        <v>1.593765605910713E-2</v>
      </c>
      <c r="L345">
        <f t="shared" si="11"/>
        <v>2.540088806583942E-4</v>
      </c>
      <c r="P345" s="1">
        <v>307</v>
      </c>
      <c r="Q345" s="1">
        <v>1.641685116924016E-2</v>
      </c>
      <c r="R345" s="1">
        <v>-3.4269368731581606E-3</v>
      </c>
    </row>
    <row r="346" spans="1:18" x14ac:dyDescent="0.35">
      <c r="A346" s="8">
        <v>95</v>
      </c>
      <c r="B346" s="8">
        <f t="shared" si="10"/>
        <v>1.9777236052888478</v>
      </c>
      <c r="C346" s="8">
        <v>8</v>
      </c>
      <c r="D346" s="8">
        <v>72</v>
      </c>
      <c r="E346" s="8">
        <v>0</v>
      </c>
      <c r="F346" s="8">
        <v>0</v>
      </c>
      <c r="G346" s="8">
        <v>36.799999999999997</v>
      </c>
      <c r="H346" s="8">
        <v>0.48499999999999999</v>
      </c>
      <c r="I346" s="8">
        <v>57</v>
      </c>
      <c r="J346" s="1">
        <v>2.135786656423845</v>
      </c>
      <c r="K346" s="1">
        <v>-0.15806305113499719</v>
      </c>
      <c r="L346">
        <f t="shared" si="11"/>
        <v>2.4983928134104737E-2</v>
      </c>
      <c r="P346" s="1">
        <v>308</v>
      </c>
      <c r="Q346" s="1">
        <v>1.9115080590250029E-2</v>
      </c>
      <c r="R346" s="1">
        <v>-9.8496491645308631E-3</v>
      </c>
    </row>
    <row r="347" spans="1:18" x14ac:dyDescent="0.35">
      <c r="A347" s="8">
        <v>126</v>
      </c>
      <c r="B347" s="8">
        <f t="shared" si="10"/>
        <v>2.1003705451175629</v>
      </c>
      <c r="C347" s="8">
        <v>8</v>
      </c>
      <c r="D347" s="8">
        <v>88</v>
      </c>
      <c r="E347" s="8">
        <v>36</v>
      </c>
      <c r="F347" s="8">
        <v>108</v>
      </c>
      <c r="G347" s="8">
        <v>38.5</v>
      </c>
      <c r="H347" s="8">
        <v>0.34899999999999998</v>
      </c>
      <c r="I347" s="8">
        <v>49</v>
      </c>
      <c r="J347" s="1">
        <v>2.1020046491662385</v>
      </c>
      <c r="K347" s="1">
        <v>-1.6341040486755887E-3</v>
      </c>
      <c r="L347">
        <f t="shared" si="11"/>
        <v>2.6702960418979507E-6</v>
      </c>
      <c r="P347" s="1">
        <v>309</v>
      </c>
      <c r="Q347" s="1">
        <v>-3.3943715458310169E-3</v>
      </c>
      <c r="R347" s="1">
        <v>3.3965383117444238E-3</v>
      </c>
    </row>
    <row r="348" spans="1:18" x14ac:dyDescent="0.35">
      <c r="A348" s="8">
        <v>139</v>
      </c>
      <c r="B348" s="8">
        <f t="shared" si="10"/>
        <v>2.143014800254095</v>
      </c>
      <c r="C348" s="8">
        <v>1</v>
      </c>
      <c r="D348" s="8">
        <v>46</v>
      </c>
      <c r="E348" s="8">
        <v>19</v>
      </c>
      <c r="F348" s="8">
        <v>83</v>
      </c>
      <c r="G348" s="8">
        <v>28.7</v>
      </c>
      <c r="H348" s="8">
        <v>0.65400000000000003</v>
      </c>
      <c r="I348" s="8">
        <v>22</v>
      </c>
      <c r="J348" s="1">
        <v>2.0223378772610179</v>
      </c>
      <c r="K348" s="1">
        <v>0.12067692299307708</v>
      </c>
      <c r="L348">
        <f t="shared" si="11"/>
        <v>1.4562919743077057E-2</v>
      </c>
      <c r="P348" s="1">
        <v>310</v>
      </c>
      <c r="Q348" s="1">
        <v>1.249123314659192E-2</v>
      </c>
      <c r="R348" s="1">
        <v>-1.2360947358232137E-2</v>
      </c>
    </row>
    <row r="349" spans="1:18" x14ac:dyDescent="0.35">
      <c r="A349" s="8">
        <v>116</v>
      </c>
      <c r="B349" s="8">
        <f t="shared" si="10"/>
        <v>2.0644579892269186</v>
      </c>
      <c r="C349" s="8">
        <v>3</v>
      </c>
      <c r="D349" s="8">
        <v>0</v>
      </c>
      <c r="E349" s="8">
        <v>0</v>
      </c>
      <c r="F349" s="8">
        <v>0</v>
      </c>
      <c r="G349" s="8">
        <v>23.5</v>
      </c>
      <c r="H349" s="8">
        <v>0.187</v>
      </c>
      <c r="I349" s="8">
        <v>23</v>
      </c>
      <c r="J349" s="1">
        <v>1.9831088006569348</v>
      </c>
      <c r="K349" s="1">
        <v>8.1349188569983744E-2</v>
      </c>
      <c r="L349">
        <f t="shared" si="11"/>
        <v>6.6176904809947734E-3</v>
      </c>
      <c r="P349" s="1">
        <v>311</v>
      </c>
      <c r="Q349" s="1">
        <v>7.221114097800134E-2</v>
      </c>
      <c r="R349" s="1">
        <v>-6.2360946913421068E-2</v>
      </c>
    </row>
    <row r="350" spans="1:18" x14ac:dyDescent="0.35">
      <c r="A350" s="8">
        <v>99</v>
      </c>
      <c r="B350" s="8">
        <f t="shared" si="10"/>
        <v>1.9956351945975499</v>
      </c>
      <c r="C350" s="8">
        <v>3</v>
      </c>
      <c r="D350" s="8">
        <v>62</v>
      </c>
      <c r="E350" s="8">
        <v>19</v>
      </c>
      <c r="F350" s="8">
        <v>74</v>
      </c>
      <c r="G350" s="8">
        <v>21.8</v>
      </c>
      <c r="H350" s="8">
        <v>0.27900000000000003</v>
      </c>
      <c r="I350" s="8">
        <v>26</v>
      </c>
      <c r="J350" s="1">
        <v>2.0053435427974815</v>
      </c>
      <c r="K350" s="1">
        <v>-9.7083481999316046E-3</v>
      </c>
      <c r="L350">
        <f t="shared" si="11"/>
        <v>9.4252024771115231E-5</v>
      </c>
      <c r="P350" s="1">
        <v>312</v>
      </c>
      <c r="Q350" s="1">
        <v>5.4043692372886851E-2</v>
      </c>
      <c r="R350" s="1">
        <v>-5.3359600323248768E-2</v>
      </c>
    </row>
    <row r="351" spans="1:18" x14ac:dyDescent="0.35">
      <c r="A351" s="8">
        <v>0</v>
      </c>
      <c r="B351" s="8">
        <v>0</v>
      </c>
      <c r="C351" s="8">
        <v>5</v>
      </c>
      <c r="D351" s="8">
        <v>80</v>
      </c>
      <c r="E351" s="8">
        <v>32</v>
      </c>
      <c r="F351" s="8">
        <v>0</v>
      </c>
      <c r="G351" s="8">
        <v>41</v>
      </c>
      <c r="H351" s="8">
        <v>0.34599999999999997</v>
      </c>
      <c r="I351" s="8">
        <v>37</v>
      </c>
      <c r="J351" s="1">
        <v>2.0340031839257717</v>
      </c>
      <c r="K351" s="1">
        <v>-2.0340031839257717</v>
      </c>
      <c r="L351">
        <f t="shared" si="11"/>
        <v>4.1371689522201764</v>
      </c>
      <c r="P351" s="1">
        <v>313</v>
      </c>
      <c r="Q351" s="1">
        <v>2.7985181627294728E-2</v>
      </c>
      <c r="R351" s="1">
        <v>-6.0037312649113619E-3</v>
      </c>
    </row>
    <row r="352" spans="1:18" x14ac:dyDescent="0.35">
      <c r="A352" s="8">
        <v>92</v>
      </c>
      <c r="B352" s="8">
        <f t="shared" si="10"/>
        <v>1.9637878273455553</v>
      </c>
      <c r="C352" s="8">
        <v>4</v>
      </c>
      <c r="D352" s="8">
        <v>80</v>
      </c>
      <c r="E352" s="8">
        <v>0</v>
      </c>
      <c r="F352" s="8">
        <v>0</v>
      </c>
      <c r="G352" s="8">
        <v>42.2</v>
      </c>
      <c r="H352" s="8">
        <v>0.23699999999999999</v>
      </c>
      <c r="I352" s="8">
        <v>29</v>
      </c>
      <c r="J352" s="1">
        <v>2.0770114848199568</v>
      </c>
      <c r="K352" s="1">
        <v>-0.11322365747440144</v>
      </c>
      <c r="L352">
        <f t="shared" si="11"/>
        <v>1.2819596611880582E-2</v>
      </c>
      <c r="P352" s="1">
        <v>314</v>
      </c>
      <c r="Q352" s="1">
        <v>1.738282334790648E-2</v>
      </c>
      <c r="R352" s="1">
        <v>-1.7382378970273404E-2</v>
      </c>
    </row>
    <row r="353" spans="1:18" x14ac:dyDescent="0.35">
      <c r="A353" s="8">
        <v>137</v>
      </c>
      <c r="B353" s="8">
        <f t="shared" si="10"/>
        <v>2.1367205671564067</v>
      </c>
      <c r="C353" s="8">
        <v>4</v>
      </c>
      <c r="D353" s="8">
        <v>84</v>
      </c>
      <c r="E353" s="8">
        <v>0</v>
      </c>
      <c r="F353" s="8">
        <v>0</v>
      </c>
      <c r="G353" s="8">
        <v>31.2</v>
      </c>
      <c r="H353" s="8">
        <v>0.252</v>
      </c>
      <c r="I353" s="8">
        <v>30</v>
      </c>
      <c r="J353" s="1">
        <v>2.0512166817123263</v>
      </c>
      <c r="K353" s="1">
        <v>8.5503885444080385E-2</v>
      </c>
      <c r="L353">
        <f t="shared" si="11"/>
        <v>7.3109144260344212E-3</v>
      </c>
      <c r="P353" s="1">
        <v>315</v>
      </c>
      <c r="Q353" s="1">
        <v>5.5610015031223155E-2</v>
      </c>
      <c r="R353" s="1">
        <v>-5.5086057613732441E-2</v>
      </c>
    </row>
    <row r="354" spans="1:18" x14ac:dyDescent="0.35">
      <c r="A354" s="8">
        <v>61</v>
      </c>
      <c r="B354" s="8">
        <f t="shared" si="10"/>
        <v>1.7853298350107671</v>
      </c>
      <c r="C354" s="8">
        <v>3</v>
      </c>
      <c r="D354" s="8">
        <v>82</v>
      </c>
      <c r="E354" s="8">
        <v>28</v>
      </c>
      <c r="F354" s="8">
        <v>0</v>
      </c>
      <c r="G354" s="8">
        <v>34.4</v>
      </c>
      <c r="H354" s="8">
        <v>0.24299999999999999</v>
      </c>
      <c r="I354" s="8">
        <v>46</v>
      </c>
      <c r="J354" s="1">
        <v>2.0406571532138913</v>
      </c>
      <c r="K354" s="1">
        <v>-0.25532731820312415</v>
      </c>
      <c r="L354">
        <f t="shared" si="11"/>
        <v>6.5192039420799416E-2</v>
      </c>
      <c r="P354" s="1">
        <v>316</v>
      </c>
      <c r="Q354" s="1">
        <v>4.1873540919527469E-2</v>
      </c>
      <c r="R354" s="1">
        <v>-4.184708004914079E-2</v>
      </c>
    </row>
    <row r="355" spans="1:18" x14ac:dyDescent="0.35">
      <c r="A355" s="8">
        <v>90</v>
      </c>
      <c r="B355" s="8">
        <f t="shared" si="10"/>
        <v>1.954242509439325</v>
      </c>
      <c r="C355" s="8">
        <v>1</v>
      </c>
      <c r="D355" s="8">
        <v>62</v>
      </c>
      <c r="E355" s="8">
        <v>12</v>
      </c>
      <c r="F355" s="8">
        <v>43</v>
      </c>
      <c r="G355" s="8">
        <v>27.2</v>
      </c>
      <c r="H355" s="8">
        <v>0.57999999999999996</v>
      </c>
      <c r="I355" s="8">
        <v>24</v>
      </c>
      <c r="J355" s="1">
        <v>2.0216505589993261</v>
      </c>
      <c r="K355" s="1">
        <v>-6.7408049560001126E-2</v>
      </c>
      <c r="L355">
        <f t="shared" si="11"/>
        <v>4.5438451454835682E-3</v>
      </c>
      <c r="P355" s="1">
        <v>317</v>
      </c>
      <c r="Q355" s="1">
        <v>2.4276811465639602E-2</v>
      </c>
      <c r="R355" s="1">
        <v>-2.3408758713057691E-2</v>
      </c>
    </row>
    <row r="356" spans="1:18" x14ac:dyDescent="0.35">
      <c r="A356" s="8">
        <v>90</v>
      </c>
      <c r="B356" s="8">
        <f t="shared" si="10"/>
        <v>1.954242509439325</v>
      </c>
      <c r="C356" s="8">
        <v>3</v>
      </c>
      <c r="D356" s="8">
        <v>78</v>
      </c>
      <c r="E356" s="8">
        <v>0</v>
      </c>
      <c r="F356" s="8">
        <v>0</v>
      </c>
      <c r="G356" s="8">
        <v>42.7</v>
      </c>
      <c r="H356" s="8">
        <v>0.55900000000000005</v>
      </c>
      <c r="I356" s="8">
        <v>21</v>
      </c>
      <c r="J356" s="1">
        <v>2.0673262752316726</v>
      </c>
      <c r="K356" s="1">
        <v>-0.11308376579234758</v>
      </c>
      <c r="L356">
        <f t="shared" si="11"/>
        <v>1.278793808577852E-2</v>
      </c>
      <c r="P356" s="1">
        <v>318</v>
      </c>
      <c r="Q356" s="1">
        <v>2.1927044012431368E-2</v>
      </c>
      <c r="R356" s="1">
        <v>2.4177377626629318E-2</v>
      </c>
    </row>
    <row r="357" spans="1:18" x14ac:dyDescent="0.35">
      <c r="A357" s="8">
        <v>165</v>
      </c>
      <c r="B357" s="8">
        <f t="shared" si="10"/>
        <v>2.2174839442139063</v>
      </c>
      <c r="C357" s="8">
        <v>9</v>
      </c>
      <c r="D357" s="8">
        <v>88</v>
      </c>
      <c r="E357" s="8">
        <v>0</v>
      </c>
      <c r="F357" s="8">
        <v>0</v>
      </c>
      <c r="G357" s="8">
        <v>30.4</v>
      </c>
      <c r="H357" s="8">
        <v>0.30199999999999999</v>
      </c>
      <c r="I357" s="8">
        <v>49</v>
      </c>
      <c r="J357" s="1">
        <v>2.1008259918379846</v>
      </c>
      <c r="K357" s="1">
        <v>0.11665795237592169</v>
      </c>
      <c r="L357">
        <f t="shared" si="11"/>
        <v>1.3609077852542813E-2</v>
      </c>
      <c r="P357" s="1">
        <v>319</v>
      </c>
      <c r="Q357" s="1">
        <v>6.3089554445069473E-2</v>
      </c>
      <c r="R357" s="1">
        <v>-6.2771837851792425E-2</v>
      </c>
    </row>
    <row r="358" spans="1:18" x14ac:dyDescent="0.35">
      <c r="A358" s="8">
        <v>125</v>
      </c>
      <c r="B358" s="8">
        <f t="shared" si="10"/>
        <v>2.0969100130080562</v>
      </c>
      <c r="C358" s="8">
        <v>1</v>
      </c>
      <c r="D358" s="8">
        <v>50</v>
      </c>
      <c r="E358" s="8">
        <v>40</v>
      </c>
      <c r="F358" s="8">
        <v>167</v>
      </c>
      <c r="G358" s="8">
        <v>33.299999999999997</v>
      </c>
      <c r="H358" s="8">
        <v>0.96199999999999997</v>
      </c>
      <c r="I358" s="8">
        <v>28</v>
      </c>
      <c r="J358" s="1">
        <v>2.0561138066143387</v>
      </c>
      <c r="K358" s="1">
        <v>4.0796206393717505E-2</v>
      </c>
      <c r="L358">
        <f t="shared" si="11"/>
        <v>1.6643304561187969E-3</v>
      </c>
      <c r="P358" s="1">
        <v>320</v>
      </c>
      <c r="Q358" s="1">
        <v>1.4769970448768604E-2</v>
      </c>
      <c r="R358" s="1">
        <v>2.2702598492079319E-2</v>
      </c>
    </row>
    <row r="359" spans="1:18" x14ac:dyDescent="0.35">
      <c r="A359" s="8">
        <v>129</v>
      </c>
      <c r="B359" s="8">
        <f t="shared" si="10"/>
        <v>2.1105897102992488</v>
      </c>
      <c r="C359" s="8">
        <v>13</v>
      </c>
      <c r="D359" s="8">
        <v>0</v>
      </c>
      <c r="E359" s="8">
        <v>30</v>
      </c>
      <c r="F359" s="8">
        <v>0</v>
      </c>
      <c r="G359" s="8">
        <v>39.9</v>
      </c>
      <c r="H359" s="8">
        <v>0.56899999999999995</v>
      </c>
      <c r="I359" s="8">
        <v>44</v>
      </c>
      <c r="J359" s="1">
        <v>2.0384851926454588</v>
      </c>
      <c r="K359" s="1">
        <v>7.2104517653790001E-2</v>
      </c>
      <c r="L359">
        <f t="shared" si="11"/>
        <v>5.1990614660857139E-3</v>
      </c>
      <c r="P359" s="1">
        <v>321</v>
      </c>
      <c r="Q359" s="1">
        <v>-2.0060363919816086E-2</v>
      </c>
      <c r="R359" s="1">
        <v>2.0262269446292832E-2</v>
      </c>
    </row>
    <row r="360" spans="1:18" x14ac:dyDescent="0.35">
      <c r="A360" s="8">
        <v>88</v>
      </c>
      <c r="B360" s="8">
        <f t="shared" si="10"/>
        <v>1.9444826721501687</v>
      </c>
      <c r="C360" s="8">
        <v>12</v>
      </c>
      <c r="D360" s="8">
        <v>74</v>
      </c>
      <c r="E360" s="8">
        <v>40</v>
      </c>
      <c r="F360" s="8">
        <v>54</v>
      </c>
      <c r="G360" s="8">
        <v>35.299999999999997</v>
      </c>
      <c r="H360" s="8">
        <v>0.378</v>
      </c>
      <c r="I360" s="8">
        <v>48</v>
      </c>
      <c r="J360" s="1">
        <v>2.0586159342489627</v>
      </c>
      <c r="K360" s="1">
        <v>-0.11413326209879404</v>
      </c>
      <c r="L360">
        <f t="shared" si="11"/>
        <v>1.3026401517312016E-2</v>
      </c>
      <c r="P360" s="1">
        <v>322</v>
      </c>
      <c r="Q360" s="1">
        <v>8.1018263707676966E-2</v>
      </c>
      <c r="R360" s="1">
        <v>-7.5692762859020157E-2</v>
      </c>
    </row>
    <row r="361" spans="1:18" x14ac:dyDescent="0.35">
      <c r="A361" s="8">
        <v>196</v>
      </c>
      <c r="B361" s="8">
        <f t="shared" si="10"/>
        <v>2.2922560713564759</v>
      </c>
      <c r="C361" s="8">
        <v>1</v>
      </c>
      <c r="D361" s="8">
        <v>76</v>
      </c>
      <c r="E361" s="8">
        <v>36</v>
      </c>
      <c r="F361" s="8">
        <v>249</v>
      </c>
      <c r="G361" s="8">
        <v>36.5</v>
      </c>
      <c r="H361" s="8">
        <v>0.875</v>
      </c>
      <c r="I361" s="8">
        <v>29</v>
      </c>
      <c r="J361" s="1">
        <v>2.1183741595524159</v>
      </c>
      <c r="K361" s="1">
        <v>0.17388191180405999</v>
      </c>
      <c r="L361">
        <f t="shared" si="11"/>
        <v>3.0234919252634895E-2</v>
      </c>
      <c r="P361" s="1">
        <v>323</v>
      </c>
      <c r="Q361" s="1">
        <v>6.460184194056609E-2</v>
      </c>
      <c r="R361" s="1">
        <v>-5.7203030650141595E-2</v>
      </c>
    </row>
    <row r="362" spans="1:18" x14ac:dyDescent="0.35">
      <c r="A362" s="8">
        <v>189</v>
      </c>
      <c r="B362" s="8">
        <f t="shared" si="10"/>
        <v>2.2764618041732443</v>
      </c>
      <c r="C362" s="8">
        <v>5</v>
      </c>
      <c r="D362" s="8">
        <v>64</v>
      </c>
      <c r="E362" s="8">
        <v>33</v>
      </c>
      <c r="F362" s="8">
        <v>325</v>
      </c>
      <c r="G362" s="8">
        <v>31.2</v>
      </c>
      <c r="H362" s="8">
        <v>0.58299999999999996</v>
      </c>
      <c r="I362" s="8">
        <v>29</v>
      </c>
      <c r="J362" s="1">
        <v>2.1357792861558726</v>
      </c>
      <c r="K362" s="1">
        <v>0.14068251801737164</v>
      </c>
      <c r="L362">
        <f t="shared" si="11"/>
        <v>1.9791570875708094E-2</v>
      </c>
      <c r="P362" s="1">
        <v>324</v>
      </c>
      <c r="Q362" s="1">
        <v>4.6942814771320868E-2</v>
      </c>
      <c r="R362" s="1">
        <v>-2.7548337490896382E-2</v>
      </c>
    </row>
    <row r="363" spans="1:18" x14ac:dyDescent="0.35">
      <c r="A363" s="8">
        <v>158</v>
      </c>
      <c r="B363" s="8">
        <f t="shared" si="10"/>
        <v>2.1986570869544226</v>
      </c>
      <c r="C363" s="8">
        <v>5</v>
      </c>
      <c r="D363" s="8">
        <v>70</v>
      </c>
      <c r="E363" s="8">
        <v>0</v>
      </c>
      <c r="F363" s="8">
        <v>0</v>
      </c>
      <c r="G363" s="8">
        <v>29.8</v>
      </c>
      <c r="H363" s="8">
        <v>0.20699999999999999</v>
      </c>
      <c r="I363" s="8">
        <v>63</v>
      </c>
      <c r="J363" s="1">
        <v>2.1192650280722614</v>
      </c>
      <c r="K363" s="1">
        <v>7.9392058882161276E-2</v>
      </c>
      <c r="L363">
        <f t="shared" si="11"/>
        <v>6.3030990135485628E-3</v>
      </c>
      <c r="P363" s="1">
        <v>325</v>
      </c>
      <c r="Q363" s="1">
        <v>8.8129088843974274E-2</v>
      </c>
      <c r="R363" s="1">
        <v>-8.2188516479153942E-2</v>
      </c>
    </row>
    <row r="364" spans="1:18" x14ac:dyDescent="0.35">
      <c r="A364" s="8">
        <v>103</v>
      </c>
      <c r="B364" s="8">
        <f t="shared" si="10"/>
        <v>2.012837224705172</v>
      </c>
      <c r="C364" s="8">
        <v>5</v>
      </c>
      <c r="D364" s="8">
        <v>108</v>
      </c>
      <c r="E364" s="8">
        <v>37</v>
      </c>
      <c r="F364" s="8">
        <v>0</v>
      </c>
      <c r="G364" s="8">
        <v>39.200000000000003</v>
      </c>
      <c r="H364" s="8">
        <v>0.30499999999999999</v>
      </c>
      <c r="I364" s="8">
        <v>65</v>
      </c>
      <c r="J364" s="1">
        <v>2.092757029243296</v>
      </c>
      <c r="K364" s="1">
        <v>-7.9919804538123973E-2</v>
      </c>
      <c r="L364">
        <f t="shared" si="11"/>
        <v>6.3871751574119413E-3</v>
      </c>
      <c r="P364" s="1">
        <v>326</v>
      </c>
      <c r="Q364" s="1">
        <v>2.4490167942558538E-2</v>
      </c>
      <c r="R364" s="1">
        <v>-2.2477752728047307E-3</v>
      </c>
    </row>
    <row r="365" spans="1:18" x14ac:dyDescent="0.35">
      <c r="A365" s="8">
        <v>146</v>
      </c>
      <c r="B365" s="8">
        <f t="shared" si="10"/>
        <v>2.1643528557844371</v>
      </c>
      <c r="C365" s="8">
        <v>4</v>
      </c>
      <c r="D365" s="8">
        <v>78</v>
      </c>
      <c r="E365" s="8">
        <v>0</v>
      </c>
      <c r="F365" s="8">
        <v>0</v>
      </c>
      <c r="G365" s="8">
        <v>38.5</v>
      </c>
      <c r="H365" s="8">
        <v>0.52</v>
      </c>
      <c r="I365" s="8">
        <v>67</v>
      </c>
      <c r="J365" s="1">
        <v>2.1628965580586965</v>
      </c>
      <c r="K365" s="1">
        <v>1.4562977257406295E-3</v>
      </c>
      <c r="L365">
        <f t="shared" si="11"/>
        <v>2.1208030659973297E-6</v>
      </c>
      <c r="P365" s="1">
        <v>327</v>
      </c>
      <c r="Q365" s="1">
        <v>3.87016583998138E-2</v>
      </c>
      <c r="R365" s="1">
        <v>-3.8529448734208362E-2</v>
      </c>
    </row>
    <row r="366" spans="1:18" x14ac:dyDescent="0.35">
      <c r="A366" s="8">
        <v>147</v>
      </c>
      <c r="B366" s="8">
        <f t="shared" si="10"/>
        <v>2.167317334748176</v>
      </c>
      <c r="C366" s="8">
        <v>4</v>
      </c>
      <c r="D366" s="8">
        <v>74</v>
      </c>
      <c r="E366" s="8">
        <v>25</v>
      </c>
      <c r="F366" s="8">
        <v>293</v>
      </c>
      <c r="G366" s="8">
        <v>34.9</v>
      </c>
      <c r="H366" s="8">
        <v>0.38500000000000001</v>
      </c>
      <c r="I366" s="8">
        <v>30</v>
      </c>
      <c r="J366" s="1">
        <v>2.1459722978606561</v>
      </c>
      <c r="K366" s="1">
        <v>2.1345036887519875E-2</v>
      </c>
      <c r="L366">
        <f t="shared" si="11"/>
        <v>4.5561059972958415E-4</v>
      </c>
      <c r="P366" s="1">
        <v>328</v>
      </c>
      <c r="Q366" s="1">
        <v>1.3287039860074016E-2</v>
      </c>
      <c r="R366" s="1">
        <v>1.7403632941381312E-2</v>
      </c>
    </row>
    <row r="367" spans="1:18" x14ac:dyDescent="0.35">
      <c r="A367" s="8">
        <v>99</v>
      </c>
      <c r="B367" s="8">
        <f t="shared" si="10"/>
        <v>1.9956351945975499</v>
      </c>
      <c r="C367" s="8">
        <v>5</v>
      </c>
      <c r="D367" s="8">
        <v>54</v>
      </c>
      <c r="E367" s="8">
        <v>28</v>
      </c>
      <c r="F367" s="8">
        <v>83</v>
      </c>
      <c r="G367" s="8">
        <v>34</v>
      </c>
      <c r="H367" s="8">
        <v>0.499</v>
      </c>
      <c r="I367" s="8">
        <v>30</v>
      </c>
      <c r="J367" s="1">
        <v>2.0398565981025425</v>
      </c>
      <c r="K367" s="1">
        <v>-4.4221403504992596E-2</v>
      </c>
      <c r="L367">
        <f t="shared" si="11"/>
        <v>1.9555325279513713E-3</v>
      </c>
      <c r="P367" s="1">
        <v>329</v>
      </c>
      <c r="Q367" s="1">
        <v>6.3049245818158975E-2</v>
      </c>
      <c r="R367" s="1">
        <v>-6.1061705267731262E-2</v>
      </c>
    </row>
    <row r="368" spans="1:18" x14ac:dyDescent="0.35">
      <c r="A368" s="8">
        <v>124</v>
      </c>
      <c r="B368" s="8">
        <f t="shared" si="10"/>
        <v>2.0934216851622351</v>
      </c>
      <c r="C368" s="8">
        <v>6</v>
      </c>
      <c r="D368" s="8">
        <v>72</v>
      </c>
      <c r="E368" s="8">
        <v>0</v>
      </c>
      <c r="F368" s="8">
        <v>0</v>
      </c>
      <c r="G368" s="8">
        <v>27.6</v>
      </c>
      <c r="H368" s="8">
        <v>0.36799999999999999</v>
      </c>
      <c r="I368" s="8">
        <v>29</v>
      </c>
      <c r="J368" s="1">
        <v>2.0403176822884559</v>
      </c>
      <c r="K368" s="1">
        <v>5.3104002873779255E-2</v>
      </c>
      <c r="L368">
        <f t="shared" si="11"/>
        <v>2.8200351212183555E-3</v>
      </c>
      <c r="P368" s="1">
        <v>330</v>
      </c>
      <c r="Q368" s="1">
        <v>6.1981948938820836E-2</v>
      </c>
      <c r="R368" s="1">
        <v>-6.1930472165025251E-2</v>
      </c>
    </row>
    <row r="369" spans="1:18" x14ac:dyDescent="0.35">
      <c r="A369" s="8">
        <v>101</v>
      </c>
      <c r="B369" s="8">
        <f t="shared" si="10"/>
        <v>2.0043213737826426</v>
      </c>
      <c r="C369" s="8">
        <v>0</v>
      </c>
      <c r="D369" s="8">
        <v>64</v>
      </c>
      <c r="E369" s="8">
        <v>17</v>
      </c>
      <c r="F369" s="8">
        <v>0</v>
      </c>
      <c r="G369" s="8">
        <v>21</v>
      </c>
      <c r="H369" s="8">
        <v>0.252</v>
      </c>
      <c r="I369" s="8">
        <v>21</v>
      </c>
      <c r="J369" s="1">
        <v>1.9588686587639157</v>
      </c>
      <c r="K369" s="1">
        <v>4.5452715018726941E-2</v>
      </c>
      <c r="L369">
        <f t="shared" si="11"/>
        <v>2.0659493025736056E-3</v>
      </c>
      <c r="P369" s="1">
        <v>331</v>
      </c>
      <c r="Q369" s="1">
        <v>2.4887861029168217E-2</v>
      </c>
      <c r="R369" s="1">
        <v>-2.4828921111998112E-2</v>
      </c>
    </row>
    <row r="370" spans="1:18" x14ac:dyDescent="0.35">
      <c r="A370" s="8">
        <v>81</v>
      </c>
      <c r="B370" s="8">
        <f t="shared" si="10"/>
        <v>1.9084850188786497</v>
      </c>
      <c r="C370" s="8">
        <v>3</v>
      </c>
      <c r="D370" s="8">
        <v>86</v>
      </c>
      <c r="E370" s="8">
        <v>16</v>
      </c>
      <c r="F370" s="8">
        <v>66</v>
      </c>
      <c r="G370" s="8">
        <v>27.5</v>
      </c>
      <c r="H370" s="8">
        <v>0.30599999999999999</v>
      </c>
      <c r="I370" s="8">
        <v>22</v>
      </c>
      <c r="J370" s="1">
        <v>2.0225294400180571</v>
      </c>
      <c r="K370" s="1">
        <v>-0.11404442113940738</v>
      </c>
      <c r="L370">
        <f t="shared" si="11"/>
        <v>1.300612999302251E-2</v>
      </c>
      <c r="P370" s="1">
        <v>332</v>
      </c>
      <c r="Q370" s="1">
        <v>4.6318406008896328E-2</v>
      </c>
      <c r="R370" s="1">
        <v>-3.9353104284515189E-2</v>
      </c>
    </row>
    <row r="371" spans="1:18" x14ac:dyDescent="0.35">
      <c r="A371" s="8">
        <v>133</v>
      </c>
      <c r="B371" s="8">
        <f t="shared" si="10"/>
        <v>2.1238516409670858</v>
      </c>
      <c r="C371" s="8">
        <v>1</v>
      </c>
      <c r="D371" s="8">
        <v>102</v>
      </c>
      <c r="E371" s="8">
        <v>28</v>
      </c>
      <c r="F371" s="8">
        <v>140</v>
      </c>
      <c r="G371" s="8">
        <v>32.799999999999997</v>
      </c>
      <c r="H371" s="8">
        <v>0.23400000000000001</v>
      </c>
      <c r="I371" s="8">
        <v>45</v>
      </c>
      <c r="J371" s="1">
        <v>2.1020653069300796</v>
      </c>
      <c r="K371" s="1">
        <v>2.1786334037006139E-2</v>
      </c>
      <c r="L371">
        <f t="shared" si="11"/>
        <v>4.7464435077201222E-4</v>
      </c>
      <c r="P371" s="1">
        <v>333</v>
      </c>
      <c r="Q371" s="1">
        <v>3.7876364733567314E-2</v>
      </c>
      <c r="R371" s="1">
        <v>-7.0332737256319985E-3</v>
      </c>
    </row>
    <row r="372" spans="1:18" x14ac:dyDescent="0.35">
      <c r="A372" s="8">
        <v>173</v>
      </c>
      <c r="B372" s="8">
        <f t="shared" si="10"/>
        <v>2.2380461031287955</v>
      </c>
      <c r="C372" s="8">
        <v>3</v>
      </c>
      <c r="D372" s="8">
        <v>82</v>
      </c>
      <c r="E372" s="8">
        <v>48</v>
      </c>
      <c r="F372" s="8">
        <v>465</v>
      </c>
      <c r="G372" s="8">
        <v>38.4</v>
      </c>
      <c r="H372" s="8">
        <v>2.137</v>
      </c>
      <c r="I372" s="8">
        <v>25</v>
      </c>
      <c r="J372" s="1">
        <v>2.2288777350632105</v>
      </c>
      <c r="K372" s="1">
        <v>9.1683680655849642E-3</v>
      </c>
      <c r="L372">
        <f t="shared" si="11"/>
        <v>8.4058972986038175E-5</v>
      </c>
      <c r="P372" s="1">
        <v>334</v>
      </c>
      <c r="Q372" s="1">
        <v>7.3058659247504749E-3</v>
      </c>
      <c r="R372" s="1">
        <v>-5.6363547453330259E-3</v>
      </c>
    </row>
    <row r="373" spans="1:18" x14ac:dyDescent="0.35">
      <c r="A373" s="8">
        <v>118</v>
      </c>
      <c r="B373" s="8">
        <f t="shared" si="10"/>
        <v>2.0718820073061255</v>
      </c>
      <c r="C373" s="8">
        <v>0</v>
      </c>
      <c r="D373" s="8">
        <v>64</v>
      </c>
      <c r="E373" s="8">
        <v>23</v>
      </c>
      <c r="F373" s="8">
        <v>89</v>
      </c>
      <c r="G373" s="8">
        <v>0</v>
      </c>
      <c r="H373" s="8">
        <v>1.7310000000000001</v>
      </c>
      <c r="I373" s="8">
        <v>21</v>
      </c>
      <c r="J373" s="1">
        <v>1.9728109790993766</v>
      </c>
      <c r="K373" s="1">
        <v>9.9071028206748846E-2</v>
      </c>
      <c r="L373">
        <f t="shared" si="11"/>
        <v>9.8150686299424261E-3</v>
      </c>
      <c r="P373" s="1">
        <v>335</v>
      </c>
      <c r="Q373" s="1">
        <v>4.7586953508438272E-2</v>
      </c>
      <c r="R373" s="1">
        <v>-4.7344203455183587E-2</v>
      </c>
    </row>
    <row r="374" spans="1:18" x14ac:dyDescent="0.35">
      <c r="A374" s="8">
        <v>84</v>
      </c>
      <c r="B374" s="8">
        <f t="shared" si="10"/>
        <v>1.9242792860618816</v>
      </c>
      <c r="C374" s="8">
        <v>0</v>
      </c>
      <c r="D374" s="8">
        <v>64</v>
      </c>
      <c r="E374" s="8">
        <v>22</v>
      </c>
      <c r="F374" s="8">
        <v>66</v>
      </c>
      <c r="G374" s="8">
        <v>35.799999999999997</v>
      </c>
      <c r="H374" s="8">
        <v>0.54500000000000004</v>
      </c>
      <c r="I374" s="8">
        <v>21</v>
      </c>
      <c r="J374" s="1">
        <v>2.0276726428159599</v>
      </c>
      <c r="K374" s="1">
        <v>-0.10339335675407835</v>
      </c>
      <c r="L374">
        <f t="shared" si="11"/>
        <v>1.0690186220876119E-2</v>
      </c>
      <c r="P374" s="1">
        <v>336</v>
      </c>
      <c r="Q374" s="1">
        <v>4.2513211436557174E-2</v>
      </c>
      <c r="R374" s="1">
        <v>-3.1565670788816974E-2</v>
      </c>
    </row>
    <row r="375" spans="1:18" x14ac:dyDescent="0.35">
      <c r="A375" s="8">
        <v>105</v>
      </c>
      <c r="B375" s="8">
        <f t="shared" si="10"/>
        <v>2.0211892990699383</v>
      </c>
      <c r="C375" s="8">
        <v>2</v>
      </c>
      <c r="D375" s="8">
        <v>58</v>
      </c>
      <c r="E375" s="8">
        <v>40</v>
      </c>
      <c r="F375" s="8">
        <v>94</v>
      </c>
      <c r="G375" s="8">
        <v>34.9</v>
      </c>
      <c r="H375" s="8">
        <v>0.22500000000000001</v>
      </c>
      <c r="I375" s="8">
        <v>25</v>
      </c>
      <c r="J375" s="1">
        <v>2.002873546494937</v>
      </c>
      <c r="K375" s="1">
        <v>1.8315752575001287E-2</v>
      </c>
      <c r="L375">
        <f t="shared" si="11"/>
        <v>3.3546679238866627E-4</v>
      </c>
      <c r="P375" s="1">
        <v>337</v>
      </c>
      <c r="Q375" s="1">
        <v>2.5937990175911852E-2</v>
      </c>
      <c r="R375" s="1">
        <v>-2.5832323389473628E-2</v>
      </c>
    </row>
    <row r="376" spans="1:18" x14ac:dyDescent="0.35">
      <c r="A376" s="8">
        <v>122</v>
      </c>
      <c r="B376" s="8">
        <f t="shared" si="10"/>
        <v>2.0863598306747484</v>
      </c>
      <c r="C376" s="8">
        <v>2</v>
      </c>
      <c r="D376" s="8">
        <v>52</v>
      </c>
      <c r="E376" s="8">
        <v>43</v>
      </c>
      <c r="F376" s="8">
        <v>158</v>
      </c>
      <c r="G376" s="8">
        <v>36.200000000000003</v>
      </c>
      <c r="H376" s="8">
        <v>0.81599999999999995</v>
      </c>
      <c r="I376" s="8">
        <v>28</v>
      </c>
      <c r="J376" s="1">
        <v>2.0514968557094337</v>
      </c>
      <c r="K376" s="1">
        <v>3.4862974965314653E-2</v>
      </c>
      <c r="L376">
        <f t="shared" si="11"/>
        <v>1.2154270234321562E-3</v>
      </c>
      <c r="P376" s="1">
        <v>338</v>
      </c>
      <c r="Q376" s="1">
        <v>1.5995312543433705E-2</v>
      </c>
      <c r="R376" s="1">
        <v>-1.5418813224550579E-2</v>
      </c>
    </row>
    <row r="377" spans="1:18" x14ac:dyDescent="0.35">
      <c r="A377" s="8">
        <v>140</v>
      </c>
      <c r="B377" s="8">
        <f t="shared" si="10"/>
        <v>2.1461280356782382</v>
      </c>
      <c r="C377" s="8">
        <v>12</v>
      </c>
      <c r="D377" s="8">
        <v>82</v>
      </c>
      <c r="E377" s="8">
        <v>43</v>
      </c>
      <c r="F377" s="8">
        <v>325</v>
      </c>
      <c r="G377" s="8">
        <v>39.200000000000003</v>
      </c>
      <c r="H377" s="8">
        <v>0.52800000000000002</v>
      </c>
      <c r="I377" s="8">
        <v>58</v>
      </c>
      <c r="J377" s="1">
        <v>2.2166556708977074</v>
      </c>
      <c r="K377" s="1">
        <v>-7.0527635219469254E-2</v>
      </c>
      <c r="L377">
        <f t="shared" si="11"/>
        <v>4.9741473296505195E-3</v>
      </c>
      <c r="P377" s="1">
        <v>339</v>
      </c>
      <c r="Q377" s="1">
        <v>1.908075868106536E-2</v>
      </c>
      <c r="R377" s="1">
        <v>-1.2172949689457212E-2</v>
      </c>
    </row>
    <row r="378" spans="1:18" x14ac:dyDescent="0.35">
      <c r="A378" s="8">
        <v>98</v>
      </c>
      <c r="B378" s="8">
        <f t="shared" si="10"/>
        <v>1.9912260756924949</v>
      </c>
      <c r="C378" s="8">
        <v>0</v>
      </c>
      <c r="D378" s="8">
        <v>82</v>
      </c>
      <c r="E378" s="8">
        <v>15</v>
      </c>
      <c r="F378" s="8">
        <v>84</v>
      </c>
      <c r="G378" s="8">
        <v>25.2</v>
      </c>
      <c r="H378" s="8">
        <v>0.29899999999999999</v>
      </c>
      <c r="I378" s="8">
        <v>22</v>
      </c>
      <c r="J378" s="1">
        <v>2.0220108597093835</v>
      </c>
      <c r="K378" s="1">
        <v>-3.0784784016888667E-2</v>
      </c>
      <c r="L378">
        <f t="shared" si="11"/>
        <v>9.4770292696648396E-4</v>
      </c>
      <c r="P378" s="1">
        <v>340</v>
      </c>
      <c r="Q378" s="1">
        <v>1.306565396747862E-2</v>
      </c>
      <c r="R378" s="1">
        <v>7.9087523607513071E-3</v>
      </c>
    </row>
    <row r="379" spans="1:18" x14ac:dyDescent="0.35">
      <c r="A379" s="8">
        <v>87</v>
      </c>
      <c r="B379" s="8">
        <f t="shared" si="10"/>
        <v>1.9395192526186185</v>
      </c>
      <c r="C379" s="8">
        <v>1</v>
      </c>
      <c r="D379" s="8">
        <v>60</v>
      </c>
      <c r="E379" s="8">
        <v>37</v>
      </c>
      <c r="F379" s="8">
        <v>75</v>
      </c>
      <c r="G379" s="8">
        <v>37.200000000000003</v>
      </c>
      <c r="H379" s="8">
        <v>0.50900000000000001</v>
      </c>
      <c r="I379" s="8">
        <v>22</v>
      </c>
      <c r="J379" s="1">
        <v>2.0072037326646899</v>
      </c>
      <c r="K379" s="1">
        <v>-6.7684480046071416E-2</v>
      </c>
      <c r="L379">
        <f t="shared" si="11"/>
        <v>4.5811888391070399E-3</v>
      </c>
      <c r="P379" s="1">
        <v>341</v>
      </c>
      <c r="Q379" s="1">
        <v>2.0507950918721762E-2</v>
      </c>
      <c r="R379" s="1">
        <v>-1.4927579364624625E-2</v>
      </c>
    </row>
    <row r="380" spans="1:18" x14ac:dyDescent="0.35">
      <c r="A380" s="8">
        <v>156</v>
      </c>
      <c r="B380" s="8">
        <f t="shared" si="10"/>
        <v>2.1931245983544616</v>
      </c>
      <c r="C380" s="8">
        <v>4</v>
      </c>
      <c r="D380" s="8">
        <v>75</v>
      </c>
      <c r="E380" s="8">
        <v>0</v>
      </c>
      <c r="F380" s="8">
        <v>0</v>
      </c>
      <c r="G380" s="8">
        <v>48.3</v>
      </c>
      <c r="H380" s="8">
        <v>0.23799999999999999</v>
      </c>
      <c r="I380" s="8">
        <v>32</v>
      </c>
      <c r="J380" s="1">
        <v>2.0989323486624261</v>
      </c>
      <c r="K380" s="1">
        <v>9.4192249692035546E-2</v>
      </c>
      <c r="L380">
        <f t="shared" si="11"/>
        <v>8.8721799020467697E-3</v>
      </c>
      <c r="P380" s="1">
        <v>342</v>
      </c>
      <c r="Q380" s="1">
        <v>3.6998102700492502E-2</v>
      </c>
      <c r="R380" s="1">
        <v>-3.1946873737487141E-2</v>
      </c>
    </row>
    <row r="381" spans="1:18" x14ac:dyDescent="0.35">
      <c r="A381" s="8">
        <v>93</v>
      </c>
      <c r="B381" s="8">
        <f t="shared" si="10"/>
        <v>1.968482948553935</v>
      </c>
      <c r="C381" s="8">
        <v>0</v>
      </c>
      <c r="D381" s="8">
        <v>100</v>
      </c>
      <c r="E381" s="8">
        <v>39</v>
      </c>
      <c r="F381" s="8">
        <v>72</v>
      </c>
      <c r="G381" s="8">
        <v>43.4</v>
      </c>
      <c r="H381" s="8">
        <v>1.0209999999999999</v>
      </c>
      <c r="I381" s="8">
        <v>35</v>
      </c>
      <c r="J381" s="1">
        <v>2.0761254255639416</v>
      </c>
      <c r="K381" s="1">
        <v>-0.10764247701000662</v>
      </c>
      <c r="L381">
        <f t="shared" si="11"/>
        <v>1.1586902856849804E-2</v>
      </c>
      <c r="P381" s="1">
        <v>343</v>
      </c>
      <c r="Q381" s="1">
        <v>9.1428793707697881E-2</v>
      </c>
      <c r="R381" s="1">
        <v>3.7586669396689811</v>
      </c>
    </row>
    <row r="382" spans="1:18" x14ac:dyDescent="0.35">
      <c r="A382" s="8">
        <v>107</v>
      </c>
      <c r="B382" s="8">
        <f t="shared" si="10"/>
        <v>2.0293837776852097</v>
      </c>
      <c r="C382" s="8">
        <v>1</v>
      </c>
      <c r="D382" s="8">
        <v>72</v>
      </c>
      <c r="E382" s="8">
        <v>30</v>
      </c>
      <c r="F382" s="8">
        <v>82</v>
      </c>
      <c r="G382" s="8">
        <v>30.8</v>
      </c>
      <c r="H382" s="8">
        <v>0.82099999999999995</v>
      </c>
      <c r="I382" s="8">
        <v>24</v>
      </c>
      <c r="J382" s="1">
        <v>2.0242457801560061</v>
      </c>
      <c r="K382" s="1">
        <v>5.1379975292036306E-3</v>
      </c>
      <c r="L382">
        <f t="shared" si="11"/>
        <v>2.6399018610102614E-5</v>
      </c>
      <c r="P382" s="1">
        <v>344</v>
      </c>
      <c r="Q382" s="1">
        <v>1.7506828328472203E-2</v>
      </c>
      <c r="R382" s="1">
        <v>-1.7252819447813809E-2</v>
      </c>
    </row>
    <row r="383" spans="1:18" x14ac:dyDescent="0.35">
      <c r="A383" s="8">
        <v>105</v>
      </c>
      <c r="B383" s="8">
        <f t="shared" si="10"/>
        <v>2.0211892990699383</v>
      </c>
      <c r="C383" s="8">
        <v>0</v>
      </c>
      <c r="D383" s="8">
        <v>68</v>
      </c>
      <c r="E383" s="8">
        <v>22</v>
      </c>
      <c r="F383" s="8">
        <v>0</v>
      </c>
      <c r="G383" s="8">
        <v>20</v>
      </c>
      <c r="H383" s="8">
        <v>0.23599999999999999</v>
      </c>
      <c r="I383" s="8">
        <v>22</v>
      </c>
      <c r="J383" s="1">
        <v>1.9496015431630787</v>
      </c>
      <c r="K383" s="1">
        <v>7.1587755906859618E-2</v>
      </c>
      <c r="L383">
        <f t="shared" si="11"/>
        <v>5.1248067957801145E-3</v>
      </c>
      <c r="P383" s="1">
        <v>345</v>
      </c>
      <c r="Q383" s="1">
        <v>7.6194727923502535E-3</v>
      </c>
      <c r="R383" s="1">
        <v>1.7364455341754483E-2</v>
      </c>
    </row>
    <row r="384" spans="1:18" x14ac:dyDescent="0.35">
      <c r="A384" s="8">
        <v>109</v>
      </c>
      <c r="B384" s="8">
        <f t="shared" si="10"/>
        <v>2.0374264979406238</v>
      </c>
      <c r="C384" s="8">
        <v>1</v>
      </c>
      <c r="D384" s="8">
        <v>60</v>
      </c>
      <c r="E384" s="8">
        <v>8</v>
      </c>
      <c r="F384" s="8">
        <v>182</v>
      </c>
      <c r="G384" s="8">
        <v>25.4</v>
      </c>
      <c r="H384" s="8">
        <v>0.94699999999999995</v>
      </c>
      <c r="I384" s="8">
        <v>21</v>
      </c>
      <c r="J384" s="1">
        <v>2.0905171668807028</v>
      </c>
      <c r="K384" s="1">
        <v>-5.3090668940078967E-2</v>
      </c>
      <c r="L384">
        <f t="shared" si="11"/>
        <v>2.8186191285050656E-3</v>
      </c>
      <c r="P384" s="1">
        <v>346</v>
      </c>
      <c r="Q384" s="1">
        <v>4.7161436112556611E-2</v>
      </c>
      <c r="R384" s="1">
        <v>-4.7158765816514715E-2</v>
      </c>
    </row>
    <row r="385" spans="1:18" x14ac:dyDescent="0.35">
      <c r="A385" s="8">
        <v>90</v>
      </c>
      <c r="B385" s="8">
        <f t="shared" si="10"/>
        <v>1.954242509439325</v>
      </c>
      <c r="C385" s="8">
        <v>1</v>
      </c>
      <c r="D385" s="8">
        <v>62</v>
      </c>
      <c r="E385" s="8">
        <v>18</v>
      </c>
      <c r="F385" s="8">
        <v>59</v>
      </c>
      <c r="G385" s="8">
        <v>25.1</v>
      </c>
      <c r="H385" s="8">
        <v>1.268</v>
      </c>
      <c r="I385" s="8">
        <v>25</v>
      </c>
      <c r="J385" s="1">
        <v>2.0335082015308559</v>
      </c>
      <c r="K385" s="1">
        <v>-7.9265692091530893E-2</v>
      </c>
      <c r="L385">
        <f t="shared" si="11"/>
        <v>6.2830499427493835E-3</v>
      </c>
      <c r="P385" s="1">
        <v>347</v>
      </c>
      <c r="Q385" s="1">
        <v>3.8326562511357486E-2</v>
      </c>
      <c r="R385" s="1">
        <v>-2.3763642768280427E-2</v>
      </c>
    </row>
    <row r="386" spans="1:18" x14ac:dyDescent="0.35">
      <c r="A386" s="8">
        <v>125</v>
      </c>
      <c r="B386" s="8">
        <f t="shared" si="10"/>
        <v>2.0969100130080562</v>
      </c>
      <c r="C386" s="8">
        <v>1</v>
      </c>
      <c r="D386" s="8">
        <v>70</v>
      </c>
      <c r="E386" s="8">
        <v>24</v>
      </c>
      <c r="F386" s="8">
        <v>110</v>
      </c>
      <c r="G386" s="8">
        <v>24.3</v>
      </c>
      <c r="H386" s="8">
        <v>0.221</v>
      </c>
      <c r="I386" s="8">
        <v>25</v>
      </c>
      <c r="J386" s="1">
        <v>2.0155043050094661</v>
      </c>
      <c r="K386" s="1">
        <v>8.1405707998590149E-2</v>
      </c>
      <c r="L386">
        <f t="shared" si="11"/>
        <v>6.6268892947517243E-3</v>
      </c>
      <c r="P386" s="1">
        <v>348</v>
      </c>
      <c r="Q386" s="1">
        <v>3.756530639653205E-2</v>
      </c>
      <c r="R386" s="1">
        <v>-3.0947615915537276E-2</v>
      </c>
    </row>
    <row r="387" spans="1:18" x14ac:dyDescent="0.35">
      <c r="A387" s="8">
        <v>119</v>
      </c>
      <c r="B387" s="8">
        <f t="shared" ref="B387:B450" si="12">LOG(A387)</f>
        <v>2.0755469613925306</v>
      </c>
      <c r="C387" s="8">
        <v>1</v>
      </c>
      <c r="D387" s="8">
        <v>54</v>
      </c>
      <c r="E387" s="8">
        <v>13</v>
      </c>
      <c r="F387" s="8">
        <v>50</v>
      </c>
      <c r="G387" s="8">
        <v>22.3</v>
      </c>
      <c r="H387" s="8">
        <v>0.20499999999999999</v>
      </c>
      <c r="I387" s="8">
        <v>24</v>
      </c>
      <c r="J387" s="1">
        <v>1.9961626852060561</v>
      </c>
      <c r="K387" s="1">
        <v>7.9384276186474478E-2</v>
      </c>
      <c r="L387">
        <f t="shared" ref="L387:L450" si="13">K387*K387</f>
        <v>6.3018633056504594E-3</v>
      </c>
      <c r="P387" s="1">
        <v>349</v>
      </c>
      <c r="Q387" s="1">
        <v>4.0475761117157838E-2</v>
      </c>
      <c r="R387" s="1">
        <v>-4.0381509092386726E-2</v>
      </c>
    </row>
    <row r="388" spans="1:18" x14ac:dyDescent="0.35">
      <c r="A388" s="8">
        <v>116</v>
      </c>
      <c r="B388" s="8">
        <f t="shared" si="12"/>
        <v>2.0644579892269186</v>
      </c>
      <c r="C388" s="8">
        <v>5</v>
      </c>
      <c r="D388" s="8">
        <v>74</v>
      </c>
      <c r="E388" s="8">
        <v>29</v>
      </c>
      <c r="F388" s="8">
        <v>0</v>
      </c>
      <c r="G388" s="8">
        <v>32.299999999999997</v>
      </c>
      <c r="H388" s="8">
        <v>0.66</v>
      </c>
      <c r="I388" s="8">
        <v>35</v>
      </c>
      <c r="J388" s="1">
        <v>2.0185363116470487</v>
      </c>
      <c r="K388" s="1">
        <v>4.5921677579869868E-2</v>
      </c>
      <c r="L388">
        <f t="shared" si="13"/>
        <v>2.1088004717495228E-3</v>
      </c>
      <c r="P388" s="1">
        <v>350</v>
      </c>
      <c r="Q388" s="1">
        <v>7.6671541022287903E-2</v>
      </c>
      <c r="R388" s="1">
        <v>4.0604974111978889</v>
      </c>
    </row>
    <row r="389" spans="1:18" x14ac:dyDescent="0.35">
      <c r="A389" s="8">
        <v>105</v>
      </c>
      <c r="B389" s="8">
        <f t="shared" si="12"/>
        <v>2.0211892990699383</v>
      </c>
      <c r="C389" s="8">
        <v>8</v>
      </c>
      <c r="D389" s="8">
        <v>100</v>
      </c>
      <c r="E389" s="8">
        <v>36</v>
      </c>
      <c r="F389" s="8">
        <v>0</v>
      </c>
      <c r="G389" s="8">
        <v>43.3</v>
      </c>
      <c r="H389" s="8">
        <v>0.23899999999999999</v>
      </c>
      <c r="I389" s="8">
        <v>45</v>
      </c>
      <c r="J389" s="1">
        <v>2.0575590385106834</v>
      </c>
      <c r="K389" s="1">
        <v>-3.6369739440745175E-2</v>
      </c>
      <c r="L389">
        <f t="shared" si="13"/>
        <v>1.3227579469876952E-3</v>
      </c>
      <c r="P389" s="1">
        <v>351</v>
      </c>
      <c r="Q389" s="1">
        <v>2.249190071410859E-2</v>
      </c>
      <c r="R389" s="1">
        <v>-9.6723041022280087E-3</v>
      </c>
    </row>
    <row r="390" spans="1:18" x14ac:dyDescent="0.35">
      <c r="A390" s="8">
        <v>144</v>
      </c>
      <c r="B390" s="8">
        <f t="shared" si="12"/>
        <v>2.1583624920952498</v>
      </c>
      <c r="C390" s="8">
        <v>5</v>
      </c>
      <c r="D390" s="8">
        <v>82</v>
      </c>
      <c r="E390" s="8">
        <v>26</v>
      </c>
      <c r="F390" s="8">
        <v>285</v>
      </c>
      <c r="G390" s="8">
        <v>32</v>
      </c>
      <c r="H390" s="8">
        <v>0.45200000000000001</v>
      </c>
      <c r="I390" s="8">
        <v>58</v>
      </c>
      <c r="J390" s="1">
        <v>2.2032696927059416</v>
      </c>
      <c r="K390" s="1">
        <v>-4.4907200610691866E-2</v>
      </c>
      <c r="L390">
        <f t="shared" si="13"/>
        <v>2.016656666688924E-3</v>
      </c>
      <c r="P390" s="1">
        <v>352</v>
      </c>
      <c r="Q390" s="1">
        <v>2.0297692331514301E-2</v>
      </c>
      <c r="R390" s="1">
        <v>-1.298677790547988E-2</v>
      </c>
    </row>
    <row r="391" spans="1:18" x14ac:dyDescent="0.35">
      <c r="A391" s="8">
        <v>100</v>
      </c>
      <c r="B391" s="8">
        <f t="shared" si="12"/>
        <v>2</v>
      </c>
      <c r="C391" s="8">
        <v>3</v>
      </c>
      <c r="D391" s="8">
        <v>68</v>
      </c>
      <c r="E391" s="8">
        <v>23</v>
      </c>
      <c r="F391" s="8">
        <v>81</v>
      </c>
      <c r="G391" s="8">
        <v>31.6</v>
      </c>
      <c r="H391" s="8">
        <v>0.94899999999999995</v>
      </c>
      <c r="I391" s="8">
        <v>28</v>
      </c>
      <c r="J391" s="1">
        <v>2.0531727689883068</v>
      </c>
      <c r="K391" s="1">
        <v>-5.3172768988306807E-2</v>
      </c>
      <c r="L391">
        <f t="shared" si="13"/>
        <v>2.8273433618838419E-3</v>
      </c>
      <c r="P391" s="1">
        <v>353</v>
      </c>
      <c r="Q391" s="1">
        <v>7.1854144831754618E-2</v>
      </c>
      <c r="R391" s="1">
        <v>-6.6621054109552019E-3</v>
      </c>
    </row>
    <row r="392" spans="1:18" x14ac:dyDescent="0.35">
      <c r="A392" s="8">
        <v>100</v>
      </c>
      <c r="B392" s="8">
        <f t="shared" si="12"/>
        <v>2</v>
      </c>
      <c r="C392" s="8">
        <v>1</v>
      </c>
      <c r="D392" s="8">
        <v>66</v>
      </c>
      <c r="E392" s="8">
        <v>29</v>
      </c>
      <c r="F392" s="8">
        <v>196</v>
      </c>
      <c r="G392" s="8">
        <v>32</v>
      </c>
      <c r="H392" s="8">
        <v>0.44400000000000001</v>
      </c>
      <c r="I392" s="8">
        <v>42</v>
      </c>
      <c r="J392" s="1">
        <v>2.1103549185739601</v>
      </c>
      <c r="K392" s="1">
        <v>-0.11035491857396007</v>
      </c>
      <c r="L392">
        <f t="shared" si="13"/>
        <v>1.2178208053465357E-2</v>
      </c>
      <c r="P392" s="1">
        <v>354</v>
      </c>
      <c r="Q392" s="1">
        <v>3.4133751344502188E-2</v>
      </c>
      <c r="R392" s="1">
        <v>-2.958990619901862E-2</v>
      </c>
    </row>
    <row r="393" spans="1:18" x14ac:dyDescent="0.35">
      <c r="A393" s="8">
        <v>166</v>
      </c>
      <c r="B393" s="8">
        <f t="shared" si="12"/>
        <v>2.220108088040055</v>
      </c>
      <c r="C393" s="8">
        <v>5</v>
      </c>
      <c r="D393" s="8">
        <v>76</v>
      </c>
      <c r="E393" s="8">
        <v>0</v>
      </c>
      <c r="F393" s="8">
        <v>0</v>
      </c>
      <c r="G393" s="8">
        <v>45.7</v>
      </c>
      <c r="H393" s="8">
        <v>0.34</v>
      </c>
      <c r="I393" s="8">
        <v>27</v>
      </c>
      <c r="J393" s="1">
        <v>2.0844250180229351</v>
      </c>
      <c r="K393" s="1">
        <v>0.13568307001711988</v>
      </c>
      <c r="L393">
        <f t="shared" si="13"/>
        <v>1.8409895489270654E-2</v>
      </c>
      <c r="P393" s="1">
        <v>355</v>
      </c>
      <c r="Q393" s="1">
        <v>1.9822778519136285E-2</v>
      </c>
      <c r="R393" s="1">
        <v>-7.0348404333577651E-3</v>
      </c>
    </row>
    <row r="394" spans="1:18" x14ac:dyDescent="0.35">
      <c r="A394" s="8">
        <v>131</v>
      </c>
      <c r="B394" s="8">
        <f t="shared" si="12"/>
        <v>2.1172712956557644</v>
      </c>
      <c r="C394" s="8">
        <v>1</v>
      </c>
      <c r="D394" s="8">
        <v>64</v>
      </c>
      <c r="E394" s="8">
        <v>14</v>
      </c>
      <c r="F394" s="8">
        <v>415</v>
      </c>
      <c r="G394" s="8">
        <v>23.7</v>
      </c>
      <c r="H394" s="8">
        <v>0.38900000000000001</v>
      </c>
      <c r="I394" s="8">
        <v>21</v>
      </c>
      <c r="J394" s="1">
        <v>2.1653512564163107</v>
      </c>
      <c r="K394" s="1">
        <v>-4.8079960760546214E-2</v>
      </c>
      <c r="L394">
        <f t="shared" si="13"/>
        <v>2.3116826267356636E-3</v>
      </c>
      <c r="P394" s="1">
        <v>356</v>
      </c>
      <c r="Q394" s="1">
        <v>7.4827599777353582E-3</v>
      </c>
      <c r="R394" s="1">
        <v>6.1263178748074548E-3</v>
      </c>
    </row>
    <row r="395" spans="1:18" x14ac:dyDescent="0.35">
      <c r="A395" s="8">
        <v>116</v>
      </c>
      <c r="B395" s="8">
        <f t="shared" si="12"/>
        <v>2.0644579892269186</v>
      </c>
      <c r="C395" s="8">
        <v>4</v>
      </c>
      <c r="D395" s="8">
        <v>72</v>
      </c>
      <c r="E395" s="8">
        <v>12</v>
      </c>
      <c r="F395" s="8">
        <v>87</v>
      </c>
      <c r="G395" s="8">
        <v>22.1</v>
      </c>
      <c r="H395" s="8">
        <v>0.46300000000000002</v>
      </c>
      <c r="I395" s="8">
        <v>37</v>
      </c>
      <c r="J395" s="1">
        <v>2.0609010744429068</v>
      </c>
      <c r="K395" s="1">
        <v>3.5569147840117665E-3</v>
      </c>
      <c r="L395">
        <f t="shared" si="13"/>
        <v>1.2651642780721471E-5</v>
      </c>
      <c r="P395" s="1">
        <v>357</v>
      </c>
      <c r="Q395" s="1">
        <v>4.8095002545262139E-2</v>
      </c>
      <c r="R395" s="1">
        <v>-4.6430672089143345E-2</v>
      </c>
    </row>
    <row r="396" spans="1:18" x14ac:dyDescent="0.35">
      <c r="A396" s="8">
        <v>158</v>
      </c>
      <c r="B396" s="8">
        <f t="shared" si="12"/>
        <v>2.1986570869544226</v>
      </c>
      <c r="C396" s="8">
        <v>4</v>
      </c>
      <c r="D396" s="8">
        <v>78</v>
      </c>
      <c r="E396" s="8">
        <v>0</v>
      </c>
      <c r="F396" s="8">
        <v>0</v>
      </c>
      <c r="G396" s="8">
        <v>32.9</v>
      </c>
      <c r="H396" s="8">
        <v>0.80300000000000005</v>
      </c>
      <c r="I396" s="8">
        <v>31</v>
      </c>
      <c r="J396" s="1">
        <v>2.0719214296275377</v>
      </c>
      <c r="K396" s="1">
        <v>0.12673565732688497</v>
      </c>
      <c r="L396">
        <f t="shared" si="13"/>
        <v>1.6061926838077611E-2</v>
      </c>
      <c r="P396" s="1">
        <v>358</v>
      </c>
      <c r="Q396" s="1">
        <v>6.8215604683911829E-2</v>
      </c>
      <c r="R396" s="1">
        <v>-6.3016543217826113E-2</v>
      </c>
    </row>
    <row r="397" spans="1:18" x14ac:dyDescent="0.35">
      <c r="A397" s="8">
        <v>127</v>
      </c>
      <c r="B397" s="8">
        <f t="shared" si="12"/>
        <v>2.1038037209559568</v>
      </c>
      <c r="C397" s="8">
        <v>2</v>
      </c>
      <c r="D397" s="8">
        <v>58</v>
      </c>
      <c r="E397" s="8">
        <v>24</v>
      </c>
      <c r="F397" s="8">
        <v>275</v>
      </c>
      <c r="G397" s="8">
        <v>27.7</v>
      </c>
      <c r="H397" s="8">
        <v>1.6</v>
      </c>
      <c r="I397" s="8">
        <v>25</v>
      </c>
      <c r="J397" s="1">
        <v>2.1360448570926858</v>
      </c>
      <c r="K397" s="1">
        <v>-3.2241136136728965E-2</v>
      </c>
      <c r="L397">
        <f t="shared" si="13"/>
        <v>1.0394908593870903E-3</v>
      </c>
      <c r="P397" s="1">
        <v>359</v>
      </c>
      <c r="Q397" s="1">
        <v>6.4126511263721556E-2</v>
      </c>
      <c r="R397" s="1">
        <v>-5.1100109746409536E-2</v>
      </c>
    </row>
    <row r="398" spans="1:18" x14ac:dyDescent="0.35">
      <c r="A398" s="8">
        <v>96</v>
      </c>
      <c r="B398" s="8">
        <f t="shared" si="12"/>
        <v>1.9822712330395684</v>
      </c>
      <c r="C398" s="8">
        <v>3</v>
      </c>
      <c r="D398" s="8">
        <v>56</v>
      </c>
      <c r="E398" s="8">
        <v>34</v>
      </c>
      <c r="F398" s="8">
        <v>115</v>
      </c>
      <c r="G398" s="8">
        <v>24.7</v>
      </c>
      <c r="H398" s="8">
        <v>0.94399999999999995</v>
      </c>
      <c r="I398" s="8">
        <v>39</v>
      </c>
      <c r="J398" s="1">
        <v>2.0498619043553306</v>
      </c>
      <c r="K398" s="1">
        <v>-6.759067131576213E-2</v>
      </c>
      <c r="L398">
        <f t="shared" si="13"/>
        <v>4.5684988489153892E-3</v>
      </c>
      <c r="P398" s="1">
        <v>360</v>
      </c>
      <c r="Q398" s="1">
        <v>1.6467454947761889E-2</v>
      </c>
      <c r="R398" s="1">
        <v>1.3767464304873005E-2</v>
      </c>
    </row>
    <row r="399" spans="1:18" x14ac:dyDescent="0.35">
      <c r="A399" s="8">
        <v>131</v>
      </c>
      <c r="B399" s="8">
        <f t="shared" si="12"/>
        <v>2.1172712956557644</v>
      </c>
      <c r="C399" s="8">
        <v>0</v>
      </c>
      <c r="D399" s="8">
        <v>66</v>
      </c>
      <c r="E399" s="8">
        <v>40</v>
      </c>
      <c r="F399" s="8">
        <v>0</v>
      </c>
      <c r="G399" s="8">
        <v>34.299999999999997</v>
      </c>
      <c r="H399" s="8">
        <v>0.19600000000000001</v>
      </c>
      <c r="I399" s="8">
        <v>22</v>
      </c>
      <c r="J399" s="1">
        <v>1.9515166699219348</v>
      </c>
      <c r="K399" s="1">
        <v>0.1657546257338296</v>
      </c>
      <c r="L399">
        <f t="shared" si="13"/>
        <v>2.7474595952161923E-2</v>
      </c>
      <c r="P399" s="1">
        <v>361</v>
      </c>
      <c r="Q399" s="1">
        <v>-8.5695642784620208E-3</v>
      </c>
      <c r="R399" s="1">
        <v>2.8361135154170117E-2</v>
      </c>
    </row>
    <row r="400" spans="1:18" x14ac:dyDescent="0.35">
      <c r="A400" s="8">
        <v>82</v>
      </c>
      <c r="B400" s="8">
        <f t="shared" si="12"/>
        <v>1.9138138523837167</v>
      </c>
      <c r="C400" s="8">
        <v>3</v>
      </c>
      <c r="D400" s="8">
        <v>70</v>
      </c>
      <c r="E400" s="8">
        <v>0</v>
      </c>
      <c r="F400" s="8">
        <v>0</v>
      </c>
      <c r="G400" s="8">
        <v>21.1</v>
      </c>
      <c r="H400" s="8">
        <v>0.38900000000000001</v>
      </c>
      <c r="I400" s="8">
        <v>25</v>
      </c>
      <c r="J400" s="1">
        <v>2.0104147551866296</v>
      </c>
      <c r="K400" s="1">
        <v>-9.6600902802912891E-2</v>
      </c>
      <c r="L400">
        <f t="shared" si="13"/>
        <v>9.331734422337824E-3</v>
      </c>
      <c r="P400" s="1">
        <v>362</v>
      </c>
      <c r="Q400" s="1">
        <v>1.618648307042345E-2</v>
      </c>
      <c r="R400" s="1">
        <v>-9.883384056874887E-3</v>
      </c>
    </row>
    <row r="401" spans="1:18" x14ac:dyDescent="0.35">
      <c r="A401" s="8">
        <v>193</v>
      </c>
      <c r="B401" s="8">
        <f t="shared" si="12"/>
        <v>2.2855573090077739</v>
      </c>
      <c r="C401" s="8">
        <v>3</v>
      </c>
      <c r="D401" s="8">
        <v>70</v>
      </c>
      <c r="E401" s="8">
        <v>31</v>
      </c>
      <c r="F401" s="8">
        <v>0</v>
      </c>
      <c r="G401" s="8">
        <v>34.9</v>
      </c>
      <c r="H401" s="8">
        <v>0.24099999999999999</v>
      </c>
      <c r="I401" s="8">
        <v>25</v>
      </c>
      <c r="J401" s="1">
        <v>1.9831792890630915</v>
      </c>
      <c r="K401" s="1">
        <v>0.30237801994468239</v>
      </c>
      <c r="L401">
        <f t="shared" si="13"/>
        <v>9.1432466945666743E-2</v>
      </c>
      <c r="P401" s="1">
        <v>363</v>
      </c>
      <c r="Q401" s="1">
        <v>7.7113103542028077E-2</v>
      </c>
      <c r="R401" s="1">
        <v>-7.0725928384616138E-2</v>
      </c>
    </row>
    <row r="402" spans="1:18" x14ac:dyDescent="0.35">
      <c r="A402" s="8">
        <v>95</v>
      </c>
      <c r="B402" s="8">
        <f t="shared" si="12"/>
        <v>1.9777236052888478</v>
      </c>
      <c r="C402" s="8">
        <v>4</v>
      </c>
      <c r="D402" s="8">
        <v>64</v>
      </c>
      <c r="E402" s="8">
        <v>0</v>
      </c>
      <c r="F402" s="8">
        <v>0</v>
      </c>
      <c r="G402" s="8">
        <v>32</v>
      </c>
      <c r="H402" s="8">
        <v>0.161</v>
      </c>
      <c r="I402" s="8">
        <v>31</v>
      </c>
      <c r="J402" s="1">
        <v>2.0464336785263875</v>
      </c>
      <c r="K402" s="1">
        <v>-6.8710073237539637E-2</v>
      </c>
      <c r="L402">
        <f t="shared" si="13"/>
        <v>4.7210741643080607E-3</v>
      </c>
      <c r="P402" s="1">
        <v>364</v>
      </c>
      <c r="Q402" s="1">
        <v>1.079229902373219E-2</v>
      </c>
      <c r="R402" s="1">
        <v>-1.0790178220666193E-2</v>
      </c>
    </row>
    <row r="403" spans="1:18" x14ac:dyDescent="0.35">
      <c r="A403" s="8">
        <v>137</v>
      </c>
      <c r="B403" s="8">
        <f t="shared" si="12"/>
        <v>2.1367205671564067</v>
      </c>
      <c r="C403" s="8">
        <v>6</v>
      </c>
      <c r="D403" s="8">
        <v>61</v>
      </c>
      <c r="E403" s="8">
        <v>0</v>
      </c>
      <c r="F403" s="8">
        <v>0</v>
      </c>
      <c r="G403" s="8">
        <v>24.2</v>
      </c>
      <c r="H403" s="8">
        <v>0.151</v>
      </c>
      <c r="I403" s="8">
        <v>55</v>
      </c>
      <c r="J403" s="1">
        <v>2.0817571074599632</v>
      </c>
      <c r="K403" s="1">
        <v>5.4963459696443451E-2</v>
      </c>
      <c r="L403">
        <f t="shared" si="13"/>
        <v>3.0209819018025635E-3</v>
      </c>
      <c r="P403" s="1">
        <v>365</v>
      </c>
      <c r="Q403" s="1">
        <v>-1.1150798774481288E-2</v>
      </c>
      <c r="R403" s="1">
        <v>1.1606409374210872E-2</v>
      </c>
    </row>
    <row r="404" spans="1:18" x14ac:dyDescent="0.35">
      <c r="A404" s="8">
        <v>136</v>
      </c>
      <c r="B404" s="8">
        <f t="shared" si="12"/>
        <v>2.1335389083702174</v>
      </c>
      <c r="C404" s="8">
        <v>5</v>
      </c>
      <c r="D404" s="8">
        <v>84</v>
      </c>
      <c r="E404" s="8">
        <v>41</v>
      </c>
      <c r="F404" s="8">
        <v>88</v>
      </c>
      <c r="G404" s="8">
        <v>35</v>
      </c>
      <c r="H404" s="8">
        <v>0.28599999999999998</v>
      </c>
      <c r="I404" s="8">
        <v>35</v>
      </c>
      <c r="J404" s="1">
        <v>2.0350511517554688</v>
      </c>
      <c r="K404" s="1">
        <v>9.8487756614748623E-2</v>
      </c>
      <c r="L404">
        <f t="shared" si="13"/>
        <v>9.6998382030059616E-3</v>
      </c>
      <c r="P404" s="1">
        <v>366</v>
      </c>
      <c r="Q404" s="1">
        <v>4.9361647845377221E-2</v>
      </c>
      <c r="R404" s="1">
        <v>-4.7406115317425848E-2</v>
      </c>
    </row>
    <row r="405" spans="1:18" x14ac:dyDescent="0.35">
      <c r="A405" s="8">
        <v>72</v>
      </c>
      <c r="B405" s="8">
        <f t="shared" si="12"/>
        <v>1.8573324964312685</v>
      </c>
      <c r="C405" s="8">
        <v>9</v>
      </c>
      <c r="D405" s="8">
        <v>78</v>
      </c>
      <c r="E405" s="8">
        <v>25</v>
      </c>
      <c r="F405" s="8">
        <v>0</v>
      </c>
      <c r="G405" s="8">
        <v>31.6</v>
      </c>
      <c r="H405" s="8">
        <v>0.28000000000000003</v>
      </c>
      <c r="I405" s="8">
        <v>38</v>
      </c>
      <c r="J405" s="1">
        <v>2.0257035657498017</v>
      </c>
      <c r="K405" s="1">
        <v>-0.16837106931853318</v>
      </c>
      <c r="L405">
        <f t="shared" si="13"/>
        <v>2.8348816983466307E-2</v>
      </c>
      <c r="P405" s="1">
        <v>367</v>
      </c>
      <c r="Q405" s="1">
        <v>1.6789429704150753E-2</v>
      </c>
      <c r="R405" s="1">
        <v>-1.3969394582932398E-2</v>
      </c>
    </row>
    <row r="406" spans="1:18" x14ac:dyDescent="0.35">
      <c r="A406" s="8">
        <v>168</v>
      </c>
      <c r="B406" s="8">
        <f t="shared" si="12"/>
        <v>2.2253092817258628</v>
      </c>
      <c r="C406" s="8">
        <v>5</v>
      </c>
      <c r="D406" s="8">
        <v>64</v>
      </c>
      <c r="E406" s="8">
        <v>0</v>
      </c>
      <c r="F406" s="8">
        <v>0</v>
      </c>
      <c r="G406" s="8">
        <v>32.9</v>
      </c>
      <c r="H406" s="8">
        <v>0.13500000000000001</v>
      </c>
      <c r="I406" s="8">
        <v>41</v>
      </c>
      <c r="J406" s="1">
        <v>2.0723801946566565</v>
      </c>
      <c r="K406" s="1">
        <v>0.15292908706920638</v>
      </c>
      <c r="L406">
        <f t="shared" si="13"/>
        <v>2.3387305671820905E-2</v>
      </c>
      <c r="P406" s="1">
        <v>368</v>
      </c>
      <c r="Q406" s="1">
        <v>6.198926244175023E-2</v>
      </c>
      <c r="R406" s="1">
        <v>-5.9923313139176627E-2</v>
      </c>
    </row>
    <row r="407" spans="1:18" x14ac:dyDescent="0.35">
      <c r="A407" s="8">
        <v>123</v>
      </c>
      <c r="B407" s="8">
        <f t="shared" si="12"/>
        <v>2.0899051114393981</v>
      </c>
      <c r="C407" s="8">
        <v>2</v>
      </c>
      <c r="D407" s="8">
        <v>48</v>
      </c>
      <c r="E407" s="8">
        <v>32</v>
      </c>
      <c r="F407" s="8">
        <v>165</v>
      </c>
      <c r="G407" s="8">
        <v>42.1</v>
      </c>
      <c r="H407" s="8">
        <v>0.52</v>
      </c>
      <c r="I407" s="8">
        <v>26</v>
      </c>
      <c r="J407" s="1">
        <v>2.0777124894207755</v>
      </c>
      <c r="K407" s="1">
        <v>1.219262201862259E-2</v>
      </c>
      <c r="L407">
        <f t="shared" si="13"/>
        <v>1.4866003168900039E-4</v>
      </c>
      <c r="P407" s="1">
        <v>369</v>
      </c>
      <c r="Q407" s="1">
        <v>3.3748649767154082E-2</v>
      </c>
      <c r="R407" s="1">
        <v>-2.0742519774131572E-2</v>
      </c>
    </row>
    <row r="408" spans="1:18" x14ac:dyDescent="0.35">
      <c r="A408" s="8">
        <v>115</v>
      </c>
      <c r="B408" s="8">
        <f t="shared" si="12"/>
        <v>2.0606978403536118</v>
      </c>
      <c r="C408" s="8">
        <v>4</v>
      </c>
      <c r="D408" s="8">
        <v>72</v>
      </c>
      <c r="E408" s="8">
        <v>0</v>
      </c>
      <c r="F408" s="8">
        <v>0</v>
      </c>
      <c r="G408" s="8">
        <v>28.9</v>
      </c>
      <c r="H408" s="8">
        <v>0.376</v>
      </c>
      <c r="I408" s="8">
        <v>46</v>
      </c>
      <c r="J408" s="1">
        <v>2.0817723936765034</v>
      </c>
      <c r="K408" s="1">
        <v>-2.1074553322891543E-2</v>
      </c>
      <c r="L408">
        <f t="shared" si="13"/>
        <v>4.4413679775939899E-4</v>
      </c>
      <c r="P408" s="1">
        <v>370</v>
      </c>
      <c r="Q408" s="1">
        <v>3.4924205136872992E-2</v>
      </c>
      <c r="R408" s="1">
        <v>-3.444956078610098E-2</v>
      </c>
    </row>
    <row r="409" spans="1:18" x14ac:dyDescent="0.35">
      <c r="A409" s="8">
        <v>101</v>
      </c>
      <c r="B409" s="8">
        <f t="shared" si="12"/>
        <v>2.0043213737826426</v>
      </c>
      <c r="C409" s="8">
        <v>0</v>
      </c>
      <c r="D409" s="8">
        <v>62</v>
      </c>
      <c r="E409" s="8">
        <v>0</v>
      </c>
      <c r="F409" s="8">
        <v>0</v>
      </c>
      <c r="G409" s="8">
        <v>21.9</v>
      </c>
      <c r="H409" s="8">
        <v>0.33600000000000002</v>
      </c>
      <c r="I409" s="8">
        <v>25</v>
      </c>
      <c r="J409" s="1">
        <v>2.0055431686186798</v>
      </c>
      <c r="K409" s="1">
        <v>-1.2217948360371267E-3</v>
      </c>
      <c r="L409">
        <f t="shared" si="13"/>
        <v>1.4927826213669892E-6</v>
      </c>
      <c r="P409" s="1">
        <v>371</v>
      </c>
      <c r="Q409" s="1">
        <v>-4.5086652319212175E-2</v>
      </c>
      <c r="R409" s="1">
        <v>4.5170711292198212E-2</v>
      </c>
    </row>
    <row r="410" spans="1:18" x14ac:dyDescent="0.35">
      <c r="A410" s="8">
        <v>197</v>
      </c>
      <c r="B410" s="8">
        <f t="shared" si="12"/>
        <v>2.2944662261615929</v>
      </c>
      <c r="C410" s="8">
        <v>8</v>
      </c>
      <c r="D410" s="8">
        <v>74</v>
      </c>
      <c r="E410" s="8">
        <v>0</v>
      </c>
      <c r="F410" s="8">
        <v>0</v>
      </c>
      <c r="G410" s="8">
        <v>25.9</v>
      </c>
      <c r="H410" s="8">
        <v>1.1910000000000001</v>
      </c>
      <c r="I410" s="8">
        <v>39</v>
      </c>
      <c r="J410" s="1">
        <v>2.0851049091064482</v>
      </c>
      <c r="K410" s="1">
        <v>0.20936131705514471</v>
      </c>
      <c r="L410">
        <f t="shared" si="13"/>
        <v>4.3832161079064826E-2</v>
      </c>
      <c r="P410" s="1">
        <v>372</v>
      </c>
      <c r="Q410" s="1">
        <v>2.00550596761194E-2</v>
      </c>
      <c r="R410" s="1">
        <v>-1.0239991046176974E-2</v>
      </c>
    </row>
    <row r="411" spans="1:18" x14ac:dyDescent="0.35">
      <c r="A411" s="8">
        <v>172</v>
      </c>
      <c r="B411" s="8">
        <f t="shared" si="12"/>
        <v>2.2355284469075487</v>
      </c>
      <c r="C411" s="8">
        <v>1</v>
      </c>
      <c r="D411" s="8">
        <v>68</v>
      </c>
      <c r="E411" s="8">
        <v>49</v>
      </c>
      <c r="F411" s="8">
        <v>579</v>
      </c>
      <c r="G411" s="8">
        <v>42.4</v>
      </c>
      <c r="H411" s="8">
        <v>0.70199999999999996</v>
      </c>
      <c r="I411" s="8">
        <v>28</v>
      </c>
      <c r="J411" s="1">
        <v>2.2489120854497382</v>
      </c>
      <c r="K411" s="1">
        <v>-1.3383638542189491E-2</v>
      </c>
      <c r="L411">
        <f t="shared" si="13"/>
        <v>1.7912178062798003E-4</v>
      </c>
      <c r="P411" s="1">
        <v>373</v>
      </c>
      <c r="Q411" s="1">
        <v>4.9835857391562967E-2</v>
      </c>
      <c r="R411" s="1">
        <v>-3.9145671170686847E-2</v>
      </c>
    </row>
    <row r="412" spans="1:18" x14ac:dyDescent="0.35">
      <c r="A412" s="8">
        <v>102</v>
      </c>
      <c r="B412" s="8">
        <f t="shared" si="12"/>
        <v>2.0086001717619175</v>
      </c>
      <c r="C412" s="8">
        <v>6</v>
      </c>
      <c r="D412" s="8">
        <v>90</v>
      </c>
      <c r="E412" s="8">
        <v>39</v>
      </c>
      <c r="F412" s="8">
        <v>0</v>
      </c>
      <c r="G412" s="8">
        <v>35.700000000000003</v>
      </c>
      <c r="H412" s="8">
        <v>0.67400000000000004</v>
      </c>
      <c r="I412" s="8">
        <v>28</v>
      </c>
      <c r="J412" s="1">
        <v>1.9986529025679667</v>
      </c>
      <c r="K412" s="1">
        <v>9.9472691939508362E-3</v>
      </c>
      <c r="L412">
        <f t="shared" si="13"/>
        <v>9.8948164416923315E-5</v>
      </c>
      <c r="P412" s="1">
        <v>374</v>
      </c>
      <c r="Q412" s="1">
        <v>7.8800347238375923E-2</v>
      </c>
      <c r="R412" s="1">
        <v>-7.8464880445987262E-2</v>
      </c>
    </row>
    <row r="413" spans="1:18" x14ac:dyDescent="0.35">
      <c r="A413" s="8">
        <v>112</v>
      </c>
      <c r="B413" s="8">
        <f t="shared" si="12"/>
        <v>2.0492180226701815</v>
      </c>
      <c r="C413" s="8">
        <v>1</v>
      </c>
      <c r="D413" s="8">
        <v>72</v>
      </c>
      <c r="E413" s="8">
        <v>30</v>
      </c>
      <c r="F413" s="8">
        <v>176</v>
      </c>
      <c r="G413" s="8">
        <v>34.4</v>
      </c>
      <c r="H413" s="8">
        <v>0.52800000000000002</v>
      </c>
      <c r="I413" s="8">
        <v>25</v>
      </c>
      <c r="J413" s="1">
        <v>2.0706543687879031</v>
      </c>
      <c r="K413" s="1">
        <v>-2.1436346117721605E-2</v>
      </c>
      <c r="L413">
        <f t="shared" si="13"/>
        <v>4.5951693487875816E-4</v>
      </c>
      <c r="P413" s="1">
        <v>375</v>
      </c>
      <c r="Q413" s="1">
        <v>5.7103476608185016E-2</v>
      </c>
      <c r="R413" s="1">
        <v>-5.5888049584752859E-2</v>
      </c>
    </row>
    <row r="414" spans="1:18" x14ac:dyDescent="0.35">
      <c r="A414" s="8">
        <v>143</v>
      </c>
      <c r="B414" s="8">
        <f t="shared" si="12"/>
        <v>2.1553360374650619</v>
      </c>
      <c r="C414" s="8">
        <v>1</v>
      </c>
      <c r="D414" s="8">
        <v>84</v>
      </c>
      <c r="E414" s="8">
        <v>23</v>
      </c>
      <c r="F414" s="8">
        <v>310</v>
      </c>
      <c r="G414" s="8">
        <v>42.4</v>
      </c>
      <c r="H414" s="8">
        <v>1.0760000000000001</v>
      </c>
      <c r="I414" s="8">
        <v>22</v>
      </c>
      <c r="J414" s="1">
        <v>2.1795903010193887</v>
      </c>
      <c r="K414" s="1">
        <v>-2.4254263554326805E-2</v>
      </c>
      <c r="L414">
        <f t="shared" si="13"/>
        <v>5.8826930056274558E-4</v>
      </c>
      <c r="P414" s="1">
        <v>376</v>
      </c>
      <c r="Q414" s="1">
        <v>-7.2516115545220305E-3</v>
      </c>
      <c r="R414" s="1">
        <v>1.2225758884172551E-2</v>
      </c>
    </row>
    <row r="415" spans="1:18" x14ac:dyDescent="0.35">
      <c r="A415" s="8">
        <v>143</v>
      </c>
      <c r="B415" s="8">
        <f t="shared" si="12"/>
        <v>2.1553360374650619</v>
      </c>
      <c r="C415" s="8">
        <v>1</v>
      </c>
      <c r="D415" s="8">
        <v>74</v>
      </c>
      <c r="E415" s="8">
        <v>22</v>
      </c>
      <c r="F415" s="8">
        <v>61</v>
      </c>
      <c r="G415" s="8">
        <v>26.2</v>
      </c>
      <c r="H415" s="8">
        <v>0.25600000000000001</v>
      </c>
      <c r="I415" s="8">
        <v>21</v>
      </c>
      <c r="J415" s="1">
        <v>1.9953437929328768</v>
      </c>
      <c r="K415" s="1">
        <v>0.15999224453218508</v>
      </c>
      <c r="L415">
        <f t="shared" si="13"/>
        <v>2.5597518310446505E-2</v>
      </c>
      <c r="P415" s="1">
        <v>377</v>
      </c>
      <c r="Q415" s="1">
        <v>3.2481408411716386E-2</v>
      </c>
      <c r="R415" s="1">
        <v>-3.1533705484749902E-2</v>
      </c>
    </row>
    <row r="416" spans="1:18" x14ac:dyDescent="0.35">
      <c r="A416" s="8">
        <v>138</v>
      </c>
      <c r="B416" s="8">
        <f t="shared" si="12"/>
        <v>2.1398790864012365</v>
      </c>
      <c r="C416" s="8">
        <v>0</v>
      </c>
      <c r="D416" s="8">
        <v>60</v>
      </c>
      <c r="E416" s="8">
        <v>35</v>
      </c>
      <c r="F416" s="8">
        <v>167</v>
      </c>
      <c r="G416" s="8">
        <v>34.6</v>
      </c>
      <c r="H416" s="8">
        <v>0.53400000000000003</v>
      </c>
      <c r="I416" s="8">
        <v>21</v>
      </c>
      <c r="J416" s="1">
        <v>2.0432462045333883</v>
      </c>
      <c r="K416" s="1">
        <v>9.663288186784813E-2</v>
      </c>
      <c r="L416">
        <f t="shared" si="13"/>
        <v>9.3379138580854913E-3</v>
      </c>
      <c r="P416" s="1">
        <v>378</v>
      </c>
      <c r="Q416" s="1">
        <v>7.495963948876902E-2</v>
      </c>
      <c r="R416" s="1">
        <v>-7.0378450649661986E-2</v>
      </c>
    </row>
    <row r="417" spans="1:18" x14ac:dyDescent="0.35">
      <c r="A417" s="8">
        <v>173</v>
      </c>
      <c r="B417" s="8">
        <f t="shared" si="12"/>
        <v>2.2380461031287955</v>
      </c>
      <c r="C417" s="8">
        <v>3</v>
      </c>
      <c r="D417" s="8">
        <v>84</v>
      </c>
      <c r="E417" s="8">
        <v>33</v>
      </c>
      <c r="F417" s="8">
        <v>474</v>
      </c>
      <c r="G417" s="8">
        <v>35.700000000000003</v>
      </c>
      <c r="H417" s="8">
        <v>0.25800000000000001</v>
      </c>
      <c r="I417" s="8">
        <v>22</v>
      </c>
      <c r="J417" s="1">
        <v>2.1948342691763112</v>
      </c>
      <c r="K417" s="1">
        <v>4.3211833952484291E-2</v>
      </c>
      <c r="L417">
        <f t="shared" si="13"/>
        <v>1.867262593537074E-3</v>
      </c>
      <c r="P417" s="1">
        <v>379</v>
      </c>
      <c r="Q417" s="1">
        <v>2.340110534247964E-2</v>
      </c>
      <c r="R417" s="1">
        <v>-1.4528925440432871E-2</v>
      </c>
    </row>
    <row r="418" spans="1:18" x14ac:dyDescent="0.35">
      <c r="A418" s="8">
        <v>97</v>
      </c>
      <c r="B418" s="8">
        <f t="shared" si="12"/>
        <v>1.9867717342662448</v>
      </c>
      <c r="C418" s="8">
        <v>1</v>
      </c>
      <c r="D418" s="8">
        <v>68</v>
      </c>
      <c r="E418" s="8">
        <v>21</v>
      </c>
      <c r="F418" s="8">
        <v>0</v>
      </c>
      <c r="G418" s="8">
        <v>27.2</v>
      </c>
      <c r="H418" s="8">
        <v>1.095</v>
      </c>
      <c r="I418" s="8">
        <v>22</v>
      </c>
      <c r="J418" s="1">
        <v>1.9966406566161135</v>
      </c>
      <c r="K418" s="1">
        <v>-9.8689223498686918E-3</v>
      </c>
      <c r="L418">
        <f t="shared" si="13"/>
        <v>9.7395628347737785E-5</v>
      </c>
      <c r="P418" s="1">
        <v>380</v>
      </c>
      <c r="Q418" s="1">
        <v>6.3246273896535851E-2</v>
      </c>
      <c r="R418" s="1">
        <v>-5.1659371039686049E-2</v>
      </c>
    </row>
    <row r="419" spans="1:18" x14ac:dyDescent="0.35">
      <c r="A419" s="8">
        <v>144</v>
      </c>
      <c r="B419" s="8">
        <f t="shared" si="12"/>
        <v>2.1583624920952498</v>
      </c>
      <c r="C419" s="8">
        <v>4</v>
      </c>
      <c r="D419" s="8">
        <v>82</v>
      </c>
      <c r="E419" s="8">
        <v>32</v>
      </c>
      <c r="F419" s="8">
        <v>0</v>
      </c>
      <c r="G419" s="8">
        <v>38.5</v>
      </c>
      <c r="H419" s="8">
        <v>0.55400000000000005</v>
      </c>
      <c r="I419" s="8">
        <v>37</v>
      </c>
      <c r="J419" s="1">
        <v>2.0328760580143062</v>
      </c>
      <c r="K419" s="1">
        <v>0.12548643408094362</v>
      </c>
      <c r="L419">
        <f t="shared" si="13"/>
        <v>1.574684513835101E-2</v>
      </c>
      <c r="P419" s="1">
        <v>381</v>
      </c>
      <c r="Q419" s="1">
        <v>5.1376219494820262E-2</v>
      </c>
      <c r="R419" s="1">
        <v>-5.1349820476210159E-2</v>
      </c>
    </row>
    <row r="420" spans="1:18" x14ac:dyDescent="0.35">
      <c r="A420" s="8">
        <v>83</v>
      </c>
      <c r="B420" s="8">
        <f t="shared" si="12"/>
        <v>1.919078092376074</v>
      </c>
      <c r="C420" s="8">
        <v>1</v>
      </c>
      <c r="D420" s="8">
        <v>68</v>
      </c>
      <c r="E420" s="8">
        <v>0</v>
      </c>
      <c r="F420" s="8">
        <v>0</v>
      </c>
      <c r="G420" s="8">
        <v>18.2</v>
      </c>
      <c r="H420" s="8">
        <v>0.624</v>
      </c>
      <c r="I420" s="8">
        <v>27</v>
      </c>
      <c r="J420" s="1">
        <v>2.0113429303160189</v>
      </c>
      <c r="K420" s="1">
        <v>-9.2264837939944888E-2</v>
      </c>
      <c r="L420">
        <f t="shared" si="13"/>
        <v>8.5128003200842933E-3</v>
      </c>
      <c r="P420" s="1">
        <v>382</v>
      </c>
      <c r="Q420" s="1">
        <v>7.06107540888333E-2</v>
      </c>
      <c r="R420" s="1">
        <v>-6.5485947293053182E-2</v>
      </c>
    </row>
    <row r="421" spans="1:18" x14ac:dyDescent="0.35">
      <c r="A421" s="8">
        <v>129</v>
      </c>
      <c r="B421" s="8">
        <f t="shared" si="12"/>
        <v>2.1105897102992488</v>
      </c>
      <c r="C421" s="8">
        <v>3</v>
      </c>
      <c r="D421" s="8">
        <v>64</v>
      </c>
      <c r="E421" s="8">
        <v>29</v>
      </c>
      <c r="F421" s="8">
        <v>115</v>
      </c>
      <c r="G421" s="8">
        <v>26.4</v>
      </c>
      <c r="H421" s="8">
        <v>0.219</v>
      </c>
      <c r="I421" s="8">
        <v>28</v>
      </c>
      <c r="J421" s="1">
        <v>2.0205523369441276</v>
      </c>
      <c r="K421" s="1">
        <v>9.0037373355121186E-2</v>
      </c>
      <c r="L421">
        <f t="shared" si="13"/>
        <v>8.1067286006894865E-3</v>
      </c>
      <c r="P421" s="1">
        <v>383</v>
      </c>
      <c r="Q421" s="1">
        <v>-1.6109581542976568E-2</v>
      </c>
      <c r="R421" s="1">
        <v>1.8928200671481633E-2</v>
      </c>
    </row>
    <row r="422" spans="1:18" x14ac:dyDescent="0.35">
      <c r="A422" s="8">
        <v>119</v>
      </c>
      <c r="B422" s="8">
        <f t="shared" si="12"/>
        <v>2.0755469613925306</v>
      </c>
      <c r="C422" s="8">
        <v>1</v>
      </c>
      <c r="D422" s="8">
        <v>88</v>
      </c>
      <c r="E422" s="8">
        <v>41</v>
      </c>
      <c r="F422" s="8">
        <v>170</v>
      </c>
      <c r="G422" s="8">
        <v>45.3</v>
      </c>
      <c r="H422" s="8">
        <v>0.50700000000000001</v>
      </c>
      <c r="I422" s="8">
        <v>26</v>
      </c>
      <c r="J422" s="1">
        <v>2.0831555052350796</v>
      </c>
      <c r="K422" s="1">
        <v>-7.6085438425490537E-3</v>
      </c>
      <c r="L422">
        <f t="shared" si="13"/>
        <v>5.788993940399112E-5</v>
      </c>
      <c r="P422" s="1">
        <v>384</v>
      </c>
      <c r="Q422" s="1">
        <v>2.7854025368959416E-2</v>
      </c>
      <c r="R422" s="1">
        <v>-2.1570975426210032E-2</v>
      </c>
    </row>
    <row r="423" spans="1:18" x14ac:dyDescent="0.35">
      <c r="A423" s="8">
        <v>94</v>
      </c>
      <c r="B423" s="8">
        <f t="shared" si="12"/>
        <v>1.9731278535996986</v>
      </c>
      <c r="C423" s="8">
        <v>2</v>
      </c>
      <c r="D423" s="8">
        <v>68</v>
      </c>
      <c r="E423" s="8">
        <v>18</v>
      </c>
      <c r="F423" s="8">
        <v>76</v>
      </c>
      <c r="G423" s="8">
        <v>26</v>
      </c>
      <c r="H423" s="8">
        <v>0.56100000000000005</v>
      </c>
      <c r="I423" s="8">
        <v>21</v>
      </c>
      <c r="J423" s="1">
        <v>2.0170886670456407</v>
      </c>
      <c r="K423" s="1">
        <v>-4.396081344594216E-2</v>
      </c>
      <c r="L423">
        <f t="shared" si="13"/>
        <v>1.932553118828929E-3</v>
      </c>
      <c r="P423" s="1">
        <v>385</v>
      </c>
      <c r="Q423" s="1">
        <v>4.3564705635777724E-2</v>
      </c>
      <c r="R423" s="1">
        <v>-3.6937816341025997E-2</v>
      </c>
    </row>
    <row r="424" spans="1:18" x14ac:dyDescent="0.35">
      <c r="A424" s="8">
        <v>102</v>
      </c>
      <c r="B424" s="8">
        <f t="shared" si="12"/>
        <v>2.0086001717619175</v>
      </c>
      <c r="C424" s="8">
        <v>0</v>
      </c>
      <c r="D424" s="8">
        <v>64</v>
      </c>
      <c r="E424" s="8">
        <v>46</v>
      </c>
      <c r="F424" s="8">
        <v>78</v>
      </c>
      <c r="G424" s="8">
        <v>40.6</v>
      </c>
      <c r="H424" s="8">
        <v>0.496</v>
      </c>
      <c r="I424" s="8">
        <v>21</v>
      </c>
      <c r="J424" s="1">
        <v>1.9979233720876231</v>
      </c>
      <c r="K424" s="1">
        <v>1.0676799674294468E-2</v>
      </c>
      <c r="L424">
        <f t="shared" si="13"/>
        <v>1.1399405128501446E-4</v>
      </c>
      <c r="P424" s="1">
        <v>386</v>
      </c>
      <c r="Q424" s="1">
        <v>4.1970409389754389E-2</v>
      </c>
      <c r="R424" s="1">
        <v>-3.5668546084103928E-2</v>
      </c>
    </row>
    <row r="425" spans="1:18" x14ac:dyDescent="0.35">
      <c r="A425" s="8">
        <v>115</v>
      </c>
      <c r="B425" s="8">
        <f t="shared" si="12"/>
        <v>2.0606978403536118</v>
      </c>
      <c r="C425" s="8">
        <v>2</v>
      </c>
      <c r="D425" s="8">
        <v>64</v>
      </c>
      <c r="E425" s="8">
        <v>22</v>
      </c>
      <c r="F425" s="8">
        <v>0</v>
      </c>
      <c r="G425" s="8">
        <v>30.8</v>
      </c>
      <c r="H425" s="8">
        <v>0.42099999999999999</v>
      </c>
      <c r="I425" s="8">
        <v>21</v>
      </c>
      <c r="J425" s="1">
        <v>1.9824778772313865</v>
      </c>
      <c r="K425" s="1">
        <v>7.8219963122225344E-2</v>
      </c>
      <c r="L425">
        <f t="shared" si="13"/>
        <v>6.1183626308422929E-3</v>
      </c>
      <c r="P425" s="1">
        <v>387</v>
      </c>
      <c r="Q425" s="1">
        <v>6.5764445199388885E-2</v>
      </c>
      <c r="R425" s="1">
        <v>-6.3655644727639363E-2</v>
      </c>
    </row>
    <row r="426" spans="1:18" x14ac:dyDescent="0.35">
      <c r="A426" s="8">
        <v>151</v>
      </c>
      <c r="B426" s="8">
        <f t="shared" si="12"/>
        <v>2.1789769472931693</v>
      </c>
      <c r="C426" s="8">
        <v>8</v>
      </c>
      <c r="D426" s="8">
        <v>78</v>
      </c>
      <c r="E426" s="8">
        <v>32</v>
      </c>
      <c r="F426" s="8">
        <v>210</v>
      </c>
      <c r="G426" s="8">
        <v>42.9</v>
      </c>
      <c r="H426" s="8">
        <v>0.51600000000000001</v>
      </c>
      <c r="I426" s="8">
        <v>36</v>
      </c>
      <c r="J426" s="1">
        <v>2.1392324970644436</v>
      </c>
      <c r="K426" s="1">
        <v>3.9744450228725636E-2</v>
      </c>
      <c r="L426">
        <f t="shared" si="13"/>
        <v>1.5796213239836492E-3</v>
      </c>
      <c r="P426" s="1">
        <v>388</v>
      </c>
      <c r="Q426" s="1">
        <v>7.6840761179732306E-2</v>
      </c>
      <c r="R426" s="1">
        <v>-7.5518003232744615E-2</v>
      </c>
    </row>
    <row r="427" spans="1:18" x14ac:dyDescent="0.35">
      <c r="A427" s="8">
        <v>184</v>
      </c>
      <c r="B427" s="8">
        <f t="shared" si="12"/>
        <v>2.2648178230095364</v>
      </c>
      <c r="C427" s="8">
        <v>4</v>
      </c>
      <c r="D427" s="8">
        <v>78</v>
      </c>
      <c r="E427" s="8">
        <v>39</v>
      </c>
      <c r="F427" s="8">
        <v>277</v>
      </c>
      <c r="G427" s="8">
        <v>37</v>
      </c>
      <c r="H427" s="8">
        <v>0.26400000000000001</v>
      </c>
      <c r="I427" s="8">
        <v>31</v>
      </c>
      <c r="J427" s="1">
        <v>2.1172962566962759</v>
      </c>
      <c r="K427" s="1">
        <v>0.14752156631326052</v>
      </c>
      <c r="L427">
        <f t="shared" si="13"/>
        <v>2.1762612527517721E-2</v>
      </c>
      <c r="P427" s="1">
        <v>389</v>
      </c>
      <c r="Q427" s="1">
        <v>-1.6364746680706636E-2</v>
      </c>
      <c r="R427" s="1">
        <v>1.8381403347395561E-2</v>
      </c>
    </row>
    <row r="428" spans="1:18" x14ac:dyDescent="0.35">
      <c r="A428" s="8">
        <v>94</v>
      </c>
      <c r="B428" s="8">
        <f t="shared" si="12"/>
        <v>1.9731278535996986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0.25600000000000001</v>
      </c>
      <c r="I428" s="8">
        <v>25</v>
      </c>
      <c r="J428" s="1">
        <v>1.9230295462039759</v>
      </c>
      <c r="K428" s="1">
        <v>5.009830739572263E-2</v>
      </c>
      <c r="L428">
        <f t="shared" si="13"/>
        <v>2.5098404039163168E-3</v>
      </c>
      <c r="P428" s="1">
        <v>390</v>
      </c>
      <c r="Q428" s="1">
        <v>3.3195636083656763E-2</v>
      </c>
      <c r="R428" s="1">
        <v>-3.0368292721772921E-2</v>
      </c>
    </row>
    <row r="429" spans="1:18" x14ac:dyDescent="0.35">
      <c r="A429" s="8">
        <v>181</v>
      </c>
      <c r="B429" s="8">
        <f t="shared" si="12"/>
        <v>2.2576785748691846</v>
      </c>
      <c r="C429" s="8">
        <v>1</v>
      </c>
      <c r="D429" s="8">
        <v>64</v>
      </c>
      <c r="E429" s="8">
        <v>30</v>
      </c>
      <c r="F429" s="8">
        <v>180</v>
      </c>
      <c r="G429" s="8">
        <v>34.1</v>
      </c>
      <c r="H429" s="8">
        <v>0.32800000000000001</v>
      </c>
      <c r="I429" s="8">
        <v>38</v>
      </c>
      <c r="J429" s="1">
        <v>2.0935416371992552</v>
      </c>
      <c r="K429" s="1">
        <v>0.16413693766992932</v>
      </c>
      <c r="L429">
        <f t="shared" si="13"/>
        <v>2.694093430766226E-2</v>
      </c>
      <c r="P429" s="1">
        <v>391</v>
      </c>
      <c r="Q429" s="1">
        <v>2.4542514411882072E-2</v>
      </c>
      <c r="R429" s="1">
        <v>-1.2364306358416715E-2</v>
      </c>
    </row>
    <row r="430" spans="1:18" x14ac:dyDescent="0.35">
      <c r="A430" s="8">
        <v>135</v>
      </c>
      <c r="B430" s="8">
        <f t="shared" si="12"/>
        <v>2.1303337684950061</v>
      </c>
      <c r="C430" s="8">
        <v>0</v>
      </c>
      <c r="D430" s="8">
        <v>94</v>
      </c>
      <c r="E430" s="8">
        <v>46</v>
      </c>
      <c r="F430" s="8">
        <v>145</v>
      </c>
      <c r="G430" s="8">
        <v>40.6</v>
      </c>
      <c r="H430" s="8">
        <v>0.28399999999999997</v>
      </c>
      <c r="I430" s="8">
        <v>26</v>
      </c>
      <c r="J430" s="1">
        <v>2.0439498114201591</v>
      </c>
      <c r="K430" s="1">
        <v>8.6383957074847029E-2</v>
      </c>
      <c r="L430">
        <f t="shared" si="13"/>
        <v>7.4621880399090143E-3</v>
      </c>
      <c r="P430" s="1">
        <v>392</v>
      </c>
      <c r="Q430" s="1">
        <v>2.0338694875146227E-2</v>
      </c>
      <c r="R430" s="1">
        <v>-1.928799385875573E-3</v>
      </c>
    </row>
    <row r="431" spans="1:18" x14ac:dyDescent="0.35">
      <c r="A431" s="8">
        <v>95</v>
      </c>
      <c r="B431" s="8">
        <f t="shared" si="12"/>
        <v>1.9777236052888478</v>
      </c>
      <c r="C431" s="8">
        <v>1</v>
      </c>
      <c r="D431" s="8">
        <v>82</v>
      </c>
      <c r="E431" s="8">
        <v>25</v>
      </c>
      <c r="F431" s="8">
        <v>180</v>
      </c>
      <c r="G431" s="8">
        <v>35</v>
      </c>
      <c r="H431" s="8">
        <v>0.23300000000000001</v>
      </c>
      <c r="I431" s="8">
        <v>43</v>
      </c>
      <c r="J431" s="1">
        <v>2.1206888964454707</v>
      </c>
      <c r="K431" s="1">
        <v>-0.14296529115662282</v>
      </c>
      <c r="L431">
        <f t="shared" si="13"/>
        <v>2.0439074475497934E-2</v>
      </c>
      <c r="P431" s="1">
        <v>393</v>
      </c>
      <c r="Q431" s="1">
        <v>-5.6932279734721598E-2</v>
      </c>
      <c r="R431" s="1">
        <v>5.9243962361457264E-2</v>
      </c>
    </row>
    <row r="432" spans="1:18" x14ac:dyDescent="0.35">
      <c r="A432" s="8">
        <v>99</v>
      </c>
      <c r="B432" s="8">
        <f t="shared" si="12"/>
        <v>1.9956351945975499</v>
      </c>
      <c r="C432" s="8">
        <v>2</v>
      </c>
      <c r="D432" s="8">
        <v>0</v>
      </c>
      <c r="E432" s="8">
        <v>0</v>
      </c>
      <c r="F432" s="8">
        <v>0</v>
      </c>
      <c r="G432" s="8">
        <v>22.2</v>
      </c>
      <c r="H432" s="8">
        <v>0.108</v>
      </c>
      <c r="I432" s="8">
        <v>23</v>
      </c>
      <c r="J432" s="1">
        <v>1.9763645795749254</v>
      </c>
      <c r="K432" s="1">
        <v>1.9270615022624504E-2</v>
      </c>
      <c r="L432">
        <f t="shared" si="13"/>
        <v>3.7135660335020122E-4</v>
      </c>
      <c r="P432" s="1">
        <v>394</v>
      </c>
      <c r="Q432" s="1">
        <v>1.5576119917017791E-2</v>
      </c>
      <c r="R432" s="1">
        <v>-1.5563468274237069E-2</v>
      </c>
    </row>
    <row r="433" spans="1:18" x14ac:dyDescent="0.35">
      <c r="A433" s="8">
        <v>89</v>
      </c>
      <c r="B433" s="8">
        <f t="shared" si="12"/>
        <v>1.9493900066449128</v>
      </c>
      <c r="C433" s="8">
        <v>3</v>
      </c>
      <c r="D433" s="8">
        <v>74</v>
      </c>
      <c r="E433" s="8">
        <v>16</v>
      </c>
      <c r="F433" s="8">
        <v>85</v>
      </c>
      <c r="G433" s="8">
        <v>30.4</v>
      </c>
      <c r="H433" s="8">
        <v>0.55100000000000005</v>
      </c>
      <c r="I433" s="8">
        <v>38</v>
      </c>
      <c r="J433" s="1">
        <v>2.0793024677187866</v>
      </c>
      <c r="K433" s="1">
        <v>-0.12991246107387378</v>
      </c>
      <c r="L433">
        <f t="shared" si="13"/>
        <v>1.6877247542270768E-2</v>
      </c>
      <c r="P433" s="1">
        <v>395</v>
      </c>
      <c r="Q433" s="1">
        <v>1.105166173061012E-2</v>
      </c>
      <c r="R433" s="1">
        <v>5.0102651074674914E-3</v>
      </c>
    </row>
    <row r="434" spans="1:18" x14ac:dyDescent="0.35">
      <c r="A434" s="8">
        <v>80</v>
      </c>
      <c r="B434" s="8">
        <f t="shared" si="12"/>
        <v>1.9030899869919435</v>
      </c>
      <c r="C434" s="8">
        <v>1</v>
      </c>
      <c r="D434" s="8">
        <v>74</v>
      </c>
      <c r="E434" s="8">
        <v>11</v>
      </c>
      <c r="F434" s="8">
        <v>60</v>
      </c>
      <c r="G434" s="8">
        <v>30</v>
      </c>
      <c r="H434" s="8">
        <v>0.52700000000000002</v>
      </c>
      <c r="I434" s="8">
        <v>22</v>
      </c>
      <c r="J434" s="1">
        <v>2.0367641615220484</v>
      </c>
      <c r="K434" s="1">
        <v>-0.13367417453010488</v>
      </c>
      <c r="L434">
        <f t="shared" si="13"/>
        <v>1.7868784936304942E-2</v>
      </c>
      <c r="P434" s="1">
        <v>396</v>
      </c>
      <c r="Q434" s="1">
        <v>-2.4862801383544735E-2</v>
      </c>
      <c r="R434" s="1">
        <v>2.5902292242931824E-2</v>
      </c>
    </row>
    <row r="435" spans="1:18" x14ac:dyDescent="0.35">
      <c r="A435" s="8">
        <v>139</v>
      </c>
      <c r="B435" s="8">
        <f t="shared" si="12"/>
        <v>2.143014800254095</v>
      </c>
      <c r="C435" s="8">
        <v>2</v>
      </c>
      <c r="D435" s="8">
        <v>75</v>
      </c>
      <c r="E435" s="8">
        <v>0</v>
      </c>
      <c r="F435" s="8">
        <v>0</v>
      </c>
      <c r="G435" s="8">
        <v>25.6</v>
      </c>
      <c r="H435" s="8">
        <v>0.16700000000000001</v>
      </c>
      <c r="I435" s="8">
        <v>29</v>
      </c>
      <c r="J435" s="1">
        <v>2.0263279734320205</v>
      </c>
      <c r="K435" s="1">
        <v>0.11668682682207443</v>
      </c>
      <c r="L435">
        <f t="shared" si="13"/>
        <v>1.3615815553804788E-2</v>
      </c>
      <c r="P435" s="1">
        <v>397</v>
      </c>
      <c r="Q435" s="1">
        <v>4.4164033431836926E-2</v>
      </c>
      <c r="R435" s="1">
        <v>-3.9595534582921539E-2</v>
      </c>
    </row>
    <row r="436" spans="1:18" x14ac:dyDescent="0.35">
      <c r="A436" s="8">
        <v>90</v>
      </c>
      <c r="B436" s="8">
        <f t="shared" si="12"/>
        <v>1.954242509439325</v>
      </c>
      <c r="C436" s="8">
        <v>1</v>
      </c>
      <c r="D436" s="8">
        <v>68</v>
      </c>
      <c r="E436" s="8">
        <v>8</v>
      </c>
      <c r="F436" s="8">
        <v>0</v>
      </c>
      <c r="G436" s="8">
        <v>24.5</v>
      </c>
      <c r="H436" s="8">
        <v>1.1379999999999999</v>
      </c>
      <c r="I436" s="8">
        <v>36</v>
      </c>
      <c r="J436" s="1">
        <v>2.0485147971131918</v>
      </c>
      <c r="K436" s="1">
        <v>-9.4272287673866861E-2</v>
      </c>
      <c r="L436">
        <f t="shared" si="13"/>
        <v>8.8872642232643104E-3</v>
      </c>
      <c r="P436" s="1">
        <v>398</v>
      </c>
      <c r="Q436" s="1">
        <v>0.10642401909951868</v>
      </c>
      <c r="R436" s="1">
        <v>-7.8949423147356756E-2</v>
      </c>
    </row>
    <row r="437" spans="1:18" x14ac:dyDescent="0.35">
      <c r="A437" s="8">
        <v>141</v>
      </c>
      <c r="B437" s="8">
        <f t="shared" si="12"/>
        <v>2.1492191126553797</v>
      </c>
      <c r="C437" s="8">
        <v>0</v>
      </c>
      <c r="D437" s="8">
        <v>0</v>
      </c>
      <c r="E437" s="8">
        <v>0</v>
      </c>
      <c r="F437" s="8">
        <v>0</v>
      </c>
      <c r="G437" s="8">
        <v>42.4</v>
      </c>
      <c r="H437" s="8">
        <v>0.20499999999999999</v>
      </c>
      <c r="I437" s="8">
        <v>29</v>
      </c>
      <c r="J437" s="1">
        <v>2.0460991813112499</v>
      </c>
      <c r="K437" s="1">
        <v>0.10311993134412978</v>
      </c>
      <c r="L437">
        <f t="shared" si="13"/>
        <v>1.0633720240418039E-2</v>
      </c>
      <c r="P437" s="1">
        <v>399</v>
      </c>
      <c r="Q437" s="1">
        <v>2.1531195731271702E-2</v>
      </c>
      <c r="R437" s="1">
        <v>-1.2199461308933878E-2</v>
      </c>
    </row>
    <row r="438" spans="1:18" x14ac:dyDescent="0.35">
      <c r="A438" s="8">
        <v>140</v>
      </c>
      <c r="B438" s="8">
        <f t="shared" si="12"/>
        <v>2.1461280356782382</v>
      </c>
      <c r="C438" s="8">
        <v>12</v>
      </c>
      <c r="D438" s="8">
        <v>85</v>
      </c>
      <c r="E438" s="8">
        <v>33</v>
      </c>
      <c r="F438" s="8">
        <v>0</v>
      </c>
      <c r="G438" s="8">
        <v>37.4</v>
      </c>
      <c r="H438" s="8">
        <v>0.24399999999999999</v>
      </c>
      <c r="I438" s="8">
        <v>41</v>
      </c>
      <c r="J438" s="1">
        <v>2.0370039328504856</v>
      </c>
      <c r="K438" s="1">
        <v>0.10912410282775253</v>
      </c>
      <c r="L438">
        <f t="shared" si="13"/>
        <v>1.1908069817961909E-2</v>
      </c>
      <c r="P438" s="1">
        <v>400</v>
      </c>
      <c r="Q438" s="1">
        <v>8.3044034448086515E-2</v>
      </c>
      <c r="R438" s="1">
        <v>8.3884324975802282E-3</v>
      </c>
    </row>
    <row r="439" spans="1:18" x14ac:dyDescent="0.35">
      <c r="A439" s="8">
        <v>147</v>
      </c>
      <c r="B439" s="8">
        <f t="shared" si="12"/>
        <v>2.167317334748176</v>
      </c>
      <c r="C439" s="8">
        <v>5</v>
      </c>
      <c r="D439" s="8">
        <v>75</v>
      </c>
      <c r="E439" s="8">
        <v>0</v>
      </c>
      <c r="F439" s="8">
        <v>0</v>
      </c>
      <c r="G439" s="8">
        <v>29.9</v>
      </c>
      <c r="H439" s="8">
        <v>0.434</v>
      </c>
      <c r="I439" s="8">
        <v>28</v>
      </c>
      <c r="J439" s="1">
        <v>2.0461764047316668</v>
      </c>
      <c r="K439" s="1">
        <v>0.12114093001650916</v>
      </c>
      <c r="L439">
        <f t="shared" si="13"/>
        <v>1.4675124925264771E-2</v>
      </c>
      <c r="P439" s="1">
        <v>401</v>
      </c>
      <c r="Q439" s="1">
        <v>2.5244086167700033E-2</v>
      </c>
      <c r="R439" s="1">
        <v>-2.0523012003391974E-2</v>
      </c>
    </row>
    <row r="440" spans="1:18" x14ac:dyDescent="0.35">
      <c r="A440" s="8">
        <v>97</v>
      </c>
      <c r="B440" s="8">
        <f t="shared" si="12"/>
        <v>1.9867717342662448</v>
      </c>
      <c r="C440" s="8">
        <v>1</v>
      </c>
      <c r="D440" s="8">
        <v>70</v>
      </c>
      <c r="E440" s="8">
        <v>15</v>
      </c>
      <c r="F440" s="8">
        <v>0</v>
      </c>
      <c r="G440" s="8">
        <v>18.2</v>
      </c>
      <c r="H440" s="8">
        <v>0.14699999999999999</v>
      </c>
      <c r="I440" s="8">
        <v>21</v>
      </c>
      <c r="J440" s="1">
        <v>1.9551170760947976</v>
      </c>
      <c r="K440" s="1">
        <v>3.1654658171447192E-2</v>
      </c>
      <c r="L440">
        <f t="shared" si="13"/>
        <v>1.0020173839511684E-3</v>
      </c>
      <c r="P440" s="1">
        <v>402</v>
      </c>
      <c r="Q440" s="1">
        <v>1.7946617582820262E-2</v>
      </c>
      <c r="R440" s="1">
        <v>-1.4925635681017698E-2</v>
      </c>
    </row>
    <row r="441" spans="1:18" x14ac:dyDescent="0.35">
      <c r="A441" s="8">
        <v>107</v>
      </c>
      <c r="B441" s="8">
        <f t="shared" si="12"/>
        <v>2.0293837776852097</v>
      </c>
      <c r="C441" s="8">
        <v>6</v>
      </c>
      <c r="D441" s="8">
        <v>88</v>
      </c>
      <c r="E441" s="8">
        <v>0</v>
      </c>
      <c r="F441" s="8">
        <v>0</v>
      </c>
      <c r="G441" s="8">
        <v>36.799999999999997</v>
      </c>
      <c r="H441" s="8">
        <v>0.72699999999999998</v>
      </c>
      <c r="I441" s="8">
        <v>31</v>
      </c>
      <c r="J441" s="1">
        <v>2.0855903763090322</v>
      </c>
      <c r="K441" s="1">
        <v>-5.620659862382249E-2</v>
      </c>
      <c r="L441">
        <f t="shared" si="13"/>
        <v>3.1591817288594841E-3</v>
      </c>
      <c r="P441" s="1">
        <v>403</v>
      </c>
      <c r="Q441" s="1">
        <v>7.031649390106183E-2</v>
      </c>
      <c r="R441" s="1">
        <v>-6.0616655698055869E-2</v>
      </c>
    </row>
    <row r="442" spans="1:18" x14ac:dyDescent="0.35">
      <c r="A442" s="8">
        <v>189</v>
      </c>
      <c r="B442" s="8">
        <f t="shared" si="12"/>
        <v>2.2764618041732443</v>
      </c>
      <c r="C442" s="8">
        <v>0</v>
      </c>
      <c r="D442" s="8">
        <v>104</v>
      </c>
      <c r="E442" s="8">
        <v>25</v>
      </c>
      <c r="F442" s="8">
        <v>0</v>
      </c>
      <c r="G442" s="8">
        <v>34.299999999999997</v>
      </c>
      <c r="H442" s="8">
        <v>0.435</v>
      </c>
      <c r="I442" s="8">
        <v>41</v>
      </c>
      <c r="J442" s="1">
        <v>2.0445812440036981</v>
      </c>
      <c r="K442" s="1">
        <v>0.23188056016954617</v>
      </c>
      <c r="L442">
        <f t="shared" si="13"/>
        <v>5.3768594184542523E-2</v>
      </c>
      <c r="P442" s="1">
        <v>404</v>
      </c>
      <c r="Q442" s="1">
        <v>5.7833721079908466E-2</v>
      </c>
      <c r="R442" s="1">
        <v>-2.9484904096442159E-2</v>
      </c>
    </row>
    <row r="443" spans="1:18" x14ac:dyDescent="0.35">
      <c r="A443" s="8">
        <v>83</v>
      </c>
      <c r="B443" s="8">
        <f t="shared" si="12"/>
        <v>1.919078092376074</v>
      </c>
      <c r="C443" s="8">
        <v>2</v>
      </c>
      <c r="D443" s="8">
        <v>66</v>
      </c>
      <c r="E443" s="8">
        <v>23</v>
      </c>
      <c r="F443" s="8">
        <v>50</v>
      </c>
      <c r="G443" s="8">
        <v>32.200000000000003</v>
      </c>
      <c r="H443" s="8">
        <v>0.497</v>
      </c>
      <c r="I443" s="8">
        <v>22</v>
      </c>
      <c r="J443" s="1">
        <v>2.0122031704003778</v>
      </c>
      <c r="K443" s="1">
        <v>-9.3125078024303809E-2</v>
      </c>
      <c r="L443">
        <f t="shared" si="13"/>
        <v>8.6722801570326725E-3</v>
      </c>
      <c r="P443" s="1">
        <v>405</v>
      </c>
      <c r="Q443" s="1">
        <v>2.2542653411688422E-2</v>
      </c>
      <c r="R443" s="1">
        <v>8.4465226013248282E-4</v>
      </c>
    </row>
    <row r="444" spans="1:18" x14ac:dyDescent="0.35">
      <c r="A444" s="8">
        <v>117</v>
      </c>
      <c r="B444" s="8">
        <f t="shared" si="12"/>
        <v>2.0681858617461617</v>
      </c>
      <c r="C444" s="8">
        <v>4</v>
      </c>
      <c r="D444" s="8">
        <v>64</v>
      </c>
      <c r="E444" s="8">
        <v>27</v>
      </c>
      <c r="F444" s="8">
        <v>120</v>
      </c>
      <c r="G444" s="8">
        <v>33.200000000000003</v>
      </c>
      <c r="H444" s="8">
        <v>0.23</v>
      </c>
      <c r="I444" s="8">
        <v>24</v>
      </c>
      <c r="J444" s="1">
        <v>2.0371526140957483</v>
      </c>
      <c r="K444" s="1">
        <v>3.1033247650413376E-2</v>
      </c>
      <c r="L444">
        <f t="shared" si="13"/>
        <v>9.6306245973188731E-4</v>
      </c>
      <c r="P444" s="1">
        <v>406</v>
      </c>
      <c r="Q444" s="1">
        <v>4.1974934382147749E-2</v>
      </c>
      <c r="R444" s="1">
        <v>-4.1826274350458749E-2</v>
      </c>
    </row>
    <row r="445" spans="1:18" x14ac:dyDescent="0.35">
      <c r="A445" s="8">
        <v>108</v>
      </c>
      <c r="B445" s="8">
        <f t="shared" si="12"/>
        <v>2.0334237554869499</v>
      </c>
      <c r="C445" s="8">
        <v>8</v>
      </c>
      <c r="D445" s="8">
        <v>70</v>
      </c>
      <c r="E445" s="8">
        <v>0</v>
      </c>
      <c r="F445" s="8">
        <v>0</v>
      </c>
      <c r="G445" s="8">
        <v>30.5</v>
      </c>
      <c r="H445" s="8">
        <v>0.95499999999999996</v>
      </c>
      <c r="I445" s="8">
        <v>33</v>
      </c>
      <c r="J445" s="1">
        <v>2.0755413867173913</v>
      </c>
      <c r="K445" s="1">
        <v>-4.2117631230441432E-2</v>
      </c>
      <c r="L445">
        <f t="shared" si="13"/>
        <v>1.7738948604634555E-3</v>
      </c>
      <c r="P445" s="1">
        <v>407</v>
      </c>
      <c r="Q445" s="1">
        <v>1.7074540374549103E-2</v>
      </c>
      <c r="R445" s="1">
        <v>-1.6630403576789705E-2</v>
      </c>
    </row>
    <row r="446" spans="1:18" x14ac:dyDescent="0.35">
      <c r="A446" s="8">
        <v>117</v>
      </c>
      <c r="B446" s="8">
        <f t="shared" si="12"/>
        <v>2.0681858617461617</v>
      </c>
      <c r="C446" s="8">
        <v>4</v>
      </c>
      <c r="D446" s="8">
        <v>62</v>
      </c>
      <c r="E446" s="8">
        <v>12</v>
      </c>
      <c r="F446" s="8">
        <v>0</v>
      </c>
      <c r="G446" s="8">
        <v>29.7</v>
      </c>
      <c r="H446" s="8">
        <v>0.38</v>
      </c>
      <c r="I446" s="8">
        <v>30</v>
      </c>
      <c r="J446" s="1">
        <v>2.0200314400464268</v>
      </c>
      <c r="K446" s="1">
        <v>4.8154421699734939E-2</v>
      </c>
      <c r="L446">
        <f t="shared" si="13"/>
        <v>2.3188483292359034E-3</v>
      </c>
      <c r="P446" s="1">
        <v>408</v>
      </c>
      <c r="Q446" s="1">
        <v>2.8693124199356462E-2</v>
      </c>
      <c r="R446" s="1">
        <v>-2.8691631416735097E-2</v>
      </c>
    </row>
    <row r="447" spans="1:18" x14ac:dyDescent="0.35">
      <c r="A447" s="8">
        <v>180</v>
      </c>
      <c r="B447" s="8">
        <f t="shared" si="12"/>
        <v>2.255272505103306</v>
      </c>
      <c r="C447" s="8">
        <v>0</v>
      </c>
      <c r="D447" s="8">
        <v>78</v>
      </c>
      <c r="E447" s="8">
        <v>63</v>
      </c>
      <c r="F447" s="8">
        <v>14</v>
      </c>
      <c r="G447" s="8">
        <v>59.4</v>
      </c>
      <c r="H447" s="8">
        <v>2.42</v>
      </c>
      <c r="I447" s="8">
        <v>25</v>
      </c>
      <c r="J447" s="1">
        <v>2.055802882555227</v>
      </c>
      <c r="K447" s="1">
        <v>0.19946962254807898</v>
      </c>
      <c r="L447">
        <f t="shared" si="13"/>
        <v>3.9788130319473099E-2</v>
      </c>
      <c r="P447" s="1">
        <v>409</v>
      </c>
      <c r="Q447" s="1">
        <v>-3.877187172892072E-3</v>
      </c>
      <c r="R447" s="1">
        <v>4.7709348251956898E-2</v>
      </c>
    </row>
    <row r="448" spans="1:18" x14ac:dyDescent="0.35">
      <c r="A448" s="8">
        <v>100</v>
      </c>
      <c r="B448" s="8">
        <f t="shared" si="12"/>
        <v>2</v>
      </c>
      <c r="C448" s="8">
        <v>1</v>
      </c>
      <c r="D448" s="8">
        <v>72</v>
      </c>
      <c r="E448" s="8">
        <v>12</v>
      </c>
      <c r="F448" s="8">
        <v>70</v>
      </c>
      <c r="G448" s="8">
        <v>25.3</v>
      </c>
      <c r="H448" s="8">
        <v>0.65800000000000003</v>
      </c>
      <c r="I448" s="8">
        <v>28</v>
      </c>
      <c r="J448" s="1">
        <v>2.043636203206733</v>
      </c>
      <c r="K448" s="1">
        <v>-4.3636203206733004E-2</v>
      </c>
      <c r="L448">
        <f t="shared" si="13"/>
        <v>1.9041182302992957E-3</v>
      </c>
      <c r="P448" s="1">
        <v>410</v>
      </c>
      <c r="Q448" s="1">
        <v>-4.1225289098036758E-2</v>
      </c>
      <c r="R448" s="1">
        <v>4.1404410878664741E-2</v>
      </c>
    </row>
    <row r="449" spans="1:18" x14ac:dyDescent="0.35">
      <c r="A449" s="8">
        <v>95</v>
      </c>
      <c r="B449" s="8">
        <f t="shared" si="12"/>
        <v>1.9777236052888478</v>
      </c>
      <c r="C449" s="8">
        <v>0</v>
      </c>
      <c r="D449" s="8">
        <v>80</v>
      </c>
      <c r="E449" s="8">
        <v>45</v>
      </c>
      <c r="F449" s="8">
        <v>92</v>
      </c>
      <c r="G449" s="8">
        <v>36.5</v>
      </c>
      <c r="H449" s="8">
        <v>0.33</v>
      </c>
      <c r="I449" s="8">
        <v>26</v>
      </c>
      <c r="J449" s="1">
        <v>2.0073350467251174</v>
      </c>
      <c r="K449" s="1">
        <v>-2.9611441436269592E-2</v>
      </c>
      <c r="L449">
        <f t="shared" si="13"/>
        <v>8.7683746393362372E-4</v>
      </c>
      <c r="P449" s="1">
        <v>411</v>
      </c>
      <c r="Q449" s="1">
        <v>8.1274367069797737E-2</v>
      </c>
      <c r="R449" s="1">
        <v>-8.1175418905380811E-2</v>
      </c>
    </row>
    <row r="450" spans="1:18" x14ac:dyDescent="0.35">
      <c r="A450" s="8">
        <v>104</v>
      </c>
      <c r="B450" s="8">
        <f t="shared" si="12"/>
        <v>2.0170333392987803</v>
      </c>
      <c r="C450" s="8">
        <v>0</v>
      </c>
      <c r="D450" s="8">
        <v>64</v>
      </c>
      <c r="E450" s="8">
        <v>37</v>
      </c>
      <c r="F450" s="8">
        <v>64</v>
      </c>
      <c r="G450" s="8">
        <v>33.6</v>
      </c>
      <c r="H450" s="8">
        <v>0.51</v>
      </c>
      <c r="I450" s="8">
        <v>22</v>
      </c>
      <c r="J450" s="1">
        <v>1.9928405346271176</v>
      </c>
      <c r="K450" s="1">
        <v>2.4192804671662627E-2</v>
      </c>
      <c r="L450">
        <f t="shared" si="13"/>
        <v>5.8529179788122099E-4</v>
      </c>
      <c r="P450" s="1">
        <v>412</v>
      </c>
      <c r="Q450" s="1">
        <v>3.2207896788176892E-2</v>
      </c>
      <c r="R450" s="1">
        <v>-3.1748379853298134E-2</v>
      </c>
    </row>
    <row r="451" spans="1:18" x14ac:dyDescent="0.35">
      <c r="A451" s="8">
        <v>120</v>
      </c>
      <c r="B451" s="8">
        <f t="shared" ref="B451:B514" si="14">LOG(A451)</f>
        <v>2.0791812460476247</v>
      </c>
      <c r="C451" s="8">
        <v>0</v>
      </c>
      <c r="D451" s="8">
        <v>74</v>
      </c>
      <c r="E451" s="8">
        <v>18</v>
      </c>
      <c r="F451" s="8">
        <v>63</v>
      </c>
      <c r="G451" s="8">
        <v>30.5</v>
      </c>
      <c r="H451" s="8">
        <v>0.28499999999999998</v>
      </c>
      <c r="I451" s="8">
        <v>26</v>
      </c>
      <c r="J451" s="1">
        <v>2.0272662977727745</v>
      </c>
      <c r="K451" s="1">
        <v>5.1914948274850214E-2</v>
      </c>
      <c r="L451">
        <f t="shared" ref="L451:L514" si="15">K451*K451</f>
        <v>2.695161854380373E-3</v>
      </c>
      <c r="P451" s="1">
        <v>413</v>
      </c>
      <c r="Q451" s="1">
        <v>-2.7018825960379082E-2</v>
      </c>
      <c r="R451" s="1">
        <v>2.7607095260941829E-2</v>
      </c>
    </row>
    <row r="452" spans="1:18" x14ac:dyDescent="0.35">
      <c r="A452" s="8">
        <v>82</v>
      </c>
      <c r="B452" s="8">
        <f t="shared" si="14"/>
        <v>1.9138138523837167</v>
      </c>
      <c r="C452" s="8">
        <v>1</v>
      </c>
      <c r="D452" s="8">
        <v>64</v>
      </c>
      <c r="E452" s="8">
        <v>13</v>
      </c>
      <c r="F452" s="8">
        <v>95</v>
      </c>
      <c r="G452" s="8">
        <v>21.2</v>
      </c>
      <c r="H452" s="8">
        <v>0.41499999999999998</v>
      </c>
      <c r="I452" s="8">
        <v>23</v>
      </c>
      <c r="J452" s="1">
        <v>2.0206240366343029</v>
      </c>
      <c r="K452" s="1">
        <v>-0.10681018425058619</v>
      </c>
      <c r="L452">
        <f t="shared" si="15"/>
        <v>1.1408415459644172E-2</v>
      </c>
      <c r="P452" s="1">
        <v>414</v>
      </c>
      <c r="Q452" s="1">
        <v>5.2330326146030011E-2</v>
      </c>
      <c r="R452" s="1">
        <v>-2.6732807835583506E-2</v>
      </c>
    </row>
    <row r="453" spans="1:18" x14ac:dyDescent="0.35">
      <c r="A453" s="8">
        <v>134</v>
      </c>
      <c r="B453" s="8">
        <f t="shared" si="14"/>
        <v>2.1271047983648077</v>
      </c>
      <c r="C453" s="8">
        <v>2</v>
      </c>
      <c r="D453" s="8">
        <v>70</v>
      </c>
      <c r="E453" s="8">
        <v>0</v>
      </c>
      <c r="F453" s="8">
        <v>0</v>
      </c>
      <c r="G453" s="8">
        <v>28.9</v>
      </c>
      <c r="H453" s="8">
        <v>0.54200000000000004</v>
      </c>
      <c r="I453" s="8">
        <v>23</v>
      </c>
      <c r="J453" s="1">
        <v>2.0303752172223346</v>
      </c>
      <c r="K453" s="1">
        <v>9.6729581142473098E-2</v>
      </c>
      <c r="L453">
        <f t="shared" si="15"/>
        <v>9.3566118679982869E-3</v>
      </c>
      <c r="P453" s="1">
        <v>415</v>
      </c>
      <c r="Q453" s="1">
        <v>4.8017783510560408E-2</v>
      </c>
      <c r="R453" s="1">
        <v>-3.8679869652474913E-2</v>
      </c>
    </row>
    <row r="454" spans="1:18" x14ac:dyDescent="0.35">
      <c r="A454" s="8">
        <v>91</v>
      </c>
      <c r="B454" s="8">
        <f t="shared" si="14"/>
        <v>1.9590413923210936</v>
      </c>
      <c r="C454" s="8">
        <v>0</v>
      </c>
      <c r="D454" s="8">
        <v>68</v>
      </c>
      <c r="E454" s="8">
        <v>32</v>
      </c>
      <c r="F454" s="8">
        <v>210</v>
      </c>
      <c r="G454" s="8">
        <v>39.9</v>
      </c>
      <c r="H454" s="8">
        <v>0.38100000000000001</v>
      </c>
      <c r="I454" s="8">
        <v>25</v>
      </c>
      <c r="J454" s="1">
        <v>2.0906393463148283</v>
      </c>
      <c r="K454" s="1">
        <v>-0.13159795399373464</v>
      </c>
      <c r="L454">
        <f t="shared" si="15"/>
        <v>1.7318021495337097E-2</v>
      </c>
      <c r="P454" s="1">
        <v>416</v>
      </c>
      <c r="Q454" s="1">
        <v>-4.0387781800459724E-2</v>
      </c>
      <c r="R454" s="1">
        <v>4.2255044393996799E-2</v>
      </c>
    </row>
    <row r="455" spans="1:18" x14ac:dyDescent="0.35">
      <c r="A455" s="8">
        <v>119</v>
      </c>
      <c r="B455" s="8">
        <f t="shared" si="14"/>
        <v>2.0755469613925306</v>
      </c>
      <c r="C455" s="8">
        <v>2</v>
      </c>
      <c r="D455" s="8">
        <v>0</v>
      </c>
      <c r="E455" s="8">
        <v>0</v>
      </c>
      <c r="F455" s="8">
        <v>0</v>
      </c>
      <c r="G455" s="8">
        <v>19.600000000000001</v>
      </c>
      <c r="H455" s="8">
        <v>0.83199999999999996</v>
      </c>
      <c r="I455" s="8">
        <v>72</v>
      </c>
      <c r="J455" s="1">
        <v>2.104143447770721</v>
      </c>
      <c r="K455" s="1">
        <v>-2.8596486378190455E-2</v>
      </c>
      <c r="L455">
        <f t="shared" si="15"/>
        <v>8.177590331780323E-4</v>
      </c>
      <c r="P455" s="1">
        <v>417</v>
      </c>
      <c r="Q455" s="1">
        <v>5.190231597342327E-2</v>
      </c>
      <c r="R455" s="1">
        <v>-5.1804920345075535E-2</v>
      </c>
    </row>
    <row r="456" spans="1:18" x14ac:dyDescent="0.35">
      <c r="A456" s="8">
        <v>100</v>
      </c>
      <c r="B456" s="8">
        <f t="shared" si="14"/>
        <v>2</v>
      </c>
      <c r="C456" s="8">
        <v>2</v>
      </c>
      <c r="D456" s="8">
        <v>54</v>
      </c>
      <c r="E456" s="8">
        <v>28</v>
      </c>
      <c r="F456" s="8">
        <v>105</v>
      </c>
      <c r="G456" s="8">
        <v>37.799999999999997</v>
      </c>
      <c r="H456" s="8">
        <v>0.498</v>
      </c>
      <c r="I456" s="8">
        <v>24</v>
      </c>
      <c r="J456" s="1">
        <v>2.0433103665980763</v>
      </c>
      <c r="K456" s="1">
        <v>-4.33103665980763E-2</v>
      </c>
      <c r="L456">
        <f t="shared" si="15"/>
        <v>1.8757878548597631E-3</v>
      </c>
      <c r="P456" s="1">
        <v>418</v>
      </c>
      <c r="Q456" s="1">
        <v>7.3810608526152593E-2</v>
      </c>
      <c r="R456" s="1">
        <v>-5.8063763387801587E-2</v>
      </c>
    </row>
    <row r="457" spans="1:18" x14ac:dyDescent="0.35">
      <c r="A457" s="8">
        <v>175</v>
      </c>
      <c r="B457" s="8">
        <f t="shared" si="14"/>
        <v>2.2430380486862944</v>
      </c>
      <c r="C457" s="8">
        <v>14</v>
      </c>
      <c r="D457" s="8">
        <v>62</v>
      </c>
      <c r="E457" s="8">
        <v>30</v>
      </c>
      <c r="F457" s="8">
        <v>0</v>
      </c>
      <c r="G457" s="8">
        <v>33.6</v>
      </c>
      <c r="H457" s="8">
        <v>0.21199999999999999</v>
      </c>
      <c r="I457" s="8">
        <v>38</v>
      </c>
      <c r="J457" s="1">
        <v>2.018848645415837</v>
      </c>
      <c r="K457" s="1">
        <v>0.22418940327045744</v>
      </c>
      <c r="L457">
        <f t="shared" si="15"/>
        <v>5.0260888538763794E-2</v>
      </c>
      <c r="P457" s="1">
        <v>419</v>
      </c>
      <c r="Q457" s="1">
        <v>2.0047232470536989E-2</v>
      </c>
      <c r="R457" s="1">
        <v>-1.1534432150452696E-2</v>
      </c>
    </row>
    <row r="458" spans="1:18" x14ac:dyDescent="0.35">
      <c r="A458" s="8">
        <v>135</v>
      </c>
      <c r="B458" s="8">
        <f t="shared" si="14"/>
        <v>2.1303337684950061</v>
      </c>
      <c r="C458" s="8">
        <v>1</v>
      </c>
      <c r="D458" s="8">
        <v>54</v>
      </c>
      <c r="E458" s="8">
        <v>0</v>
      </c>
      <c r="F458" s="8">
        <v>0</v>
      </c>
      <c r="G458" s="8">
        <v>26.7</v>
      </c>
      <c r="H458" s="8">
        <v>0.68700000000000006</v>
      </c>
      <c r="I458" s="8">
        <v>62</v>
      </c>
      <c r="J458" s="1">
        <v>2.113087828124931</v>
      </c>
      <c r="K458" s="1">
        <v>1.7245940370075097E-2</v>
      </c>
      <c r="L458">
        <f t="shared" si="15"/>
        <v>2.9742245924818596E-4</v>
      </c>
      <c r="P458" s="1">
        <v>420</v>
      </c>
      <c r="Q458" s="1">
        <v>4.9071744620344415E-2</v>
      </c>
      <c r="R458" s="1">
        <v>-4.096501601965493E-2</v>
      </c>
    </row>
    <row r="459" spans="1:18" x14ac:dyDescent="0.35">
      <c r="A459" s="8">
        <v>86</v>
      </c>
      <c r="B459" s="8">
        <f t="shared" si="14"/>
        <v>1.9344984512435677</v>
      </c>
      <c r="C459" s="8">
        <v>5</v>
      </c>
      <c r="D459" s="8">
        <v>68</v>
      </c>
      <c r="E459" s="8">
        <v>28</v>
      </c>
      <c r="F459" s="8">
        <v>71</v>
      </c>
      <c r="G459" s="8">
        <v>30.2</v>
      </c>
      <c r="H459" s="8">
        <v>0.36399999999999999</v>
      </c>
      <c r="I459" s="8">
        <v>24</v>
      </c>
      <c r="J459" s="1">
        <v>2.0109236863244773</v>
      </c>
      <c r="K459" s="1">
        <v>-7.6425235080909593E-2</v>
      </c>
      <c r="L459">
        <f t="shared" si="15"/>
        <v>5.840816557172294E-3</v>
      </c>
      <c r="P459" s="1">
        <v>421</v>
      </c>
      <c r="Q459" s="1">
        <v>5.2776094911006925E-2</v>
      </c>
      <c r="R459" s="1">
        <v>-5.2718204971602935E-2</v>
      </c>
    </row>
    <row r="460" spans="1:18" x14ac:dyDescent="0.35">
      <c r="A460" s="8">
        <v>148</v>
      </c>
      <c r="B460" s="8">
        <f t="shared" si="14"/>
        <v>2.1702617153949575</v>
      </c>
      <c r="C460" s="8">
        <v>10</v>
      </c>
      <c r="D460" s="8">
        <v>84</v>
      </c>
      <c r="E460" s="8">
        <v>48</v>
      </c>
      <c r="F460" s="8">
        <v>237</v>
      </c>
      <c r="G460" s="8">
        <v>37.6</v>
      </c>
      <c r="H460" s="8">
        <v>1.0009999999999999</v>
      </c>
      <c r="I460" s="8">
        <v>51</v>
      </c>
      <c r="J460" s="1">
        <v>2.1585850905856119</v>
      </c>
      <c r="K460" s="1">
        <v>1.1676624809345615E-2</v>
      </c>
      <c r="L460">
        <f t="shared" si="15"/>
        <v>1.3634356693822551E-4</v>
      </c>
      <c r="P460" s="1">
        <v>422</v>
      </c>
      <c r="Q460" s="1">
        <v>3.4689842442830819E-2</v>
      </c>
      <c r="R460" s="1">
        <v>-3.275728932400189E-2</v>
      </c>
    </row>
    <row r="461" spans="1:18" x14ac:dyDescent="0.35">
      <c r="A461" s="8">
        <v>134</v>
      </c>
      <c r="B461" s="8">
        <f t="shared" si="14"/>
        <v>2.1271047983648077</v>
      </c>
      <c r="C461" s="8">
        <v>9</v>
      </c>
      <c r="D461" s="8">
        <v>74</v>
      </c>
      <c r="E461" s="8">
        <v>33</v>
      </c>
      <c r="F461" s="8">
        <v>60</v>
      </c>
      <c r="G461" s="8">
        <v>25.9</v>
      </c>
      <c r="H461" s="8">
        <v>0.46</v>
      </c>
      <c r="I461" s="8">
        <v>81</v>
      </c>
      <c r="J461" s="1">
        <v>2.1258144798307246</v>
      </c>
      <c r="K461" s="1">
        <v>1.2903185340831236E-3</v>
      </c>
      <c r="L461">
        <f t="shared" si="15"/>
        <v>1.6649219193984209E-6</v>
      </c>
      <c r="P461" s="1">
        <v>423</v>
      </c>
      <c r="Q461" s="1">
        <v>9.2496433800813516E-2</v>
      </c>
      <c r="R461" s="1">
        <v>-9.2382439749528505E-2</v>
      </c>
    </row>
    <row r="462" spans="1:18" x14ac:dyDescent="0.35">
      <c r="A462" s="8">
        <v>120</v>
      </c>
      <c r="B462" s="8">
        <f t="shared" si="14"/>
        <v>2.0791812460476247</v>
      </c>
      <c r="C462" s="8">
        <v>9</v>
      </c>
      <c r="D462" s="8">
        <v>72</v>
      </c>
      <c r="E462" s="8">
        <v>22</v>
      </c>
      <c r="F462" s="8">
        <v>56</v>
      </c>
      <c r="G462" s="8">
        <v>20.8</v>
      </c>
      <c r="H462" s="8">
        <v>0.73299999999999998</v>
      </c>
      <c r="I462" s="8">
        <v>48</v>
      </c>
      <c r="J462" s="1">
        <v>2.061883085729598</v>
      </c>
      <c r="K462" s="1">
        <v>1.7298160318026667E-2</v>
      </c>
      <c r="L462">
        <f t="shared" si="15"/>
        <v>2.9922635038815245E-4</v>
      </c>
      <c r="P462" s="1">
        <v>424</v>
      </c>
      <c r="Q462" s="1">
        <v>6.589241913295571E-2</v>
      </c>
      <c r="R462" s="1">
        <v>-5.9774056502113419E-2</v>
      </c>
    </row>
    <row r="463" spans="1:18" x14ac:dyDescent="0.35">
      <c r="A463" s="8">
        <v>71</v>
      </c>
      <c r="B463" s="8">
        <f t="shared" si="14"/>
        <v>1.8512583487190752</v>
      </c>
      <c r="C463" s="8">
        <v>1</v>
      </c>
      <c r="D463" s="8">
        <v>62</v>
      </c>
      <c r="E463" s="8">
        <v>0</v>
      </c>
      <c r="F463" s="8">
        <v>0</v>
      </c>
      <c r="G463" s="8">
        <v>21.8</v>
      </c>
      <c r="H463" s="8">
        <v>0.41599999999999998</v>
      </c>
      <c r="I463" s="8">
        <v>26</v>
      </c>
      <c r="J463" s="1">
        <v>2.0108411109345616</v>
      </c>
      <c r="K463" s="1">
        <v>-0.1595827622154864</v>
      </c>
      <c r="L463">
        <f t="shared" si="15"/>
        <v>2.5466657996324471E-2</v>
      </c>
      <c r="P463" s="1">
        <v>425</v>
      </c>
      <c r="Q463" s="1">
        <v>1.4031483089492758E-2</v>
      </c>
      <c r="R463" s="1">
        <v>-1.2451861765509109E-2</v>
      </c>
    </row>
    <row r="464" spans="1:18" x14ac:dyDescent="0.35">
      <c r="A464" s="8">
        <v>74</v>
      </c>
      <c r="B464" s="8">
        <f t="shared" si="14"/>
        <v>1.8692317197309762</v>
      </c>
      <c r="C464" s="8">
        <v>8</v>
      </c>
      <c r="D464" s="8">
        <v>70</v>
      </c>
      <c r="E464" s="8">
        <v>40</v>
      </c>
      <c r="F464" s="8">
        <v>49</v>
      </c>
      <c r="G464" s="8">
        <v>35.299999999999997</v>
      </c>
      <c r="H464" s="8">
        <v>0.70499999999999996</v>
      </c>
      <c r="I464" s="8">
        <v>39</v>
      </c>
      <c r="J464" s="1">
        <v>2.0395913009615607</v>
      </c>
      <c r="K464" s="1">
        <v>-0.17035958123058448</v>
      </c>
      <c r="L464">
        <f t="shared" si="15"/>
        <v>2.9022386917060113E-2</v>
      </c>
      <c r="P464" s="1">
        <v>426</v>
      </c>
      <c r="Q464" s="1">
        <v>2.0615620549331415E-2</v>
      </c>
      <c r="R464" s="1">
        <v>1.1469919781863062E-3</v>
      </c>
    </row>
    <row r="465" spans="1:18" x14ac:dyDescent="0.35">
      <c r="A465" s="8">
        <v>88</v>
      </c>
      <c r="B465" s="8">
        <f t="shared" si="14"/>
        <v>1.9444826721501687</v>
      </c>
      <c r="C465" s="8">
        <v>5</v>
      </c>
      <c r="D465" s="8">
        <v>78</v>
      </c>
      <c r="E465" s="8">
        <v>30</v>
      </c>
      <c r="F465" s="8">
        <v>0</v>
      </c>
      <c r="G465" s="8">
        <v>27.6</v>
      </c>
      <c r="H465" s="8">
        <v>0.25800000000000001</v>
      </c>
      <c r="I465" s="8">
        <v>37</v>
      </c>
      <c r="J465" s="1">
        <v>1.9983097624414159</v>
      </c>
      <c r="K465" s="1">
        <v>-5.3827090291247215E-2</v>
      </c>
      <c r="L465">
        <f t="shared" si="15"/>
        <v>2.8973556492220801E-3</v>
      </c>
      <c r="P465" s="1">
        <v>427</v>
      </c>
      <c r="Q465" s="1">
        <v>3.8402499242659968E-2</v>
      </c>
      <c r="R465" s="1">
        <v>-3.5892658838743652E-2</v>
      </c>
    </row>
    <row r="466" spans="1:18" x14ac:dyDescent="0.35">
      <c r="A466" s="8">
        <v>115</v>
      </c>
      <c r="B466" s="8">
        <f t="shared" si="14"/>
        <v>2.0606978403536118</v>
      </c>
      <c r="C466" s="8">
        <v>10</v>
      </c>
      <c r="D466" s="8">
        <v>98</v>
      </c>
      <c r="E466" s="8">
        <v>0</v>
      </c>
      <c r="F466" s="8">
        <v>0</v>
      </c>
      <c r="G466" s="8">
        <v>24</v>
      </c>
      <c r="H466" s="8">
        <v>1.022</v>
      </c>
      <c r="I466" s="8">
        <v>34</v>
      </c>
      <c r="J466" s="1">
        <v>2.0733853979038348</v>
      </c>
      <c r="K466" s="1">
        <v>-1.2687557550222994E-2</v>
      </c>
      <c r="L466">
        <f t="shared" si="15"/>
        <v>1.609741165902205E-4</v>
      </c>
      <c r="P466" s="1">
        <v>428</v>
      </c>
      <c r="Q466" s="1">
        <v>3.3987984875245125E-2</v>
      </c>
      <c r="R466" s="1">
        <v>-7.0470505675828653E-3</v>
      </c>
    </row>
    <row r="467" spans="1:18" x14ac:dyDescent="0.35">
      <c r="A467" s="8">
        <v>124</v>
      </c>
      <c r="B467" s="8">
        <f t="shared" si="14"/>
        <v>2.0934216851622351</v>
      </c>
      <c r="C467" s="8">
        <v>0</v>
      </c>
      <c r="D467" s="8">
        <v>56</v>
      </c>
      <c r="E467" s="8">
        <v>13</v>
      </c>
      <c r="F467" s="8">
        <v>105</v>
      </c>
      <c r="G467" s="8">
        <v>21.8</v>
      </c>
      <c r="H467" s="8">
        <v>0.45200000000000001</v>
      </c>
      <c r="I467" s="8">
        <v>21</v>
      </c>
      <c r="J467" s="1">
        <v>2.0195692024035785</v>
      </c>
      <c r="K467" s="1">
        <v>7.3852482758656635E-2</v>
      </c>
      <c r="L467">
        <f t="shared" si="15"/>
        <v>5.4541892096176756E-3</v>
      </c>
      <c r="P467" s="1">
        <v>429</v>
      </c>
      <c r="Q467" s="1">
        <v>7.2901830469163056E-2</v>
      </c>
      <c r="R467" s="1">
        <v>-6.5439642429254041E-2</v>
      </c>
    </row>
    <row r="468" spans="1:18" x14ac:dyDescent="0.35">
      <c r="A468" s="8">
        <v>74</v>
      </c>
      <c r="B468" s="8">
        <f t="shared" si="14"/>
        <v>1.8692317197309762</v>
      </c>
      <c r="C468" s="8">
        <v>0</v>
      </c>
      <c r="D468" s="8">
        <v>52</v>
      </c>
      <c r="E468" s="8">
        <v>10</v>
      </c>
      <c r="F468" s="8">
        <v>36</v>
      </c>
      <c r="G468" s="8">
        <v>27.8</v>
      </c>
      <c r="H468" s="8">
        <v>0.26900000000000002</v>
      </c>
      <c r="I468" s="8">
        <v>22</v>
      </c>
      <c r="J468" s="1">
        <v>2.0061578619216816</v>
      </c>
      <c r="K468" s="1">
        <v>-0.13692614219070531</v>
      </c>
      <c r="L468">
        <f t="shared" si="15"/>
        <v>1.8748768415229249E-2</v>
      </c>
      <c r="P468" s="1">
        <v>430</v>
      </c>
      <c r="Q468" s="1">
        <v>2.2730456266963957E-2</v>
      </c>
      <c r="R468" s="1">
        <v>-2.2913817914660232E-3</v>
      </c>
    </row>
    <row r="469" spans="1:18" x14ac:dyDescent="0.35">
      <c r="A469" s="8">
        <v>97</v>
      </c>
      <c r="B469" s="8">
        <f t="shared" si="14"/>
        <v>1.9867717342662448</v>
      </c>
      <c r="C469" s="8">
        <v>0</v>
      </c>
      <c r="D469" s="8">
        <v>64</v>
      </c>
      <c r="E469" s="8">
        <v>36</v>
      </c>
      <c r="F469" s="8">
        <v>100</v>
      </c>
      <c r="G469" s="8">
        <v>36.799999999999997</v>
      </c>
      <c r="H469" s="8">
        <v>0.6</v>
      </c>
      <c r="I469" s="8">
        <v>25</v>
      </c>
      <c r="J469" s="1">
        <v>2.0293944486211304</v>
      </c>
      <c r="K469" s="1">
        <v>-4.2622714354885627E-2</v>
      </c>
      <c r="L469">
        <f t="shared" si="15"/>
        <v>1.8166957789781733E-3</v>
      </c>
      <c r="P469" s="1">
        <v>431</v>
      </c>
      <c r="Q469" s="1">
        <v>4.0493862369909844E-2</v>
      </c>
      <c r="R469" s="1">
        <v>-4.0122505766559645E-2</v>
      </c>
    </row>
    <row r="470" spans="1:18" x14ac:dyDescent="0.35">
      <c r="A470" s="8">
        <v>120</v>
      </c>
      <c r="B470" s="8">
        <f t="shared" si="14"/>
        <v>2.0791812460476247</v>
      </c>
      <c r="C470" s="8">
        <v>8</v>
      </c>
      <c r="D470" s="8">
        <v>0</v>
      </c>
      <c r="E470" s="8">
        <v>0</v>
      </c>
      <c r="F470" s="8">
        <v>0</v>
      </c>
      <c r="G470" s="8">
        <v>30</v>
      </c>
      <c r="H470" s="8">
        <v>0.183</v>
      </c>
      <c r="I470" s="8">
        <v>38</v>
      </c>
      <c r="J470" s="1">
        <v>2.0403557139656776</v>
      </c>
      <c r="K470" s="1">
        <v>3.8825532081947056E-2</v>
      </c>
      <c r="L470">
        <f t="shared" si="15"/>
        <v>1.5074219414463001E-3</v>
      </c>
      <c r="P470" s="1">
        <v>432</v>
      </c>
      <c r="Q470" s="1">
        <v>2.3771615170612583E-2</v>
      </c>
      <c r="R470" s="1">
        <v>-6.8943676283418145E-3</v>
      </c>
    </row>
    <row r="471" spans="1:18" x14ac:dyDescent="0.35">
      <c r="A471" s="8">
        <v>154</v>
      </c>
      <c r="B471" s="8">
        <f t="shared" si="14"/>
        <v>2.1875207208364631</v>
      </c>
      <c r="C471" s="8">
        <v>6</v>
      </c>
      <c r="D471" s="8">
        <v>78</v>
      </c>
      <c r="E471" s="8">
        <v>41</v>
      </c>
      <c r="F471" s="8">
        <v>140</v>
      </c>
      <c r="G471" s="8">
        <v>46.1</v>
      </c>
      <c r="H471" s="8">
        <v>0.57099999999999995</v>
      </c>
      <c r="I471" s="8">
        <v>27</v>
      </c>
      <c r="J471" s="1">
        <v>2.0772871892770168</v>
      </c>
      <c r="K471" s="1">
        <v>0.11023353155944626</v>
      </c>
      <c r="L471">
        <f t="shared" si="15"/>
        <v>1.2151431480067434E-2</v>
      </c>
      <c r="P471" s="1">
        <v>433</v>
      </c>
      <c r="Q471" s="1">
        <v>2.7387218506776237E-2</v>
      </c>
      <c r="R471" s="1">
        <v>-9.518433570471295E-3</v>
      </c>
    </row>
    <row r="472" spans="1:18" x14ac:dyDescent="0.35">
      <c r="A472" s="8">
        <v>144</v>
      </c>
      <c r="B472" s="8">
        <f t="shared" si="14"/>
        <v>2.1583624920952498</v>
      </c>
      <c r="C472" s="8">
        <v>1</v>
      </c>
      <c r="D472" s="8">
        <v>82</v>
      </c>
      <c r="E472" s="8">
        <v>40</v>
      </c>
      <c r="F472" s="8">
        <v>0</v>
      </c>
      <c r="G472" s="8">
        <v>41.3</v>
      </c>
      <c r="H472" s="8">
        <v>0.60699999999999998</v>
      </c>
      <c r="I472" s="8">
        <v>28</v>
      </c>
      <c r="J472" s="1">
        <v>2.0025679556081455</v>
      </c>
      <c r="K472" s="1">
        <v>0.15579453648710428</v>
      </c>
      <c r="L472">
        <f t="shared" si="15"/>
        <v>2.4271937599231668E-2</v>
      </c>
      <c r="P472" s="1">
        <v>434</v>
      </c>
      <c r="Q472" s="1">
        <v>2.6176823184934622E-2</v>
      </c>
      <c r="R472" s="1">
        <v>-1.2561007631129833E-2</v>
      </c>
    </row>
    <row r="473" spans="1:18" x14ac:dyDescent="0.35">
      <c r="A473" s="8">
        <v>137</v>
      </c>
      <c r="B473" s="8">
        <f t="shared" si="14"/>
        <v>2.1367205671564067</v>
      </c>
      <c r="C473" s="8">
        <v>0</v>
      </c>
      <c r="D473" s="8">
        <v>70</v>
      </c>
      <c r="E473" s="8">
        <v>38</v>
      </c>
      <c r="F473" s="8">
        <v>0</v>
      </c>
      <c r="G473" s="8">
        <v>33.200000000000003</v>
      </c>
      <c r="H473" s="8">
        <v>0.17</v>
      </c>
      <c r="I473" s="8">
        <v>22</v>
      </c>
      <c r="J473" s="1">
        <v>1.9530238195043146</v>
      </c>
      <c r="K473" s="1">
        <v>0.1836967476520921</v>
      </c>
      <c r="L473">
        <f t="shared" si="15"/>
        <v>3.3744495097956406E-2</v>
      </c>
      <c r="P473" s="1">
        <v>435</v>
      </c>
      <c r="Q473" s="1">
        <v>2.4402630875220897E-2</v>
      </c>
      <c r="R473" s="1">
        <v>-1.5515366651956587E-2</v>
      </c>
    </row>
    <row r="474" spans="1:18" x14ac:dyDescent="0.35">
      <c r="A474" s="8">
        <v>119</v>
      </c>
      <c r="B474" s="8">
        <f t="shared" si="14"/>
        <v>2.0755469613925306</v>
      </c>
      <c r="C474" s="8">
        <v>0</v>
      </c>
      <c r="D474" s="8">
        <v>66</v>
      </c>
      <c r="E474" s="8">
        <v>27</v>
      </c>
      <c r="F474" s="8">
        <v>0</v>
      </c>
      <c r="G474" s="8">
        <v>38.799999999999997</v>
      </c>
      <c r="H474" s="8">
        <v>0.25900000000000001</v>
      </c>
      <c r="I474" s="8">
        <v>22</v>
      </c>
      <c r="J474" s="1">
        <v>1.9909173665732134</v>
      </c>
      <c r="K474" s="1">
        <v>8.46295948193172E-2</v>
      </c>
      <c r="L474">
        <f t="shared" si="15"/>
        <v>7.1621683192818007E-3</v>
      </c>
      <c r="P474" s="1">
        <v>436</v>
      </c>
      <c r="Q474" s="1">
        <v>4.2830627072616041E-2</v>
      </c>
      <c r="R474" s="1">
        <v>-3.2196906832198002E-2</v>
      </c>
    </row>
    <row r="475" spans="1:18" x14ac:dyDescent="0.35">
      <c r="A475" s="8">
        <v>136</v>
      </c>
      <c r="B475" s="8">
        <f t="shared" si="14"/>
        <v>2.1335389083702174</v>
      </c>
      <c r="C475" s="8">
        <v>7</v>
      </c>
      <c r="D475" s="8">
        <v>90</v>
      </c>
      <c r="E475" s="8">
        <v>0</v>
      </c>
      <c r="F475" s="8">
        <v>0</v>
      </c>
      <c r="G475" s="8">
        <v>29.9</v>
      </c>
      <c r="H475" s="8">
        <v>0.21</v>
      </c>
      <c r="I475" s="8">
        <v>50</v>
      </c>
      <c r="J475" s="1">
        <v>2.0979292437442605</v>
      </c>
      <c r="K475" s="1">
        <v>3.5609664625956938E-2</v>
      </c>
      <c r="L475">
        <f t="shared" si="15"/>
        <v>1.2680482147731289E-3</v>
      </c>
      <c r="P475" s="1">
        <v>437</v>
      </c>
      <c r="Q475" s="1">
        <v>6.7449957548098918E-2</v>
      </c>
      <c r="R475" s="1">
        <v>-5.5541887730137011E-2</v>
      </c>
    </row>
    <row r="476" spans="1:18" x14ac:dyDescent="0.35">
      <c r="A476" s="8">
        <v>114</v>
      </c>
      <c r="B476" s="8">
        <f t="shared" si="14"/>
        <v>2.0569048513364727</v>
      </c>
      <c r="C476" s="8">
        <v>4</v>
      </c>
      <c r="D476" s="8">
        <v>64</v>
      </c>
      <c r="E476" s="8">
        <v>0</v>
      </c>
      <c r="F476" s="8">
        <v>0</v>
      </c>
      <c r="G476" s="8">
        <v>28.9</v>
      </c>
      <c r="H476" s="8">
        <v>0.126</v>
      </c>
      <c r="I476" s="8">
        <v>24</v>
      </c>
      <c r="J476" s="1">
        <v>2.0207041798890204</v>
      </c>
      <c r="K476" s="1">
        <v>3.6200671447452315E-2</v>
      </c>
      <c r="L476">
        <f t="shared" si="15"/>
        <v>1.3104886132463893E-3</v>
      </c>
      <c r="P476" s="1">
        <v>438</v>
      </c>
      <c r="Q476" s="1">
        <v>1.7041063035724443E-2</v>
      </c>
      <c r="R476" s="1">
        <v>-2.3659381104596724E-3</v>
      </c>
    </row>
    <row r="477" spans="1:18" x14ac:dyDescent="0.35">
      <c r="A477" s="8">
        <v>137</v>
      </c>
      <c r="B477" s="8">
        <f t="shared" si="14"/>
        <v>2.1367205671564067</v>
      </c>
      <c r="C477" s="8">
        <v>0</v>
      </c>
      <c r="D477" s="8">
        <v>84</v>
      </c>
      <c r="E477" s="8">
        <v>27</v>
      </c>
      <c r="F477" s="8">
        <v>0</v>
      </c>
      <c r="G477" s="8">
        <v>27.3</v>
      </c>
      <c r="H477" s="8">
        <v>0.23100000000000001</v>
      </c>
      <c r="I477" s="8">
        <v>59</v>
      </c>
      <c r="J477" s="1">
        <v>2.0510656879222129</v>
      </c>
      <c r="K477" s="1">
        <v>8.5654879234193793E-2</v>
      </c>
      <c r="L477">
        <f t="shared" si="15"/>
        <v>7.3367583366243227E-3</v>
      </c>
      <c r="P477" s="1">
        <v>439</v>
      </c>
      <c r="Q477" s="1">
        <v>5.7373897374153507E-2</v>
      </c>
      <c r="R477" s="1">
        <v>-5.6371879990202337E-2</v>
      </c>
    </row>
    <row r="478" spans="1:18" x14ac:dyDescent="0.35">
      <c r="A478" s="8">
        <v>105</v>
      </c>
      <c r="B478" s="8">
        <f t="shared" si="14"/>
        <v>2.0211892990699383</v>
      </c>
      <c r="C478" s="8">
        <v>2</v>
      </c>
      <c r="D478" s="8">
        <v>80</v>
      </c>
      <c r="E478" s="8">
        <v>45</v>
      </c>
      <c r="F478" s="8">
        <v>191</v>
      </c>
      <c r="G478" s="8">
        <v>33.700000000000003</v>
      </c>
      <c r="H478" s="8">
        <v>0.71099999999999997</v>
      </c>
      <c r="I478" s="8">
        <v>29</v>
      </c>
      <c r="J478" s="1">
        <v>2.0644654032258423</v>
      </c>
      <c r="K478" s="1">
        <v>-4.3276104155903994E-2</v>
      </c>
      <c r="L478">
        <f t="shared" si="15"/>
        <v>1.8728211909126509E-3</v>
      </c>
      <c r="P478" s="1">
        <v>440</v>
      </c>
      <c r="Q478" s="1">
        <v>8.0015991087092012E-3</v>
      </c>
      <c r="R478" s="1">
        <v>-4.8424173798497176E-3</v>
      </c>
    </row>
    <row r="479" spans="1:18" x14ac:dyDescent="0.35">
      <c r="A479" s="8">
        <v>114</v>
      </c>
      <c r="B479" s="8">
        <f t="shared" si="14"/>
        <v>2.0569048513364727</v>
      </c>
      <c r="C479" s="8">
        <v>7</v>
      </c>
      <c r="D479" s="8">
        <v>76</v>
      </c>
      <c r="E479" s="8">
        <v>17</v>
      </c>
      <c r="F479" s="8">
        <v>110</v>
      </c>
      <c r="G479" s="8">
        <v>23.8</v>
      </c>
      <c r="H479" s="8">
        <v>0.46600000000000003</v>
      </c>
      <c r="I479" s="8">
        <v>31</v>
      </c>
      <c r="J479" s="1">
        <v>2.0565078485327395</v>
      </c>
      <c r="K479" s="1">
        <v>3.9700280373322627E-4</v>
      </c>
      <c r="L479">
        <f t="shared" si="15"/>
        <v>1.5761122617204258E-7</v>
      </c>
      <c r="P479" s="1">
        <v>441</v>
      </c>
      <c r="Q479" s="1">
        <v>6.4642649537741209E-2</v>
      </c>
      <c r="R479" s="1">
        <v>-1.0874055353198686E-2</v>
      </c>
    </row>
    <row r="480" spans="1:18" x14ac:dyDescent="0.35">
      <c r="A480" s="8">
        <v>126</v>
      </c>
      <c r="B480" s="8">
        <f t="shared" si="14"/>
        <v>2.1003705451175629</v>
      </c>
      <c r="C480" s="8">
        <v>8</v>
      </c>
      <c r="D480" s="8">
        <v>74</v>
      </c>
      <c r="E480" s="8">
        <v>38</v>
      </c>
      <c r="F480" s="8">
        <v>75</v>
      </c>
      <c r="G480" s="8">
        <v>25.9</v>
      </c>
      <c r="H480" s="8">
        <v>0.16200000000000001</v>
      </c>
      <c r="I480" s="8">
        <v>39</v>
      </c>
      <c r="J480" s="1">
        <v>2.0155614007638789</v>
      </c>
      <c r="K480" s="1">
        <v>8.4809144353684029E-2</v>
      </c>
      <c r="L480">
        <f t="shared" si="15"/>
        <v>7.1925909660040159E-3</v>
      </c>
      <c r="P480" s="1">
        <v>442</v>
      </c>
      <c r="Q480" s="1">
        <v>5.2772714727973638E-2</v>
      </c>
      <c r="R480" s="1">
        <v>-4.4100434570940969E-2</v>
      </c>
    </row>
    <row r="481" spans="1:18" x14ac:dyDescent="0.35">
      <c r="A481" s="8">
        <v>132</v>
      </c>
      <c r="B481" s="8">
        <f t="shared" si="14"/>
        <v>2.12057393120585</v>
      </c>
      <c r="C481" s="8">
        <v>4</v>
      </c>
      <c r="D481" s="8">
        <v>86</v>
      </c>
      <c r="E481" s="8">
        <v>31</v>
      </c>
      <c r="F481" s="8">
        <v>0</v>
      </c>
      <c r="G481" s="8">
        <v>28</v>
      </c>
      <c r="H481" s="8">
        <v>0.41899999999999998</v>
      </c>
      <c r="I481" s="8">
        <v>63</v>
      </c>
      <c r="J481" s="1">
        <v>2.0643324872417645</v>
      </c>
      <c r="K481" s="1">
        <v>5.624144396408548E-2</v>
      </c>
      <c r="L481">
        <f t="shared" si="15"/>
        <v>3.1631000191653671E-3</v>
      </c>
      <c r="P481" s="1">
        <v>443</v>
      </c>
      <c r="Q481" s="1">
        <v>4.35982736756855E-2</v>
      </c>
      <c r="R481" s="1">
        <v>-4.2635211215953615E-2</v>
      </c>
    </row>
    <row r="482" spans="1:18" x14ac:dyDescent="0.35">
      <c r="A482" s="8">
        <v>158</v>
      </c>
      <c r="B482" s="8">
        <f t="shared" si="14"/>
        <v>2.1986570869544226</v>
      </c>
      <c r="C482" s="8">
        <v>3</v>
      </c>
      <c r="D482" s="8">
        <v>70</v>
      </c>
      <c r="E482" s="8">
        <v>30</v>
      </c>
      <c r="F482" s="8">
        <v>328</v>
      </c>
      <c r="G482" s="8">
        <v>35.5</v>
      </c>
      <c r="H482" s="8">
        <v>0.34399999999999997</v>
      </c>
      <c r="I482" s="8">
        <v>35</v>
      </c>
      <c r="J482" s="1">
        <v>2.1619203413172228</v>
      </c>
      <c r="K482" s="1">
        <v>3.6736745637199864E-2</v>
      </c>
      <c r="L482">
        <f t="shared" si="15"/>
        <v>1.3495884800123232E-3</v>
      </c>
      <c r="P482" s="1">
        <v>444</v>
      </c>
      <c r="Q482" s="1">
        <v>2.6432329525722196E-3</v>
      </c>
      <c r="R482" s="1">
        <v>-8.6933809210876407E-4</v>
      </c>
    </row>
    <row r="483" spans="1:18" x14ac:dyDescent="0.35">
      <c r="A483" s="8">
        <v>123</v>
      </c>
      <c r="B483" s="8">
        <f t="shared" si="14"/>
        <v>2.0899051114393981</v>
      </c>
      <c r="C483" s="8">
        <v>0</v>
      </c>
      <c r="D483" s="8">
        <v>88</v>
      </c>
      <c r="E483" s="8">
        <v>37</v>
      </c>
      <c r="F483" s="8">
        <v>0</v>
      </c>
      <c r="G483" s="8">
        <v>35.200000000000003</v>
      </c>
      <c r="H483" s="8">
        <v>0.19700000000000001</v>
      </c>
      <c r="I483" s="8">
        <v>29</v>
      </c>
      <c r="J483" s="1">
        <v>1.9835018767976744</v>
      </c>
      <c r="K483" s="1">
        <v>0.10640323464172363</v>
      </c>
      <c r="L483">
        <f t="shared" si="15"/>
        <v>1.1321648342221696E-2</v>
      </c>
      <c r="P483" s="1">
        <v>445</v>
      </c>
      <c r="Q483" s="1">
        <v>4.3671529752420897E-2</v>
      </c>
      <c r="R483" s="1">
        <v>-4.1352681423184996E-2</v>
      </c>
    </row>
    <row r="484" spans="1:18" x14ac:dyDescent="0.35">
      <c r="A484" s="8">
        <v>85</v>
      </c>
      <c r="B484" s="8">
        <f t="shared" si="14"/>
        <v>1.9294189257142926</v>
      </c>
      <c r="C484" s="8">
        <v>4</v>
      </c>
      <c r="D484" s="8">
        <v>58</v>
      </c>
      <c r="E484" s="8">
        <v>22</v>
      </c>
      <c r="F484" s="8">
        <v>49</v>
      </c>
      <c r="G484" s="8">
        <v>27.8</v>
      </c>
      <c r="H484" s="8">
        <v>0.30599999999999999</v>
      </c>
      <c r="I484" s="8">
        <v>28</v>
      </c>
      <c r="J484" s="1">
        <v>2.0094878607134636</v>
      </c>
      <c r="K484" s="1">
        <v>-8.0068934999171004E-2</v>
      </c>
      <c r="L484">
        <f t="shared" si="15"/>
        <v>6.411034351901471E-3</v>
      </c>
      <c r="P484" s="1">
        <v>446</v>
      </c>
      <c r="Q484" s="1">
        <v>0.10390929901641655</v>
      </c>
      <c r="R484" s="1">
        <v>-6.4121168696943454E-2</v>
      </c>
    </row>
    <row r="485" spans="1:18" x14ac:dyDescent="0.35">
      <c r="A485" s="8">
        <v>84</v>
      </c>
      <c r="B485" s="8">
        <f t="shared" si="14"/>
        <v>1.9242792860618816</v>
      </c>
      <c r="C485" s="8">
        <v>0</v>
      </c>
      <c r="D485" s="8">
        <v>82</v>
      </c>
      <c r="E485" s="8">
        <v>31</v>
      </c>
      <c r="F485" s="8">
        <v>125</v>
      </c>
      <c r="G485" s="8">
        <v>38.200000000000003</v>
      </c>
      <c r="H485" s="8">
        <v>0.23300000000000001</v>
      </c>
      <c r="I485" s="8">
        <v>23</v>
      </c>
      <c r="J485" s="1">
        <v>2.0451656664318572</v>
      </c>
      <c r="K485" s="1">
        <v>-0.12088638036997557</v>
      </c>
      <c r="L485">
        <f t="shared" si="15"/>
        <v>1.4613516958954414E-2</v>
      </c>
      <c r="P485" s="1">
        <v>447</v>
      </c>
      <c r="Q485" s="1">
        <v>2.3026451457212011E-2</v>
      </c>
      <c r="R485" s="1">
        <v>-2.1122333226912714E-2</v>
      </c>
    </row>
    <row r="486" spans="1:18" x14ac:dyDescent="0.35">
      <c r="A486" s="8">
        <v>145</v>
      </c>
      <c r="B486" s="8">
        <f t="shared" si="14"/>
        <v>2.1613680022349748</v>
      </c>
      <c r="C486" s="8">
        <v>0</v>
      </c>
      <c r="D486" s="8">
        <v>0</v>
      </c>
      <c r="E486" s="8">
        <v>0</v>
      </c>
      <c r="F486" s="8">
        <v>0</v>
      </c>
      <c r="G486" s="8">
        <v>44.2</v>
      </c>
      <c r="H486" s="8">
        <v>0.63</v>
      </c>
      <c r="I486" s="8">
        <v>31</v>
      </c>
      <c r="J486" s="1">
        <v>2.0678056733115278</v>
      </c>
      <c r="K486" s="1">
        <v>9.3562328923447069E-2</v>
      </c>
      <c r="L486">
        <f t="shared" si="15"/>
        <v>8.7539093935793E-3</v>
      </c>
      <c r="P486" s="1">
        <v>448</v>
      </c>
      <c r="Q486" s="1">
        <v>8.6117561707838006E-2</v>
      </c>
      <c r="R486" s="1">
        <v>-8.5240724243904387E-2</v>
      </c>
    </row>
    <row r="487" spans="1:18" x14ac:dyDescent="0.35">
      <c r="A487" s="8">
        <v>135</v>
      </c>
      <c r="B487" s="8">
        <f t="shared" si="14"/>
        <v>2.1303337684950061</v>
      </c>
      <c r="C487" s="8">
        <v>0</v>
      </c>
      <c r="D487" s="8">
        <v>68</v>
      </c>
      <c r="E487" s="8">
        <v>42</v>
      </c>
      <c r="F487" s="8">
        <v>250</v>
      </c>
      <c r="G487" s="8">
        <v>42.3</v>
      </c>
      <c r="H487" s="8">
        <v>0.36499999999999999</v>
      </c>
      <c r="I487" s="8">
        <v>24</v>
      </c>
      <c r="J487" s="1">
        <v>2.0930186572403215</v>
      </c>
      <c r="K487" s="1">
        <v>3.7315111254684563E-2</v>
      </c>
      <c r="L487">
        <f t="shared" si="15"/>
        <v>1.3924175279494866E-3</v>
      </c>
      <c r="P487" s="1">
        <v>449</v>
      </c>
      <c r="Q487" s="1">
        <v>7.8408490464401695E-2</v>
      </c>
      <c r="R487" s="1">
        <v>-7.7823198666520474E-2</v>
      </c>
    </row>
    <row r="488" spans="1:18" x14ac:dyDescent="0.35">
      <c r="A488" s="8">
        <v>139</v>
      </c>
      <c r="B488" s="8">
        <f t="shared" si="14"/>
        <v>2.143014800254095</v>
      </c>
      <c r="C488" s="8">
        <v>1</v>
      </c>
      <c r="D488" s="8">
        <v>62</v>
      </c>
      <c r="E488" s="8">
        <v>41</v>
      </c>
      <c r="F488" s="8">
        <v>480</v>
      </c>
      <c r="G488" s="8">
        <v>40.700000000000003</v>
      </c>
      <c r="H488" s="8">
        <v>0.53600000000000003</v>
      </c>
      <c r="I488" s="8">
        <v>21</v>
      </c>
      <c r="J488" s="1">
        <v>2.1918990838452546</v>
      </c>
      <c r="K488" s="1">
        <v>-4.8884283591159594E-2</v>
      </c>
      <c r="L488">
        <f t="shared" si="15"/>
        <v>2.3896731822209152E-3</v>
      </c>
      <c r="P488" s="1">
        <v>450</v>
      </c>
      <c r="Q488" s="1">
        <v>4.5020592000931101E-2</v>
      </c>
      <c r="R488" s="1">
        <v>-4.2325430146550727E-2</v>
      </c>
    </row>
    <row r="489" spans="1:18" x14ac:dyDescent="0.35">
      <c r="A489" s="8">
        <v>173</v>
      </c>
      <c r="B489" s="8">
        <f t="shared" si="14"/>
        <v>2.2380461031287955</v>
      </c>
      <c r="C489" s="8">
        <v>0</v>
      </c>
      <c r="D489" s="8">
        <v>78</v>
      </c>
      <c r="E489" s="8">
        <v>32</v>
      </c>
      <c r="F489" s="8">
        <v>265</v>
      </c>
      <c r="G489" s="8">
        <v>46.5</v>
      </c>
      <c r="H489" s="8">
        <v>1.159</v>
      </c>
      <c r="I489" s="8">
        <v>58</v>
      </c>
      <c r="J489" s="1">
        <v>2.2360061885259177</v>
      </c>
      <c r="K489" s="1">
        <v>2.0399146028777793E-3</v>
      </c>
      <c r="L489">
        <f t="shared" si="15"/>
        <v>4.1612515870340076E-6</v>
      </c>
      <c r="P489" s="1">
        <v>451</v>
      </c>
      <c r="Q489" s="1">
        <v>2.4580613560360703E-2</v>
      </c>
      <c r="R489" s="1">
        <v>-1.3172198100716532E-2</v>
      </c>
    </row>
    <row r="490" spans="1:18" x14ac:dyDescent="0.35">
      <c r="A490" s="8">
        <v>99</v>
      </c>
      <c r="B490" s="8">
        <f t="shared" si="14"/>
        <v>1.9956351945975499</v>
      </c>
      <c r="C490" s="8">
        <v>4</v>
      </c>
      <c r="D490" s="8">
        <v>72</v>
      </c>
      <c r="E490" s="8">
        <v>17</v>
      </c>
      <c r="F490" s="8">
        <v>0</v>
      </c>
      <c r="G490" s="8">
        <v>25.6</v>
      </c>
      <c r="H490" s="8">
        <v>0.29399999999999998</v>
      </c>
      <c r="I490" s="8">
        <v>28</v>
      </c>
      <c r="J490" s="1">
        <v>1.995355653585587</v>
      </c>
      <c r="K490" s="1">
        <v>2.7954101196292491E-4</v>
      </c>
      <c r="L490">
        <f t="shared" si="15"/>
        <v>7.8143177369256132E-8</v>
      </c>
      <c r="P490" s="1">
        <v>452</v>
      </c>
      <c r="Q490" s="1">
        <v>2.1374002988039424E-2</v>
      </c>
      <c r="R490" s="1">
        <v>-1.2017391120041137E-2</v>
      </c>
    </row>
    <row r="491" spans="1:18" x14ac:dyDescent="0.35">
      <c r="A491" s="8">
        <v>194</v>
      </c>
      <c r="B491" s="8">
        <f t="shared" si="14"/>
        <v>2.287801729930226</v>
      </c>
      <c r="C491" s="8">
        <v>8</v>
      </c>
      <c r="D491" s="8">
        <v>80</v>
      </c>
      <c r="E491" s="8">
        <v>0</v>
      </c>
      <c r="F491" s="8">
        <v>0</v>
      </c>
      <c r="G491" s="8">
        <v>26.1</v>
      </c>
      <c r="H491" s="8">
        <v>0.55100000000000005</v>
      </c>
      <c r="I491" s="8">
        <v>67</v>
      </c>
      <c r="J491" s="1">
        <v>2.134565869518009</v>
      </c>
      <c r="K491" s="1">
        <v>0.15323586041221704</v>
      </c>
      <c r="L491">
        <f t="shared" si="15"/>
        <v>2.3481228916272464E-2</v>
      </c>
      <c r="P491" s="1">
        <v>453</v>
      </c>
      <c r="Q491" s="1">
        <v>3.2469201895771599E-2</v>
      </c>
      <c r="R491" s="1">
        <v>-1.5151180400434502E-2</v>
      </c>
    </row>
    <row r="492" spans="1:18" x14ac:dyDescent="0.35">
      <c r="A492" s="8">
        <v>83</v>
      </c>
      <c r="B492" s="8">
        <f t="shared" si="14"/>
        <v>1.919078092376074</v>
      </c>
      <c r="C492" s="8">
        <v>2</v>
      </c>
      <c r="D492" s="8">
        <v>65</v>
      </c>
      <c r="E492" s="8">
        <v>28</v>
      </c>
      <c r="F492" s="8">
        <v>66</v>
      </c>
      <c r="G492" s="8">
        <v>36.799999999999997</v>
      </c>
      <c r="H492" s="8">
        <v>0.629</v>
      </c>
      <c r="I492" s="8">
        <v>24</v>
      </c>
      <c r="J492" s="1">
        <v>2.0303090185425989</v>
      </c>
      <c r="K492" s="1">
        <v>-0.11123092616652497</v>
      </c>
      <c r="L492">
        <f t="shared" si="15"/>
        <v>1.2372318935862929E-2</v>
      </c>
      <c r="P492" s="1">
        <v>454</v>
      </c>
      <c r="Q492" s="1">
        <v>1.8511033277228434E-2</v>
      </c>
      <c r="R492" s="1">
        <v>-1.7693274244050403E-2</v>
      </c>
    </row>
    <row r="493" spans="1:18" x14ac:dyDescent="0.35">
      <c r="A493" s="8">
        <v>89</v>
      </c>
      <c r="B493" s="8">
        <f t="shared" si="14"/>
        <v>1.9493900066449128</v>
      </c>
      <c r="C493" s="8">
        <v>2</v>
      </c>
      <c r="D493" s="8">
        <v>90</v>
      </c>
      <c r="E493" s="8">
        <v>30</v>
      </c>
      <c r="F493" s="8">
        <v>0</v>
      </c>
      <c r="G493" s="8">
        <v>33.5</v>
      </c>
      <c r="H493" s="8">
        <v>0.29199999999999998</v>
      </c>
      <c r="I493" s="8">
        <v>42</v>
      </c>
      <c r="J493" s="1">
        <v>2.0281141357131998</v>
      </c>
      <c r="K493" s="1">
        <v>-7.8724129068286963E-2</v>
      </c>
      <c r="L493">
        <f t="shared" si="15"/>
        <v>6.1974884975603047E-3</v>
      </c>
      <c r="P493" s="1">
        <v>455</v>
      </c>
      <c r="Q493" s="1">
        <v>4.9719979909943701E-2</v>
      </c>
      <c r="R493" s="1">
        <v>-4.7844192055083938E-2</v>
      </c>
    </row>
    <row r="494" spans="1:18" x14ac:dyDescent="0.35">
      <c r="A494" s="8">
        <v>99</v>
      </c>
      <c r="B494" s="8">
        <f t="shared" si="14"/>
        <v>1.9956351945975499</v>
      </c>
      <c r="C494" s="8">
        <v>4</v>
      </c>
      <c r="D494" s="8">
        <v>68</v>
      </c>
      <c r="E494" s="8">
        <v>38</v>
      </c>
      <c r="F494" s="8">
        <v>0</v>
      </c>
      <c r="G494" s="8">
        <v>32.799999999999997</v>
      </c>
      <c r="H494" s="8">
        <v>0.14499999999999999</v>
      </c>
      <c r="I494" s="8">
        <v>33</v>
      </c>
      <c r="J494" s="1">
        <v>1.9799835997994053</v>
      </c>
      <c r="K494" s="1">
        <v>1.5651594798144597E-2</v>
      </c>
      <c r="L494">
        <f t="shared" si="15"/>
        <v>2.4497241972530701E-4</v>
      </c>
      <c r="P494" s="1">
        <v>456</v>
      </c>
      <c r="Q494" s="1">
        <v>6.3295527572892599E-2</v>
      </c>
      <c r="R494" s="1">
        <v>-1.3034639034128805E-2</v>
      </c>
    </row>
    <row r="495" spans="1:18" x14ac:dyDescent="0.35">
      <c r="A495" s="8">
        <v>125</v>
      </c>
      <c r="B495" s="8">
        <f t="shared" si="14"/>
        <v>2.0969100130080562</v>
      </c>
      <c r="C495" s="8">
        <v>4</v>
      </c>
      <c r="D495" s="8">
        <v>70</v>
      </c>
      <c r="E495" s="8">
        <v>18</v>
      </c>
      <c r="F495" s="8">
        <v>122</v>
      </c>
      <c r="G495" s="8">
        <v>28.9</v>
      </c>
      <c r="H495" s="8">
        <v>1.1439999999999999</v>
      </c>
      <c r="I495" s="8">
        <v>45</v>
      </c>
      <c r="J495" s="1">
        <v>2.1210050431288017</v>
      </c>
      <c r="K495" s="1">
        <v>-2.4095030120745431E-2</v>
      </c>
      <c r="L495">
        <f t="shared" si="15"/>
        <v>5.8057047651962962E-4</v>
      </c>
      <c r="P495" s="1">
        <v>457</v>
      </c>
      <c r="Q495" s="1">
        <v>1.6146900317602669E-2</v>
      </c>
      <c r="R495" s="1">
        <v>-1.5849477858354482E-2</v>
      </c>
    </row>
    <row r="496" spans="1:18" x14ac:dyDescent="0.35">
      <c r="A496" s="8">
        <v>80</v>
      </c>
      <c r="B496" s="8">
        <f t="shared" si="14"/>
        <v>1.9030899869919435</v>
      </c>
      <c r="C496" s="8">
        <v>3</v>
      </c>
      <c r="D496" s="8">
        <v>0</v>
      </c>
      <c r="E496" s="8">
        <v>0</v>
      </c>
      <c r="F496" s="8">
        <v>0</v>
      </c>
      <c r="G496" s="8">
        <v>0</v>
      </c>
      <c r="H496" s="8">
        <v>0.17399999999999999</v>
      </c>
      <c r="I496" s="8">
        <v>22</v>
      </c>
      <c r="J496" s="1">
        <v>1.9165523019851869</v>
      </c>
      <c r="K496" s="1">
        <v>-1.3462314993243352E-2</v>
      </c>
      <c r="L496">
        <f t="shared" si="15"/>
        <v>1.8123392497730476E-4</v>
      </c>
      <c r="P496" s="1">
        <v>458</v>
      </c>
      <c r="Q496" s="1">
        <v>5.3337004457158783E-2</v>
      </c>
      <c r="R496" s="1">
        <v>-4.749618789998649E-2</v>
      </c>
    </row>
    <row r="497" spans="1:18" x14ac:dyDescent="0.35">
      <c r="A497" s="8">
        <v>166</v>
      </c>
      <c r="B497" s="8">
        <f t="shared" si="14"/>
        <v>2.220108088040055</v>
      </c>
      <c r="C497" s="8">
        <v>6</v>
      </c>
      <c r="D497" s="8">
        <v>74</v>
      </c>
      <c r="E497" s="8">
        <v>0</v>
      </c>
      <c r="F497" s="8">
        <v>0</v>
      </c>
      <c r="G497" s="8">
        <v>26.6</v>
      </c>
      <c r="H497" s="8">
        <v>0.30399999999999999</v>
      </c>
      <c r="I497" s="8">
        <v>66</v>
      </c>
      <c r="J497" s="1">
        <v>2.1226209174613841</v>
      </c>
      <c r="K497" s="1">
        <v>9.7487170578670845E-2</v>
      </c>
      <c r="L497">
        <f t="shared" si="15"/>
        <v>9.5037484274348664E-3</v>
      </c>
      <c r="P497" s="1">
        <v>459</v>
      </c>
      <c r="Q497" s="1">
        <v>2.0292317425739191E-2</v>
      </c>
      <c r="R497" s="1">
        <v>-2.0155973858800965E-2</v>
      </c>
    </row>
    <row r="498" spans="1:18" x14ac:dyDescent="0.35">
      <c r="A498" s="8">
        <v>110</v>
      </c>
      <c r="B498" s="8">
        <f t="shared" si="14"/>
        <v>2.0413926851582249</v>
      </c>
      <c r="C498" s="8">
        <v>5</v>
      </c>
      <c r="D498" s="8">
        <v>68</v>
      </c>
      <c r="E498" s="8">
        <v>0</v>
      </c>
      <c r="F498" s="8">
        <v>0</v>
      </c>
      <c r="G498" s="8">
        <v>26</v>
      </c>
      <c r="H498" s="8">
        <v>0.29199999999999998</v>
      </c>
      <c r="I498" s="8">
        <v>30</v>
      </c>
      <c r="J498" s="1">
        <v>2.0338367541393763</v>
      </c>
      <c r="K498" s="1">
        <v>7.5559310188486606E-3</v>
      </c>
      <c r="L498">
        <f t="shared" si="15"/>
        <v>5.709209356159936E-5</v>
      </c>
      <c r="P498" s="1">
        <v>460</v>
      </c>
      <c r="Q498" s="1">
        <v>4.6329250537905139E-2</v>
      </c>
      <c r="R498" s="1">
        <v>-4.6327585615985739E-2</v>
      </c>
    </row>
    <row r="499" spans="1:18" x14ac:dyDescent="0.35">
      <c r="A499" s="8">
        <v>81</v>
      </c>
      <c r="B499" s="8">
        <f t="shared" si="14"/>
        <v>1.9084850188786497</v>
      </c>
      <c r="C499" s="8">
        <v>2</v>
      </c>
      <c r="D499" s="8">
        <v>72</v>
      </c>
      <c r="E499" s="8">
        <v>15</v>
      </c>
      <c r="F499" s="8">
        <v>76</v>
      </c>
      <c r="G499" s="8">
        <v>30.1</v>
      </c>
      <c r="H499" s="8">
        <v>0.54700000000000004</v>
      </c>
      <c r="I499" s="8">
        <v>25</v>
      </c>
      <c r="J499" s="1">
        <v>2.0443374513973276</v>
      </c>
      <c r="K499" s="1">
        <v>-0.13585243251867785</v>
      </c>
      <c r="L499">
        <f t="shared" si="15"/>
        <v>1.8455883421241919E-2</v>
      </c>
      <c r="P499" s="1">
        <v>461</v>
      </c>
      <c r="Q499" s="1">
        <v>2.7336763676644744E-2</v>
      </c>
      <c r="R499" s="1">
        <v>-2.7037537326256592E-2</v>
      </c>
    </row>
    <row r="500" spans="1:18" x14ac:dyDescent="0.35">
      <c r="A500" s="8">
        <v>195</v>
      </c>
      <c r="B500" s="8">
        <f t="shared" si="14"/>
        <v>2.2900346113625178</v>
      </c>
      <c r="C500" s="8">
        <v>7</v>
      </c>
      <c r="D500" s="8">
        <v>70</v>
      </c>
      <c r="E500" s="8">
        <v>33</v>
      </c>
      <c r="F500" s="8">
        <v>145</v>
      </c>
      <c r="G500" s="8">
        <v>25.1</v>
      </c>
      <c r="H500" s="8">
        <v>0.16300000000000001</v>
      </c>
      <c r="I500" s="8">
        <v>55</v>
      </c>
      <c r="J500" s="1">
        <v>2.0899356321374003</v>
      </c>
      <c r="K500" s="1">
        <v>0.20009897922511755</v>
      </c>
      <c r="L500">
        <f t="shared" si="15"/>
        <v>4.0039601486934022E-2</v>
      </c>
      <c r="P500" s="1">
        <v>462</v>
      </c>
      <c r="Q500" s="1">
        <v>2.5440160364423477E-2</v>
      </c>
      <c r="R500" s="1">
        <v>2.6497631900993662E-5</v>
      </c>
    </row>
    <row r="501" spans="1:18" x14ac:dyDescent="0.35">
      <c r="A501" s="8">
        <v>154</v>
      </c>
      <c r="B501" s="8">
        <f t="shared" si="14"/>
        <v>2.1875207208364631</v>
      </c>
      <c r="C501" s="8">
        <v>6</v>
      </c>
      <c r="D501" s="8">
        <v>74</v>
      </c>
      <c r="E501" s="8">
        <v>32</v>
      </c>
      <c r="F501" s="8">
        <v>193</v>
      </c>
      <c r="G501" s="8">
        <v>29.3</v>
      </c>
      <c r="H501" s="8">
        <v>0.83899999999999997</v>
      </c>
      <c r="I501" s="8">
        <v>39</v>
      </c>
      <c r="J501" s="1">
        <v>2.1075458307502597</v>
      </c>
      <c r="K501" s="1">
        <v>7.9974890086203398E-2</v>
      </c>
      <c r="L501">
        <f t="shared" si="15"/>
        <v>6.3959830443003143E-3</v>
      </c>
      <c r="P501" s="1">
        <v>463</v>
      </c>
      <c r="Q501" s="1">
        <v>6.7897876869666252E-2</v>
      </c>
      <c r="R501" s="1">
        <v>-3.8875489952606139E-2</v>
      </c>
    </row>
    <row r="502" spans="1:18" x14ac:dyDescent="0.35">
      <c r="A502" s="8">
        <v>117</v>
      </c>
      <c r="B502" s="8">
        <f t="shared" si="14"/>
        <v>2.0681858617461617</v>
      </c>
      <c r="C502" s="8">
        <v>2</v>
      </c>
      <c r="D502" s="8">
        <v>90</v>
      </c>
      <c r="E502" s="8">
        <v>19</v>
      </c>
      <c r="F502" s="8">
        <v>71</v>
      </c>
      <c r="G502" s="8">
        <v>25.2</v>
      </c>
      <c r="H502" s="8">
        <v>0.313</v>
      </c>
      <c r="I502" s="8">
        <v>21</v>
      </c>
      <c r="J502" s="1">
        <v>2.0109505815617639</v>
      </c>
      <c r="K502" s="1">
        <v>5.723528018439783E-2</v>
      </c>
      <c r="L502">
        <f t="shared" si="15"/>
        <v>3.2758772977865228E-3</v>
      </c>
      <c r="P502" s="1">
        <v>464</v>
      </c>
      <c r="Q502" s="1">
        <v>7.3625896251632128E-2</v>
      </c>
      <c r="R502" s="1">
        <v>-7.0728540602410045E-2</v>
      </c>
    </row>
    <row r="503" spans="1:18" x14ac:dyDescent="0.35">
      <c r="A503" s="8">
        <v>84</v>
      </c>
      <c r="B503" s="8">
        <f t="shared" si="14"/>
        <v>1.9242792860618816</v>
      </c>
      <c r="C503" s="8">
        <v>3</v>
      </c>
      <c r="D503" s="8">
        <v>72</v>
      </c>
      <c r="E503" s="8">
        <v>32</v>
      </c>
      <c r="F503" s="8">
        <v>0</v>
      </c>
      <c r="G503" s="8">
        <v>37.200000000000003</v>
      </c>
      <c r="H503" s="8">
        <v>0.26700000000000002</v>
      </c>
      <c r="I503" s="8">
        <v>28</v>
      </c>
      <c r="J503" s="1">
        <v>1.9958771722569646</v>
      </c>
      <c r="K503" s="1">
        <v>-7.1597886195083005E-2</v>
      </c>
      <c r="L503">
        <f t="shared" si="15"/>
        <v>5.1262573076040572E-3</v>
      </c>
      <c r="P503" s="1">
        <v>465</v>
      </c>
      <c r="Q503" s="1">
        <v>-7.2637306967283698E-3</v>
      </c>
      <c r="R503" s="1">
        <v>7.4247048133185903E-3</v>
      </c>
    </row>
    <row r="504" spans="1:18" x14ac:dyDescent="0.35">
      <c r="A504" s="8">
        <v>0</v>
      </c>
      <c r="B504" s="8">
        <v>0</v>
      </c>
      <c r="C504" s="8">
        <v>6</v>
      </c>
      <c r="D504" s="8">
        <v>68</v>
      </c>
      <c r="E504" s="8">
        <v>41</v>
      </c>
      <c r="F504" s="8">
        <v>0</v>
      </c>
      <c r="G504" s="8">
        <v>39</v>
      </c>
      <c r="H504" s="8">
        <v>0.72699999999999998</v>
      </c>
      <c r="I504" s="8">
        <v>41</v>
      </c>
      <c r="J504" s="1">
        <v>2.0281617357238013</v>
      </c>
      <c r="K504" s="1">
        <v>-2.0281617357238013</v>
      </c>
      <c r="L504">
        <f t="shared" si="15"/>
        <v>4.1134400262541826</v>
      </c>
      <c r="P504" s="1">
        <v>466</v>
      </c>
      <c r="Q504" s="1">
        <v>2.4574556602076508E-2</v>
      </c>
      <c r="R504" s="1">
        <v>-1.9120367392458832E-2</v>
      </c>
    </row>
    <row r="505" spans="1:18" x14ac:dyDescent="0.35">
      <c r="A505" s="8">
        <v>94</v>
      </c>
      <c r="B505" s="8">
        <f t="shared" si="14"/>
        <v>1.9731278535996986</v>
      </c>
      <c r="C505" s="8">
        <v>7</v>
      </c>
      <c r="D505" s="8">
        <v>64</v>
      </c>
      <c r="E505" s="8">
        <v>25</v>
      </c>
      <c r="F505" s="8">
        <v>79</v>
      </c>
      <c r="G505" s="8">
        <v>33.299999999999997</v>
      </c>
      <c r="H505" s="8">
        <v>0.73799999999999999</v>
      </c>
      <c r="I505" s="8">
        <v>41</v>
      </c>
      <c r="J505" s="1">
        <v>2.0796972871796711</v>
      </c>
      <c r="K505" s="1">
        <v>-0.10656943357997251</v>
      </c>
      <c r="L505">
        <f t="shared" si="15"/>
        <v>1.1357044173556171E-2</v>
      </c>
      <c r="P505" s="1">
        <v>467</v>
      </c>
      <c r="Q505" s="1">
        <v>4.1715668659354374E-2</v>
      </c>
      <c r="R505" s="1">
        <v>-2.2966900244125125E-2</v>
      </c>
    </row>
    <row r="506" spans="1:18" x14ac:dyDescent="0.35">
      <c r="A506" s="8">
        <v>96</v>
      </c>
      <c r="B506" s="8">
        <f t="shared" si="14"/>
        <v>1.9822712330395684</v>
      </c>
      <c r="C506" s="8">
        <v>3</v>
      </c>
      <c r="D506" s="8">
        <v>78</v>
      </c>
      <c r="E506" s="8">
        <v>39</v>
      </c>
      <c r="F506" s="8">
        <v>0</v>
      </c>
      <c r="G506" s="8">
        <v>37.299999999999997</v>
      </c>
      <c r="H506" s="8">
        <v>0.23799999999999999</v>
      </c>
      <c r="I506" s="8">
        <v>40</v>
      </c>
      <c r="J506" s="1">
        <v>2.0116141835108734</v>
      </c>
      <c r="K506" s="1">
        <v>-2.9342950471304974E-2</v>
      </c>
      <c r="L506">
        <f t="shared" si="15"/>
        <v>8.6100874236145683E-4</v>
      </c>
      <c r="P506" s="1">
        <v>468</v>
      </c>
      <c r="Q506" s="1">
        <v>6.5191995563504274E-2</v>
      </c>
      <c r="R506" s="1">
        <v>-6.3375299784526107E-2</v>
      </c>
    </row>
    <row r="507" spans="1:18" x14ac:dyDescent="0.35">
      <c r="A507" s="8">
        <v>75</v>
      </c>
      <c r="B507" s="8">
        <f t="shared" si="14"/>
        <v>1.8750612633917001</v>
      </c>
      <c r="C507" s="8">
        <v>10</v>
      </c>
      <c r="D507" s="8">
        <v>82</v>
      </c>
      <c r="E507" s="8">
        <v>0</v>
      </c>
      <c r="F507" s="8">
        <v>0</v>
      </c>
      <c r="G507" s="8">
        <v>33.299999999999997</v>
      </c>
      <c r="H507" s="8">
        <v>0.26300000000000001</v>
      </c>
      <c r="I507" s="8">
        <v>38</v>
      </c>
      <c r="J507" s="1">
        <v>2.0809156312618744</v>
      </c>
      <c r="K507" s="1">
        <v>-0.2058543678701743</v>
      </c>
      <c r="L507">
        <f t="shared" si="15"/>
        <v>4.2376020771229053E-2</v>
      </c>
      <c r="P507" s="1">
        <v>469</v>
      </c>
      <c r="Q507" s="1">
        <v>2.781329844917102E-2</v>
      </c>
      <c r="R507" s="1">
        <v>-2.6305876507724719E-2</v>
      </c>
    </row>
    <row r="508" spans="1:18" x14ac:dyDescent="0.35">
      <c r="A508" s="8">
        <v>180</v>
      </c>
      <c r="B508" s="8">
        <f t="shared" si="14"/>
        <v>2.255272505103306</v>
      </c>
      <c r="C508" s="8">
        <v>0</v>
      </c>
      <c r="D508" s="8">
        <v>90</v>
      </c>
      <c r="E508" s="8">
        <v>26</v>
      </c>
      <c r="F508" s="8">
        <v>90</v>
      </c>
      <c r="G508" s="8">
        <v>36.5</v>
      </c>
      <c r="H508" s="8">
        <v>0.314</v>
      </c>
      <c r="I508" s="8">
        <v>35</v>
      </c>
      <c r="J508" s="1">
        <v>2.0673549317918822</v>
      </c>
      <c r="K508" s="1">
        <v>0.18791757331142378</v>
      </c>
      <c r="L508">
        <f t="shared" si="15"/>
        <v>3.5313014359254331E-2</v>
      </c>
      <c r="P508" s="1">
        <v>470</v>
      </c>
      <c r="Q508" s="1">
        <v>5.3149485683350838E-2</v>
      </c>
      <c r="R508" s="1">
        <v>-4.0998054203283403E-2</v>
      </c>
    </row>
    <row r="509" spans="1:18" x14ac:dyDescent="0.35">
      <c r="A509" s="8">
        <v>130</v>
      </c>
      <c r="B509" s="8">
        <f t="shared" si="14"/>
        <v>2.1139433523068369</v>
      </c>
      <c r="C509" s="8">
        <v>1</v>
      </c>
      <c r="D509" s="8">
        <v>60</v>
      </c>
      <c r="E509" s="8">
        <v>23</v>
      </c>
      <c r="F509" s="8">
        <v>170</v>
      </c>
      <c r="G509" s="8">
        <v>28.6</v>
      </c>
      <c r="H509" s="8">
        <v>0.69199999999999995</v>
      </c>
      <c r="I509" s="8">
        <v>21</v>
      </c>
      <c r="J509" s="1">
        <v>2.0571957049024094</v>
      </c>
      <c r="K509" s="1">
        <v>5.6747647404427504E-2</v>
      </c>
      <c r="L509">
        <f t="shared" si="15"/>
        <v>3.2202954859372277E-3</v>
      </c>
      <c r="P509" s="1">
        <v>471</v>
      </c>
      <c r="Q509" s="1">
        <v>9.4192275868644676E-2</v>
      </c>
      <c r="R509" s="1">
        <v>-6.9920338269413004E-2</v>
      </c>
    </row>
    <row r="510" spans="1:18" x14ac:dyDescent="0.35">
      <c r="A510" s="8">
        <v>84</v>
      </c>
      <c r="B510" s="8">
        <f t="shared" si="14"/>
        <v>1.9242792860618816</v>
      </c>
      <c r="C510" s="8">
        <v>2</v>
      </c>
      <c r="D510" s="8">
        <v>50</v>
      </c>
      <c r="E510" s="8">
        <v>23</v>
      </c>
      <c r="F510" s="8">
        <v>76</v>
      </c>
      <c r="G510" s="8">
        <v>30.4</v>
      </c>
      <c r="H510" s="8">
        <v>0.96799999999999997</v>
      </c>
      <c r="I510" s="8">
        <v>21</v>
      </c>
      <c r="J510" s="1">
        <v>2.0249137670648794</v>
      </c>
      <c r="K510" s="1">
        <v>-0.10063448100299777</v>
      </c>
      <c r="L510">
        <f t="shared" si="15"/>
        <v>1.0127298766742718E-2</v>
      </c>
      <c r="P510" s="1">
        <v>472</v>
      </c>
      <c r="Q510" s="1">
        <v>0.10242716100142711</v>
      </c>
      <c r="R510" s="1">
        <v>-6.8682665903470705E-2</v>
      </c>
    </row>
    <row r="511" spans="1:18" x14ac:dyDescent="0.35">
      <c r="A511" s="8">
        <v>120</v>
      </c>
      <c r="B511" s="8">
        <f t="shared" si="14"/>
        <v>2.0791812460476247</v>
      </c>
      <c r="C511" s="8">
        <v>8</v>
      </c>
      <c r="D511" s="8">
        <v>78</v>
      </c>
      <c r="E511" s="8">
        <v>0</v>
      </c>
      <c r="F511" s="8">
        <v>0</v>
      </c>
      <c r="G511" s="8">
        <v>25</v>
      </c>
      <c r="H511" s="8">
        <v>0.40899999999999997</v>
      </c>
      <c r="I511" s="8">
        <v>64</v>
      </c>
      <c r="J511" s="1">
        <v>2.1198589507322874</v>
      </c>
      <c r="K511" s="1">
        <v>-4.0677704684662697E-2</v>
      </c>
      <c r="L511">
        <f t="shared" si="15"/>
        <v>1.6546756584126295E-3</v>
      </c>
      <c r="P511" s="1">
        <v>473</v>
      </c>
      <c r="Q511" s="1">
        <v>8.1618813681740121E-2</v>
      </c>
      <c r="R511" s="1">
        <v>-7.4456645362458315E-2</v>
      </c>
    </row>
    <row r="512" spans="1:18" x14ac:dyDescent="0.35">
      <c r="A512" s="8">
        <v>84</v>
      </c>
      <c r="B512" s="8">
        <f t="shared" si="14"/>
        <v>1.9242792860618816</v>
      </c>
      <c r="C512" s="8">
        <v>12</v>
      </c>
      <c r="D512" s="8">
        <v>72</v>
      </c>
      <c r="E512" s="8">
        <v>31</v>
      </c>
      <c r="F512" s="8">
        <v>0</v>
      </c>
      <c r="G512" s="8">
        <v>29.7</v>
      </c>
      <c r="H512" s="8">
        <v>0.29699999999999999</v>
      </c>
      <c r="I512" s="8">
        <v>46</v>
      </c>
      <c r="J512" s="1">
        <v>2.0288027190007409</v>
      </c>
      <c r="K512" s="1">
        <v>-0.10452343293885935</v>
      </c>
      <c r="L512">
        <f t="shared" si="15"/>
        <v>1.0925148033324228E-2</v>
      </c>
      <c r="P512" s="1">
        <v>474</v>
      </c>
      <c r="Q512" s="1">
        <v>1.1815116737577217E-2</v>
      </c>
      <c r="R512" s="1">
        <v>-1.0547068522804088E-2</v>
      </c>
    </row>
    <row r="513" spans="1:18" x14ac:dyDescent="0.35">
      <c r="A513" s="8">
        <v>139</v>
      </c>
      <c r="B513" s="8">
        <f t="shared" si="14"/>
        <v>2.143014800254095</v>
      </c>
      <c r="C513" s="8">
        <v>0</v>
      </c>
      <c r="D513" s="8">
        <v>62</v>
      </c>
      <c r="E513" s="8">
        <v>17</v>
      </c>
      <c r="F513" s="8">
        <v>210</v>
      </c>
      <c r="G513" s="8">
        <v>22.1</v>
      </c>
      <c r="H513" s="8">
        <v>0.20699999999999999</v>
      </c>
      <c r="I513" s="8">
        <v>21</v>
      </c>
      <c r="J513" s="1">
        <v>2.0552473489434799</v>
      </c>
      <c r="K513" s="1">
        <v>8.776745131061503E-2</v>
      </c>
      <c r="L513">
        <f t="shared" si="15"/>
        <v>7.7031255095611796E-3</v>
      </c>
      <c r="P513" s="1">
        <v>475</v>
      </c>
      <c r="Q513" s="1">
        <v>2.6771768513196674E-2</v>
      </c>
      <c r="R513" s="1">
        <v>-2.5461279899950284E-2</v>
      </c>
    </row>
    <row r="514" spans="1:18" x14ac:dyDescent="0.35">
      <c r="A514" s="8">
        <v>91</v>
      </c>
      <c r="B514" s="8">
        <f t="shared" si="14"/>
        <v>1.9590413923210936</v>
      </c>
      <c r="C514" s="8">
        <v>9</v>
      </c>
      <c r="D514" s="8">
        <v>68</v>
      </c>
      <c r="E514" s="8">
        <v>0</v>
      </c>
      <c r="F514" s="8">
        <v>0</v>
      </c>
      <c r="G514" s="8">
        <v>24.2</v>
      </c>
      <c r="H514" s="8">
        <v>0.2</v>
      </c>
      <c r="I514" s="8">
        <v>58</v>
      </c>
      <c r="J514" s="1">
        <v>2.0953417229433486</v>
      </c>
      <c r="K514" s="1">
        <v>-0.13630033062225499</v>
      </c>
      <c r="L514">
        <f t="shared" si="15"/>
        <v>1.8577780127736022E-2</v>
      </c>
      <c r="P514" s="1">
        <v>476</v>
      </c>
      <c r="Q514" s="1">
        <v>7.1763181931712605E-2</v>
      </c>
      <c r="R514" s="1">
        <v>-6.4426423595088281E-2</v>
      </c>
    </row>
    <row r="515" spans="1:18" x14ac:dyDescent="0.35">
      <c r="A515" s="8">
        <v>91</v>
      </c>
      <c r="B515" s="8">
        <f t="shared" ref="B515:B578" si="16">LOG(A515)</f>
        <v>1.9590413923210936</v>
      </c>
      <c r="C515" s="8">
        <v>2</v>
      </c>
      <c r="D515" s="8">
        <v>62</v>
      </c>
      <c r="E515" s="8">
        <v>0</v>
      </c>
      <c r="F515" s="8">
        <v>0</v>
      </c>
      <c r="G515" s="8">
        <v>27.3</v>
      </c>
      <c r="H515" s="8">
        <v>0.52500000000000002</v>
      </c>
      <c r="I515" s="8">
        <v>22</v>
      </c>
      <c r="J515" s="1">
        <v>2.0205388498657513</v>
      </c>
      <c r="K515" s="1">
        <v>-6.149745754465763E-2</v>
      </c>
      <c r="L515">
        <f t="shared" ref="L515:L578" si="17">K515*K515</f>
        <v>3.7819372844569675E-3</v>
      </c>
      <c r="P515" s="1">
        <v>477</v>
      </c>
      <c r="Q515" s="1">
        <v>4.8957501924436597E-2</v>
      </c>
      <c r="R515" s="1">
        <v>-4.7084680733523947E-2</v>
      </c>
    </row>
    <row r="516" spans="1:18" x14ac:dyDescent="0.35">
      <c r="A516" s="8">
        <v>99</v>
      </c>
      <c r="B516" s="8">
        <f t="shared" si="16"/>
        <v>1.9956351945975499</v>
      </c>
      <c r="C516" s="8">
        <v>3</v>
      </c>
      <c r="D516" s="8">
        <v>54</v>
      </c>
      <c r="E516" s="8">
        <v>19</v>
      </c>
      <c r="F516" s="8">
        <v>86</v>
      </c>
      <c r="G516" s="8">
        <v>25.6</v>
      </c>
      <c r="H516" s="8">
        <v>0.154</v>
      </c>
      <c r="I516" s="8">
        <v>24</v>
      </c>
      <c r="J516" s="1">
        <v>2.0102100718918612</v>
      </c>
      <c r="K516" s="1">
        <v>-1.4574877294311284E-2</v>
      </c>
      <c r="L516">
        <f t="shared" si="17"/>
        <v>2.124270481442306E-4</v>
      </c>
      <c r="P516" s="1">
        <v>478</v>
      </c>
      <c r="Q516" s="1">
        <v>1.4460683396680151E-2</v>
      </c>
      <c r="R516" s="1">
        <v>-1.4460525785453978E-2</v>
      </c>
    </row>
    <row r="517" spans="1:18" x14ac:dyDescent="0.35">
      <c r="A517" s="8">
        <v>163</v>
      </c>
      <c r="B517" s="8">
        <f t="shared" si="16"/>
        <v>2.2121876044039577</v>
      </c>
      <c r="C517" s="8">
        <v>3</v>
      </c>
      <c r="D517" s="8">
        <v>70</v>
      </c>
      <c r="E517" s="8">
        <v>18</v>
      </c>
      <c r="F517" s="8">
        <v>105</v>
      </c>
      <c r="G517" s="8">
        <v>31.6</v>
      </c>
      <c r="H517" s="8">
        <v>0.26800000000000002</v>
      </c>
      <c r="I517" s="8">
        <v>28</v>
      </c>
      <c r="J517" s="1">
        <v>2.0550160861976678</v>
      </c>
      <c r="K517" s="1">
        <v>0.15717151820628983</v>
      </c>
      <c r="L517">
        <f t="shared" si="17"/>
        <v>2.4702886135270094E-2</v>
      </c>
      <c r="P517" s="1">
        <v>479</v>
      </c>
      <c r="Q517" s="1">
        <v>6.5842745973972563E-2</v>
      </c>
      <c r="R517" s="1">
        <v>-5.8650155007968545E-2</v>
      </c>
    </row>
    <row r="518" spans="1:18" x14ac:dyDescent="0.35">
      <c r="A518" s="8">
        <v>145</v>
      </c>
      <c r="B518" s="8">
        <f t="shared" si="16"/>
        <v>2.1613680022349748</v>
      </c>
      <c r="C518" s="8">
        <v>9</v>
      </c>
      <c r="D518" s="8">
        <v>88</v>
      </c>
      <c r="E518" s="8">
        <v>34</v>
      </c>
      <c r="F518" s="8">
        <v>165</v>
      </c>
      <c r="G518" s="8">
        <v>30.3</v>
      </c>
      <c r="H518" s="8">
        <v>0.77100000000000002</v>
      </c>
      <c r="I518" s="8">
        <v>53</v>
      </c>
      <c r="J518" s="1">
        <v>2.1318460498160232</v>
      </c>
      <c r="K518" s="1">
        <v>2.9521952418951614E-2</v>
      </c>
      <c r="L518">
        <f t="shared" si="17"/>
        <v>8.7154567462684304E-4</v>
      </c>
      <c r="P518" s="1">
        <v>480</v>
      </c>
      <c r="Q518" s="1">
        <v>6.838707136501293E-2</v>
      </c>
      <c r="R518" s="1">
        <v>-6.5223971345847565E-2</v>
      </c>
    </row>
    <row r="519" spans="1:18" x14ac:dyDescent="0.35">
      <c r="A519" s="8">
        <v>125</v>
      </c>
      <c r="B519" s="8">
        <f t="shared" si="16"/>
        <v>2.0969100130080562</v>
      </c>
      <c r="C519" s="8">
        <v>7</v>
      </c>
      <c r="D519" s="8">
        <v>86</v>
      </c>
      <c r="E519" s="8">
        <v>0</v>
      </c>
      <c r="F519" s="8">
        <v>0</v>
      </c>
      <c r="G519" s="8">
        <v>37.6</v>
      </c>
      <c r="H519" s="8">
        <v>0.30399999999999999</v>
      </c>
      <c r="I519" s="8">
        <v>51</v>
      </c>
      <c r="J519" s="1">
        <v>2.1225335449134026</v>
      </c>
      <c r="K519" s="1">
        <v>-2.5623531905346386E-2</v>
      </c>
      <c r="L519">
        <f t="shared" si="17"/>
        <v>6.565653873043042E-4</v>
      </c>
      <c r="P519" s="1">
        <v>481</v>
      </c>
      <c r="Q519" s="1">
        <v>-8.8923319658687511E-3</v>
      </c>
      <c r="R519" s="1">
        <v>1.0241920445881075E-2</v>
      </c>
    </row>
    <row r="520" spans="1:18" x14ac:dyDescent="0.35">
      <c r="A520" s="8">
        <v>76</v>
      </c>
      <c r="B520" s="8">
        <f t="shared" si="16"/>
        <v>1.8808135922807914</v>
      </c>
      <c r="C520" s="8">
        <v>13</v>
      </c>
      <c r="D520" s="8">
        <v>60</v>
      </c>
      <c r="E520" s="8">
        <v>0</v>
      </c>
      <c r="F520" s="8">
        <v>0</v>
      </c>
      <c r="G520" s="8">
        <v>32.799999999999997</v>
      </c>
      <c r="H520" s="8">
        <v>0.18</v>
      </c>
      <c r="I520" s="8">
        <v>41</v>
      </c>
      <c r="J520" s="1">
        <v>2.0796753903402405</v>
      </c>
      <c r="K520" s="1">
        <v>-0.19886179805944915</v>
      </c>
      <c r="L520">
        <f t="shared" si="17"/>
        <v>3.9546014727437136E-2</v>
      </c>
      <c r="P520" s="1">
        <v>482</v>
      </c>
      <c r="Q520" s="1">
        <v>9.6078750231598453E-2</v>
      </c>
      <c r="R520" s="1">
        <v>-8.4757101889376754E-2</v>
      </c>
    </row>
    <row r="521" spans="1:18" x14ac:dyDescent="0.35">
      <c r="A521" s="8">
        <v>129</v>
      </c>
      <c r="B521" s="8">
        <f t="shared" si="16"/>
        <v>2.1105897102992488</v>
      </c>
      <c r="C521" s="8">
        <v>6</v>
      </c>
      <c r="D521" s="8">
        <v>90</v>
      </c>
      <c r="E521" s="8">
        <v>7</v>
      </c>
      <c r="F521" s="8">
        <v>326</v>
      </c>
      <c r="G521" s="8">
        <v>19.600000000000001</v>
      </c>
      <c r="H521" s="8">
        <v>0.58199999999999996</v>
      </c>
      <c r="I521" s="8">
        <v>60</v>
      </c>
      <c r="J521" s="1">
        <v>2.2372738724019943</v>
      </c>
      <c r="K521" s="1">
        <v>-0.12668416210274547</v>
      </c>
      <c r="L521">
        <f t="shared" si="17"/>
        <v>1.6048876927674691E-2</v>
      </c>
      <c r="P521" s="1">
        <v>483</v>
      </c>
      <c r="Q521" s="1">
        <v>5.1458118982986911E-2</v>
      </c>
      <c r="R521" s="1">
        <v>-4.5047084631085442E-2</v>
      </c>
    </row>
    <row r="522" spans="1:18" x14ac:dyDescent="0.35">
      <c r="A522" s="8">
        <v>68</v>
      </c>
      <c r="B522" s="8">
        <f t="shared" si="16"/>
        <v>1.8325089127062364</v>
      </c>
      <c r="C522" s="8">
        <v>2</v>
      </c>
      <c r="D522" s="8">
        <v>70</v>
      </c>
      <c r="E522" s="8">
        <v>32</v>
      </c>
      <c r="F522" s="8">
        <v>66</v>
      </c>
      <c r="G522" s="8">
        <v>25</v>
      </c>
      <c r="H522" s="8">
        <v>0.187</v>
      </c>
      <c r="I522" s="8">
        <v>25</v>
      </c>
      <c r="J522" s="1">
        <v>1.9817958578888715</v>
      </c>
      <c r="K522" s="1">
        <v>-0.14928694518263508</v>
      </c>
      <c r="L522">
        <f t="shared" si="17"/>
        <v>2.228659200196309E-2</v>
      </c>
      <c r="P522" s="1">
        <v>484</v>
      </c>
      <c r="Q522" s="1">
        <v>5.3626342775899082E-2</v>
      </c>
      <c r="R522" s="1">
        <v>-3.9012825816944666E-2</v>
      </c>
    </row>
    <row r="523" spans="1:18" x14ac:dyDescent="0.35">
      <c r="A523" s="8">
        <v>124</v>
      </c>
      <c r="B523" s="8">
        <f t="shared" si="16"/>
        <v>2.0934216851622351</v>
      </c>
      <c r="C523" s="8">
        <v>3</v>
      </c>
      <c r="D523" s="8">
        <v>80</v>
      </c>
      <c r="E523" s="8">
        <v>33</v>
      </c>
      <c r="F523" s="8">
        <v>130</v>
      </c>
      <c r="G523" s="8">
        <v>33.200000000000003</v>
      </c>
      <c r="H523" s="8">
        <v>0.30499999999999999</v>
      </c>
      <c r="I523" s="8">
        <v>26</v>
      </c>
      <c r="J523" s="1">
        <v>2.0411814533103225</v>
      </c>
      <c r="K523" s="1">
        <v>5.2240231851912622E-2</v>
      </c>
      <c r="L523">
        <f t="shared" si="17"/>
        <v>2.7290418239415862E-3</v>
      </c>
      <c r="P523" s="1">
        <v>485</v>
      </c>
      <c r="Q523" s="1">
        <v>3.4765754882991003E-2</v>
      </c>
      <c r="R523" s="1">
        <v>-2.6011845489411704E-2</v>
      </c>
    </row>
    <row r="524" spans="1:18" x14ac:dyDescent="0.35">
      <c r="A524" s="8">
        <v>114</v>
      </c>
      <c r="B524" s="8">
        <f t="shared" si="16"/>
        <v>2.0569048513364727</v>
      </c>
      <c r="C524" s="8">
        <v>6</v>
      </c>
      <c r="D524" s="8">
        <v>0</v>
      </c>
      <c r="E524" s="8">
        <v>0</v>
      </c>
      <c r="F524" s="8">
        <v>0</v>
      </c>
      <c r="G524" s="8">
        <v>0</v>
      </c>
      <c r="H524" s="8">
        <v>0.189</v>
      </c>
      <c r="I524" s="8">
        <v>26</v>
      </c>
      <c r="J524" s="1">
        <v>1.9291545600431224</v>
      </c>
      <c r="K524" s="1">
        <v>0.12775029129335036</v>
      </c>
      <c r="L524">
        <f t="shared" si="17"/>
        <v>1.6320136925535869E-2</v>
      </c>
      <c r="P524" s="1">
        <v>486</v>
      </c>
      <c r="Q524" s="1">
        <v>4.1135546301458693E-2</v>
      </c>
      <c r="R524" s="1">
        <v>-3.9743128773509204E-2</v>
      </c>
    </row>
    <row r="525" spans="1:18" x14ac:dyDescent="0.35">
      <c r="A525" s="8">
        <v>130</v>
      </c>
      <c r="B525" s="8">
        <f t="shared" si="16"/>
        <v>2.1139433523068369</v>
      </c>
      <c r="C525" s="8">
        <v>9</v>
      </c>
      <c r="D525" s="8">
        <v>70</v>
      </c>
      <c r="E525" s="8">
        <v>0</v>
      </c>
      <c r="F525" s="8">
        <v>0</v>
      </c>
      <c r="G525" s="8">
        <v>34.200000000000003</v>
      </c>
      <c r="H525" s="8">
        <v>0.65200000000000002</v>
      </c>
      <c r="I525" s="8">
        <v>45</v>
      </c>
      <c r="J525" s="1">
        <v>2.1058312919269606</v>
      </c>
      <c r="K525" s="1">
        <v>8.1120603798763291E-3</v>
      </c>
      <c r="L525">
        <f t="shared" si="17"/>
        <v>6.5805523606759294E-5</v>
      </c>
      <c r="P525" s="1">
        <v>487</v>
      </c>
      <c r="Q525" s="1">
        <v>-2.4815233339297946E-2</v>
      </c>
      <c r="R525" s="1">
        <v>2.720490652151886E-2</v>
      </c>
    </row>
    <row r="526" spans="1:18" x14ac:dyDescent="0.35">
      <c r="A526" s="8">
        <v>125</v>
      </c>
      <c r="B526" s="8">
        <f t="shared" si="16"/>
        <v>2.0969100130080562</v>
      </c>
      <c r="C526" s="8">
        <v>3</v>
      </c>
      <c r="D526" s="8">
        <v>58</v>
      </c>
      <c r="E526" s="8">
        <v>0</v>
      </c>
      <c r="F526" s="8">
        <v>0</v>
      </c>
      <c r="G526" s="8">
        <v>31.6</v>
      </c>
      <c r="H526" s="8">
        <v>0.151</v>
      </c>
      <c r="I526" s="8">
        <v>24</v>
      </c>
      <c r="J526" s="1">
        <v>2.0257989073350315</v>
      </c>
      <c r="K526" s="1">
        <v>7.1111105673024699E-2</v>
      </c>
      <c r="L526">
        <f t="shared" si="17"/>
        <v>5.0567893500400854E-3</v>
      </c>
      <c r="P526" s="1">
        <v>488</v>
      </c>
      <c r="Q526" s="1">
        <v>-3.1018630325518864E-3</v>
      </c>
      <c r="R526" s="1">
        <v>3.1060242841389205E-3</v>
      </c>
    </row>
    <row r="527" spans="1:18" x14ac:dyDescent="0.35">
      <c r="A527" s="8">
        <v>87</v>
      </c>
      <c r="B527" s="8">
        <f t="shared" si="16"/>
        <v>1.9395192526186185</v>
      </c>
      <c r="C527" s="8">
        <v>3</v>
      </c>
      <c r="D527" s="8">
        <v>60</v>
      </c>
      <c r="E527" s="8">
        <v>18</v>
      </c>
      <c r="F527" s="8">
        <v>0</v>
      </c>
      <c r="G527" s="8">
        <v>21.8</v>
      </c>
      <c r="H527" s="8">
        <v>0.44400000000000001</v>
      </c>
      <c r="I527" s="8">
        <v>21</v>
      </c>
      <c r="J527" s="1">
        <v>1.9661024183299101</v>
      </c>
      <c r="K527" s="1">
        <v>-2.6583165711291601E-2</v>
      </c>
      <c r="L527">
        <f t="shared" si="17"/>
        <v>7.0666469923398947E-4</v>
      </c>
      <c r="P527" s="1">
        <v>489</v>
      </c>
      <c r="Q527" s="1">
        <v>5.2793762554195323E-2</v>
      </c>
      <c r="R527" s="1">
        <v>-5.2793684411017956E-2</v>
      </c>
    </row>
    <row r="528" spans="1:18" x14ac:dyDescent="0.35">
      <c r="A528" s="8">
        <v>97</v>
      </c>
      <c r="B528" s="8">
        <f t="shared" si="16"/>
        <v>1.9867717342662448</v>
      </c>
      <c r="C528" s="8">
        <v>1</v>
      </c>
      <c r="D528" s="8">
        <v>64</v>
      </c>
      <c r="E528" s="8">
        <v>19</v>
      </c>
      <c r="F528" s="8">
        <v>82</v>
      </c>
      <c r="G528" s="8">
        <v>18.2</v>
      </c>
      <c r="H528" s="8">
        <v>0.29899999999999999</v>
      </c>
      <c r="I528" s="8">
        <v>21</v>
      </c>
      <c r="J528" s="1">
        <v>1.9868836219308166</v>
      </c>
      <c r="K528" s="1">
        <v>-1.118876645718192E-4</v>
      </c>
      <c r="L528">
        <f t="shared" si="17"/>
        <v>1.2518849483335925E-8</v>
      </c>
      <c r="P528" s="1">
        <v>490</v>
      </c>
      <c r="Q528" s="1">
        <v>2.3195449636803644E-3</v>
      </c>
      <c r="R528" s="1">
        <v>2.11616839525921E-2</v>
      </c>
    </row>
    <row r="529" spans="1:18" x14ac:dyDescent="0.35">
      <c r="A529" s="8">
        <v>116</v>
      </c>
      <c r="B529" s="8">
        <f t="shared" si="16"/>
        <v>2.0644579892269186</v>
      </c>
      <c r="C529" s="8">
        <v>3</v>
      </c>
      <c r="D529" s="8">
        <v>74</v>
      </c>
      <c r="E529" s="8">
        <v>15</v>
      </c>
      <c r="F529" s="8">
        <v>105</v>
      </c>
      <c r="G529" s="8">
        <v>26.3</v>
      </c>
      <c r="H529" s="8">
        <v>0.107</v>
      </c>
      <c r="I529" s="8">
        <v>24</v>
      </c>
      <c r="J529" s="1">
        <v>2.0338837275992039</v>
      </c>
      <c r="K529" s="1">
        <v>3.0574261627714705E-2</v>
      </c>
      <c r="L529">
        <f t="shared" si="17"/>
        <v>9.3478547407994787E-4</v>
      </c>
      <c r="P529" s="1">
        <v>491</v>
      </c>
      <c r="Q529" s="1">
        <v>5.5636345389831164E-2</v>
      </c>
      <c r="R529" s="1">
        <v>-4.3264026453968235E-2</v>
      </c>
    </row>
    <row r="530" spans="1:18" x14ac:dyDescent="0.35">
      <c r="A530" s="8">
        <v>117</v>
      </c>
      <c r="B530" s="8">
        <f t="shared" si="16"/>
        <v>2.0681858617461617</v>
      </c>
      <c r="C530" s="8">
        <v>0</v>
      </c>
      <c r="D530" s="8">
        <v>66</v>
      </c>
      <c r="E530" s="8">
        <v>31</v>
      </c>
      <c r="F530" s="8">
        <v>188</v>
      </c>
      <c r="G530" s="8">
        <v>30.8</v>
      </c>
      <c r="H530" s="8">
        <v>0.49299999999999999</v>
      </c>
      <c r="I530" s="8">
        <v>22</v>
      </c>
      <c r="J530" s="1">
        <v>2.0534230360927581</v>
      </c>
      <c r="K530" s="1">
        <v>1.4762825653403588E-2</v>
      </c>
      <c r="L530">
        <f t="shared" si="17"/>
        <v>2.179410212727911E-4</v>
      </c>
      <c r="P530" s="1">
        <v>492</v>
      </c>
      <c r="Q530" s="1">
        <v>7.5482029922566224E-2</v>
      </c>
      <c r="R530" s="1">
        <v>-6.9284541425005924E-2</v>
      </c>
    </row>
    <row r="531" spans="1:18" x14ac:dyDescent="0.35">
      <c r="A531" s="8">
        <v>111</v>
      </c>
      <c r="B531" s="8">
        <f t="shared" si="16"/>
        <v>2.0453229787866576</v>
      </c>
      <c r="C531" s="8">
        <v>0</v>
      </c>
      <c r="D531" s="8">
        <v>65</v>
      </c>
      <c r="E531" s="8">
        <v>0</v>
      </c>
      <c r="F531" s="8">
        <v>0</v>
      </c>
      <c r="G531" s="8">
        <v>24.6</v>
      </c>
      <c r="H531" s="8">
        <v>0.66</v>
      </c>
      <c r="I531" s="8">
        <v>31</v>
      </c>
      <c r="J531" s="1">
        <v>2.037125657756373</v>
      </c>
      <c r="K531" s="1">
        <v>8.1973210302845878E-3</v>
      </c>
      <c r="L531">
        <f t="shared" si="17"/>
        <v>6.7196072073545982E-5</v>
      </c>
      <c r="P531" s="1">
        <v>493</v>
      </c>
      <c r="Q531" s="1">
        <v>9.4985380000517441E-2</v>
      </c>
      <c r="R531" s="1">
        <v>-9.4740407580792135E-2</v>
      </c>
    </row>
    <row r="532" spans="1:18" x14ac:dyDescent="0.35">
      <c r="A532" s="8">
        <v>122</v>
      </c>
      <c r="B532" s="8">
        <f t="shared" si="16"/>
        <v>2.0863598306747484</v>
      </c>
      <c r="C532" s="8">
        <v>2</v>
      </c>
      <c r="D532" s="8">
        <v>60</v>
      </c>
      <c r="E532" s="8">
        <v>18</v>
      </c>
      <c r="F532" s="8">
        <v>106</v>
      </c>
      <c r="G532" s="8">
        <v>29.8</v>
      </c>
      <c r="H532" s="8">
        <v>0.71699999999999997</v>
      </c>
      <c r="I532" s="8">
        <v>22</v>
      </c>
      <c r="J532" s="1">
        <v>2.0451533058904534</v>
      </c>
      <c r="K532" s="1">
        <v>4.1206524784294984E-2</v>
      </c>
      <c r="L532">
        <f t="shared" si="17"/>
        <v>1.6979776847987169E-3</v>
      </c>
      <c r="P532" s="1">
        <v>494</v>
      </c>
      <c r="Q532" s="1">
        <v>4.4394388434019216E-3</v>
      </c>
      <c r="R532" s="1">
        <v>-3.858868366882292E-3</v>
      </c>
    </row>
    <row r="533" spans="1:18" x14ac:dyDescent="0.35">
      <c r="A533" s="8">
        <v>107</v>
      </c>
      <c r="B533" s="8">
        <f t="shared" si="16"/>
        <v>2.0293837776852097</v>
      </c>
      <c r="C533" s="8">
        <v>0</v>
      </c>
      <c r="D533" s="8">
        <v>76</v>
      </c>
      <c r="E533" s="8">
        <v>0</v>
      </c>
      <c r="F533" s="8">
        <v>0</v>
      </c>
      <c r="G533" s="8">
        <v>45.3</v>
      </c>
      <c r="H533" s="8">
        <v>0.68600000000000005</v>
      </c>
      <c r="I533" s="8">
        <v>24</v>
      </c>
      <c r="J533" s="1">
        <v>2.0814872652953293</v>
      </c>
      <c r="K533" s="1">
        <v>-5.2103487610119625E-2</v>
      </c>
      <c r="L533">
        <f t="shared" si="17"/>
        <v>2.7147734211378895E-3</v>
      </c>
      <c r="P533" s="1">
        <v>495</v>
      </c>
      <c r="Q533" s="1">
        <v>3.5673257335358317E-2</v>
      </c>
      <c r="R533" s="1">
        <v>-3.5492023410381011E-2</v>
      </c>
    </row>
    <row r="534" spans="1:18" x14ac:dyDescent="0.35">
      <c r="A534" s="8">
        <v>86</v>
      </c>
      <c r="B534" s="8">
        <f t="shared" si="16"/>
        <v>1.9344984512435677</v>
      </c>
      <c r="C534" s="8">
        <v>1</v>
      </c>
      <c r="D534" s="8">
        <v>66</v>
      </c>
      <c r="E534" s="8">
        <v>52</v>
      </c>
      <c r="F534" s="8">
        <v>65</v>
      </c>
      <c r="G534" s="8">
        <v>41.3</v>
      </c>
      <c r="H534" s="8">
        <v>0.91700000000000004</v>
      </c>
      <c r="I534" s="8">
        <v>29</v>
      </c>
      <c r="J534" s="1">
        <v>2.0145104080378076</v>
      </c>
      <c r="K534" s="1">
        <v>-8.0011956794239891E-2</v>
      </c>
      <c r="L534">
        <f t="shared" si="17"/>
        <v>6.4019132300433112E-3</v>
      </c>
      <c r="P534" s="1">
        <v>496</v>
      </c>
      <c r="Q534" s="1">
        <v>1.1307491517432669E-2</v>
      </c>
      <c r="R534" s="1">
        <v>-1.8037430899978026E-3</v>
      </c>
    </row>
    <row r="535" spans="1:18" x14ac:dyDescent="0.35">
      <c r="A535" s="8">
        <v>91</v>
      </c>
      <c r="B535" s="8">
        <f t="shared" si="16"/>
        <v>1.9590413923210936</v>
      </c>
      <c r="C535" s="8">
        <v>6</v>
      </c>
      <c r="D535" s="8">
        <v>0</v>
      </c>
      <c r="E535" s="8">
        <v>0</v>
      </c>
      <c r="F535" s="8">
        <v>0</v>
      </c>
      <c r="G535" s="8">
        <v>29.8</v>
      </c>
      <c r="H535" s="8">
        <v>0.501</v>
      </c>
      <c r="I535" s="8">
        <v>31</v>
      </c>
      <c r="J535" s="1">
        <v>2.0306995428747756</v>
      </c>
      <c r="K535" s="1">
        <v>-7.1658150553681965E-2</v>
      </c>
      <c r="L535">
        <f t="shared" si="17"/>
        <v>5.1348905407741507E-3</v>
      </c>
      <c r="P535" s="1">
        <v>497</v>
      </c>
      <c r="Q535" s="1">
        <v>2.0133013579099943E-2</v>
      </c>
      <c r="R535" s="1">
        <v>-2.0075921485538342E-2</v>
      </c>
    </row>
    <row r="536" spans="1:18" x14ac:dyDescent="0.35">
      <c r="A536" s="8">
        <v>77</v>
      </c>
      <c r="B536" s="8">
        <f t="shared" si="16"/>
        <v>1.8864907251724818</v>
      </c>
      <c r="C536" s="8">
        <v>1</v>
      </c>
      <c r="D536" s="8">
        <v>56</v>
      </c>
      <c r="E536" s="8">
        <v>30</v>
      </c>
      <c r="F536" s="8">
        <v>56</v>
      </c>
      <c r="G536" s="8">
        <v>33.299999999999997</v>
      </c>
      <c r="H536" s="8">
        <v>1.2509999999999999</v>
      </c>
      <c r="I536" s="8">
        <v>24</v>
      </c>
      <c r="J536" s="1">
        <v>2.0261877406598034</v>
      </c>
      <c r="K536" s="1">
        <v>-0.13969701548732161</v>
      </c>
      <c r="L536">
        <f t="shared" si="17"/>
        <v>1.9515256136064973E-2</v>
      </c>
      <c r="P536" s="1">
        <v>498</v>
      </c>
      <c r="Q536" s="1">
        <v>2.8452842882707663E-2</v>
      </c>
      <c r="R536" s="1">
        <v>-9.9969594614657438E-3</v>
      </c>
    </row>
    <row r="537" spans="1:18" x14ac:dyDescent="0.35">
      <c r="A537" s="8">
        <v>132</v>
      </c>
      <c r="B537" s="8">
        <f t="shared" si="16"/>
        <v>2.12057393120585</v>
      </c>
      <c r="C537" s="8">
        <v>4</v>
      </c>
      <c r="D537" s="8">
        <v>0</v>
      </c>
      <c r="E537" s="8">
        <v>0</v>
      </c>
      <c r="F537" s="8">
        <v>0</v>
      </c>
      <c r="G537" s="8">
        <v>32.9</v>
      </c>
      <c r="H537" s="8">
        <v>0.30199999999999999</v>
      </c>
      <c r="I537" s="8">
        <v>23</v>
      </c>
      <c r="J537" s="1">
        <v>2.0128925079501658</v>
      </c>
      <c r="K537" s="1">
        <v>0.10768142325568419</v>
      </c>
      <c r="L537">
        <f t="shared" si="17"/>
        <v>1.1595288914369804E-2</v>
      </c>
      <c r="P537" s="1">
        <v>499</v>
      </c>
      <c r="Q537" s="1">
        <v>3.7574477073074E-2</v>
      </c>
      <c r="R537" s="1">
        <v>2.4651244138600217E-3</v>
      </c>
    </row>
    <row r="538" spans="1:18" x14ac:dyDescent="0.35">
      <c r="A538" s="8">
        <v>105</v>
      </c>
      <c r="B538" s="8">
        <f t="shared" si="16"/>
        <v>2.0211892990699383</v>
      </c>
      <c r="C538" s="8">
        <v>0</v>
      </c>
      <c r="D538" s="8">
        <v>90</v>
      </c>
      <c r="E538" s="8">
        <v>0</v>
      </c>
      <c r="F538" s="8">
        <v>0</v>
      </c>
      <c r="G538" s="8">
        <v>29.6</v>
      </c>
      <c r="H538" s="8">
        <v>0.19700000000000001</v>
      </c>
      <c r="I538" s="8">
        <v>46</v>
      </c>
      <c r="J538" s="1">
        <v>2.080760854291273</v>
      </c>
      <c r="K538" s="1">
        <v>-5.9571555221334727E-2</v>
      </c>
      <c r="L538">
        <f t="shared" si="17"/>
        <v>3.5487701914885326E-3</v>
      </c>
      <c r="P538" s="1">
        <v>500</v>
      </c>
      <c r="Q538" s="1">
        <v>1.4513742121401874E-2</v>
      </c>
      <c r="R538" s="1">
        <v>-8.1177590771015599E-3</v>
      </c>
    </row>
    <row r="539" spans="1:18" x14ac:dyDescent="0.35">
      <c r="A539" s="8">
        <v>57</v>
      </c>
      <c r="B539" s="8">
        <f t="shared" si="16"/>
        <v>1.7558748556724915</v>
      </c>
      <c r="C539" s="8">
        <v>0</v>
      </c>
      <c r="D539" s="8">
        <v>60</v>
      </c>
      <c r="E539" s="8">
        <v>0</v>
      </c>
      <c r="F539" s="8">
        <v>0</v>
      </c>
      <c r="G539" s="8">
        <v>21.7</v>
      </c>
      <c r="H539" s="8">
        <v>0.73499999999999999</v>
      </c>
      <c r="I539" s="8">
        <v>67</v>
      </c>
      <c r="J539" s="1">
        <v>2.1135738042811467</v>
      </c>
      <c r="K539" s="1">
        <v>-0.35769894860865525</v>
      </c>
      <c r="L539">
        <f t="shared" si="17"/>
        <v>0.1279485378357374</v>
      </c>
      <c r="P539" s="1">
        <v>501</v>
      </c>
      <c r="Q539" s="1">
        <v>3.8716045576394777E-2</v>
      </c>
      <c r="R539" s="1">
        <v>-3.5440168278608256E-2</v>
      </c>
    </row>
    <row r="540" spans="1:18" x14ac:dyDescent="0.35">
      <c r="A540" s="8">
        <v>127</v>
      </c>
      <c r="B540" s="8">
        <f t="shared" si="16"/>
        <v>2.1038037209559568</v>
      </c>
      <c r="C540" s="8">
        <v>0</v>
      </c>
      <c r="D540" s="8">
        <v>80</v>
      </c>
      <c r="E540" s="8">
        <v>37</v>
      </c>
      <c r="F540" s="8">
        <v>210</v>
      </c>
      <c r="G540" s="8">
        <v>36.299999999999997</v>
      </c>
      <c r="H540" s="8">
        <v>0.80400000000000005</v>
      </c>
      <c r="I540" s="8">
        <v>23</v>
      </c>
      <c r="J540" s="1">
        <v>2.0825501769841113</v>
      </c>
      <c r="K540" s="1">
        <v>2.1253543971845534E-2</v>
      </c>
      <c r="L540">
        <f t="shared" si="17"/>
        <v>4.5171313136317166E-4</v>
      </c>
      <c r="P540" s="1">
        <v>502</v>
      </c>
      <c r="Q540" s="1">
        <v>8.379737172699267E-2</v>
      </c>
      <c r="R540" s="1">
        <v>-7.8671114419388607E-2</v>
      </c>
    </row>
    <row r="541" spans="1:18" x14ac:dyDescent="0.35">
      <c r="A541" s="8">
        <v>129</v>
      </c>
      <c r="B541" s="8">
        <f t="shared" si="16"/>
        <v>2.1105897102992488</v>
      </c>
      <c r="C541" s="8">
        <v>3</v>
      </c>
      <c r="D541" s="8">
        <v>92</v>
      </c>
      <c r="E541" s="8">
        <v>49</v>
      </c>
      <c r="F541" s="8">
        <v>155</v>
      </c>
      <c r="G541" s="8">
        <v>36.4</v>
      </c>
      <c r="H541" s="8">
        <v>0.96799999999999997</v>
      </c>
      <c r="I541" s="8">
        <v>32</v>
      </c>
      <c r="J541" s="1">
        <v>2.0669516567154722</v>
      </c>
      <c r="K541" s="1">
        <v>4.3638053583776593E-2</v>
      </c>
      <c r="L541">
        <f t="shared" si="17"/>
        <v>1.9042797205805571E-3</v>
      </c>
      <c r="P541" s="1">
        <v>503</v>
      </c>
      <c r="Q541" s="1">
        <v>8.5802140864714008E-2</v>
      </c>
      <c r="R541" s="1">
        <v>4.0276378853894688</v>
      </c>
    </row>
    <row r="542" spans="1:18" x14ac:dyDescent="0.35">
      <c r="A542" s="8">
        <v>100</v>
      </c>
      <c r="B542" s="8">
        <f t="shared" si="16"/>
        <v>2</v>
      </c>
      <c r="C542" s="8">
        <v>8</v>
      </c>
      <c r="D542" s="8">
        <v>74</v>
      </c>
      <c r="E542" s="8">
        <v>40</v>
      </c>
      <c r="F542" s="8">
        <v>215</v>
      </c>
      <c r="G542" s="8">
        <v>39.4</v>
      </c>
      <c r="H542" s="8">
        <v>0.66100000000000003</v>
      </c>
      <c r="I542" s="8">
        <v>43</v>
      </c>
      <c r="J542" s="1">
        <v>2.1354952359889277</v>
      </c>
      <c r="K542" s="1">
        <v>-0.13549523598892765</v>
      </c>
      <c r="L542">
        <f t="shared" si="17"/>
        <v>1.8358958975695196E-2</v>
      </c>
      <c r="P542" s="1">
        <v>504</v>
      </c>
      <c r="Q542" s="1">
        <v>3.3647341960322583E-2</v>
      </c>
      <c r="R542" s="1">
        <v>-2.229029778676641E-2</v>
      </c>
    </row>
    <row r="543" spans="1:18" x14ac:dyDescent="0.35">
      <c r="A543" s="8">
        <v>128</v>
      </c>
      <c r="B543" s="8">
        <f t="shared" si="16"/>
        <v>2.1072099696478683</v>
      </c>
      <c r="C543" s="8">
        <v>3</v>
      </c>
      <c r="D543" s="8">
        <v>72</v>
      </c>
      <c r="E543" s="8">
        <v>25</v>
      </c>
      <c r="F543" s="8">
        <v>190</v>
      </c>
      <c r="G543" s="8">
        <v>32.4</v>
      </c>
      <c r="H543" s="8">
        <v>0.54900000000000004</v>
      </c>
      <c r="I543" s="8">
        <v>27</v>
      </c>
      <c r="J543" s="1">
        <v>2.0884976001499602</v>
      </c>
      <c r="K543" s="1">
        <v>1.871236949790811E-2</v>
      </c>
      <c r="L543">
        <f t="shared" si="17"/>
        <v>3.5015277222624183E-4</v>
      </c>
      <c r="P543" s="1">
        <v>505</v>
      </c>
      <c r="Q543" s="1">
        <v>9.4282672504535509E-2</v>
      </c>
      <c r="R543" s="1">
        <v>-9.3421663762174048E-2</v>
      </c>
    </row>
    <row r="544" spans="1:18" x14ac:dyDescent="0.35">
      <c r="A544" s="8">
        <v>90</v>
      </c>
      <c r="B544" s="8">
        <f t="shared" si="16"/>
        <v>1.954242509439325</v>
      </c>
      <c r="C544" s="8">
        <v>10</v>
      </c>
      <c r="D544" s="8">
        <v>85</v>
      </c>
      <c r="E544" s="8">
        <v>32</v>
      </c>
      <c r="F544" s="8">
        <v>0</v>
      </c>
      <c r="G544" s="8">
        <v>34.9</v>
      </c>
      <c r="H544" s="8">
        <v>0.82499999999999996</v>
      </c>
      <c r="I544" s="8">
        <v>56</v>
      </c>
      <c r="J544" s="1">
        <v>2.0818165491656475</v>
      </c>
      <c r="K544" s="1">
        <v>-0.12757403972632253</v>
      </c>
      <c r="L544">
        <f t="shared" si="17"/>
        <v>1.627513561209332E-2</v>
      </c>
      <c r="P544" s="1">
        <v>506</v>
      </c>
      <c r="Q544" s="1">
        <v>9.7638266836191021E-3</v>
      </c>
      <c r="R544" s="1">
        <v>3.2612194087609951E-2</v>
      </c>
    </row>
    <row r="545" spans="1:18" x14ac:dyDescent="0.35">
      <c r="A545" s="8">
        <v>84</v>
      </c>
      <c r="B545" s="8">
        <f t="shared" si="16"/>
        <v>1.9242792860618816</v>
      </c>
      <c r="C545" s="8">
        <v>4</v>
      </c>
      <c r="D545" s="8">
        <v>90</v>
      </c>
      <c r="E545" s="8">
        <v>23</v>
      </c>
      <c r="F545" s="8">
        <v>56</v>
      </c>
      <c r="G545" s="8">
        <v>39.5</v>
      </c>
      <c r="H545" s="8">
        <v>0.159</v>
      </c>
      <c r="I545" s="8">
        <v>25</v>
      </c>
      <c r="J545" s="1">
        <v>2.042006482164104</v>
      </c>
      <c r="K545" s="1">
        <v>-0.11772719610222238</v>
      </c>
      <c r="L545">
        <f t="shared" si="17"/>
        <v>1.3859692702091123E-2</v>
      </c>
      <c r="P545" s="1">
        <v>507</v>
      </c>
      <c r="Q545" s="1">
        <v>4.856714308236515E-2</v>
      </c>
      <c r="R545" s="1">
        <v>-1.3254128723110818E-2</v>
      </c>
    </row>
    <row r="546" spans="1:18" x14ac:dyDescent="0.35">
      <c r="A546" s="8">
        <v>88</v>
      </c>
      <c r="B546" s="8">
        <f t="shared" si="16"/>
        <v>1.9444826721501687</v>
      </c>
      <c r="C546" s="8">
        <v>1</v>
      </c>
      <c r="D546" s="8">
        <v>78</v>
      </c>
      <c r="E546" s="8">
        <v>29</v>
      </c>
      <c r="F546" s="8">
        <v>76</v>
      </c>
      <c r="G546" s="8">
        <v>32</v>
      </c>
      <c r="H546" s="8">
        <v>0.36499999999999999</v>
      </c>
      <c r="I546" s="8">
        <v>29</v>
      </c>
      <c r="J546" s="1">
        <v>2.0273415489986926</v>
      </c>
      <c r="K546" s="1">
        <v>-8.2858876848523888E-2</v>
      </c>
      <c r="L546">
        <f t="shared" si="17"/>
        <v>6.8655934725988478E-3</v>
      </c>
      <c r="P546" s="1">
        <v>508</v>
      </c>
      <c r="Q546" s="1">
        <v>1.9890678387589754E-2</v>
      </c>
      <c r="R546" s="1">
        <v>-1.6670382901652528E-2</v>
      </c>
    </row>
    <row r="547" spans="1:18" x14ac:dyDescent="0.35">
      <c r="A547" s="8">
        <v>186</v>
      </c>
      <c r="B547" s="8">
        <f t="shared" si="16"/>
        <v>2.2695129442179165</v>
      </c>
      <c r="C547" s="8">
        <v>8</v>
      </c>
      <c r="D547" s="8">
        <v>90</v>
      </c>
      <c r="E547" s="8">
        <v>35</v>
      </c>
      <c r="F547" s="8">
        <v>225</v>
      </c>
      <c r="G547" s="8">
        <v>34.5</v>
      </c>
      <c r="H547" s="8">
        <v>0.42299999999999999</v>
      </c>
      <c r="I547" s="8">
        <v>37</v>
      </c>
      <c r="J547" s="1">
        <v>2.1210420126839393</v>
      </c>
      <c r="K547" s="1">
        <v>0.14847093153397717</v>
      </c>
      <c r="L547">
        <f t="shared" si="17"/>
        <v>2.2043617510566937E-2</v>
      </c>
      <c r="P547" s="1">
        <v>509</v>
      </c>
      <c r="Q547" s="1">
        <v>3.9821010363662306E-2</v>
      </c>
      <c r="R547" s="1">
        <v>-2.9693711596919588E-2</v>
      </c>
    </row>
    <row r="548" spans="1:18" x14ac:dyDescent="0.35">
      <c r="A548" s="8">
        <v>187</v>
      </c>
      <c r="B548" s="8">
        <f t="shared" si="16"/>
        <v>2.271841606536499</v>
      </c>
      <c r="C548" s="8">
        <v>5</v>
      </c>
      <c r="D548" s="8">
        <v>76</v>
      </c>
      <c r="E548" s="8">
        <v>27</v>
      </c>
      <c r="F548" s="8">
        <v>207</v>
      </c>
      <c r="G548" s="8">
        <v>43.6</v>
      </c>
      <c r="H548" s="8">
        <v>1.034</v>
      </c>
      <c r="I548" s="8">
        <v>53</v>
      </c>
      <c r="J548" s="1">
        <v>2.2004207996285374</v>
      </c>
      <c r="K548" s="1">
        <v>7.1420806907961598E-2</v>
      </c>
      <c r="L548">
        <f t="shared" si="17"/>
        <v>5.1009316593843348E-3</v>
      </c>
      <c r="P548" s="1">
        <v>510</v>
      </c>
      <c r="Q548" s="1">
        <v>5.6929737082121699E-3</v>
      </c>
      <c r="R548" s="1">
        <v>-4.0382980497995404E-3</v>
      </c>
    </row>
    <row r="549" spans="1:18" x14ac:dyDescent="0.35">
      <c r="A549" s="8">
        <v>131</v>
      </c>
      <c r="B549" s="8">
        <f t="shared" si="16"/>
        <v>2.1172712956557644</v>
      </c>
      <c r="C549" s="8">
        <v>4</v>
      </c>
      <c r="D549" s="8">
        <v>68</v>
      </c>
      <c r="E549" s="8">
        <v>21</v>
      </c>
      <c r="F549" s="8">
        <v>166</v>
      </c>
      <c r="G549" s="8">
        <v>33.1</v>
      </c>
      <c r="H549" s="8">
        <v>0.16</v>
      </c>
      <c r="I549" s="8">
        <v>28</v>
      </c>
      <c r="J549" s="1">
        <v>2.0781270849767286</v>
      </c>
      <c r="K549" s="1">
        <v>3.914421067903584E-2</v>
      </c>
      <c r="L549">
        <f t="shared" si="17"/>
        <v>1.5322692296847436E-3</v>
      </c>
      <c r="P549" s="1">
        <v>511</v>
      </c>
      <c r="Q549" s="1">
        <v>6.3336672975280173E-2</v>
      </c>
      <c r="R549" s="1">
        <v>-5.2411524941955945E-2</v>
      </c>
    </row>
    <row r="550" spans="1:18" x14ac:dyDescent="0.35">
      <c r="A550" s="8">
        <v>164</v>
      </c>
      <c r="B550" s="8">
        <f t="shared" si="16"/>
        <v>2.214843848047698</v>
      </c>
      <c r="C550" s="8">
        <v>1</v>
      </c>
      <c r="D550" s="8">
        <v>82</v>
      </c>
      <c r="E550" s="8">
        <v>43</v>
      </c>
      <c r="F550" s="8">
        <v>67</v>
      </c>
      <c r="G550" s="8">
        <v>32.799999999999997</v>
      </c>
      <c r="H550" s="8">
        <v>0.34100000000000003</v>
      </c>
      <c r="I550" s="8">
        <v>50</v>
      </c>
      <c r="J550" s="1">
        <v>2.0476712258913454</v>
      </c>
      <c r="K550" s="1">
        <v>0.16717262215635253</v>
      </c>
      <c r="L550">
        <f t="shared" si="17"/>
        <v>2.7946685598630609E-2</v>
      </c>
      <c r="P550" s="1">
        <v>512</v>
      </c>
      <c r="Q550" s="1">
        <v>7.8608131369945454E-3</v>
      </c>
      <c r="R550" s="1">
        <v>-1.5768762743336578E-4</v>
      </c>
    </row>
    <row r="551" spans="1:18" x14ac:dyDescent="0.35">
      <c r="A551" s="8">
        <v>189</v>
      </c>
      <c r="B551" s="8">
        <f t="shared" si="16"/>
        <v>2.2764618041732443</v>
      </c>
      <c r="C551" s="8">
        <v>4</v>
      </c>
      <c r="D551" s="8">
        <v>110</v>
      </c>
      <c r="E551" s="8">
        <v>31</v>
      </c>
      <c r="F551" s="8">
        <v>0</v>
      </c>
      <c r="G551" s="8">
        <v>28.5</v>
      </c>
      <c r="H551" s="8">
        <v>0.68</v>
      </c>
      <c r="I551" s="8">
        <v>37</v>
      </c>
      <c r="J551" s="1">
        <v>2.0206156245673017</v>
      </c>
      <c r="K551" s="1">
        <v>0.25584617960594258</v>
      </c>
      <c r="L551">
        <f t="shared" si="17"/>
        <v>6.5457267618956233E-2</v>
      </c>
      <c r="P551" s="1">
        <v>513</v>
      </c>
      <c r="Q551" s="1">
        <v>1.0598747162394657E-2</v>
      </c>
      <c r="R551" s="1">
        <v>7.9790329653413646E-3</v>
      </c>
    </row>
    <row r="552" spans="1:18" x14ac:dyDescent="0.35">
      <c r="A552" s="8">
        <v>116</v>
      </c>
      <c r="B552" s="8">
        <f t="shared" si="16"/>
        <v>2.0644579892269186</v>
      </c>
      <c r="C552" s="8">
        <v>1</v>
      </c>
      <c r="D552" s="8">
        <v>70</v>
      </c>
      <c r="E552" s="8">
        <v>28</v>
      </c>
      <c r="F552" s="8">
        <v>0</v>
      </c>
      <c r="G552" s="8">
        <v>27.4</v>
      </c>
      <c r="H552" s="8">
        <v>0.20399999999999999</v>
      </c>
      <c r="I552" s="8">
        <v>21</v>
      </c>
      <c r="J552" s="1">
        <v>1.9563752425926084</v>
      </c>
      <c r="K552" s="1">
        <v>0.10808274663431017</v>
      </c>
      <c r="L552">
        <f t="shared" si="17"/>
        <v>1.1681880120016485E-2</v>
      </c>
      <c r="P552" s="1">
        <v>514</v>
      </c>
      <c r="Q552" s="1">
        <v>2.3039752391258897E-2</v>
      </c>
      <c r="R552" s="1">
        <v>-1.9257815106801929E-2</v>
      </c>
    </row>
    <row r="553" spans="1:18" x14ac:dyDescent="0.35">
      <c r="A553" s="8">
        <v>84</v>
      </c>
      <c r="B553" s="8">
        <f t="shared" si="16"/>
        <v>1.9242792860618816</v>
      </c>
      <c r="C553" s="8">
        <v>3</v>
      </c>
      <c r="D553" s="8">
        <v>68</v>
      </c>
      <c r="E553" s="8">
        <v>30</v>
      </c>
      <c r="F553" s="8">
        <v>106</v>
      </c>
      <c r="G553" s="8">
        <v>31.9</v>
      </c>
      <c r="H553" s="8">
        <v>0.59099999999999997</v>
      </c>
      <c r="I553" s="8">
        <v>25</v>
      </c>
      <c r="J553" s="1">
        <v>2.0344490562085338</v>
      </c>
      <c r="K553" s="1">
        <v>-0.11016977014665219</v>
      </c>
      <c r="L553">
        <f t="shared" si="17"/>
        <v>1.2137378254166177E-2</v>
      </c>
      <c r="P553" s="1">
        <v>515</v>
      </c>
      <c r="Q553" s="1">
        <v>4.1681615750585918E-2</v>
      </c>
      <c r="R553" s="1">
        <v>-4.1469188702441685E-2</v>
      </c>
    </row>
    <row r="554" spans="1:18" x14ac:dyDescent="0.35">
      <c r="A554" s="8">
        <v>114</v>
      </c>
      <c r="B554" s="8">
        <f t="shared" si="16"/>
        <v>2.0569048513364727</v>
      </c>
      <c r="C554" s="8">
        <v>6</v>
      </c>
      <c r="D554" s="8">
        <v>88</v>
      </c>
      <c r="E554" s="8">
        <v>0</v>
      </c>
      <c r="F554" s="8">
        <v>0</v>
      </c>
      <c r="G554" s="8">
        <v>27.8</v>
      </c>
      <c r="H554" s="8">
        <v>0.247</v>
      </c>
      <c r="I554" s="8">
        <v>66</v>
      </c>
      <c r="J554" s="1">
        <v>2.1289293041562942</v>
      </c>
      <c r="K554" s="1">
        <v>-7.2024452819821505E-2</v>
      </c>
      <c r="L554">
        <f t="shared" si="17"/>
        <v>5.1875218039946942E-3</v>
      </c>
      <c r="P554" s="1">
        <v>516</v>
      </c>
      <c r="Q554" s="1">
        <v>2.9934421308136599E-2</v>
      </c>
      <c r="R554" s="1">
        <v>-5.2315351728665048E-3</v>
      </c>
    </row>
    <row r="555" spans="1:18" x14ac:dyDescent="0.35">
      <c r="A555" s="8">
        <v>88</v>
      </c>
      <c r="B555" s="8">
        <f t="shared" si="16"/>
        <v>1.9444826721501687</v>
      </c>
      <c r="C555" s="8">
        <v>1</v>
      </c>
      <c r="D555" s="8">
        <v>62</v>
      </c>
      <c r="E555" s="8">
        <v>24</v>
      </c>
      <c r="F555" s="8">
        <v>44</v>
      </c>
      <c r="G555" s="8">
        <v>29.9</v>
      </c>
      <c r="H555" s="8">
        <v>0.42199999999999999</v>
      </c>
      <c r="I555" s="8">
        <v>23</v>
      </c>
      <c r="J555" s="1">
        <v>1.9991730080060028</v>
      </c>
      <c r="K555" s="1">
        <v>-5.469033585583416E-2</v>
      </c>
      <c r="L555">
        <f t="shared" si="17"/>
        <v>2.9910328360239396E-3</v>
      </c>
      <c r="P555" s="1">
        <v>517</v>
      </c>
      <c r="Q555" s="1">
        <v>1.7505627053886561E-2</v>
      </c>
      <c r="R555" s="1">
        <v>-1.6634081379259719E-2</v>
      </c>
    </row>
    <row r="556" spans="1:18" x14ac:dyDescent="0.35">
      <c r="A556" s="8">
        <v>84</v>
      </c>
      <c r="B556" s="8">
        <f t="shared" si="16"/>
        <v>1.9242792860618816</v>
      </c>
      <c r="C556" s="8">
        <v>1</v>
      </c>
      <c r="D556" s="8">
        <v>64</v>
      </c>
      <c r="E556" s="8">
        <v>23</v>
      </c>
      <c r="F556" s="8">
        <v>115</v>
      </c>
      <c r="G556" s="8">
        <v>36.9</v>
      </c>
      <c r="H556" s="8">
        <v>0.47099999999999997</v>
      </c>
      <c r="I556" s="8">
        <v>28</v>
      </c>
      <c r="J556" s="1">
        <v>2.0660973976436749</v>
      </c>
      <c r="K556" s="1">
        <v>-0.14181811158179336</v>
      </c>
      <c r="L556">
        <f t="shared" si="17"/>
        <v>2.0112376772625992E-2</v>
      </c>
      <c r="P556" s="1">
        <v>518</v>
      </c>
      <c r="Q556" s="1">
        <v>1.1321586341078464E-2</v>
      </c>
      <c r="R556" s="1">
        <v>-1.0665020953774159E-2</v>
      </c>
    </row>
    <row r="557" spans="1:18" x14ac:dyDescent="0.35">
      <c r="A557" s="8">
        <v>124</v>
      </c>
      <c r="B557" s="8">
        <f t="shared" si="16"/>
        <v>2.0934216851622351</v>
      </c>
      <c r="C557" s="8">
        <v>7</v>
      </c>
      <c r="D557" s="8">
        <v>70</v>
      </c>
      <c r="E557" s="8">
        <v>33</v>
      </c>
      <c r="F557" s="8">
        <v>215</v>
      </c>
      <c r="G557" s="8">
        <v>25.5</v>
      </c>
      <c r="H557" s="8">
        <v>0.161</v>
      </c>
      <c r="I557" s="8">
        <v>37</v>
      </c>
      <c r="J557" s="1">
        <v>2.0808202643925107</v>
      </c>
      <c r="K557" s="1">
        <v>1.2601420769724481E-2</v>
      </c>
      <c r="L557">
        <f t="shared" si="17"/>
        <v>1.5879580541564353E-4</v>
      </c>
      <c r="P557" s="1">
        <v>519</v>
      </c>
      <c r="Q557" s="1">
        <v>9.6710470896687415E-3</v>
      </c>
      <c r="R557" s="1">
        <v>2.9874967637768396E-2</v>
      </c>
    </row>
    <row r="558" spans="1:18" x14ac:dyDescent="0.35">
      <c r="A558" s="8">
        <v>97</v>
      </c>
      <c r="B558" s="8">
        <f t="shared" si="16"/>
        <v>1.9867717342662448</v>
      </c>
      <c r="C558" s="8">
        <v>1</v>
      </c>
      <c r="D558" s="8">
        <v>70</v>
      </c>
      <c r="E558" s="8">
        <v>40</v>
      </c>
      <c r="F558" s="8">
        <v>0</v>
      </c>
      <c r="G558" s="8">
        <v>38.1</v>
      </c>
      <c r="H558" s="8">
        <v>0.218</v>
      </c>
      <c r="I558" s="8">
        <v>30</v>
      </c>
      <c r="J558" s="1">
        <v>1.9833943053605423</v>
      </c>
      <c r="K558" s="1">
        <v>3.3774289057024731E-3</v>
      </c>
      <c r="L558">
        <f t="shared" si="17"/>
        <v>1.1407026013074605E-5</v>
      </c>
      <c r="P558" s="1">
        <v>520</v>
      </c>
      <c r="Q558" s="1">
        <v>-6.9262467494633995E-2</v>
      </c>
      <c r="R558" s="1">
        <v>8.5311344422308685E-2</v>
      </c>
    </row>
    <row r="559" spans="1:18" x14ac:dyDescent="0.35">
      <c r="A559" s="8">
        <v>110</v>
      </c>
      <c r="B559" s="8">
        <f t="shared" si="16"/>
        <v>2.0413926851582249</v>
      </c>
      <c r="C559" s="8">
        <v>8</v>
      </c>
      <c r="D559" s="8">
        <v>76</v>
      </c>
      <c r="E559" s="8">
        <v>0</v>
      </c>
      <c r="F559" s="8">
        <v>0</v>
      </c>
      <c r="G559" s="8">
        <v>27.8</v>
      </c>
      <c r="H559" s="8">
        <v>0.23699999999999999</v>
      </c>
      <c r="I559" s="8">
        <v>58</v>
      </c>
      <c r="J559" s="1">
        <v>2.1079033719985634</v>
      </c>
      <c r="K559" s="1">
        <v>-6.6510686840338451E-2</v>
      </c>
      <c r="L559">
        <f t="shared" si="17"/>
        <v>4.4236714639735702E-3</v>
      </c>
      <c r="P559" s="1">
        <v>521</v>
      </c>
      <c r="Q559" s="1">
        <v>6.9103133272190878E-2</v>
      </c>
      <c r="R559" s="1">
        <v>-4.6816541270227788E-2</v>
      </c>
    </row>
    <row r="560" spans="1:18" x14ac:dyDescent="0.35">
      <c r="A560" s="8">
        <v>103</v>
      </c>
      <c r="B560" s="8">
        <f t="shared" si="16"/>
        <v>2.012837224705172</v>
      </c>
      <c r="C560" s="8">
        <v>11</v>
      </c>
      <c r="D560" s="8">
        <v>68</v>
      </c>
      <c r="E560" s="8">
        <v>40</v>
      </c>
      <c r="F560" s="8">
        <v>0</v>
      </c>
      <c r="G560" s="8">
        <v>46.2</v>
      </c>
      <c r="H560" s="8">
        <v>0.126</v>
      </c>
      <c r="I560" s="8">
        <v>42</v>
      </c>
      <c r="J560" s="1">
        <v>2.0395757239973382</v>
      </c>
      <c r="K560" s="1">
        <v>-2.6738499292166207E-2</v>
      </c>
      <c r="L560">
        <f t="shared" si="17"/>
        <v>7.1494734439717274E-4</v>
      </c>
      <c r="P560" s="1">
        <v>522</v>
      </c>
      <c r="Q560" s="1">
        <v>4.9250306329429262E-2</v>
      </c>
      <c r="R560" s="1">
        <v>-4.6521264505487679E-2</v>
      </c>
    </row>
    <row r="561" spans="1:18" x14ac:dyDescent="0.35">
      <c r="A561" s="8">
        <v>85</v>
      </c>
      <c r="B561" s="8">
        <f t="shared" si="16"/>
        <v>1.9294189257142926</v>
      </c>
      <c r="C561" s="8">
        <v>11</v>
      </c>
      <c r="D561" s="8">
        <v>74</v>
      </c>
      <c r="E561" s="8">
        <v>0</v>
      </c>
      <c r="F561" s="8">
        <v>0</v>
      </c>
      <c r="G561" s="8">
        <v>30.1</v>
      </c>
      <c r="H561" s="8">
        <v>0.3</v>
      </c>
      <c r="I561" s="8">
        <v>35</v>
      </c>
      <c r="J561" s="1">
        <v>2.0645698145542202</v>
      </c>
      <c r="K561" s="1">
        <v>-0.13515088883992754</v>
      </c>
      <c r="L561">
        <f t="shared" si="17"/>
        <v>1.826576275422245E-2</v>
      </c>
      <c r="P561" s="1">
        <v>523</v>
      </c>
      <c r="Q561" s="1">
        <v>2.9959558207761996E-2</v>
      </c>
      <c r="R561" s="1">
        <v>-1.3639421282226127E-2</v>
      </c>
    </row>
    <row r="562" spans="1:18" x14ac:dyDescent="0.35">
      <c r="A562" s="8">
        <v>125</v>
      </c>
      <c r="B562" s="8">
        <f t="shared" si="16"/>
        <v>2.0969100130080562</v>
      </c>
      <c r="C562" s="8">
        <v>6</v>
      </c>
      <c r="D562" s="8">
        <v>76</v>
      </c>
      <c r="E562" s="8">
        <v>0</v>
      </c>
      <c r="F562" s="8">
        <v>0</v>
      </c>
      <c r="G562" s="8">
        <v>33.799999999999997</v>
      </c>
      <c r="H562" s="8">
        <v>0.121</v>
      </c>
      <c r="I562" s="8">
        <v>54</v>
      </c>
      <c r="J562" s="1">
        <v>2.1096676013213114</v>
      </c>
      <c r="K562" s="1">
        <v>-1.275758831325513E-2</v>
      </c>
      <c r="L562">
        <f t="shared" si="17"/>
        <v>1.627560595705039E-4</v>
      </c>
      <c r="P562" s="1">
        <v>524</v>
      </c>
      <c r="Q562" s="1">
        <v>5.0303635091233003E-3</v>
      </c>
      <c r="R562" s="1">
        <v>-4.9645579855165413E-3</v>
      </c>
    </row>
    <row r="563" spans="1:18" x14ac:dyDescent="0.35">
      <c r="A563" s="8">
        <v>198</v>
      </c>
      <c r="B563" s="8">
        <f t="shared" si="16"/>
        <v>2.2966651902615309</v>
      </c>
      <c r="C563" s="8">
        <v>0</v>
      </c>
      <c r="D563" s="8">
        <v>66</v>
      </c>
      <c r="E563" s="8">
        <v>32</v>
      </c>
      <c r="F563" s="8">
        <v>274</v>
      </c>
      <c r="G563" s="8">
        <v>41.3</v>
      </c>
      <c r="H563" s="8">
        <v>0.502</v>
      </c>
      <c r="I563" s="8">
        <v>28</v>
      </c>
      <c r="J563" s="1">
        <v>2.1332817254591463</v>
      </c>
      <c r="K563" s="1">
        <v>0.16338346480238464</v>
      </c>
      <c r="L563">
        <f t="shared" si="17"/>
        <v>2.6694156570832059E-2</v>
      </c>
      <c r="P563" s="1">
        <v>525</v>
      </c>
      <c r="Q563" s="1">
        <v>2.916137462398271E-2</v>
      </c>
      <c r="R563" s="1">
        <v>-2.4104585273942623E-2</v>
      </c>
    </row>
    <row r="564" spans="1:18" x14ac:dyDescent="0.35">
      <c r="A564" s="8">
        <v>87</v>
      </c>
      <c r="B564" s="8">
        <f t="shared" si="16"/>
        <v>1.9395192526186185</v>
      </c>
      <c r="C564" s="8">
        <v>1</v>
      </c>
      <c r="D564" s="8">
        <v>68</v>
      </c>
      <c r="E564" s="8">
        <v>34</v>
      </c>
      <c r="F564" s="8">
        <v>77</v>
      </c>
      <c r="G564" s="8">
        <v>37.6</v>
      </c>
      <c r="H564" s="8">
        <v>0.40100000000000002</v>
      </c>
      <c r="I564" s="8">
        <v>24</v>
      </c>
      <c r="J564" s="1">
        <v>2.019295998699699</v>
      </c>
      <c r="K564" s="1">
        <v>-7.9776746081080541E-2</v>
      </c>
      <c r="L564">
        <f t="shared" si="17"/>
        <v>6.3643292152851996E-3</v>
      </c>
      <c r="P564" s="1">
        <v>526</v>
      </c>
      <c r="Q564" s="1">
        <v>5.6257491712207085E-2</v>
      </c>
      <c r="R564" s="1">
        <v>-5.5550827012973092E-2</v>
      </c>
    </row>
    <row r="565" spans="1:18" x14ac:dyDescent="0.35">
      <c r="A565" s="8">
        <v>99</v>
      </c>
      <c r="B565" s="8">
        <f t="shared" si="16"/>
        <v>1.9956351945975499</v>
      </c>
      <c r="C565" s="8">
        <v>6</v>
      </c>
      <c r="D565" s="8">
        <v>60</v>
      </c>
      <c r="E565" s="8">
        <v>19</v>
      </c>
      <c r="F565" s="8">
        <v>54</v>
      </c>
      <c r="G565" s="8">
        <v>26.9</v>
      </c>
      <c r="H565" s="8">
        <v>0.497</v>
      </c>
      <c r="I565" s="8">
        <v>32</v>
      </c>
      <c r="J565" s="1">
        <v>2.0325202170215766</v>
      </c>
      <c r="K565" s="1">
        <v>-3.6885022424026692E-2</v>
      </c>
      <c r="L565">
        <f t="shared" si="17"/>
        <v>1.3605048792209519E-3</v>
      </c>
      <c r="P565" s="1">
        <v>527</v>
      </c>
      <c r="Q565" s="1">
        <v>4.1322558898838041E-2</v>
      </c>
      <c r="R565" s="1">
        <v>-4.1322546379988556E-2</v>
      </c>
    </row>
    <row r="566" spans="1:18" x14ac:dyDescent="0.35">
      <c r="A566" s="8">
        <v>91</v>
      </c>
      <c r="B566" s="8">
        <f t="shared" si="16"/>
        <v>1.9590413923210936</v>
      </c>
      <c r="C566" s="8">
        <v>0</v>
      </c>
      <c r="D566" s="8">
        <v>80</v>
      </c>
      <c r="E566" s="8">
        <v>0</v>
      </c>
      <c r="F566" s="8">
        <v>0</v>
      </c>
      <c r="G566" s="8">
        <v>32.4</v>
      </c>
      <c r="H566" s="8">
        <v>0.60099999999999998</v>
      </c>
      <c r="I566" s="8">
        <v>27</v>
      </c>
      <c r="J566" s="1">
        <v>2.0523277714945545</v>
      </c>
      <c r="K566" s="1">
        <v>-9.3286379173460832E-2</v>
      </c>
      <c r="L566">
        <f t="shared" si="17"/>
        <v>8.7023485392947065E-3</v>
      </c>
      <c r="P566" s="1">
        <v>528</v>
      </c>
      <c r="Q566" s="1">
        <v>2.6859413736217169E-2</v>
      </c>
      <c r="R566" s="1">
        <v>-2.592462826213722E-2</v>
      </c>
    </row>
    <row r="567" spans="1:18" x14ac:dyDescent="0.35">
      <c r="A567" s="8">
        <v>95</v>
      </c>
      <c r="B567" s="8">
        <f t="shared" si="16"/>
        <v>1.9777236052888478</v>
      </c>
      <c r="C567" s="8">
        <v>2</v>
      </c>
      <c r="D567" s="8">
        <v>54</v>
      </c>
      <c r="E567" s="8">
        <v>14</v>
      </c>
      <c r="F567" s="8">
        <v>88</v>
      </c>
      <c r="G567" s="8">
        <v>26.1</v>
      </c>
      <c r="H567" s="8">
        <v>0.748</v>
      </c>
      <c r="I567" s="8">
        <v>22</v>
      </c>
      <c r="J567" s="1">
        <v>2.0336153124253955</v>
      </c>
      <c r="K567" s="1">
        <v>-5.5891707136547675E-2</v>
      </c>
      <c r="L567">
        <f t="shared" si="17"/>
        <v>3.1238829266376144E-3</v>
      </c>
      <c r="P567" s="1">
        <v>529</v>
      </c>
      <c r="Q567" s="1">
        <v>3.4287762873790595E-2</v>
      </c>
      <c r="R567" s="1">
        <v>-3.4069821852517806E-2</v>
      </c>
    </row>
    <row r="568" spans="1:18" x14ac:dyDescent="0.35">
      <c r="A568" s="8">
        <v>99</v>
      </c>
      <c r="B568" s="8">
        <f t="shared" si="16"/>
        <v>1.9956351945975499</v>
      </c>
      <c r="C568" s="8">
        <v>1</v>
      </c>
      <c r="D568" s="8">
        <v>72</v>
      </c>
      <c r="E568" s="8">
        <v>30</v>
      </c>
      <c r="F568" s="8">
        <v>18</v>
      </c>
      <c r="G568" s="8">
        <v>38.6</v>
      </c>
      <c r="H568" s="8">
        <v>0.41199999999999998</v>
      </c>
      <c r="I568" s="8">
        <v>21</v>
      </c>
      <c r="J568" s="1">
        <v>1.9976957008817078</v>
      </c>
      <c r="K568" s="1">
        <v>-2.0605062841578814E-3</v>
      </c>
      <c r="L568">
        <f t="shared" si="17"/>
        <v>4.24568614705412E-6</v>
      </c>
      <c r="P568" s="1">
        <v>530</v>
      </c>
      <c r="Q568" s="1">
        <v>2.1418568464682694E-2</v>
      </c>
      <c r="R568" s="1">
        <v>-2.1351372392609147E-2</v>
      </c>
    </row>
    <row r="569" spans="1:18" x14ac:dyDescent="0.35">
      <c r="A569" s="8">
        <v>92</v>
      </c>
      <c r="B569" s="8">
        <f t="shared" si="16"/>
        <v>1.9637878273455553</v>
      </c>
      <c r="C569" s="8">
        <v>6</v>
      </c>
      <c r="D569" s="8">
        <v>62</v>
      </c>
      <c r="E569" s="8">
        <v>32</v>
      </c>
      <c r="F569" s="8">
        <v>126</v>
      </c>
      <c r="G569" s="8">
        <v>32</v>
      </c>
      <c r="H569" s="8">
        <v>8.5000000000000006E-2</v>
      </c>
      <c r="I569" s="8">
        <v>46</v>
      </c>
      <c r="J569" s="1">
        <v>2.0751899826194773</v>
      </c>
      <c r="K569" s="1">
        <v>-0.11140215527392194</v>
      </c>
      <c r="L569">
        <f t="shared" si="17"/>
        <v>1.2410440199675014E-2</v>
      </c>
      <c r="P569" s="1">
        <v>531</v>
      </c>
      <c r="Q569" s="1">
        <v>2.5414648767423456E-2</v>
      </c>
      <c r="R569" s="1">
        <v>-2.3716671082624739E-2</v>
      </c>
    </row>
    <row r="570" spans="1:18" x14ac:dyDescent="0.35">
      <c r="A570" s="8">
        <v>154</v>
      </c>
      <c r="B570" s="8">
        <f t="shared" si="16"/>
        <v>2.1875207208364631</v>
      </c>
      <c r="C570" s="8">
        <v>4</v>
      </c>
      <c r="D570" s="8">
        <v>72</v>
      </c>
      <c r="E570" s="8">
        <v>29</v>
      </c>
      <c r="F570" s="8">
        <v>126</v>
      </c>
      <c r="G570" s="8">
        <v>31.3</v>
      </c>
      <c r="H570" s="8">
        <v>0.33800000000000002</v>
      </c>
      <c r="I570" s="8">
        <v>37</v>
      </c>
      <c r="J570" s="1">
        <v>2.0668537354598735</v>
      </c>
      <c r="K570" s="1">
        <v>0.1206669853765896</v>
      </c>
      <c r="L570">
        <f t="shared" si="17"/>
        <v>1.4560521359874087E-2</v>
      </c>
      <c r="P570" s="1">
        <v>532</v>
      </c>
      <c r="Q570" s="1">
        <v>2.2304300299291771E-2</v>
      </c>
      <c r="R570" s="1">
        <v>-1.9589526878153882E-2</v>
      </c>
    </row>
    <row r="571" spans="1:18" x14ac:dyDescent="0.35">
      <c r="A571" s="8">
        <v>121</v>
      </c>
      <c r="B571" s="8">
        <f t="shared" si="16"/>
        <v>2.0827853703164503</v>
      </c>
      <c r="C571" s="8">
        <v>0</v>
      </c>
      <c r="D571" s="8">
        <v>66</v>
      </c>
      <c r="E571" s="8">
        <v>30</v>
      </c>
      <c r="F571" s="8">
        <v>165</v>
      </c>
      <c r="G571" s="8">
        <v>34.299999999999997</v>
      </c>
      <c r="H571" s="8">
        <v>0.20300000000000001</v>
      </c>
      <c r="I571" s="8">
        <v>33</v>
      </c>
      <c r="J571" s="1">
        <v>2.0717690841334684</v>
      </c>
      <c r="K571" s="1">
        <v>1.1016286182981894E-2</v>
      </c>
      <c r="L571">
        <f t="shared" si="17"/>
        <v>1.2135856126535778E-4</v>
      </c>
      <c r="P571" s="1">
        <v>533</v>
      </c>
      <c r="Q571" s="1">
        <v>9.600645057939039E-2</v>
      </c>
      <c r="R571" s="1">
        <v>-8.9604537349347077E-2</v>
      </c>
    </row>
    <row r="572" spans="1:18" x14ac:dyDescent="0.35">
      <c r="A572" s="8">
        <v>78</v>
      </c>
      <c r="B572" s="8">
        <f t="shared" si="16"/>
        <v>1.8920946026904804</v>
      </c>
      <c r="C572" s="8">
        <v>3</v>
      </c>
      <c r="D572" s="8">
        <v>70</v>
      </c>
      <c r="E572" s="8">
        <v>0</v>
      </c>
      <c r="F572" s="8">
        <v>0</v>
      </c>
      <c r="G572" s="8">
        <v>32.5</v>
      </c>
      <c r="H572" s="8">
        <v>0.27</v>
      </c>
      <c r="I572" s="8">
        <v>39</v>
      </c>
      <c r="J572" s="1">
        <v>2.0705972033094624</v>
      </c>
      <c r="K572" s="1">
        <v>-0.17850260061898204</v>
      </c>
      <c r="L572">
        <f t="shared" si="17"/>
        <v>3.1863178427739808E-2</v>
      </c>
      <c r="P572" s="1">
        <v>534</v>
      </c>
      <c r="Q572" s="1">
        <v>2.6233633876299539E-2</v>
      </c>
      <c r="R572" s="1">
        <v>-2.1098743335525388E-2</v>
      </c>
    </row>
    <row r="573" spans="1:18" x14ac:dyDescent="0.35">
      <c r="A573" s="8">
        <v>130</v>
      </c>
      <c r="B573" s="8">
        <f t="shared" si="16"/>
        <v>2.1139433523068369</v>
      </c>
      <c r="C573" s="8">
        <v>2</v>
      </c>
      <c r="D573" s="8">
        <v>96</v>
      </c>
      <c r="E573" s="8">
        <v>0</v>
      </c>
      <c r="F573" s="8">
        <v>0</v>
      </c>
      <c r="G573" s="8">
        <v>22.6</v>
      </c>
      <c r="H573" s="8">
        <v>0.26800000000000002</v>
      </c>
      <c r="I573" s="8">
        <v>21</v>
      </c>
      <c r="J573" s="1">
        <v>2.0094483580892613</v>
      </c>
      <c r="K573" s="1">
        <v>0.10449499421757569</v>
      </c>
      <c r="L573">
        <f t="shared" si="17"/>
        <v>1.0919203816531177E-2</v>
      </c>
      <c r="P573" s="1">
        <v>535</v>
      </c>
      <c r="Q573" s="1">
        <v>5.3159634332899601E-2</v>
      </c>
      <c r="R573" s="1">
        <v>-3.3644378196834628E-2</v>
      </c>
    </row>
    <row r="574" spans="1:18" x14ac:dyDescent="0.35">
      <c r="A574" s="8">
        <v>111</v>
      </c>
      <c r="B574" s="8">
        <f t="shared" si="16"/>
        <v>2.0453229787866576</v>
      </c>
      <c r="C574" s="8">
        <v>3</v>
      </c>
      <c r="D574" s="8">
        <v>58</v>
      </c>
      <c r="E574" s="8">
        <v>31</v>
      </c>
      <c r="F574" s="8">
        <v>44</v>
      </c>
      <c r="G574" s="8">
        <v>29.5</v>
      </c>
      <c r="H574" s="8">
        <v>0.43</v>
      </c>
      <c r="I574" s="8">
        <v>22</v>
      </c>
      <c r="J574" s="1">
        <v>1.9828918460266443</v>
      </c>
      <c r="K574" s="1">
        <v>6.243113276001333E-2</v>
      </c>
      <c r="L574">
        <f t="shared" si="17"/>
        <v>3.8976463376984099E-3</v>
      </c>
      <c r="P574" s="1">
        <v>536</v>
      </c>
      <c r="Q574" s="1">
        <v>3.4760853382820533E-2</v>
      </c>
      <c r="R574" s="1">
        <v>-2.3165564468450729E-2</v>
      </c>
    </row>
    <row r="575" spans="1:18" x14ac:dyDescent="0.35">
      <c r="A575" s="8">
        <v>98</v>
      </c>
      <c r="B575" s="8">
        <f t="shared" si="16"/>
        <v>1.9912260756924949</v>
      </c>
      <c r="C575" s="8">
        <v>2</v>
      </c>
      <c r="D575" s="8">
        <v>60</v>
      </c>
      <c r="E575" s="8">
        <v>17</v>
      </c>
      <c r="F575" s="8">
        <v>120</v>
      </c>
      <c r="G575" s="8">
        <v>34.700000000000003</v>
      </c>
      <c r="H575" s="8">
        <v>0.19800000000000001</v>
      </c>
      <c r="I575" s="8">
        <v>22</v>
      </c>
      <c r="J575" s="1">
        <v>2.0519300624077532</v>
      </c>
      <c r="K575" s="1">
        <v>-6.070398671525834E-2</v>
      </c>
      <c r="L575">
        <f t="shared" si="17"/>
        <v>3.6849740031262611E-3</v>
      </c>
      <c r="P575" s="1">
        <v>537</v>
      </c>
      <c r="Q575" s="1">
        <v>2.3809115910843854E-2</v>
      </c>
      <c r="R575" s="1">
        <v>-2.0260345719355321E-2</v>
      </c>
    </row>
    <row r="576" spans="1:18" x14ac:dyDescent="0.35">
      <c r="A576" s="8">
        <v>143</v>
      </c>
      <c r="B576" s="8">
        <f t="shared" si="16"/>
        <v>2.1553360374650619</v>
      </c>
      <c r="C576" s="8">
        <v>1</v>
      </c>
      <c r="D576" s="8">
        <v>86</v>
      </c>
      <c r="E576" s="8">
        <v>30</v>
      </c>
      <c r="F576" s="8">
        <v>330</v>
      </c>
      <c r="G576" s="8">
        <v>30.1</v>
      </c>
      <c r="H576" s="8">
        <v>0.89200000000000002</v>
      </c>
      <c r="I576" s="8">
        <v>23</v>
      </c>
      <c r="J576" s="1">
        <v>2.1393216688399086</v>
      </c>
      <c r="K576" s="1">
        <v>1.6014368625153264E-2</v>
      </c>
      <c r="L576">
        <f t="shared" si="17"/>
        <v>2.5646000246229325E-4</v>
      </c>
      <c r="P576" s="1">
        <v>538</v>
      </c>
      <c r="Q576" s="1">
        <v>1.4504559554135885E-2</v>
      </c>
      <c r="R576" s="1">
        <v>0.11344397828160151</v>
      </c>
    </row>
    <row r="577" spans="1:18" x14ac:dyDescent="0.35">
      <c r="A577" s="8">
        <v>119</v>
      </c>
      <c r="B577" s="8">
        <f t="shared" si="16"/>
        <v>2.0755469613925306</v>
      </c>
      <c r="C577" s="8">
        <v>1</v>
      </c>
      <c r="D577" s="8">
        <v>44</v>
      </c>
      <c r="E577" s="8">
        <v>47</v>
      </c>
      <c r="F577" s="8">
        <v>63</v>
      </c>
      <c r="G577" s="8">
        <v>35.5</v>
      </c>
      <c r="H577" s="8">
        <v>0.28000000000000003</v>
      </c>
      <c r="I577" s="8">
        <v>25</v>
      </c>
      <c r="J577" s="1">
        <v>1.9727108865305756</v>
      </c>
      <c r="K577" s="1">
        <v>0.10283607486195501</v>
      </c>
      <c r="L577">
        <f t="shared" si="17"/>
        <v>1.0575258293013614E-2</v>
      </c>
      <c r="P577" s="1">
        <v>539</v>
      </c>
      <c r="Q577" s="1">
        <v>3.1839857846258701E-2</v>
      </c>
      <c r="R577" s="1">
        <v>-3.1388144714895531E-2</v>
      </c>
    </row>
    <row r="578" spans="1:18" x14ac:dyDescent="0.35">
      <c r="A578" s="8">
        <v>108</v>
      </c>
      <c r="B578" s="8">
        <f t="shared" si="16"/>
        <v>2.0334237554869499</v>
      </c>
      <c r="C578" s="8">
        <v>6</v>
      </c>
      <c r="D578" s="8">
        <v>44</v>
      </c>
      <c r="E578" s="8">
        <v>20</v>
      </c>
      <c r="F578" s="8">
        <v>130</v>
      </c>
      <c r="G578" s="8">
        <v>24</v>
      </c>
      <c r="H578" s="8">
        <v>0.81299999999999994</v>
      </c>
      <c r="I578" s="8">
        <v>35</v>
      </c>
      <c r="J578" s="1">
        <v>2.0678748383935064</v>
      </c>
      <c r="K578" s="1">
        <v>-3.4451082906556518E-2</v>
      </c>
      <c r="L578">
        <f t="shared" si="17"/>
        <v>1.1868771134344307E-3</v>
      </c>
      <c r="P578" s="1">
        <v>540</v>
      </c>
      <c r="Q578" s="1">
        <v>5.7249220435676221E-2</v>
      </c>
      <c r="R578" s="1">
        <v>-5.5344940715095665E-2</v>
      </c>
    </row>
    <row r="579" spans="1:18" x14ac:dyDescent="0.35">
      <c r="A579" s="8">
        <v>118</v>
      </c>
      <c r="B579" s="8">
        <f t="shared" ref="B579:B642" si="18">LOG(A579)</f>
        <v>2.0718820073061255</v>
      </c>
      <c r="C579" s="8">
        <v>2</v>
      </c>
      <c r="D579" s="8">
        <v>80</v>
      </c>
      <c r="E579" s="8">
        <v>0</v>
      </c>
      <c r="F579" s="8">
        <v>0</v>
      </c>
      <c r="G579" s="8">
        <v>42.9</v>
      </c>
      <c r="H579" s="8">
        <v>0.69299999999999995</v>
      </c>
      <c r="I579" s="8">
        <v>21</v>
      </c>
      <c r="J579" s="1">
        <v>2.0714189918091743</v>
      </c>
      <c r="K579" s="1">
        <v>4.6301549695115796E-4</v>
      </c>
      <c r="L579">
        <f t="shared" ref="L579:L642" si="19">K579*K579</f>
        <v>2.1438335041692777E-7</v>
      </c>
      <c r="P579" s="1">
        <v>541</v>
      </c>
      <c r="Q579" s="1">
        <v>2.3976105608521738E-2</v>
      </c>
      <c r="R579" s="1">
        <v>-5.6171466328265411E-3</v>
      </c>
    </row>
    <row r="580" spans="1:18" x14ac:dyDescent="0.35">
      <c r="A580" s="8">
        <v>133</v>
      </c>
      <c r="B580" s="8">
        <f t="shared" si="18"/>
        <v>2.1238516409670858</v>
      </c>
      <c r="C580" s="8">
        <v>10</v>
      </c>
      <c r="D580" s="8">
        <v>68</v>
      </c>
      <c r="E580" s="8">
        <v>0</v>
      </c>
      <c r="F580" s="8">
        <v>0</v>
      </c>
      <c r="G580" s="8">
        <v>27</v>
      </c>
      <c r="H580" s="8">
        <v>0.245</v>
      </c>
      <c r="I580" s="8">
        <v>36</v>
      </c>
      <c r="J580" s="1">
        <v>2.0539453996997814</v>
      </c>
      <c r="K580" s="1">
        <v>6.9906241267304381E-2</v>
      </c>
      <c r="L580">
        <f t="shared" si="19"/>
        <v>4.8868825681225702E-3</v>
      </c>
      <c r="P580" s="1">
        <v>542</v>
      </c>
      <c r="Q580" s="1">
        <v>1.5157422683735405E-2</v>
      </c>
      <c r="R580" s="1">
        <v>-1.4807269911509163E-2</v>
      </c>
    </row>
    <row r="581" spans="1:18" x14ac:dyDescent="0.35">
      <c r="A581" s="8">
        <v>197</v>
      </c>
      <c r="B581" s="8">
        <f t="shared" si="18"/>
        <v>2.2944662261615929</v>
      </c>
      <c r="C581" s="8">
        <v>2</v>
      </c>
      <c r="D581" s="8">
        <v>70</v>
      </c>
      <c r="E581" s="8">
        <v>99</v>
      </c>
      <c r="F581" s="8">
        <v>0</v>
      </c>
      <c r="G581" s="8">
        <v>34.700000000000003</v>
      </c>
      <c r="H581" s="8">
        <v>0.57499999999999996</v>
      </c>
      <c r="I581" s="8">
        <v>62</v>
      </c>
      <c r="J581" s="1">
        <v>1.9447107758166058</v>
      </c>
      <c r="K581" s="1">
        <v>0.34975545034498712</v>
      </c>
      <c r="L581">
        <f t="shared" si="19"/>
        <v>0.12232887504602474</v>
      </c>
      <c r="P581" s="1">
        <v>543</v>
      </c>
      <c r="Q581" s="1">
        <v>5.5191780817714399E-2</v>
      </c>
      <c r="R581" s="1">
        <v>-3.8916645205621075E-2</v>
      </c>
    </row>
    <row r="582" spans="1:18" x14ac:dyDescent="0.35">
      <c r="A582" s="8">
        <v>151</v>
      </c>
      <c r="B582" s="8">
        <f t="shared" si="18"/>
        <v>2.1789769472931693</v>
      </c>
      <c r="C582" s="8">
        <v>0</v>
      </c>
      <c r="D582" s="8">
        <v>90</v>
      </c>
      <c r="E582" s="8">
        <v>46</v>
      </c>
      <c r="F582" s="8">
        <v>0</v>
      </c>
      <c r="G582" s="8">
        <v>42.1</v>
      </c>
      <c r="H582" s="8">
        <v>0.371</v>
      </c>
      <c r="I582" s="8">
        <v>21</v>
      </c>
      <c r="J582" s="1">
        <v>1.9716977248744407</v>
      </c>
      <c r="K582" s="1">
        <v>0.20727922241872854</v>
      </c>
      <c r="L582">
        <f t="shared" si="19"/>
        <v>4.2964676046512738E-2</v>
      </c>
      <c r="P582" s="1">
        <v>544</v>
      </c>
      <c r="Q582" s="1">
        <v>5.0498327314285073E-2</v>
      </c>
      <c r="R582" s="1">
        <v>-3.6638634612193952E-2</v>
      </c>
    </row>
    <row r="583" spans="1:18" x14ac:dyDescent="0.35">
      <c r="A583" s="8">
        <v>109</v>
      </c>
      <c r="B583" s="8">
        <f t="shared" si="18"/>
        <v>2.0374264979406238</v>
      </c>
      <c r="C583" s="8">
        <v>6</v>
      </c>
      <c r="D583" s="8">
        <v>60</v>
      </c>
      <c r="E583" s="8">
        <v>27</v>
      </c>
      <c r="F583" s="8">
        <v>0</v>
      </c>
      <c r="G583" s="8">
        <v>25</v>
      </c>
      <c r="H583" s="8">
        <v>0.20599999999999999</v>
      </c>
      <c r="I583" s="8">
        <v>27</v>
      </c>
      <c r="J583" s="1">
        <v>1.9672569424116819</v>
      </c>
      <c r="K583" s="1">
        <v>7.0169555528941885E-2</v>
      </c>
      <c r="L583">
        <f t="shared" si="19"/>
        <v>4.9237665231292582E-3</v>
      </c>
      <c r="P583" s="1">
        <v>545</v>
      </c>
      <c r="Q583" s="1">
        <v>5.7858954932398489E-2</v>
      </c>
      <c r="R583" s="1">
        <v>-5.0993361459799644E-2</v>
      </c>
    </row>
    <row r="584" spans="1:18" x14ac:dyDescent="0.35">
      <c r="A584" s="8">
        <v>121</v>
      </c>
      <c r="B584" s="8">
        <f t="shared" si="18"/>
        <v>2.0827853703164503</v>
      </c>
      <c r="C584" s="8">
        <v>12</v>
      </c>
      <c r="D584" s="8">
        <v>78</v>
      </c>
      <c r="E584" s="8">
        <v>17</v>
      </c>
      <c r="F584" s="8">
        <v>0</v>
      </c>
      <c r="G584" s="8">
        <v>26.5</v>
      </c>
      <c r="H584" s="8">
        <v>0.25900000000000001</v>
      </c>
      <c r="I584" s="8">
        <v>62</v>
      </c>
      <c r="J584" s="1">
        <v>2.0856163369210536</v>
      </c>
      <c r="K584" s="1">
        <v>-2.8309666046033577E-3</v>
      </c>
      <c r="L584">
        <f t="shared" si="19"/>
        <v>8.0143719163794632E-6</v>
      </c>
      <c r="P584" s="1">
        <v>546</v>
      </c>
      <c r="Q584" s="1">
        <v>1.4360797490349343E-2</v>
      </c>
      <c r="R584" s="1">
        <v>7.6828200202175949E-3</v>
      </c>
    </row>
    <row r="585" spans="1:18" x14ac:dyDescent="0.35">
      <c r="A585" s="8">
        <v>100</v>
      </c>
      <c r="B585" s="8">
        <f t="shared" si="18"/>
        <v>2</v>
      </c>
      <c r="C585" s="8">
        <v>8</v>
      </c>
      <c r="D585" s="8">
        <v>76</v>
      </c>
      <c r="E585" s="8">
        <v>0</v>
      </c>
      <c r="F585" s="8">
        <v>0</v>
      </c>
      <c r="G585" s="8">
        <v>38.700000000000003</v>
      </c>
      <c r="H585" s="8">
        <v>0.19</v>
      </c>
      <c r="I585" s="8">
        <v>42</v>
      </c>
      <c r="J585" s="1">
        <v>2.0989087187006392</v>
      </c>
      <c r="K585" s="1">
        <v>-9.890871870063922E-2</v>
      </c>
      <c r="L585">
        <f t="shared" si="19"/>
        <v>9.7829346350021794E-3</v>
      </c>
      <c r="P585" s="1">
        <v>547</v>
      </c>
      <c r="Q585" s="1">
        <v>-1.7736478507568328E-3</v>
      </c>
      <c r="R585" s="1">
        <v>6.8745795101411676E-3</v>
      </c>
    </row>
    <row r="586" spans="1:18" x14ac:dyDescent="0.35">
      <c r="A586" s="8">
        <v>124</v>
      </c>
      <c r="B586" s="8">
        <f t="shared" si="18"/>
        <v>2.0934216851622351</v>
      </c>
      <c r="C586" s="8">
        <v>8</v>
      </c>
      <c r="D586" s="8">
        <v>76</v>
      </c>
      <c r="E586" s="8">
        <v>24</v>
      </c>
      <c r="F586" s="8">
        <v>600</v>
      </c>
      <c r="G586" s="8">
        <v>28.7</v>
      </c>
      <c r="H586" s="8">
        <v>0.68700000000000006</v>
      </c>
      <c r="I586" s="8">
        <v>52</v>
      </c>
      <c r="J586" s="1">
        <v>2.3348214933597653</v>
      </c>
      <c r="K586" s="1">
        <v>-0.24139980819753015</v>
      </c>
      <c r="L586">
        <f t="shared" si="19"/>
        <v>5.8273867397804345E-2</v>
      </c>
      <c r="P586" s="1">
        <v>548</v>
      </c>
      <c r="Q586" s="1">
        <v>2.0298697816749939E-2</v>
      </c>
      <c r="R586" s="1">
        <v>-1.8766428587065197E-2</v>
      </c>
    </row>
    <row r="587" spans="1:18" x14ac:dyDescent="0.35">
      <c r="A587" s="8">
        <v>93</v>
      </c>
      <c r="B587" s="8">
        <f t="shared" si="18"/>
        <v>1.968482948553935</v>
      </c>
      <c r="C587" s="8">
        <v>1</v>
      </c>
      <c r="D587" s="8">
        <v>56</v>
      </c>
      <c r="E587" s="8">
        <v>11</v>
      </c>
      <c r="F587" s="8">
        <v>0</v>
      </c>
      <c r="G587" s="8">
        <v>22.5</v>
      </c>
      <c r="H587" s="8">
        <v>0.41699999999999998</v>
      </c>
      <c r="I587" s="8">
        <v>22</v>
      </c>
      <c r="J587" s="1">
        <v>1.9799820455196624</v>
      </c>
      <c r="K587" s="1">
        <v>-1.1499096965727373E-2</v>
      </c>
      <c r="L587">
        <f t="shared" si="19"/>
        <v>1.3222923102720047E-4</v>
      </c>
      <c r="P587" s="1">
        <v>549</v>
      </c>
      <c r="Q587" s="1">
        <v>8.247427577256812E-2</v>
      </c>
      <c r="R587" s="1">
        <v>-5.4527590173937511E-2</v>
      </c>
    </row>
    <row r="588" spans="1:18" x14ac:dyDescent="0.35">
      <c r="A588" s="8">
        <v>143</v>
      </c>
      <c r="B588" s="8">
        <f t="shared" si="18"/>
        <v>2.1553360374650619</v>
      </c>
      <c r="C588" s="8">
        <v>8</v>
      </c>
      <c r="D588" s="8">
        <v>66</v>
      </c>
      <c r="E588" s="8">
        <v>0</v>
      </c>
      <c r="F588" s="8">
        <v>0</v>
      </c>
      <c r="G588" s="8">
        <v>34.9</v>
      </c>
      <c r="H588" s="8">
        <v>0.129</v>
      </c>
      <c r="I588" s="8">
        <v>41</v>
      </c>
      <c r="J588" s="1">
        <v>2.0811674977479533</v>
      </c>
      <c r="K588" s="1">
        <v>7.4168539717108573E-2</v>
      </c>
      <c r="L588">
        <f t="shared" si="19"/>
        <v>5.5009722837683116E-3</v>
      </c>
      <c r="P588" s="1">
        <v>550</v>
      </c>
      <c r="Q588" s="1">
        <v>6.3953677005480283E-2</v>
      </c>
      <c r="R588" s="1">
        <v>1.5035906134759497E-3</v>
      </c>
    </row>
    <row r="589" spans="1:18" x14ac:dyDescent="0.35">
      <c r="A589" s="8">
        <v>103</v>
      </c>
      <c r="B589" s="8">
        <f t="shared" si="18"/>
        <v>2.012837224705172</v>
      </c>
      <c r="C589" s="8">
        <v>6</v>
      </c>
      <c r="D589" s="8">
        <v>66</v>
      </c>
      <c r="E589" s="8">
        <v>0</v>
      </c>
      <c r="F589" s="8">
        <v>0</v>
      </c>
      <c r="G589" s="8">
        <v>24.3</v>
      </c>
      <c r="H589" s="8">
        <v>0.249</v>
      </c>
      <c r="I589" s="8">
        <v>29</v>
      </c>
      <c r="J589" s="1">
        <v>2.025941904693366</v>
      </c>
      <c r="K589" s="1">
        <v>-1.3104679988193979E-2</v>
      </c>
      <c r="L589">
        <f t="shared" si="19"/>
        <v>1.7173263759297173E-4</v>
      </c>
      <c r="P589" s="1">
        <v>551</v>
      </c>
      <c r="Q589" s="1">
        <v>8.1289685302331383E-2</v>
      </c>
      <c r="R589" s="1">
        <v>-6.9607805182314894E-2</v>
      </c>
    </row>
    <row r="590" spans="1:18" x14ac:dyDescent="0.35">
      <c r="A590" s="8">
        <v>176</v>
      </c>
      <c r="B590" s="8">
        <f t="shared" si="18"/>
        <v>2.2455126678141499</v>
      </c>
      <c r="C590" s="8">
        <v>3</v>
      </c>
      <c r="D590" s="8">
        <v>86</v>
      </c>
      <c r="E590" s="8">
        <v>27</v>
      </c>
      <c r="F590" s="8">
        <v>156</v>
      </c>
      <c r="G590" s="8">
        <v>33.299999999999997</v>
      </c>
      <c r="H590" s="8">
        <v>1.1539999999999999</v>
      </c>
      <c r="I590" s="8">
        <v>52</v>
      </c>
      <c r="J590" s="1">
        <v>2.1518185768170439</v>
      </c>
      <c r="K590" s="1">
        <v>9.3694090997106017E-2</v>
      </c>
      <c r="L590">
        <f t="shared" si="19"/>
        <v>8.7785826877739819E-3</v>
      </c>
      <c r="P590" s="1">
        <v>552</v>
      </c>
      <c r="Q590" s="1">
        <v>4.6755902746900994E-2</v>
      </c>
      <c r="R590" s="1">
        <v>-3.4618524492734816E-2</v>
      </c>
    </row>
    <row r="591" spans="1:18" x14ac:dyDescent="0.35">
      <c r="A591" s="8">
        <v>73</v>
      </c>
      <c r="B591" s="8">
        <f t="shared" si="18"/>
        <v>1.8633228601204559</v>
      </c>
      <c r="C591" s="8">
        <v>0</v>
      </c>
      <c r="D591" s="8">
        <v>0</v>
      </c>
      <c r="E591" s="8">
        <v>0</v>
      </c>
      <c r="F591" s="8">
        <v>0</v>
      </c>
      <c r="G591" s="8">
        <v>21.1</v>
      </c>
      <c r="H591" s="8">
        <v>0.34200000000000003</v>
      </c>
      <c r="I591" s="8">
        <v>25</v>
      </c>
      <c r="J591" s="1">
        <v>1.9828235062172586</v>
      </c>
      <c r="K591" s="1">
        <v>-0.11950064609680267</v>
      </c>
      <c r="L591">
        <f t="shared" si="19"/>
        <v>1.4280404417553278E-2</v>
      </c>
      <c r="P591" s="1">
        <v>553</v>
      </c>
      <c r="Q591" s="1">
        <v>1.0144126128918355E-2</v>
      </c>
      <c r="R591" s="1">
        <v>-4.9566043249236608E-3</v>
      </c>
    </row>
    <row r="592" spans="1:18" x14ac:dyDescent="0.35">
      <c r="A592" s="8">
        <v>111</v>
      </c>
      <c r="B592" s="8">
        <f t="shared" si="18"/>
        <v>2.0453229787866576</v>
      </c>
      <c r="C592" s="8">
        <v>11</v>
      </c>
      <c r="D592" s="8">
        <v>84</v>
      </c>
      <c r="E592" s="8">
        <v>40</v>
      </c>
      <c r="F592" s="8">
        <v>0</v>
      </c>
      <c r="G592" s="8">
        <v>46.8</v>
      </c>
      <c r="H592" s="8">
        <v>0.92500000000000004</v>
      </c>
      <c r="I592" s="8">
        <v>45</v>
      </c>
      <c r="J592" s="1">
        <v>2.076395311334998</v>
      </c>
      <c r="K592" s="1">
        <v>-3.1072332548340409E-2</v>
      </c>
      <c r="L592">
        <f t="shared" si="19"/>
        <v>9.6548984999465478E-4</v>
      </c>
      <c r="P592" s="1">
        <v>554</v>
      </c>
      <c r="Q592" s="1">
        <v>5.9464071169562843E-2</v>
      </c>
      <c r="R592" s="1">
        <v>-5.6473038333538901E-2</v>
      </c>
    </row>
    <row r="593" spans="1:18" x14ac:dyDescent="0.35">
      <c r="A593" s="8">
        <v>112</v>
      </c>
      <c r="B593" s="8">
        <f t="shared" si="18"/>
        <v>2.0492180226701815</v>
      </c>
      <c r="C593" s="8">
        <v>2</v>
      </c>
      <c r="D593" s="8">
        <v>78</v>
      </c>
      <c r="E593" s="8">
        <v>50</v>
      </c>
      <c r="F593" s="8">
        <v>140</v>
      </c>
      <c r="G593" s="8">
        <v>39.4</v>
      </c>
      <c r="H593" s="8">
        <v>0.17499999999999999</v>
      </c>
      <c r="I593" s="8">
        <v>24</v>
      </c>
      <c r="J593" s="1">
        <v>2.0193937399319219</v>
      </c>
      <c r="K593" s="1">
        <v>2.9824282738259544E-2</v>
      </c>
      <c r="L593">
        <f t="shared" si="19"/>
        <v>8.8948784085164624E-4</v>
      </c>
      <c r="P593" s="1">
        <v>555</v>
      </c>
      <c r="Q593" s="1">
        <v>3.7476083910433458E-2</v>
      </c>
      <c r="R593" s="1">
        <v>-1.7363707137807466E-2</v>
      </c>
    </row>
    <row r="594" spans="1:18" x14ac:dyDescent="0.35">
      <c r="A594" s="8">
        <v>132</v>
      </c>
      <c r="B594" s="8">
        <f t="shared" si="18"/>
        <v>2.12057393120585</v>
      </c>
      <c r="C594" s="8">
        <v>3</v>
      </c>
      <c r="D594" s="8">
        <v>80</v>
      </c>
      <c r="E594" s="8">
        <v>0</v>
      </c>
      <c r="F594" s="8">
        <v>0</v>
      </c>
      <c r="G594" s="8">
        <v>34.4</v>
      </c>
      <c r="H594" s="8">
        <v>0.40200000000000002</v>
      </c>
      <c r="I594" s="8">
        <v>44</v>
      </c>
      <c r="J594" s="1">
        <v>2.0945236348953293</v>
      </c>
      <c r="K594" s="1">
        <v>2.6050296310520693E-2</v>
      </c>
      <c r="L594">
        <f t="shared" si="19"/>
        <v>6.78617937865928E-4</v>
      </c>
      <c r="P594" s="1">
        <v>556</v>
      </c>
      <c r="Q594" s="1">
        <v>2.2217248679557308E-2</v>
      </c>
      <c r="R594" s="1">
        <v>-2.2058452874141665E-2</v>
      </c>
    </row>
    <row r="595" spans="1:18" x14ac:dyDescent="0.35">
      <c r="A595" s="8">
        <v>82</v>
      </c>
      <c r="B595" s="8">
        <f t="shared" si="18"/>
        <v>1.9138138523837167</v>
      </c>
      <c r="C595" s="8">
        <v>2</v>
      </c>
      <c r="D595" s="8">
        <v>52</v>
      </c>
      <c r="E595" s="8">
        <v>22</v>
      </c>
      <c r="F595" s="8">
        <v>115</v>
      </c>
      <c r="G595" s="8">
        <v>28.5</v>
      </c>
      <c r="H595" s="8">
        <v>1.6990000000000001</v>
      </c>
      <c r="I595" s="8">
        <v>25</v>
      </c>
      <c r="J595" s="1">
        <v>2.0703048326442142</v>
      </c>
      <c r="K595" s="1">
        <v>-0.15649098026049746</v>
      </c>
      <c r="L595">
        <f t="shared" si="19"/>
        <v>2.4489426902891406E-2</v>
      </c>
      <c r="P595" s="1">
        <v>557</v>
      </c>
      <c r="Q595" s="1">
        <v>0.10278246769583971</v>
      </c>
      <c r="R595" s="1">
        <v>-0.10277106066982664</v>
      </c>
    </row>
    <row r="596" spans="1:18" x14ac:dyDescent="0.35">
      <c r="A596" s="8">
        <v>123</v>
      </c>
      <c r="B596" s="8">
        <f t="shared" si="18"/>
        <v>2.0899051114393981</v>
      </c>
      <c r="C596" s="8">
        <v>6</v>
      </c>
      <c r="D596" s="8">
        <v>72</v>
      </c>
      <c r="E596" s="8">
        <v>45</v>
      </c>
      <c r="F596" s="8">
        <v>230</v>
      </c>
      <c r="G596" s="8">
        <v>33.6</v>
      </c>
      <c r="H596" s="8">
        <v>0.73299999999999998</v>
      </c>
      <c r="I596" s="8">
        <v>34</v>
      </c>
      <c r="J596" s="1">
        <v>2.0953112213708809</v>
      </c>
      <c r="K596" s="1">
        <v>-5.4061099314828276E-3</v>
      </c>
      <c r="L596">
        <f t="shared" si="19"/>
        <v>2.9226024591277261E-5</v>
      </c>
      <c r="P596" s="1">
        <v>558</v>
      </c>
      <c r="Q596" s="1">
        <v>1.0512365958713932E-2</v>
      </c>
      <c r="R596" s="1">
        <v>-6.0886944947403619E-3</v>
      </c>
    </row>
    <row r="597" spans="1:18" x14ac:dyDescent="0.35">
      <c r="A597" s="8">
        <v>188</v>
      </c>
      <c r="B597" s="8">
        <f t="shared" si="18"/>
        <v>2.27415784926368</v>
      </c>
      <c r="C597" s="8">
        <v>0</v>
      </c>
      <c r="D597" s="8">
        <v>82</v>
      </c>
      <c r="E597" s="8">
        <v>14</v>
      </c>
      <c r="F597" s="8">
        <v>185</v>
      </c>
      <c r="G597" s="8">
        <v>32</v>
      </c>
      <c r="H597" s="8">
        <v>0.68200000000000005</v>
      </c>
      <c r="I597" s="8">
        <v>22</v>
      </c>
      <c r="J597" s="1">
        <v>2.0992518062342338</v>
      </c>
      <c r="K597" s="1">
        <v>0.17490604302944623</v>
      </c>
      <c r="L597">
        <f t="shared" si="19"/>
        <v>3.0592123888218498E-2</v>
      </c>
      <c r="P597" s="1">
        <v>559</v>
      </c>
      <c r="Q597" s="1">
        <v>8.7730550110068459E-2</v>
      </c>
      <c r="R597" s="1">
        <v>-8.7015602765671288E-2</v>
      </c>
    </row>
    <row r="598" spans="1:18" x14ac:dyDescent="0.35">
      <c r="A598" s="8">
        <v>67</v>
      </c>
      <c r="B598" s="8">
        <f t="shared" si="18"/>
        <v>1.8260748027008264</v>
      </c>
      <c r="C598" s="8">
        <v>0</v>
      </c>
      <c r="D598" s="8">
        <v>76</v>
      </c>
      <c r="E598" s="8">
        <v>0</v>
      </c>
      <c r="F598" s="8">
        <v>0</v>
      </c>
      <c r="G598" s="8">
        <v>45.3</v>
      </c>
      <c r="H598" s="8">
        <v>0.19400000000000001</v>
      </c>
      <c r="I598" s="8">
        <v>46</v>
      </c>
      <c r="J598" s="1">
        <v>2.1186577221319096</v>
      </c>
      <c r="K598" s="1">
        <v>-0.29258291943108317</v>
      </c>
      <c r="L598">
        <f t="shared" si="19"/>
        <v>8.5604764742815698E-2</v>
      </c>
      <c r="P598" s="1">
        <v>560</v>
      </c>
      <c r="Q598" s="1">
        <v>9.0191099126481038E-3</v>
      </c>
      <c r="R598" s="1">
        <v>9.246652841574346E-3</v>
      </c>
    </row>
    <row r="599" spans="1:18" x14ac:dyDescent="0.35">
      <c r="A599" s="8">
        <v>89</v>
      </c>
      <c r="B599" s="8">
        <f t="shared" si="18"/>
        <v>1.9493900066449128</v>
      </c>
      <c r="C599" s="8">
        <v>1</v>
      </c>
      <c r="D599" s="8">
        <v>24</v>
      </c>
      <c r="E599" s="8">
        <v>19</v>
      </c>
      <c r="F599" s="8">
        <v>25</v>
      </c>
      <c r="G599" s="8">
        <v>27.8</v>
      </c>
      <c r="H599" s="8">
        <v>0.55900000000000005</v>
      </c>
      <c r="I599" s="8">
        <v>21</v>
      </c>
      <c r="J599" s="1">
        <v>1.9811608491087105</v>
      </c>
      <c r="K599" s="1">
        <v>-3.1770842463797688E-2</v>
      </c>
      <c r="L599">
        <f t="shared" si="19"/>
        <v>1.0093864308594505E-3</v>
      </c>
      <c r="P599" s="1">
        <v>561</v>
      </c>
      <c r="Q599" s="1">
        <v>1.7105554448912135E-2</v>
      </c>
      <c r="R599" s="1">
        <v>-1.694279838934163E-2</v>
      </c>
    </row>
    <row r="600" spans="1:18" x14ac:dyDescent="0.35">
      <c r="A600" s="8">
        <v>173</v>
      </c>
      <c r="B600" s="8">
        <f t="shared" si="18"/>
        <v>2.2380461031287955</v>
      </c>
      <c r="C600" s="8">
        <v>1</v>
      </c>
      <c r="D600" s="8">
        <v>74</v>
      </c>
      <c r="E600" s="8">
        <v>0</v>
      </c>
      <c r="F600" s="8">
        <v>0</v>
      </c>
      <c r="G600" s="8">
        <v>36.799999999999997</v>
      </c>
      <c r="H600" s="8">
        <v>8.7999999999999995E-2</v>
      </c>
      <c r="I600" s="8">
        <v>38</v>
      </c>
      <c r="J600" s="1">
        <v>2.074178623509868</v>
      </c>
      <c r="K600" s="1">
        <v>0.16386747961892745</v>
      </c>
      <c r="L600">
        <f t="shared" si="19"/>
        <v>2.6852550876659602E-2</v>
      </c>
      <c r="P600" s="1">
        <v>562</v>
      </c>
      <c r="Q600" s="1">
        <v>1.3298462705608808E-2</v>
      </c>
      <c r="R600" s="1">
        <v>1.3395693865223251E-2</v>
      </c>
    </row>
    <row r="601" spans="1:18" x14ac:dyDescent="0.35">
      <c r="A601" s="8">
        <v>109</v>
      </c>
      <c r="B601" s="8">
        <f t="shared" si="18"/>
        <v>2.0374264979406238</v>
      </c>
      <c r="C601" s="8">
        <v>1</v>
      </c>
      <c r="D601" s="8">
        <v>38</v>
      </c>
      <c r="E601" s="8">
        <v>18</v>
      </c>
      <c r="F601" s="8">
        <v>120</v>
      </c>
      <c r="G601" s="8">
        <v>23.1</v>
      </c>
      <c r="H601" s="8">
        <v>0.40699999999999997</v>
      </c>
      <c r="I601" s="8">
        <v>26</v>
      </c>
      <c r="J601" s="1">
        <v>2.0254503453125379</v>
      </c>
      <c r="K601" s="1">
        <v>1.1976152628085934E-2</v>
      </c>
      <c r="L601">
        <f t="shared" si="19"/>
        <v>1.4342823177120964E-4</v>
      </c>
      <c r="P601" s="1">
        <v>563</v>
      </c>
      <c r="Q601" s="1">
        <v>6.9249029991048539E-2</v>
      </c>
      <c r="R601" s="1">
        <v>-6.2884700775763344E-2</v>
      </c>
    </row>
    <row r="602" spans="1:18" x14ac:dyDescent="0.35">
      <c r="A602" s="8">
        <v>108</v>
      </c>
      <c r="B602" s="8">
        <f t="shared" si="18"/>
        <v>2.0334237554869499</v>
      </c>
      <c r="C602" s="8">
        <v>1</v>
      </c>
      <c r="D602" s="8">
        <v>88</v>
      </c>
      <c r="E602" s="8">
        <v>19</v>
      </c>
      <c r="F602" s="8">
        <v>0</v>
      </c>
      <c r="G602" s="8">
        <v>27.1</v>
      </c>
      <c r="H602" s="8">
        <v>0.4</v>
      </c>
      <c r="I602" s="8">
        <v>24</v>
      </c>
      <c r="J602" s="1">
        <v>1.9917336336866973</v>
      </c>
      <c r="K602" s="1">
        <v>4.1690121800252555E-2</v>
      </c>
      <c r="L602">
        <f t="shared" si="19"/>
        <v>1.7380662557198933E-3</v>
      </c>
      <c r="P602" s="1">
        <v>564</v>
      </c>
      <c r="Q602" s="1">
        <v>3.6760499817618815E-2</v>
      </c>
      <c r="R602" s="1">
        <v>-3.5399994938397863E-2</v>
      </c>
    </row>
    <row r="603" spans="1:18" x14ac:dyDescent="0.35">
      <c r="A603" s="8">
        <v>96</v>
      </c>
      <c r="B603" s="8">
        <f t="shared" si="18"/>
        <v>1.9822712330395684</v>
      </c>
      <c r="C603" s="8">
        <v>6</v>
      </c>
      <c r="D603" s="8">
        <v>0</v>
      </c>
      <c r="E603" s="8">
        <v>0</v>
      </c>
      <c r="F603" s="8">
        <v>0</v>
      </c>
      <c r="G603" s="8">
        <v>23.7</v>
      </c>
      <c r="H603" s="8">
        <v>0.19</v>
      </c>
      <c r="I603" s="8">
        <v>28</v>
      </c>
      <c r="J603" s="1">
        <v>1.9982405214687651</v>
      </c>
      <c r="K603" s="1">
        <v>-1.5969288429196649E-2</v>
      </c>
      <c r="L603">
        <f t="shared" si="19"/>
        <v>2.5501817293487397E-4</v>
      </c>
      <c r="P603" s="1">
        <v>565</v>
      </c>
      <c r="Q603" s="1">
        <v>2.1446402451007276E-2</v>
      </c>
      <c r="R603" s="1">
        <v>-1.274405391171257E-2</v>
      </c>
    </row>
    <row r="604" spans="1:18" x14ac:dyDescent="0.35">
      <c r="A604" s="8">
        <v>124</v>
      </c>
      <c r="B604" s="8">
        <f t="shared" si="18"/>
        <v>2.0934216851622351</v>
      </c>
      <c r="C604" s="8">
        <v>1</v>
      </c>
      <c r="D604" s="8">
        <v>74</v>
      </c>
      <c r="E604" s="8">
        <v>36</v>
      </c>
      <c r="F604" s="8">
        <v>0</v>
      </c>
      <c r="G604" s="8">
        <v>27.8</v>
      </c>
      <c r="H604" s="8">
        <v>0.1</v>
      </c>
      <c r="I604" s="8">
        <v>30</v>
      </c>
      <c r="J604" s="1">
        <v>1.9611743713572842</v>
      </c>
      <c r="K604" s="1">
        <v>0.13224731380495092</v>
      </c>
      <c r="L604">
        <f t="shared" si="19"/>
        <v>1.7489352008625163E-2</v>
      </c>
      <c r="P604" s="1">
        <v>566</v>
      </c>
      <c r="Q604" s="1">
        <v>2.2820587111353315E-2</v>
      </c>
      <c r="R604" s="1">
        <v>-1.96967041847157E-2</v>
      </c>
    </row>
    <row r="605" spans="1:18" x14ac:dyDescent="0.35">
      <c r="A605" s="8">
        <v>150</v>
      </c>
      <c r="B605" s="8">
        <f t="shared" si="18"/>
        <v>2.1760912590556813</v>
      </c>
      <c r="C605" s="8">
        <v>7</v>
      </c>
      <c r="D605" s="8">
        <v>78</v>
      </c>
      <c r="E605" s="8">
        <v>29</v>
      </c>
      <c r="F605" s="8">
        <v>126</v>
      </c>
      <c r="G605" s="8">
        <v>35.200000000000003</v>
      </c>
      <c r="H605" s="8">
        <v>0.69199999999999995</v>
      </c>
      <c r="I605" s="8">
        <v>54</v>
      </c>
      <c r="J605" s="1">
        <v>2.1320355757432332</v>
      </c>
      <c r="K605" s="1">
        <v>4.4055683312448135E-2</v>
      </c>
      <c r="L605">
        <f t="shared" si="19"/>
        <v>1.9409032321267212E-3</v>
      </c>
      <c r="P605" s="1">
        <v>567</v>
      </c>
      <c r="Q605" s="1">
        <v>7.7138860626713865E-2</v>
      </c>
      <c r="R605" s="1">
        <v>-7.7134614940566809E-2</v>
      </c>
    </row>
    <row r="606" spans="1:18" x14ac:dyDescent="0.35">
      <c r="A606" s="8">
        <v>183</v>
      </c>
      <c r="B606" s="8">
        <f t="shared" si="18"/>
        <v>2.2624510897304293</v>
      </c>
      <c r="C606" s="8">
        <v>4</v>
      </c>
      <c r="D606" s="8">
        <v>0</v>
      </c>
      <c r="E606" s="8">
        <v>0</v>
      </c>
      <c r="F606" s="8">
        <v>0</v>
      </c>
      <c r="G606" s="8">
        <v>28.4</v>
      </c>
      <c r="H606" s="8">
        <v>0.21199999999999999</v>
      </c>
      <c r="I606" s="8">
        <v>36</v>
      </c>
      <c r="J606" s="1">
        <v>2.0283709455892764</v>
      </c>
      <c r="K606" s="1">
        <v>0.23408014414115286</v>
      </c>
      <c r="L606">
        <f t="shared" si="19"/>
        <v>5.4793513881142897E-2</v>
      </c>
      <c r="P606" s="1">
        <v>568</v>
      </c>
      <c r="Q606" s="1">
        <v>4.7304523832350676E-2</v>
      </c>
      <c r="R606" s="1">
        <v>-3.4894083632675661E-2</v>
      </c>
    </row>
    <row r="607" spans="1:18" x14ac:dyDescent="0.35">
      <c r="A607" s="8">
        <v>124</v>
      </c>
      <c r="B607" s="8">
        <f t="shared" si="18"/>
        <v>2.0934216851622351</v>
      </c>
      <c r="C607" s="8">
        <v>1</v>
      </c>
      <c r="D607" s="8">
        <v>60</v>
      </c>
      <c r="E607" s="8">
        <v>32</v>
      </c>
      <c r="F607" s="8">
        <v>0</v>
      </c>
      <c r="G607" s="8">
        <v>35.799999999999997</v>
      </c>
      <c r="H607" s="8">
        <v>0.51400000000000001</v>
      </c>
      <c r="I607" s="8">
        <v>21</v>
      </c>
      <c r="J607" s="1">
        <v>1.9769195456997901</v>
      </c>
      <c r="K607" s="1">
        <v>0.11650213946244503</v>
      </c>
      <c r="L607">
        <f t="shared" si="19"/>
        <v>1.3572748499326992E-2</v>
      </c>
      <c r="P607" s="1">
        <v>569</v>
      </c>
      <c r="Q607" s="1">
        <v>3.9994210148888279E-2</v>
      </c>
      <c r="R607" s="1">
        <v>-2.543368878901419E-2</v>
      </c>
    </row>
    <row r="608" spans="1:18" x14ac:dyDescent="0.35">
      <c r="A608" s="8">
        <v>181</v>
      </c>
      <c r="B608" s="8">
        <f t="shared" si="18"/>
        <v>2.2576785748691846</v>
      </c>
      <c r="C608" s="8">
        <v>1</v>
      </c>
      <c r="D608" s="8">
        <v>78</v>
      </c>
      <c r="E608" s="8">
        <v>42</v>
      </c>
      <c r="F608" s="8">
        <v>293</v>
      </c>
      <c r="G608" s="8">
        <v>40</v>
      </c>
      <c r="H608" s="8">
        <v>1.258</v>
      </c>
      <c r="I608" s="8">
        <v>22</v>
      </c>
      <c r="J608" s="1">
        <v>2.1314709012082242</v>
      </c>
      <c r="K608" s="1">
        <v>0.12620767366096031</v>
      </c>
      <c r="L608">
        <f t="shared" si="19"/>
        <v>1.5928376890911453E-2</v>
      </c>
      <c r="P608" s="1">
        <v>570</v>
      </c>
      <c r="Q608" s="1">
        <v>4.2385458382067379E-2</v>
      </c>
      <c r="R608" s="1">
        <v>-4.2264099820802023E-2</v>
      </c>
    </row>
    <row r="609" spans="1:18" x14ac:dyDescent="0.35">
      <c r="A609" s="8">
        <v>92</v>
      </c>
      <c r="B609" s="8">
        <f t="shared" si="18"/>
        <v>1.9637878273455553</v>
      </c>
      <c r="C609" s="8">
        <v>1</v>
      </c>
      <c r="D609" s="8">
        <v>62</v>
      </c>
      <c r="E609" s="8">
        <v>25</v>
      </c>
      <c r="F609" s="8">
        <v>41</v>
      </c>
      <c r="G609" s="8">
        <v>19.5</v>
      </c>
      <c r="H609" s="8">
        <v>0.48199999999999998</v>
      </c>
      <c r="I609" s="8">
        <v>25</v>
      </c>
      <c r="J609" s="1">
        <v>1.9739747222547681</v>
      </c>
      <c r="K609" s="1">
        <v>-1.0186894909212763E-2</v>
      </c>
      <c r="L609">
        <f t="shared" si="19"/>
        <v>1.037728278913449E-4</v>
      </c>
      <c r="P609" s="1">
        <v>571</v>
      </c>
      <c r="Q609" s="1">
        <v>2.2500242546499388E-2</v>
      </c>
      <c r="R609" s="1">
        <v>9.3629358812404202E-3</v>
      </c>
    </row>
    <row r="610" spans="1:18" x14ac:dyDescent="0.35">
      <c r="A610" s="8">
        <v>152</v>
      </c>
      <c r="B610" s="8">
        <f t="shared" si="18"/>
        <v>2.1818435879447726</v>
      </c>
      <c r="C610" s="8">
        <v>0</v>
      </c>
      <c r="D610" s="8">
        <v>82</v>
      </c>
      <c r="E610" s="8">
        <v>39</v>
      </c>
      <c r="F610" s="8">
        <v>272</v>
      </c>
      <c r="G610" s="8">
        <v>41.5</v>
      </c>
      <c r="H610" s="8">
        <v>0.27</v>
      </c>
      <c r="I610" s="8">
        <v>27</v>
      </c>
      <c r="J610" s="1">
        <v>2.1156367641935927</v>
      </c>
      <c r="K610" s="1">
        <v>6.6206823751179922E-2</v>
      </c>
      <c r="L610">
        <f t="shared" si="19"/>
        <v>4.3833435112198022E-3</v>
      </c>
      <c r="P610" s="1">
        <v>572</v>
      </c>
      <c r="Q610" s="1">
        <v>2.1842188596034377E-2</v>
      </c>
      <c r="R610" s="1">
        <v>-1.09229847795032E-2</v>
      </c>
    </row>
    <row r="611" spans="1:18" x14ac:dyDescent="0.35">
      <c r="A611" s="8">
        <v>111</v>
      </c>
      <c r="B611" s="8">
        <f t="shared" si="18"/>
        <v>2.0453229787866576</v>
      </c>
      <c r="C611" s="8">
        <v>1</v>
      </c>
      <c r="D611" s="8">
        <v>62</v>
      </c>
      <c r="E611" s="8">
        <v>13</v>
      </c>
      <c r="F611" s="8">
        <v>182</v>
      </c>
      <c r="G611" s="8">
        <v>24</v>
      </c>
      <c r="H611" s="8">
        <v>0.13800000000000001</v>
      </c>
      <c r="I611" s="8">
        <v>23</v>
      </c>
      <c r="J611" s="1">
        <v>2.0591407502875705</v>
      </c>
      <c r="K611" s="1">
        <v>-1.3817771500912901E-2</v>
      </c>
      <c r="L611">
        <f t="shared" si="19"/>
        <v>1.9093080925144075E-4</v>
      </c>
      <c r="P611" s="1">
        <v>573</v>
      </c>
      <c r="Q611" s="1">
        <v>6.9903324574126735E-2</v>
      </c>
      <c r="R611" s="1">
        <v>-6.600567823642832E-2</v>
      </c>
    </row>
    <row r="612" spans="1:18" x14ac:dyDescent="0.35">
      <c r="A612" s="8">
        <v>106</v>
      </c>
      <c r="B612" s="8">
        <f t="shared" si="18"/>
        <v>2.0253058652647704</v>
      </c>
      <c r="C612" s="8">
        <v>3</v>
      </c>
      <c r="D612" s="8">
        <v>54</v>
      </c>
      <c r="E612" s="8">
        <v>21</v>
      </c>
      <c r="F612" s="8">
        <v>158</v>
      </c>
      <c r="G612" s="8">
        <v>30.9</v>
      </c>
      <c r="H612" s="8">
        <v>0.29199999999999998</v>
      </c>
      <c r="I612" s="8">
        <v>24</v>
      </c>
      <c r="J612" s="1">
        <v>2.0573454782041489</v>
      </c>
      <c r="K612" s="1">
        <v>-3.2039612939378515E-2</v>
      </c>
      <c r="L612">
        <f t="shared" si="19"/>
        <v>1.026536797305191E-3</v>
      </c>
      <c r="P612" s="1">
        <v>574</v>
      </c>
      <c r="Q612" s="1">
        <v>3.0001131099081715E-2</v>
      </c>
      <c r="R612" s="1">
        <v>-2.6316157095955455E-2</v>
      </c>
    </row>
    <row r="613" spans="1:18" x14ac:dyDescent="0.35">
      <c r="A613" s="8">
        <v>174</v>
      </c>
      <c r="B613" s="8">
        <f t="shared" si="18"/>
        <v>2.2405492482825999</v>
      </c>
      <c r="C613" s="8">
        <v>3</v>
      </c>
      <c r="D613" s="8">
        <v>58</v>
      </c>
      <c r="E613" s="8">
        <v>22</v>
      </c>
      <c r="F613" s="8">
        <v>194</v>
      </c>
      <c r="G613" s="8">
        <v>32.9</v>
      </c>
      <c r="H613" s="8">
        <v>0.59299999999999997</v>
      </c>
      <c r="I613" s="8">
        <v>36</v>
      </c>
      <c r="J613" s="1">
        <v>2.1150710230172631</v>
      </c>
      <c r="K613" s="1">
        <v>0.12547822526533681</v>
      </c>
      <c r="L613">
        <f t="shared" si="19"/>
        <v>1.5744785015738609E-2</v>
      </c>
      <c r="P613" s="1">
        <v>575</v>
      </c>
      <c r="Q613" s="1">
        <v>-1.7618808874616573E-2</v>
      </c>
      <c r="R613" s="1">
        <v>1.7875268877078868E-2</v>
      </c>
    </row>
    <row r="614" spans="1:18" x14ac:dyDescent="0.35">
      <c r="A614" s="8">
        <v>168</v>
      </c>
      <c r="B614" s="8">
        <f t="shared" si="18"/>
        <v>2.2253092817258628</v>
      </c>
      <c r="C614" s="8">
        <v>7</v>
      </c>
      <c r="D614" s="8">
        <v>88</v>
      </c>
      <c r="E614" s="8">
        <v>42</v>
      </c>
      <c r="F614" s="8">
        <v>321</v>
      </c>
      <c r="G614" s="8">
        <v>38.200000000000003</v>
      </c>
      <c r="H614" s="8">
        <v>0.78700000000000003</v>
      </c>
      <c r="I614" s="8">
        <v>40</v>
      </c>
      <c r="J614" s="1">
        <v>2.1768004109255377</v>
      </c>
      <c r="K614" s="1">
        <v>4.8508870800325177E-2</v>
      </c>
      <c r="L614">
        <f t="shared" si="19"/>
        <v>2.3531105463226406E-3</v>
      </c>
      <c r="P614" s="1">
        <v>576</v>
      </c>
      <c r="Q614" s="1">
        <v>0.10290636643657232</v>
      </c>
      <c r="R614" s="1">
        <v>-9.2331108143558702E-2</v>
      </c>
    </row>
    <row r="615" spans="1:18" x14ac:dyDescent="0.35">
      <c r="A615" s="8">
        <v>105</v>
      </c>
      <c r="B615" s="8">
        <f t="shared" si="18"/>
        <v>2.0211892990699383</v>
      </c>
      <c r="C615" s="8">
        <v>6</v>
      </c>
      <c r="D615" s="8">
        <v>80</v>
      </c>
      <c r="E615" s="8">
        <v>28</v>
      </c>
      <c r="F615" s="8">
        <v>0</v>
      </c>
      <c r="G615" s="8">
        <v>32.5</v>
      </c>
      <c r="H615" s="8">
        <v>0.878</v>
      </c>
      <c r="I615" s="8">
        <v>26</v>
      </c>
      <c r="J615" s="1">
        <v>2.0092607149964326</v>
      </c>
      <c r="K615" s="1">
        <v>1.1928584073505721E-2</v>
      </c>
      <c r="L615">
        <f t="shared" si="19"/>
        <v>1.4229111799869435E-4</v>
      </c>
      <c r="P615" s="1">
        <v>577</v>
      </c>
      <c r="Q615" s="1">
        <v>1.4568675910394218E-2</v>
      </c>
      <c r="R615" s="1">
        <v>-1.3381798796959787E-2</v>
      </c>
    </row>
    <row r="616" spans="1:18" x14ac:dyDescent="0.35">
      <c r="A616" s="8">
        <v>138</v>
      </c>
      <c r="B616" s="8">
        <f t="shared" si="18"/>
        <v>2.1398790864012365</v>
      </c>
      <c r="C616" s="8">
        <v>11</v>
      </c>
      <c r="D616" s="8">
        <v>74</v>
      </c>
      <c r="E616" s="8">
        <v>26</v>
      </c>
      <c r="F616" s="8">
        <v>144</v>
      </c>
      <c r="G616" s="8">
        <v>36.1</v>
      </c>
      <c r="H616" s="8">
        <v>0.55700000000000005</v>
      </c>
      <c r="I616" s="8">
        <v>50</v>
      </c>
      <c r="J616" s="1">
        <v>2.1378012722367186</v>
      </c>
      <c r="K616" s="1">
        <v>2.0778141645179105E-3</v>
      </c>
      <c r="L616">
        <f t="shared" si="19"/>
        <v>4.3173117022712619E-6</v>
      </c>
      <c r="P616" s="1">
        <v>578</v>
      </c>
      <c r="Q616" s="1">
        <v>1.8602600331057335E-2</v>
      </c>
      <c r="R616" s="1">
        <v>-1.8602385947706919E-2</v>
      </c>
    </row>
    <row r="617" spans="1:18" x14ac:dyDescent="0.35">
      <c r="A617" s="8">
        <v>106</v>
      </c>
      <c r="B617" s="8">
        <f t="shared" si="18"/>
        <v>2.0253058652647704</v>
      </c>
      <c r="C617" s="8">
        <v>3</v>
      </c>
      <c r="D617" s="8">
        <v>72</v>
      </c>
      <c r="E617" s="8">
        <v>0</v>
      </c>
      <c r="F617" s="8">
        <v>0</v>
      </c>
      <c r="G617" s="8">
        <v>25.8</v>
      </c>
      <c r="H617" s="8">
        <v>0.20699999999999999</v>
      </c>
      <c r="I617" s="8">
        <v>27</v>
      </c>
      <c r="J617" s="1">
        <v>2.0233066519336993</v>
      </c>
      <c r="K617" s="1">
        <v>1.9992133310711147E-3</v>
      </c>
      <c r="L617">
        <f t="shared" si="19"/>
        <v>3.9968539431324625E-6</v>
      </c>
      <c r="P617" s="1">
        <v>579</v>
      </c>
      <c r="Q617" s="1">
        <v>1.215960844636545E-2</v>
      </c>
      <c r="R617" s="1">
        <v>-7.2727258782428802E-3</v>
      </c>
    </row>
    <row r="618" spans="1:18" x14ac:dyDescent="0.35">
      <c r="A618" s="8">
        <v>117</v>
      </c>
      <c r="B618" s="8">
        <f t="shared" si="18"/>
        <v>2.0681858617461617</v>
      </c>
      <c r="C618" s="8">
        <v>6</v>
      </c>
      <c r="D618" s="8">
        <v>96</v>
      </c>
      <c r="E618" s="8">
        <v>0</v>
      </c>
      <c r="F618" s="8">
        <v>0</v>
      </c>
      <c r="G618" s="8">
        <v>28.7</v>
      </c>
      <c r="H618" s="8">
        <v>0.157</v>
      </c>
      <c r="I618" s="8">
        <v>30</v>
      </c>
      <c r="J618" s="1">
        <v>2.047620049544022</v>
      </c>
      <c r="K618" s="1">
        <v>2.0565812202139711E-2</v>
      </c>
      <c r="L618">
        <f t="shared" si="19"/>
        <v>4.2295263153367864E-4</v>
      </c>
      <c r="P618" s="1">
        <v>580</v>
      </c>
      <c r="Q618" s="1">
        <v>0.19808775038837667</v>
      </c>
      <c r="R618" s="1">
        <v>-7.5758875342351928E-2</v>
      </c>
    </row>
    <row r="619" spans="1:18" x14ac:dyDescent="0.35">
      <c r="A619" s="8">
        <v>68</v>
      </c>
      <c r="B619" s="8">
        <f t="shared" si="18"/>
        <v>1.8325089127062364</v>
      </c>
      <c r="C619" s="8">
        <v>2</v>
      </c>
      <c r="D619" s="8">
        <v>62</v>
      </c>
      <c r="E619" s="8">
        <v>13</v>
      </c>
      <c r="F619" s="8">
        <v>15</v>
      </c>
      <c r="G619" s="8">
        <v>20.100000000000001</v>
      </c>
      <c r="H619" s="8">
        <v>0.25700000000000001</v>
      </c>
      <c r="I619" s="8">
        <v>23</v>
      </c>
      <c r="J619" s="1">
        <v>1.9770772974297599</v>
      </c>
      <c r="K619" s="1">
        <v>-0.14456838472352351</v>
      </c>
      <c r="L619">
        <f t="shared" si="19"/>
        <v>2.0900017861568705E-2</v>
      </c>
      <c r="P619" s="1">
        <v>581</v>
      </c>
      <c r="Q619" s="1">
        <v>0.11120046807869245</v>
      </c>
      <c r="R619" s="1">
        <v>-6.8235792032179721E-2</v>
      </c>
    </row>
    <row r="620" spans="1:18" x14ac:dyDescent="0.35">
      <c r="A620" s="8">
        <v>112</v>
      </c>
      <c r="B620" s="8">
        <f t="shared" si="18"/>
        <v>2.0492180226701815</v>
      </c>
      <c r="C620" s="8">
        <v>9</v>
      </c>
      <c r="D620" s="8">
        <v>82</v>
      </c>
      <c r="E620" s="8">
        <v>24</v>
      </c>
      <c r="F620" s="8">
        <v>0</v>
      </c>
      <c r="G620" s="8">
        <v>28.2</v>
      </c>
      <c r="H620" s="8">
        <v>1.282</v>
      </c>
      <c r="I620" s="8">
        <v>50</v>
      </c>
      <c r="J620" s="1">
        <v>2.0763660428714465</v>
      </c>
      <c r="K620" s="1">
        <v>-2.7148020201265055E-2</v>
      </c>
      <c r="L620">
        <f t="shared" si="19"/>
        <v>7.3701500084829554E-4</v>
      </c>
      <c r="P620" s="1">
        <v>582</v>
      </c>
      <c r="Q620" s="1">
        <v>7.1892138818514487E-2</v>
      </c>
      <c r="R620" s="1">
        <v>-6.6968372295385228E-2</v>
      </c>
    </row>
    <row r="621" spans="1:18" x14ac:dyDescent="0.35">
      <c r="A621" s="8">
        <v>119</v>
      </c>
      <c r="B621" s="8">
        <f t="shared" si="18"/>
        <v>2.0755469613925306</v>
      </c>
      <c r="C621" s="8">
        <v>0</v>
      </c>
      <c r="D621" s="8">
        <v>0</v>
      </c>
      <c r="E621" s="8">
        <v>0</v>
      </c>
      <c r="F621" s="8">
        <v>0</v>
      </c>
      <c r="G621" s="8">
        <v>32.4</v>
      </c>
      <c r="H621" s="8">
        <v>0.14099999999999999</v>
      </c>
      <c r="I621" s="8">
        <v>24</v>
      </c>
      <c r="J621" s="1">
        <v>2.0054496611526016</v>
      </c>
      <c r="K621" s="1">
        <v>7.0097300239928995E-2</v>
      </c>
      <c r="L621">
        <f t="shared" si="19"/>
        <v>4.9136315009267496E-3</v>
      </c>
      <c r="P621" s="1">
        <v>583</v>
      </c>
      <c r="Q621" s="1">
        <v>3.4101947777050307E-2</v>
      </c>
      <c r="R621" s="1">
        <v>-3.4093933405133926E-2</v>
      </c>
    </row>
    <row r="622" spans="1:18" x14ac:dyDescent="0.35">
      <c r="A622" s="8">
        <v>112</v>
      </c>
      <c r="B622" s="8">
        <f t="shared" si="18"/>
        <v>2.0492180226701815</v>
      </c>
      <c r="C622" s="8">
        <v>2</v>
      </c>
      <c r="D622" s="8">
        <v>86</v>
      </c>
      <c r="E622" s="8">
        <v>42</v>
      </c>
      <c r="F622" s="8">
        <v>160</v>
      </c>
      <c r="G622" s="8">
        <v>38.4</v>
      </c>
      <c r="H622" s="8">
        <v>0.246</v>
      </c>
      <c r="I622" s="8">
        <v>28</v>
      </c>
      <c r="J622" s="1">
        <v>2.0553911137094047</v>
      </c>
      <c r="K622" s="1">
        <v>-6.1730910392232552E-3</v>
      </c>
      <c r="L622">
        <f t="shared" si="19"/>
        <v>3.8107052978538446E-5</v>
      </c>
      <c r="P622" s="1">
        <v>584</v>
      </c>
      <c r="Q622" s="1">
        <v>1.5152679407704683E-2</v>
      </c>
      <c r="R622" s="1">
        <v>-5.3697447727025036E-3</v>
      </c>
    </row>
    <row r="623" spans="1:18" x14ac:dyDescent="0.35">
      <c r="A623" s="8">
        <v>92</v>
      </c>
      <c r="B623" s="8">
        <f t="shared" si="18"/>
        <v>1.9637878273455553</v>
      </c>
      <c r="C623" s="8">
        <v>2</v>
      </c>
      <c r="D623" s="8">
        <v>76</v>
      </c>
      <c r="E623" s="8">
        <v>20</v>
      </c>
      <c r="F623" s="8">
        <v>0</v>
      </c>
      <c r="G623" s="8">
        <v>24.2</v>
      </c>
      <c r="H623" s="8">
        <v>1.698</v>
      </c>
      <c r="I623" s="8">
        <v>28</v>
      </c>
      <c r="J623" s="1">
        <v>2.0252898953065408</v>
      </c>
      <c r="K623" s="1">
        <v>-6.1502067960985451E-2</v>
      </c>
      <c r="L623">
        <f t="shared" si="19"/>
        <v>3.7825043634776732E-3</v>
      </c>
      <c r="P623" s="1">
        <v>585</v>
      </c>
      <c r="Q623" s="1">
        <v>-0.11061858787878875</v>
      </c>
      <c r="R623" s="1">
        <v>0.16889245527659311</v>
      </c>
    </row>
    <row r="624" spans="1:18" x14ac:dyDescent="0.35">
      <c r="A624" s="8">
        <v>183</v>
      </c>
      <c r="B624" s="8">
        <f t="shared" si="18"/>
        <v>2.2624510897304293</v>
      </c>
      <c r="C624" s="8">
        <v>6</v>
      </c>
      <c r="D624" s="8">
        <v>94</v>
      </c>
      <c r="E624" s="8">
        <v>0</v>
      </c>
      <c r="F624" s="8">
        <v>0</v>
      </c>
      <c r="G624" s="8">
        <v>40.799999999999997</v>
      </c>
      <c r="H624" s="8">
        <v>1.4610000000000001</v>
      </c>
      <c r="I624" s="8">
        <v>45</v>
      </c>
      <c r="J624" s="1">
        <v>2.1520697242358264</v>
      </c>
      <c r="K624" s="1">
        <v>0.11038136549460287</v>
      </c>
      <c r="L624">
        <f t="shared" si="19"/>
        <v>1.2184045848453104E-2</v>
      </c>
      <c r="P624" s="1">
        <v>586</v>
      </c>
      <c r="Q624" s="1">
        <v>4.753869648763661E-2</v>
      </c>
      <c r="R624" s="1">
        <v>-4.7406467256609408E-2</v>
      </c>
    </row>
    <row r="625" spans="1:18" x14ac:dyDescent="0.35">
      <c r="A625" s="8">
        <v>94</v>
      </c>
      <c r="B625" s="8">
        <f t="shared" si="18"/>
        <v>1.9731278535996986</v>
      </c>
      <c r="C625" s="8">
        <v>0</v>
      </c>
      <c r="D625" s="8">
        <v>70</v>
      </c>
      <c r="E625" s="8">
        <v>27</v>
      </c>
      <c r="F625" s="8">
        <v>115</v>
      </c>
      <c r="G625" s="8">
        <v>43.5</v>
      </c>
      <c r="H625" s="8">
        <v>0.34699999999999998</v>
      </c>
      <c r="I625" s="8">
        <v>21</v>
      </c>
      <c r="J625" s="1">
        <v>2.0574258425533944</v>
      </c>
      <c r="K625" s="1">
        <v>-8.429798895369589E-2</v>
      </c>
      <c r="L625">
        <f t="shared" si="19"/>
        <v>7.1061509416374341E-3</v>
      </c>
      <c r="P625" s="1">
        <v>587</v>
      </c>
      <c r="Q625" s="1">
        <v>1.7755598324553798E-2</v>
      </c>
      <c r="R625" s="1">
        <v>-1.2254626040785487E-2</v>
      </c>
    </row>
    <row r="626" spans="1:18" x14ac:dyDescent="0.35">
      <c r="A626" s="8">
        <v>108</v>
      </c>
      <c r="B626" s="8">
        <f t="shared" si="18"/>
        <v>2.0334237554869499</v>
      </c>
      <c r="C626" s="8">
        <v>2</v>
      </c>
      <c r="D626" s="8">
        <v>64</v>
      </c>
      <c r="E626" s="8">
        <v>0</v>
      </c>
      <c r="F626" s="8">
        <v>0</v>
      </c>
      <c r="G626" s="8">
        <v>30.8</v>
      </c>
      <c r="H626" s="8">
        <v>0.158</v>
      </c>
      <c r="I626" s="8">
        <v>21</v>
      </c>
      <c r="J626" s="1">
        <v>2.0178904158184392</v>
      </c>
      <c r="K626" s="1">
        <v>1.5533339668510671E-2</v>
      </c>
      <c r="L626">
        <f t="shared" si="19"/>
        <v>2.4128464125732719E-4</v>
      </c>
      <c r="P626" s="1">
        <v>588</v>
      </c>
      <c r="Q626" s="1">
        <v>1.9682494575492655E-2</v>
      </c>
      <c r="R626" s="1">
        <v>-1.9510761937899683E-2</v>
      </c>
    </row>
    <row r="627" spans="1:18" x14ac:dyDescent="0.35">
      <c r="A627" s="8">
        <v>90</v>
      </c>
      <c r="B627" s="8">
        <f t="shared" si="18"/>
        <v>1.954242509439325</v>
      </c>
      <c r="C627" s="8">
        <v>4</v>
      </c>
      <c r="D627" s="8">
        <v>88</v>
      </c>
      <c r="E627" s="8">
        <v>47</v>
      </c>
      <c r="F627" s="8">
        <v>54</v>
      </c>
      <c r="G627" s="8">
        <v>37.700000000000003</v>
      </c>
      <c r="H627" s="8">
        <v>0.36199999999999999</v>
      </c>
      <c r="I627" s="8">
        <v>29</v>
      </c>
      <c r="J627" s="1">
        <v>2.00382410592132</v>
      </c>
      <c r="K627" s="1">
        <v>-4.9581596481995005E-2</v>
      </c>
      <c r="L627">
        <f t="shared" si="19"/>
        <v>2.4583347097033794E-3</v>
      </c>
      <c r="P627" s="1">
        <v>589</v>
      </c>
      <c r="Q627" s="1">
        <v>1.0111550130974719E-2</v>
      </c>
      <c r="R627" s="1">
        <v>-1.3329674432007374E-3</v>
      </c>
    </row>
    <row r="628" spans="1:18" x14ac:dyDescent="0.35">
      <c r="A628" s="8">
        <v>125</v>
      </c>
      <c r="B628" s="8">
        <f t="shared" si="18"/>
        <v>2.0969100130080562</v>
      </c>
      <c r="C628" s="8">
        <v>0</v>
      </c>
      <c r="D628" s="8">
        <v>68</v>
      </c>
      <c r="E628" s="8">
        <v>0</v>
      </c>
      <c r="F628" s="8">
        <v>0</v>
      </c>
      <c r="G628" s="8">
        <v>24.7</v>
      </c>
      <c r="H628" s="8">
        <v>0.20599999999999999</v>
      </c>
      <c r="I628" s="8">
        <v>21</v>
      </c>
      <c r="J628" s="1">
        <v>2.0021207362772864</v>
      </c>
      <c r="K628" s="1">
        <v>9.4789276730769867E-2</v>
      </c>
      <c r="L628">
        <f t="shared" si="19"/>
        <v>8.9850069831424705E-3</v>
      </c>
      <c r="P628" s="1">
        <v>590</v>
      </c>
      <c r="Q628" s="1">
        <v>3.8870427163798384E-2</v>
      </c>
      <c r="R628" s="1">
        <v>-2.4590022746245103E-2</v>
      </c>
    </row>
    <row r="629" spans="1:18" x14ac:dyDescent="0.35">
      <c r="A629" s="8">
        <v>132</v>
      </c>
      <c r="B629" s="8">
        <f t="shared" si="18"/>
        <v>2.12057393120585</v>
      </c>
      <c r="C629" s="8">
        <v>0</v>
      </c>
      <c r="D629" s="8">
        <v>78</v>
      </c>
      <c r="E629" s="8">
        <v>0</v>
      </c>
      <c r="F629" s="8">
        <v>0</v>
      </c>
      <c r="G629" s="8">
        <v>32.4</v>
      </c>
      <c r="H629" s="8">
        <v>0.39300000000000002</v>
      </c>
      <c r="I629" s="8">
        <v>21</v>
      </c>
      <c r="J629" s="1">
        <v>2.0317341312394395</v>
      </c>
      <c r="K629" s="1">
        <v>8.883979996641056E-2</v>
      </c>
      <c r="L629">
        <f t="shared" si="19"/>
        <v>7.8925100580718409E-3</v>
      </c>
      <c r="P629" s="1">
        <v>591</v>
      </c>
      <c r="Q629" s="1">
        <v>6.9748566348042162E-2</v>
      </c>
      <c r="R629" s="1">
        <v>-6.8783076498047505E-2</v>
      </c>
    </row>
    <row r="630" spans="1:18" x14ac:dyDescent="0.35">
      <c r="A630" s="8">
        <v>128</v>
      </c>
      <c r="B630" s="8">
        <f t="shared" si="18"/>
        <v>2.1072099696478683</v>
      </c>
      <c r="C630" s="8">
        <v>5</v>
      </c>
      <c r="D630" s="8">
        <v>80</v>
      </c>
      <c r="E630" s="8">
        <v>0</v>
      </c>
      <c r="F630" s="8">
        <v>0</v>
      </c>
      <c r="G630" s="8">
        <v>34.6</v>
      </c>
      <c r="H630" s="8">
        <v>0.14399999999999999</v>
      </c>
      <c r="I630" s="8">
        <v>45</v>
      </c>
      <c r="J630" s="1">
        <v>2.0919204754975498</v>
      </c>
      <c r="K630" s="1">
        <v>1.528949415031855E-2</v>
      </c>
      <c r="L630">
        <f t="shared" si="19"/>
        <v>2.3376863137262516E-4</v>
      </c>
      <c r="P630" s="1">
        <v>592</v>
      </c>
      <c r="Q630" s="1">
        <v>8.3377405862193041E-2</v>
      </c>
      <c r="R630" s="1">
        <v>-8.2487918021341394E-2</v>
      </c>
    </row>
    <row r="631" spans="1:18" x14ac:dyDescent="0.35">
      <c r="A631" s="8">
        <v>94</v>
      </c>
      <c r="B631" s="8">
        <f t="shared" si="18"/>
        <v>1.9731278535996986</v>
      </c>
      <c r="C631" s="8">
        <v>4</v>
      </c>
      <c r="D631" s="8">
        <v>65</v>
      </c>
      <c r="E631" s="8">
        <v>22</v>
      </c>
      <c r="F631" s="8">
        <v>0</v>
      </c>
      <c r="G631" s="8">
        <v>24.7</v>
      </c>
      <c r="H631" s="8">
        <v>0.14799999999999999</v>
      </c>
      <c r="I631" s="8">
        <v>21</v>
      </c>
      <c r="J631" s="1">
        <v>1.9603318622275288</v>
      </c>
      <c r="K631" s="1">
        <v>1.2795991372169802E-2</v>
      </c>
      <c r="L631">
        <f t="shared" si="19"/>
        <v>1.63737395196644E-4</v>
      </c>
      <c r="P631" s="1">
        <v>593</v>
      </c>
      <c r="Q631" s="1">
        <v>1.7716173272449325E-2</v>
      </c>
      <c r="R631" s="1">
        <v>-1.7037555334583399E-2</v>
      </c>
    </row>
    <row r="632" spans="1:18" x14ac:dyDescent="0.35">
      <c r="A632" s="8">
        <v>114</v>
      </c>
      <c r="B632" s="8">
        <f t="shared" si="18"/>
        <v>2.0569048513364727</v>
      </c>
      <c r="C632" s="8">
        <v>7</v>
      </c>
      <c r="D632" s="8">
        <v>64</v>
      </c>
      <c r="E632" s="8">
        <v>0</v>
      </c>
      <c r="F632" s="8">
        <v>0</v>
      </c>
      <c r="G632" s="8">
        <v>27.4</v>
      </c>
      <c r="H632" s="8">
        <v>0.73199999999999998</v>
      </c>
      <c r="I632" s="8">
        <v>34</v>
      </c>
      <c r="J632" s="1">
        <v>2.0601114173317661</v>
      </c>
      <c r="K632" s="1">
        <v>-3.2065659952933423E-3</v>
      </c>
      <c r="L632">
        <f t="shared" si="19"/>
        <v>1.0282065482171583E-5</v>
      </c>
      <c r="P632" s="1">
        <v>594</v>
      </c>
      <c r="Q632" s="1">
        <v>1.2889216062185363E-2</v>
      </c>
      <c r="R632" s="1">
        <v>1.1600210840706043E-2</v>
      </c>
    </row>
    <row r="633" spans="1:18" x14ac:dyDescent="0.35">
      <c r="A633" s="8">
        <v>102</v>
      </c>
      <c r="B633" s="8">
        <f t="shared" si="18"/>
        <v>2.0086001717619175</v>
      </c>
      <c r="C633" s="8">
        <v>0</v>
      </c>
      <c r="D633" s="8">
        <v>78</v>
      </c>
      <c r="E633" s="8">
        <v>40</v>
      </c>
      <c r="F633" s="8">
        <v>90</v>
      </c>
      <c r="G633" s="8">
        <v>34.5</v>
      </c>
      <c r="H633" s="8">
        <v>0.23799999999999999</v>
      </c>
      <c r="I633" s="8">
        <v>24</v>
      </c>
      <c r="J633" s="1">
        <v>2.0027921171473784</v>
      </c>
      <c r="K633" s="1">
        <v>5.8080546145391487E-3</v>
      </c>
      <c r="L633">
        <f t="shared" si="19"/>
        <v>3.3733498405469501E-5</v>
      </c>
      <c r="P633" s="1">
        <v>595</v>
      </c>
      <c r="Q633" s="1">
        <v>3.2396198290789151E-2</v>
      </c>
      <c r="R633" s="1">
        <v>-3.236697226619787E-2</v>
      </c>
    </row>
    <row r="634" spans="1:18" x14ac:dyDescent="0.35">
      <c r="A634" s="8">
        <v>111</v>
      </c>
      <c r="B634" s="8">
        <f t="shared" si="18"/>
        <v>2.0453229787866576</v>
      </c>
      <c r="C634" s="8">
        <v>2</v>
      </c>
      <c r="D634" s="8">
        <v>60</v>
      </c>
      <c r="E634" s="8">
        <v>0</v>
      </c>
      <c r="F634" s="8">
        <v>0</v>
      </c>
      <c r="G634" s="8">
        <v>26.2</v>
      </c>
      <c r="H634" s="8">
        <v>0.34300000000000003</v>
      </c>
      <c r="I634" s="8">
        <v>23</v>
      </c>
      <c r="J634" s="1">
        <v>2.0140048180724843</v>
      </c>
      <c r="K634" s="1">
        <v>3.131816071417326E-2</v>
      </c>
      <c r="L634">
        <f t="shared" si="19"/>
        <v>9.808271905187853E-4</v>
      </c>
      <c r="P634" s="1">
        <v>596</v>
      </c>
      <c r="Q634" s="1">
        <v>-2.4754677832922668E-3</v>
      </c>
      <c r="R634" s="1">
        <v>3.3067591671510764E-2</v>
      </c>
    </row>
    <row r="635" spans="1:18" x14ac:dyDescent="0.35">
      <c r="A635" s="8">
        <v>128</v>
      </c>
      <c r="B635" s="8">
        <f t="shared" si="18"/>
        <v>2.1072099696478683</v>
      </c>
      <c r="C635" s="8">
        <v>1</v>
      </c>
      <c r="D635" s="8">
        <v>82</v>
      </c>
      <c r="E635" s="8">
        <v>17</v>
      </c>
      <c r="F635" s="8">
        <v>183</v>
      </c>
      <c r="G635" s="8">
        <v>27.5</v>
      </c>
      <c r="H635" s="8">
        <v>0.115</v>
      </c>
      <c r="I635" s="8">
        <v>22</v>
      </c>
      <c r="J635" s="1">
        <v>2.0649945829489673</v>
      </c>
      <c r="K635" s="1">
        <v>4.2215386698901014E-2</v>
      </c>
      <c r="L635">
        <f t="shared" si="19"/>
        <v>1.7821388741377487E-3</v>
      </c>
      <c r="P635" s="1">
        <v>597</v>
      </c>
      <c r="Q635" s="1">
        <v>2.7744143654554288E-2</v>
      </c>
      <c r="R635" s="1">
        <v>5.7860621088261413E-2</v>
      </c>
    </row>
    <row r="636" spans="1:18" x14ac:dyDescent="0.35">
      <c r="A636" s="8">
        <v>92</v>
      </c>
      <c r="B636" s="8">
        <f t="shared" si="18"/>
        <v>1.9637878273455553</v>
      </c>
      <c r="C636" s="8">
        <v>10</v>
      </c>
      <c r="D636" s="8">
        <v>62</v>
      </c>
      <c r="E636" s="8">
        <v>0</v>
      </c>
      <c r="F636" s="8">
        <v>0</v>
      </c>
      <c r="G636" s="8">
        <v>25.9</v>
      </c>
      <c r="H636" s="8">
        <v>0.16700000000000001</v>
      </c>
      <c r="I636" s="8">
        <v>31</v>
      </c>
      <c r="J636" s="1">
        <v>2.0350740228140607</v>
      </c>
      <c r="K636" s="1">
        <v>-7.1286195468505342E-2</v>
      </c>
      <c r="L636">
        <f t="shared" si="19"/>
        <v>5.0817216643739517E-3</v>
      </c>
      <c r="P636" s="1">
        <v>598</v>
      </c>
      <c r="Q636" s="1">
        <v>5.9155533662281913E-2</v>
      </c>
      <c r="R636" s="1">
        <v>-5.814614723142246E-2</v>
      </c>
    </row>
    <row r="637" spans="1:18" x14ac:dyDescent="0.35">
      <c r="A637" s="8">
        <v>104</v>
      </c>
      <c r="B637" s="8">
        <f t="shared" si="18"/>
        <v>2.0170333392987803</v>
      </c>
      <c r="C637" s="8">
        <v>13</v>
      </c>
      <c r="D637" s="8">
        <v>72</v>
      </c>
      <c r="E637" s="8">
        <v>0</v>
      </c>
      <c r="F637" s="8">
        <v>0</v>
      </c>
      <c r="G637" s="8">
        <v>31.2</v>
      </c>
      <c r="H637" s="8">
        <v>0.46500000000000002</v>
      </c>
      <c r="I637" s="8">
        <v>38</v>
      </c>
      <c r="J637" s="1">
        <v>2.0805021071173333</v>
      </c>
      <c r="K637" s="1">
        <v>-6.346876781855304E-2</v>
      </c>
      <c r="L637">
        <f t="shared" si="19"/>
        <v>4.0282844884053943E-3</v>
      </c>
      <c r="P637" s="1">
        <v>599</v>
      </c>
      <c r="Q637" s="1">
        <v>2.8979522656975759E-2</v>
      </c>
      <c r="R637" s="1">
        <v>-2.1269717803161572E-3</v>
      </c>
    </row>
    <row r="638" spans="1:18" x14ac:dyDescent="0.35">
      <c r="A638" s="8">
        <v>104</v>
      </c>
      <c r="B638" s="8">
        <f t="shared" si="18"/>
        <v>2.0170333392987803</v>
      </c>
      <c r="C638" s="8">
        <v>5</v>
      </c>
      <c r="D638" s="8">
        <v>74</v>
      </c>
      <c r="E638" s="8">
        <v>0</v>
      </c>
      <c r="F638" s="8">
        <v>0</v>
      </c>
      <c r="G638" s="8">
        <v>28.8</v>
      </c>
      <c r="H638" s="8">
        <v>0.153</v>
      </c>
      <c r="I638" s="8">
        <v>48</v>
      </c>
      <c r="J638" s="1">
        <v>2.0814007479117222</v>
      </c>
      <c r="K638" s="1">
        <v>-6.436740861294199E-2</v>
      </c>
      <c r="L638">
        <f t="shared" si="19"/>
        <v>4.1431632915454389E-3</v>
      </c>
      <c r="P638" s="1">
        <v>600</v>
      </c>
      <c r="Q638" s="1">
        <v>3.1420458281877124E-2</v>
      </c>
      <c r="R638" s="1">
        <v>-3.1277030050105917E-2</v>
      </c>
    </row>
    <row r="639" spans="1:18" x14ac:dyDescent="0.35">
      <c r="A639" s="8">
        <v>94</v>
      </c>
      <c r="B639" s="8">
        <f t="shared" si="18"/>
        <v>1.9731278535996986</v>
      </c>
      <c r="C639" s="8">
        <v>2</v>
      </c>
      <c r="D639" s="8">
        <v>76</v>
      </c>
      <c r="E639" s="8">
        <v>18</v>
      </c>
      <c r="F639" s="8">
        <v>66</v>
      </c>
      <c r="G639" s="8">
        <v>31.6</v>
      </c>
      <c r="H639" s="8">
        <v>0.64900000000000002</v>
      </c>
      <c r="I639" s="8">
        <v>23</v>
      </c>
      <c r="J639" s="1">
        <v>2.037613970971877</v>
      </c>
      <c r="K639" s="1">
        <v>-6.4486117372178464E-2</v>
      </c>
      <c r="L639">
        <f t="shared" si="19"/>
        <v>4.158459333738377E-3</v>
      </c>
      <c r="P639" s="1">
        <v>601</v>
      </c>
      <c r="Q639" s="1">
        <v>5.7432465709132553E-2</v>
      </c>
      <c r="R639" s="1">
        <v>-5.569439945341266E-2</v>
      </c>
    </row>
    <row r="640" spans="1:18" x14ac:dyDescent="0.35">
      <c r="A640" s="8">
        <v>97</v>
      </c>
      <c r="B640" s="8">
        <f t="shared" si="18"/>
        <v>1.9867717342662448</v>
      </c>
      <c r="C640" s="8">
        <v>7</v>
      </c>
      <c r="D640" s="8">
        <v>76</v>
      </c>
      <c r="E640" s="8">
        <v>32</v>
      </c>
      <c r="F640" s="8">
        <v>91</v>
      </c>
      <c r="G640" s="8">
        <v>40.9</v>
      </c>
      <c r="H640" s="8">
        <v>0.871</v>
      </c>
      <c r="I640" s="8">
        <v>32</v>
      </c>
      <c r="J640" s="1">
        <v>2.0789862175159914</v>
      </c>
      <c r="K640" s="1">
        <v>-9.2214483249746682E-2</v>
      </c>
      <c r="L640">
        <f t="shared" si="19"/>
        <v>8.5035109210178112E-3</v>
      </c>
      <c r="P640" s="1">
        <v>602</v>
      </c>
      <c r="Q640" s="1">
        <v>3.1925730348124987E-2</v>
      </c>
      <c r="R640" s="1">
        <v>-3.1670712175190116E-2</v>
      </c>
    </row>
    <row r="641" spans="1:18" x14ac:dyDescent="0.35">
      <c r="A641" s="8">
        <v>100</v>
      </c>
      <c r="B641" s="8">
        <f t="shared" si="18"/>
        <v>2</v>
      </c>
      <c r="C641" s="8">
        <v>1</v>
      </c>
      <c r="D641" s="8">
        <v>74</v>
      </c>
      <c r="E641" s="8">
        <v>12</v>
      </c>
      <c r="F641" s="8">
        <v>46</v>
      </c>
      <c r="G641" s="8">
        <v>19.5</v>
      </c>
      <c r="H641" s="8">
        <v>0.14899999999999999</v>
      </c>
      <c r="I641" s="8">
        <v>28</v>
      </c>
      <c r="J641" s="1">
        <v>2.0030881766389994</v>
      </c>
      <c r="K641" s="1">
        <v>-3.088176638999407E-3</v>
      </c>
      <c r="L641">
        <f t="shared" si="19"/>
        <v>9.5368349536616741E-6</v>
      </c>
      <c r="P641" s="1">
        <v>603</v>
      </c>
      <c r="Q641" s="1">
        <v>9.5891430225334987E-2</v>
      </c>
      <c r="R641" s="1">
        <v>-7.8402078216709831E-2</v>
      </c>
    </row>
    <row r="642" spans="1:18" x14ac:dyDescent="0.35">
      <c r="A642" s="8">
        <v>102</v>
      </c>
      <c r="B642" s="8">
        <f t="shared" si="18"/>
        <v>2.0086001717619175</v>
      </c>
      <c r="C642" s="8">
        <v>0</v>
      </c>
      <c r="D642" s="8">
        <v>86</v>
      </c>
      <c r="E642" s="8">
        <v>17</v>
      </c>
      <c r="F642" s="8">
        <v>105</v>
      </c>
      <c r="G642" s="8">
        <v>29.3</v>
      </c>
      <c r="H642" s="8">
        <v>0.69499999999999995</v>
      </c>
      <c r="I642" s="8">
        <v>27</v>
      </c>
      <c r="J642" s="1">
        <v>2.0630932018041399</v>
      </c>
      <c r="K642" s="1">
        <v>-5.449303004222239E-2</v>
      </c>
      <c r="L642">
        <f t="shared" si="19"/>
        <v>2.9694903231825519E-3</v>
      </c>
      <c r="P642" s="1">
        <v>604</v>
      </c>
      <c r="Q642" s="1">
        <v>2.5162424956077317E-2</v>
      </c>
      <c r="R642" s="1">
        <v>-2.3221521723950596E-2</v>
      </c>
    </row>
    <row r="643" spans="1:18" x14ac:dyDescent="0.35">
      <c r="A643" s="8">
        <v>128</v>
      </c>
      <c r="B643" s="8">
        <f t="shared" ref="B643:B706" si="20">LOG(A643)</f>
        <v>2.1072099696478683</v>
      </c>
      <c r="C643" s="8">
        <v>4</v>
      </c>
      <c r="D643" s="8">
        <v>70</v>
      </c>
      <c r="E643" s="8">
        <v>0</v>
      </c>
      <c r="F643" s="8">
        <v>0</v>
      </c>
      <c r="G643" s="8">
        <v>34.299999999999997</v>
      </c>
      <c r="H643" s="8">
        <v>0.30299999999999999</v>
      </c>
      <c r="I643" s="8">
        <v>24</v>
      </c>
      <c r="J643" s="1">
        <v>2.042445242854122</v>
      </c>
      <c r="K643" s="1">
        <v>6.4764726793746341E-2</v>
      </c>
      <c r="L643">
        <f t="shared" ref="L643:L706" si="21">K643*K643</f>
        <v>4.1944698366686052E-3</v>
      </c>
      <c r="P643" s="1">
        <v>605</v>
      </c>
      <c r="Q643" s="1">
        <v>3.3801380484026269E-2</v>
      </c>
      <c r="R643" s="1">
        <v>2.0992133397116627E-2</v>
      </c>
    </row>
    <row r="644" spans="1:18" x14ac:dyDescent="0.35">
      <c r="A644" s="8">
        <v>147</v>
      </c>
      <c r="B644" s="8">
        <f t="shared" si="20"/>
        <v>2.167317334748176</v>
      </c>
      <c r="C644" s="8">
        <v>6</v>
      </c>
      <c r="D644" s="8">
        <v>80</v>
      </c>
      <c r="E644" s="8">
        <v>0</v>
      </c>
      <c r="F644" s="8">
        <v>0</v>
      </c>
      <c r="G644" s="8">
        <v>29.5</v>
      </c>
      <c r="H644" s="8">
        <v>0.17799999999999999</v>
      </c>
      <c r="I644" s="8">
        <v>50</v>
      </c>
      <c r="J644" s="1">
        <v>2.0916334281509563</v>
      </c>
      <c r="K644" s="1">
        <v>7.5683906597219686E-2</v>
      </c>
      <c r="L644">
        <f t="shared" si="21"/>
        <v>5.7280537178166736E-3</v>
      </c>
      <c r="P644" s="1">
        <v>606</v>
      </c>
      <c r="Q644" s="1">
        <v>8.5427126951606175E-2</v>
      </c>
      <c r="R644" s="1">
        <v>-7.1854378452279183E-2</v>
      </c>
    </row>
    <row r="645" spans="1:18" x14ac:dyDescent="0.35">
      <c r="A645" s="8">
        <v>90</v>
      </c>
      <c r="B645" s="8">
        <f t="shared" si="20"/>
        <v>1.954242509439325</v>
      </c>
      <c r="C645" s="8">
        <v>4</v>
      </c>
      <c r="D645" s="8">
        <v>0</v>
      </c>
      <c r="E645" s="8">
        <v>0</v>
      </c>
      <c r="F645" s="8">
        <v>0</v>
      </c>
      <c r="G645" s="8">
        <v>28</v>
      </c>
      <c r="H645" s="8">
        <v>0.61</v>
      </c>
      <c r="I645" s="8">
        <v>31</v>
      </c>
      <c r="J645" s="1">
        <v>2.0270222998295737</v>
      </c>
      <c r="K645" s="1">
        <v>-7.2779790390248733E-2</v>
      </c>
      <c r="L645">
        <f t="shared" si="21"/>
        <v>5.2968978892485421E-3</v>
      </c>
      <c r="P645" s="1">
        <v>607</v>
      </c>
      <c r="Q645" s="1">
        <v>1.0035683802726179E-2</v>
      </c>
      <c r="R645" s="1">
        <v>5.8926930881852742E-3</v>
      </c>
    </row>
    <row r="646" spans="1:18" x14ac:dyDescent="0.35">
      <c r="A646" s="8">
        <v>103</v>
      </c>
      <c r="B646" s="8">
        <f t="shared" si="20"/>
        <v>2.012837224705172</v>
      </c>
      <c r="C646" s="8">
        <v>3</v>
      </c>
      <c r="D646" s="8">
        <v>72</v>
      </c>
      <c r="E646" s="8">
        <v>30</v>
      </c>
      <c r="F646" s="8">
        <v>152</v>
      </c>
      <c r="G646" s="8">
        <v>27.6</v>
      </c>
      <c r="H646" s="8">
        <v>0.73</v>
      </c>
      <c r="I646" s="8">
        <v>27</v>
      </c>
      <c r="J646" s="1">
        <v>2.0536211954718495</v>
      </c>
      <c r="K646" s="1">
        <v>-4.0783970766677502E-2</v>
      </c>
      <c r="L646">
        <f t="shared" si="21"/>
        <v>1.6633322714972051E-3</v>
      </c>
      <c r="P646" s="1">
        <v>608</v>
      </c>
      <c r="Q646" s="1">
        <v>5.963539186515341E-2</v>
      </c>
      <c r="R646" s="1">
        <v>-5.9531619037262062E-2</v>
      </c>
    </row>
    <row r="647" spans="1:18" x14ac:dyDescent="0.35">
      <c r="A647" s="8">
        <v>157</v>
      </c>
      <c r="B647" s="8">
        <f t="shared" si="20"/>
        <v>2.1958996524092336</v>
      </c>
      <c r="C647" s="8">
        <v>2</v>
      </c>
      <c r="D647" s="8">
        <v>74</v>
      </c>
      <c r="E647" s="8">
        <v>35</v>
      </c>
      <c r="F647" s="8">
        <v>440</v>
      </c>
      <c r="G647" s="8">
        <v>39.4</v>
      </c>
      <c r="H647" s="8">
        <v>0.13400000000000001</v>
      </c>
      <c r="I647" s="8">
        <v>30</v>
      </c>
      <c r="J647" s="1">
        <v>2.196341623658228</v>
      </c>
      <c r="K647" s="1">
        <v>-4.4197124899447715E-4</v>
      </c>
      <c r="L647">
        <f t="shared" si="21"/>
        <v>1.9533858493773813E-7</v>
      </c>
      <c r="P647" s="1">
        <v>609</v>
      </c>
      <c r="Q647" s="1">
        <v>2.8616761336724875E-2</v>
      </c>
      <c r="R647" s="1">
        <v>-2.4233417825505074E-2</v>
      </c>
    </row>
    <row r="648" spans="1:18" x14ac:dyDescent="0.35">
      <c r="A648" s="8">
        <v>167</v>
      </c>
      <c r="B648" s="8">
        <f t="shared" si="20"/>
        <v>2.2227164711475833</v>
      </c>
      <c r="C648" s="8">
        <v>1</v>
      </c>
      <c r="D648" s="8">
        <v>74</v>
      </c>
      <c r="E648" s="8">
        <v>17</v>
      </c>
      <c r="F648" s="8">
        <v>144</v>
      </c>
      <c r="G648" s="8">
        <v>23.4</v>
      </c>
      <c r="H648" s="8">
        <v>0.44700000000000001</v>
      </c>
      <c r="I648" s="8">
        <v>33</v>
      </c>
      <c r="J648" s="1">
        <v>2.0685922880444618</v>
      </c>
      <c r="K648" s="1">
        <v>0.15412418310312148</v>
      </c>
      <c r="L648">
        <f t="shared" si="21"/>
        <v>2.3754263817204517E-2</v>
      </c>
      <c r="P648" s="1">
        <v>610</v>
      </c>
      <c r="Q648" s="1">
        <v>7.3863375690653484E-3</v>
      </c>
      <c r="R648" s="1">
        <v>-7.1954067598139076E-3</v>
      </c>
    </row>
    <row r="649" spans="1:18" x14ac:dyDescent="0.35">
      <c r="A649" s="8">
        <v>179</v>
      </c>
      <c r="B649" s="8">
        <f t="shared" si="20"/>
        <v>2.2528530309798933</v>
      </c>
      <c r="C649" s="8">
        <v>0</v>
      </c>
      <c r="D649" s="8">
        <v>50</v>
      </c>
      <c r="E649" s="8">
        <v>36</v>
      </c>
      <c r="F649" s="8">
        <v>159</v>
      </c>
      <c r="G649" s="8">
        <v>37.799999999999997</v>
      </c>
      <c r="H649" s="8">
        <v>0.45500000000000002</v>
      </c>
      <c r="I649" s="8">
        <v>22</v>
      </c>
      <c r="J649" s="1">
        <v>2.0430855721250292</v>
      </c>
      <c r="K649" s="1">
        <v>0.20976745885486414</v>
      </c>
      <c r="L649">
        <f t="shared" si="21"/>
        <v>4.4002386794427119E-2</v>
      </c>
      <c r="P649" s="1">
        <v>611</v>
      </c>
      <c r="Q649" s="1">
        <v>2.4341327960243644E-2</v>
      </c>
      <c r="R649" s="1">
        <v>-2.3314791162938452E-2</v>
      </c>
    </row>
    <row r="650" spans="1:18" x14ac:dyDescent="0.35">
      <c r="A650" s="8">
        <v>136</v>
      </c>
      <c r="B650" s="8">
        <f t="shared" si="20"/>
        <v>2.1335389083702174</v>
      </c>
      <c r="C650" s="8">
        <v>11</v>
      </c>
      <c r="D650" s="8">
        <v>84</v>
      </c>
      <c r="E650" s="8">
        <v>35</v>
      </c>
      <c r="F650" s="8">
        <v>130</v>
      </c>
      <c r="G650" s="8">
        <v>28.3</v>
      </c>
      <c r="H650" s="8">
        <v>0.26</v>
      </c>
      <c r="I650" s="8">
        <v>42</v>
      </c>
      <c r="J650" s="1">
        <v>2.0688977069991865</v>
      </c>
      <c r="K650" s="1">
        <v>6.464120137103091E-2</v>
      </c>
      <c r="L650">
        <f t="shared" si="21"/>
        <v>4.1784849146901688E-3</v>
      </c>
      <c r="P650" s="1">
        <v>612</v>
      </c>
      <c r="Q650" s="1">
        <v>8.60030784010553E-3</v>
      </c>
      <c r="R650" s="1">
        <v>7.144477175633079E-3</v>
      </c>
    </row>
    <row r="651" spans="1:18" x14ac:dyDescent="0.35">
      <c r="A651" s="8">
        <v>107</v>
      </c>
      <c r="B651" s="8">
        <f t="shared" si="20"/>
        <v>2.0293837776852097</v>
      </c>
      <c r="C651" s="8">
        <v>0</v>
      </c>
      <c r="D651" s="8">
        <v>60</v>
      </c>
      <c r="E651" s="8">
        <v>25</v>
      </c>
      <c r="F651" s="8">
        <v>0</v>
      </c>
      <c r="G651" s="8">
        <v>26.4</v>
      </c>
      <c r="H651" s="8">
        <v>0.13300000000000001</v>
      </c>
      <c r="I651" s="8">
        <v>23</v>
      </c>
      <c r="J651" s="1">
        <v>1.9578468788041687</v>
      </c>
      <c r="K651" s="1">
        <v>7.1536898881040978E-2</v>
      </c>
      <c r="L651">
        <f t="shared" si="21"/>
        <v>5.117527901516282E-3</v>
      </c>
      <c r="P651" s="1">
        <v>613</v>
      </c>
      <c r="Q651" s="1">
        <v>-2.9969537328928438E-3</v>
      </c>
      <c r="R651" s="1">
        <v>5.3500642792154839E-3</v>
      </c>
    </row>
    <row r="652" spans="1:18" x14ac:dyDescent="0.35">
      <c r="A652" s="8">
        <v>91</v>
      </c>
      <c r="B652" s="8">
        <f t="shared" si="20"/>
        <v>1.9590413923210936</v>
      </c>
      <c r="C652" s="8">
        <v>1</v>
      </c>
      <c r="D652" s="8">
        <v>54</v>
      </c>
      <c r="E652" s="8">
        <v>25</v>
      </c>
      <c r="F652" s="8">
        <v>100</v>
      </c>
      <c r="G652" s="8">
        <v>25.2</v>
      </c>
      <c r="H652" s="8">
        <v>0.23400000000000001</v>
      </c>
      <c r="I652" s="8">
        <v>23</v>
      </c>
      <c r="J652" s="1">
        <v>2.0018248428734431</v>
      </c>
      <c r="K652" s="1">
        <v>-4.2783450552349445E-2</v>
      </c>
      <c r="L652">
        <f t="shared" si="21"/>
        <v>1.8304236411653299E-3</v>
      </c>
      <c r="P652" s="1">
        <v>614</v>
      </c>
      <c r="Q652" s="1">
        <v>5.8805676752177891E-2</v>
      </c>
      <c r="R652" s="1">
        <v>-5.8663385634179194E-2</v>
      </c>
    </row>
    <row r="653" spans="1:18" x14ac:dyDescent="0.35">
      <c r="A653" s="8">
        <v>117</v>
      </c>
      <c r="B653" s="8">
        <f t="shared" si="20"/>
        <v>2.0681858617461617</v>
      </c>
      <c r="C653" s="8">
        <v>1</v>
      </c>
      <c r="D653" s="8">
        <v>60</v>
      </c>
      <c r="E653" s="8">
        <v>23</v>
      </c>
      <c r="F653" s="8">
        <v>106</v>
      </c>
      <c r="G653" s="8">
        <v>33.799999999999997</v>
      </c>
      <c r="H653" s="8">
        <v>0.46600000000000003</v>
      </c>
      <c r="I653" s="8">
        <v>27</v>
      </c>
      <c r="J653" s="1">
        <v>2.0497787976264688</v>
      </c>
      <c r="K653" s="1">
        <v>1.8407064119692951E-2</v>
      </c>
      <c r="L653">
        <f t="shared" si="21"/>
        <v>3.3882000950648765E-4</v>
      </c>
      <c r="P653" s="1">
        <v>615</v>
      </c>
      <c r="Q653" s="1">
        <v>1.2452945531043645E-2</v>
      </c>
      <c r="R653" s="1">
        <v>-1.2448628219341373E-2</v>
      </c>
    </row>
    <row r="654" spans="1:18" x14ac:dyDescent="0.35">
      <c r="A654" s="8">
        <v>123</v>
      </c>
      <c r="B654" s="8">
        <f t="shared" si="20"/>
        <v>2.0899051114393981</v>
      </c>
      <c r="C654" s="8">
        <v>5</v>
      </c>
      <c r="D654" s="8">
        <v>74</v>
      </c>
      <c r="E654" s="8">
        <v>40</v>
      </c>
      <c r="F654" s="8">
        <v>77</v>
      </c>
      <c r="G654" s="8">
        <v>34.1</v>
      </c>
      <c r="H654" s="8">
        <v>0.26900000000000002</v>
      </c>
      <c r="I654" s="8">
        <v>28</v>
      </c>
      <c r="J654" s="1">
        <v>2.0094302942102633</v>
      </c>
      <c r="K654" s="1">
        <v>8.0474817229134743E-2</v>
      </c>
      <c r="L654">
        <f t="shared" si="21"/>
        <v>6.4761962080626418E-3</v>
      </c>
      <c r="P654" s="1">
        <v>616</v>
      </c>
      <c r="Q654" s="1">
        <v>2.4704722950612972E-2</v>
      </c>
      <c r="R654" s="1">
        <v>-2.4700726096669838E-2</v>
      </c>
    </row>
    <row r="655" spans="1:18" x14ac:dyDescent="0.35">
      <c r="A655" s="8">
        <v>120</v>
      </c>
      <c r="B655" s="8">
        <f t="shared" si="20"/>
        <v>2.0791812460476247</v>
      </c>
      <c r="C655" s="8">
        <v>2</v>
      </c>
      <c r="D655" s="8">
        <v>54</v>
      </c>
      <c r="E655" s="8">
        <v>0</v>
      </c>
      <c r="F655" s="8">
        <v>0</v>
      </c>
      <c r="G655" s="8">
        <v>26.8</v>
      </c>
      <c r="H655" s="8">
        <v>0.45500000000000002</v>
      </c>
      <c r="I655" s="8">
        <v>27</v>
      </c>
      <c r="J655" s="1">
        <v>2.026151019372274</v>
      </c>
      <c r="K655" s="1">
        <v>5.3030226675350622E-2</v>
      </c>
      <c r="L655">
        <f t="shared" si="21"/>
        <v>2.8122049412390689E-3</v>
      </c>
      <c r="P655" s="1">
        <v>617</v>
      </c>
      <c r="Q655" s="1">
        <v>1.6639501758797477E-2</v>
      </c>
      <c r="R655" s="1">
        <v>-1.6216549127263797E-2</v>
      </c>
    </row>
    <row r="656" spans="1:18" x14ac:dyDescent="0.35">
      <c r="A656" s="8">
        <v>106</v>
      </c>
      <c r="B656" s="8">
        <f t="shared" si="20"/>
        <v>2.0253058652647704</v>
      </c>
      <c r="C656" s="8">
        <v>1</v>
      </c>
      <c r="D656" s="8">
        <v>70</v>
      </c>
      <c r="E656" s="8">
        <v>28</v>
      </c>
      <c r="F656" s="8">
        <v>135</v>
      </c>
      <c r="G656" s="8">
        <v>34.200000000000003</v>
      </c>
      <c r="H656" s="8">
        <v>0.14199999999999999</v>
      </c>
      <c r="I656" s="8">
        <v>22</v>
      </c>
      <c r="J656" s="1">
        <v>2.0367016883360041</v>
      </c>
      <c r="K656" s="1">
        <v>-1.1395823071233657E-2</v>
      </c>
      <c r="L656">
        <f t="shared" si="21"/>
        <v>1.2986478347086131E-4</v>
      </c>
      <c r="P656" s="1">
        <v>618</v>
      </c>
      <c r="Q656" s="1">
        <v>4.726658736058411E-2</v>
      </c>
      <c r="R656" s="1">
        <v>-2.6366569499015405E-2</v>
      </c>
    </row>
    <row r="657" spans="1:18" x14ac:dyDescent="0.35">
      <c r="A657" s="8">
        <v>155</v>
      </c>
      <c r="B657" s="8">
        <f t="shared" si="20"/>
        <v>2.1903316981702914</v>
      </c>
      <c r="C657" s="8">
        <v>2</v>
      </c>
      <c r="D657" s="8">
        <v>52</v>
      </c>
      <c r="E657" s="8">
        <v>27</v>
      </c>
      <c r="F657" s="8">
        <v>540</v>
      </c>
      <c r="G657" s="8">
        <v>38.700000000000003</v>
      </c>
      <c r="H657" s="8">
        <v>0.24</v>
      </c>
      <c r="I657" s="8">
        <v>25</v>
      </c>
      <c r="J657" s="1">
        <v>2.2394893279124157</v>
      </c>
      <c r="K657" s="1">
        <v>-4.9157629742124342E-2</v>
      </c>
      <c r="L657">
        <f t="shared" si="21"/>
        <v>2.4164725618637879E-3</v>
      </c>
      <c r="P657" s="1">
        <v>619</v>
      </c>
      <c r="Q657" s="1">
        <v>3.4321436906177172E-2</v>
      </c>
      <c r="R657" s="1">
        <v>-3.3584421905328878E-2</v>
      </c>
    </row>
    <row r="658" spans="1:18" x14ac:dyDescent="0.35">
      <c r="A658" s="8">
        <v>101</v>
      </c>
      <c r="B658" s="8">
        <f t="shared" si="20"/>
        <v>2.0043213737826426</v>
      </c>
      <c r="C658" s="8">
        <v>2</v>
      </c>
      <c r="D658" s="8">
        <v>58</v>
      </c>
      <c r="E658" s="8">
        <v>35</v>
      </c>
      <c r="F658" s="8">
        <v>90</v>
      </c>
      <c r="G658" s="8">
        <v>21.8</v>
      </c>
      <c r="H658" s="8">
        <v>0.155</v>
      </c>
      <c r="I658" s="8">
        <v>22</v>
      </c>
      <c r="J658" s="1">
        <v>1.9662294310760713</v>
      </c>
      <c r="K658" s="1">
        <v>3.8091942706571347E-2</v>
      </c>
      <c r="L658">
        <f t="shared" si="21"/>
        <v>1.4509960991607141E-3</v>
      </c>
      <c r="P658" s="1">
        <v>620</v>
      </c>
      <c r="Q658" s="1">
        <v>4.3884311115612445E-2</v>
      </c>
      <c r="R658" s="1">
        <v>-3.8970679614685699E-2</v>
      </c>
    </row>
    <row r="659" spans="1:18" x14ac:dyDescent="0.35">
      <c r="A659" s="8">
        <v>120</v>
      </c>
      <c r="B659" s="8">
        <f t="shared" si="20"/>
        <v>2.0791812460476247</v>
      </c>
      <c r="C659" s="8">
        <v>1</v>
      </c>
      <c r="D659" s="8">
        <v>80</v>
      </c>
      <c r="E659" s="8">
        <v>48</v>
      </c>
      <c r="F659" s="8">
        <v>200</v>
      </c>
      <c r="G659" s="8">
        <v>38.9</v>
      </c>
      <c r="H659" s="8">
        <v>1.1619999999999999</v>
      </c>
      <c r="I659" s="8">
        <v>41</v>
      </c>
      <c r="J659" s="1">
        <v>2.1167262673130538</v>
      </c>
      <c r="K659" s="1">
        <v>-3.7545021265429135E-2</v>
      </c>
      <c r="L659">
        <f t="shared" si="21"/>
        <v>1.4096286218215259E-3</v>
      </c>
      <c r="P659" s="1">
        <v>621</v>
      </c>
      <c r="Q659" s="1">
        <v>5.9854762785171017E-2</v>
      </c>
      <c r="R659" s="1">
        <v>-5.9816655732192477E-2</v>
      </c>
    </row>
    <row r="660" spans="1:18" x14ac:dyDescent="0.35">
      <c r="A660" s="8">
        <v>127</v>
      </c>
      <c r="B660" s="8">
        <f t="shared" si="20"/>
        <v>2.1038037209559568</v>
      </c>
      <c r="C660" s="8">
        <v>11</v>
      </c>
      <c r="D660" s="8">
        <v>106</v>
      </c>
      <c r="E660" s="8">
        <v>0</v>
      </c>
      <c r="F660" s="8">
        <v>0</v>
      </c>
      <c r="G660" s="8">
        <v>39</v>
      </c>
      <c r="H660" s="8">
        <v>0.19</v>
      </c>
      <c r="I660" s="8">
        <v>51</v>
      </c>
      <c r="J660" s="1">
        <v>2.1335680093187031</v>
      </c>
      <c r="K660" s="1">
        <v>-2.976428836274625E-2</v>
      </c>
      <c r="L660">
        <f t="shared" si="21"/>
        <v>8.8591286174071187E-4</v>
      </c>
      <c r="P660" s="1">
        <v>622</v>
      </c>
      <c r="Q660" s="1">
        <v>3.4605909924580611E-2</v>
      </c>
      <c r="R660" s="1">
        <v>-3.0823405561102937E-2</v>
      </c>
    </row>
    <row r="661" spans="1:18" x14ac:dyDescent="0.35">
      <c r="A661" s="8">
        <v>80</v>
      </c>
      <c r="B661" s="8">
        <f t="shared" si="20"/>
        <v>1.9030899869919435</v>
      </c>
      <c r="C661" s="8">
        <v>3</v>
      </c>
      <c r="D661" s="8">
        <v>82</v>
      </c>
      <c r="E661" s="8">
        <v>31</v>
      </c>
      <c r="F661" s="8">
        <v>70</v>
      </c>
      <c r="G661" s="8">
        <v>34.200000000000003</v>
      </c>
      <c r="H661" s="8">
        <v>1.292</v>
      </c>
      <c r="I661" s="8">
        <v>27</v>
      </c>
      <c r="J661" s="1">
        <v>2.0517906455471908</v>
      </c>
      <c r="K661" s="1">
        <v>-0.14870065855524728</v>
      </c>
      <c r="L661">
        <f t="shared" si="21"/>
        <v>2.2111885854764236E-2</v>
      </c>
      <c r="P661" s="1">
        <v>623</v>
      </c>
      <c r="Q661" s="1">
        <v>-8.6213519083277387E-3</v>
      </c>
      <c r="R661" s="1">
        <v>2.0805397756780843E-2</v>
      </c>
    </row>
    <row r="662" spans="1:18" x14ac:dyDescent="0.35">
      <c r="A662" s="8">
        <v>162</v>
      </c>
      <c r="B662" s="8">
        <f t="shared" si="20"/>
        <v>2.2095150145426308</v>
      </c>
      <c r="C662" s="8">
        <v>10</v>
      </c>
      <c r="D662" s="8">
        <v>84</v>
      </c>
      <c r="E662" s="8">
        <v>0</v>
      </c>
      <c r="F662" s="8">
        <v>0</v>
      </c>
      <c r="G662" s="8">
        <v>27.7</v>
      </c>
      <c r="H662" s="8">
        <v>0.182</v>
      </c>
      <c r="I662" s="8">
        <v>54</v>
      </c>
      <c r="J662" s="1">
        <v>2.1013186404782678</v>
      </c>
      <c r="K662" s="1">
        <v>0.108196374064363</v>
      </c>
      <c r="L662">
        <f t="shared" si="21"/>
        <v>1.1706455360675562E-2</v>
      </c>
      <c r="P662" s="1">
        <v>624</v>
      </c>
      <c r="Q662" s="1">
        <v>4.9600285788514699E-2</v>
      </c>
      <c r="R662" s="1">
        <v>-4.2494134846877266E-2</v>
      </c>
    </row>
    <row r="663" spans="1:18" x14ac:dyDescent="0.35">
      <c r="A663" s="8">
        <v>199</v>
      </c>
      <c r="B663" s="8">
        <f t="shared" si="20"/>
        <v>2.2988530764097068</v>
      </c>
      <c r="C663" s="8">
        <v>1</v>
      </c>
      <c r="D663" s="8">
        <v>76</v>
      </c>
      <c r="E663" s="8">
        <v>43</v>
      </c>
      <c r="F663" s="8">
        <v>0</v>
      </c>
      <c r="G663" s="8">
        <v>42.9</v>
      </c>
      <c r="H663" s="8">
        <v>1.3939999999999999</v>
      </c>
      <c r="I663" s="8">
        <v>22</v>
      </c>
      <c r="J663" s="1">
        <v>2.0075919282336772</v>
      </c>
      <c r="K663" s="1">
        <v>0.29126114817602966</v>
      </c>
      <c r="L663">
        <f t="shared" si="21"/>
        <v>8.4833056436819113E-2</v>
      </c>
      <c r="P663" s="1">
        <v>625</v>
      </c>
      <c r="Q663" s="1">
        <v>3.0042175929098424E-2</v>
      </c>
      <c r="R663" s="1">
        <v>-2.9800891287841098E-2</v>
      </c>
    </row>
    <row r="664" spans="1:18" x14ac:dyDescent="0.35">
      <c r="A664" s="8">
        <v>167</v>
      </c>
      <c r="B664" s="8">
        <f t="shared" si="20"/>
        <v>2.2227164711475833</v>
      </c>
      <c r="C664" s="8">
        <v>8</v>
      </c>
      <c r="D664" s="8">
        <v>106</v>
      </c>
      <c r="E664" s="8">
        <v>46</v>
      </c>
      <c r="F664" s="8">
        <v>231</v>
      </c>
      <c r="G664" s="8">
        <v>37.6</v>
      </c>
      <c r="H664" s="8">
        <v>0.16500000000000001</v>
      </c>
      <c r="I664" s="8">
        <v>43</v>
      </c>
      <c r="J664" s="1">
        <v>2.1226639669465208</v>
      </c>
      <c r="K664" s="1">
        <v>0.10005250420106249</v>
      </c>
      <c r="L664">
        <f t="shared" si="21"/>
        <v>1.0010503596903626E-2</v>
      </c>
      <c r="P664" s="1">
        <v>626</v>
      </c>
      <c r="Q664" s="1">
        <v>9.1179374593033241E-2</v>
      </c>
      <c r="R664" s="1">
        <v>-8.8721039883329855E-2</v>
      </c>
    </row>
    <row r="665" spans="1:18" x14ac:dyDescent="0.35">
      <c r="A665" s="8">
        <v>145</v>
      </c>
      <c r="B665" s="8">
        <f t="shared" si="20"/>
        <v>2.1613680022349748</v>
      </c>
      <c r="C665" s="8">
        <v>9</v>
      </c>
      <c r="D665" s="8">
        <v>80</v>
      </c>
      <c r="E665" s="8">
        <v>46</v>
      </c>
      <c r="F665" s="8">
        <v>130</v>
      </c>
      <c r="G665" s="8">
        <v>37.9</v>
      </c>
      <c r="H665" s="8">
        <v>0.63700000000000001</v>
      </c>
      <c r="I665" s="8">
        <v>40</v>
      </c>
      <c r="J665" s="1">
        <v>2.0764002115094393</v>
      </c>
      <c r="K665" s="1">
        <v>8.4967790725535508E-2</v>
      </c>
      <c r="L665">
        <f t="shared" si="21"/>
        <v>7.2195254607783982E-3</v>
      </c>
      <c r="P665" s="1">
        <v>627</v>
      </c>
      <c r="Q665" s="1">
        <v>3.105642332444496E-2</v>
      </c>
      <c r="R665" s="1">
        <v>-2.207141634130249E-2</v>
      </c>
    </row>
    <row r="666" spans="1:18" x14ac:dyDescent="0.35">
      <c r="A666" s="8">
        <v>115</v>
      </c>
      <c r="B666" s="8">
        <f t="shared" si="20"/>
        <v>2.0606978403536118</v>
      </c>
      <c r="C666" s="8">
        <v>6</v>
      </c>
      <c r="D666" s="8">
        <v>60</v>
      </c>
      <c r="E666" s="8">
        <v>39</v>
      </c>
      <c r="F666" s="8">
        <v>0</v>
      </c>
      <c r="G666" s="8">
        <v>33.700000000000003</v>
      </c>
      <c r="H666" s="8">
        <v>0.245</v>
      </c>
      <c r="I666" s="8">
        <v>40</v>
      </c>
      <c r="J666" s="1">
        <v>1.9988736842208243</v>
      </c>
      <c r="K666" s="1">
        <v>6.1824156132787467E-2</v>
      </c>
      <c r="L666">
        <f t="shared" si="21"/>
        <v>3.822226281531282E-3</v>
      </c>
      <c r="P666" s="1">
        <v>628</v>
      </c>
      <c r="Q666" s="1">
        <v>2.666096981068896E-2</v>
      </c>
      <c r="R666" s="1">
        <v>-1.8768459752617119E-2</v>
      </c>
    </row>
    <row r="667" spans="1:18" x14ac:dyDescent="0.35">
      <c r="A667" s="8">
        <v>112</v>
      </c>
      <c r="B667" s="8">
        <f t="shared" si="20"/>
        <v>2.0492180226701815</v>
      </c>
      <c r="C667" s="8">
        <v>1</v>
      </c>
      <c r="D667" s="8">
        <v>80</v>
      </c>
      <c r="E667" s="8">
        <v>45</v>
      </c>
      <c r="F667" s="8">
        <v>132</v>
      </c>
      <c r="G667" s="8">
        <v>34.799999999999997</v>
      </c>
      <c r="H667" s="8">
        <v>0.217</v>
      </c>
      <c r="I667" s="8">
        <v>24</v>
      </c>
      <c r="J667" s="1">
        <v>2.0139379172847418</v>
      </c>
      <c r="K667" s="1">
        <v>3.5280105385439686E-2</v>
      </c>
      <c r="L667">
        <f t="shared" si="21"/>
        <v>1.2446858360077304E-3</v>
      </c>
      <c r="P667" s="1">
        <v>629</v>
      </c>
      <c r="Q667" s="1">
        <v>1.9191841994038606E-2</v>
      </c>
      <c r="R667" s="1">
        <v>-1.8958073362665979E-2</v>
      </c>
    </row>
    <row r="668" spans="1:18" x14ac:dyDescent="0.35">
      <c r="A668" s="8">
        <v>145</v>
      </c>
      <c r="B668" s="8">
        <f t="shared" si="20"/>
        <v>2.1613680022349748</v>
      </c>
      <c r="C668" s="8">
        <v>4</v>
      </c>
      <c r="D668" s="8">
        <v>82</v>
      </c>
      <c r="E668" s="8">
        <v>18</v>
      </c>
      <c r="F668" s="8">
        <v>0</v>
      </c>
      <c r="G668" s="8">
        <v>32.5</v>
      </c>
      <c r="H668" s="8">
        <v>0.23499999999999999</v>
      </c>
      <c r="I668" s="8">
        <v>70</v>
      </c>
      <c r="J668" s="1">
        <v>2.1116361289582564</v>
      </c>
      <c r="K668" s="1">
        <v>4.9731873276718463E-2</v>
      </c>
      <c r="L668">
        <f t="shared" si="21"/>
        <v>2.4732592196115839E-3</v>
      </c>
      <c r="P668" s="1">
        <v>630</v>
      </c>
      <c r="Q668" s="1">
        <v>6.7031224103733703E-2</v>
      </c>
      <c r="R668" s="1">
        <v>-6.6867486708537052E-2</v>
      </c>
    </row>
    <row r="669" spans="1:18" x14ac:dyDescent="0.35">
      <c r="A669" s="8">
        <v>111</v>
      </c>
      <c r="B669" s="8">
        <f t="shared" si="20"/>
        <v>2.0453229787866576</v>
      </c>
      <c r="C669" s="8">
        <v>10</v>
      </c>
      <c r="D669" s="8">
        <v>70</v>
      </c>
      <c r="E669" s="8">
        <v>27</v>
      </c>
      <c r="F669" s="8">
        <v>0</v>
      </c>
      <c r="G669" s="8">
        <v>27.5</v>
      </c>
      <c r="H669" s="8">
        <v>0.14099999999999999</v>
      </c>
      <c r="I669" s="8">
        <v>40</v>
      </c>
      <c r="J669" s="1">
        <v>2.0096209378653915</v>
      </c>
      <c r="K669" s="1">
        <v>3.5702040921266054E-2</v>
      </c>
      <c r="L669">
        <f t="shared" si="21"/>
        <v>1.2746357259437559E-3</v>
      </c>
      <c r="P669" s="1">
        <v>631</v>
      </c>
      <c r="Q669" s="1">
        <v>8.9081147189890748E-3</v>
      </c>
      <c r="R669" s="1">
        <v>-8.8978326535069027E-3</v>
      </c>
    </row>
    <row r="670" spans="1:18" x14ac:dyDescent="0.35">
      <c r="A670" s="8">
        <v>98</v>
      </c>
      <c r="B670" s="8">
        <f t="shared" si="20"/>
        <v>1.9912260756924949</v>
      </c>
      <c r="C670" s="8">
        <v>6</v>
      </c>
      <c r="D670" s="8">
        <v>58</v>
      </c>
      <c r="E670" s="8">
        <v>33</v>
      </c>
      <c r="F670" s="8">
        <v>190</v>
      </c>
      <c r="G670" s="8">
        <v>34</v>
      </c>
      <c r="H670" s="8">
        <v>0.43</v>
      </c>
      <c r="I670" s="8">
        <v>43</v>
      </c>
      <c r="J670" s="1">
        <v>2.1092745971608129</v>
      </c>
      <c r="K670" s="1">
        <v>-0.11804852146831801</v>
      </c>
      <c r="L670">
        <f t="shared" si="21"/>
        <v>1.3935453420855939E-2</v>
      </c>
      <c r="P670" s="1">
        <v>632</v>
      </c>
      <c r="Q670" s="1">
        <v>7.9572576514182883E-2</v>
      </c>
      <c r="R670" s="1">
        <v>-7.9538843015777419E-2</v>
      </c>
    </row>
    <row r="671" spans="1:18" x14ac:dyDescent="0.35">
      <c r="A671" s="8">
        <v>154</v>
      </c>
      <c r="B671" s="8">
        <f t="shared" si="20"/>
        <v>2.1875207208364631</v>
      </c>
      <c r="C671" s="8">
        <v>9</v>
      </c>
      <c r="D671" s="8">
        <v>78</v>
      </c>
      <c r="E671" s="8">
        <v>30</v>
      </c>
      <c r="F671" s="8">
        <v>100</v>
      </c>
      <c r="G671" s="8">
        <v>30.9</v>
      </c>
      <c r="H671" s="8">
        <v>0.16400000000000001</v>
      </c>
      <c r="I671" s="8">
        <v>45</v>
      </c>
      <c r="J671" s="1">
        <v>2.0724326511126527</v>
      </c>
      <c r="K671" s="1">
        <v>0.11508806972381036</v>
      </c>
      <c r="L671">
        <f t="shared" si="21"/>
        <v>1.3245263792752635E-2</v>
      </c>
      <c r="P671" s="1">
        <v>633</v>
      </c>
      <c r="Q671" s="1">
        <v>2.6482511703312166E-2</v>
      </c>
      <c r="R671" s="1">
        <v>-2.5501684512793381E-2</v>
      </c>
    </row>
    <row r="672" spans="1:18" x14ac:dyDescent="0.35">
      <c r="A672" s="8">
        <v>165</v>
      </c>
      <c r="B672" s="8">
        <f t="shared" si="20"/>
        <v>2.2174839442139063</v>
      </c>
      <c r="C672" s="8">
        <v>6</v>
      </c>
      <c r="D672" s="8">
        <v>68</v>
      </c>
      <c r="E672" s="8">
        <v>26</v>
      </c>
      <c r="F672" s="8">
        <v>168</v>
      </c>
      <c r="G672" s="8">
        <v>33.6</v>
      </c>
      <c r="H672" s="8">
        <v>0.63100000000000001</v>
      </c>
      <c r="I672" s="8">
        <v>49</v>
      </c>
      <c r="J672" s="1">
        <v>2.1349270849696977</v>
      </c>
      <c r="K672" s="1">
        <v>8.2556859244208525E-2</v>
      </c>
      <c r="L672">
        <f t="shared" si="21"/>
        <v>6.8156350082680586E-3</v>
      </c>
      <c r="P672" s="1">
        <v>634</v>
      </c>
      <c r="Q672" s="1">
        <v>1.212504216421686E-2</v>
      </c>
      <c r="R672" s="1">
        <v>-1.0342903290079111E-2</v>
      </c>
    </row>
    <row r="673" spans="1:18" x14ac:dyDescent="0.35">
      <c r="A673" s="8">
        <v>99</v>
      </c>
      <c r="B673" s="8">
        <f t="shared" si="20"/>
        <v>1.9956351945975499</v>
      </c>
      <c r="C673" s="8">
        <v>1</v>
      </c>
      <c r="D673" s="8">
        <v>58</v>
      </c>
      <c r="E673" s="8">
        <v>10</v>
      </c>
      <c r="F673" s="8">
        <v>0</v>
      </c>
      <c r="G673" s="8">
        <v>25.4</v>
      </c>
      <c r="H673" s="8">
        <v>0.55100000000000005</v>
      </c>
      <c r="I673" s="8">
        <v>21</v>
      </c>
      <c r="J673" s="1">
        <v>1.9919857261630529</v>
      </c>
      <c r="K673" s="1">
        <v>3.649468434496983E-3</v>
      </c>
      <c r="L673">
        <f t="shared" si="21"/>
        <v>1.3318619854389861E-5</v>
      </c>
      <c r="P673" s="1">
        <v>635</v>
      </c>
      <c r="Q673" s="1">
        <v>1.5348937168554096E-2</v>
      </c>
      <c r="R673" s="1">
        <v>-1.0267215504180145E-2</v>
      </c>
    </row>
    <row r="674" spans="1:18" x14ac:dyDescent="0.35">
      <c r="A674" s="8">
        <v>68</v>
      </c>
      <c r="B674" s="8">
        <f t="shared" si="20"/>
        <v>1.8325089127062364</v>
      </c>
      <c r="C674" s="8">
        <v>10</v>
      </c>
      <c r="D674" s="8">
        <v>106</v>
      </c>
      <c r="E674" s="8">
        <v>23</v>
      </c>
      <c r="F674" s="8">
        <v>49</v>
      </c>
      <c r="G674" s="8">
        <v>35.5</v>
      </c>
      <c r="H674" s="8">
        <v>0.28499999999999998</v>
      </c>
      <c r="I674" s="8">
        <v>47</v>
      </c>
      <c r="J674" s="1">
        <v>2.0938660376853169</v>
      </c>
      <c r="K674" s="1">
        <v>-0.26135712497908048</v>
      </c>
      <c r="L674">
        <f t="shared" si="21"/>
        <v>6.8307546777330697E-2</v>
      </c>
      <c r="P674" s="1">
        <v>636</v>
      </c>
      <c r="Q674" s="1">
        <v>2.7133502424256132E-3</v>
      </c>
      <c r="R674" s="1">
        <v>1.3149342459797811E-3</v>
      </c>
    </row>
    <row r="675" spans="1:18" x14ac:dyDescent="0.35">
      <c r="A675" s="8">
        <v>123</v>
      </c>
      <c r="B675" s="8">
        <f t="shared" si="20"/>
        <v>2.0899051114393981</v>
      </c>
      <c r="C675" s="8">
        <v>3</v>
      </c>
      <c r="D675" s="8">
        <v>100</v>
      </c>
      <c r="E675" s="8">
        <v>35</v>
      </c>
      <c r="F675" s="8">
        <v>240</v>
      </c>
      <c r="G675" s="8">
        <v>57.3</v>
      </c>
      <c r="H675" s="8">
        <v>0.88</v>
      </c>
      <c r="I675" s="8">
        <v>22</v>
      </c>
      <c r="J675" s="1">
        <v>2.1665202608519309</v>
      </c>
      <c r="K675" s="1">
        <v>-7.661514941253289E-2</v>
      </c>
      <c r="L675">
        <f t="shared" si="21"/>
        <v>5.869881119504739E-3</v>
      </c>
      <c r="P675" s="1">
        <v>637</v>
      </c>
      <c r="Q675" s="1">
        <v>1.8953554265439876E-2</v>
      </c>
      <c r="R675" s="1">
        <v>-1.4810390973894437E-2</v>
      </c>
    </row>
    <row r="676" spans="1:18" x14ac:dyDescent="0.35">
      <c r="A676" s="8">
        <v>91</v>
      </c>
      <c r="B676" s="8">
        <f t="shared" si="20"/>
        <v>1.9590413923210936</v>
      </c>
      <c r="C676" s="8">
        <v>8</v>
      </c>
      <c r="D676" s="8">
        <v>82</v>
      </c>
      <c r="E676" s="8">
        <v>0</v>
      </c>
      <c r="F676" s="8">
        <v>0</v>
      </c>
      <c r="G676" s="8">
        <v>35.6</v>
      </c>
      <c r="H676" s="8">
        <v>0.58699999999999997</v>
      </c>
      <c r="I676" s="8">
        <v>68</v>
      </c>
      <c r="J676" s="1">
        <v>2.1644070784175247</v>
      </c>
      <c r="K676" s="1">
        <v>-0.20536568609643102</v>
      </c>
      <c r="L676">
        <f t="shared" si="21"/>
        <v>4.2175065025857841E-2</v>
      </c>
      <c r="P676" s="1">
        <v>638</v>
      </c>
      <c r="Q676" s="1">
        <v>3.4565388904986442E-2</v>
      </c>
      <c r="R676" s="1">
        <v>-3.0406929571248065E-2</v>
      </c>
    </row>
    <row r="677" spans="1:18" x14ac:dyDescent="0.35">
      <c r="A677" s="8">
        <v>195</v>
      </c>
      <c r="B677" s="8">
        <f t="shared" si="20"/>
        <v>2.2900346113625178</v>
      </c>
      <c r="C677" s="8">
        <v>6</v>
      </c>
      <c r="D677" s="8">
        <v>70</v>
      </c>
      <c r="E677" s="8">
        <v>0</v>
      </c>
      <c r="F677" s="8">
        <v>0</v>
      </c>
      <c r="G677" s="8">
        <v>30.9</v>
      </c>
      <c r="H677" s="8">
        <v>0.32800000000000001</v>
      </c>
      <c r="I677" s="8">
        <v>31</v>
      </c>
      <c r="J677" s="1">
        <v>2.0521306546568767</v>
      </c>
      <c r="K677" s="1">
        <v>0.23790395670564113</v>
      </c>
      <c r="L677">
        <f t="shared" si="21"/>
        <v>5.6598292616199572E-2</v>
      </c>
      <c r="P677" s="1">
        <v>639</v>
      </c>
      <c r="Q677" s="1">
        <v>4.1226736309049154E-2</v>
      </c>
      <c r="R677" s="1">
        <v>-3.2723225388031345E-2</v>
      </c>
    </row>
    <row r="678" spans="1:18" x14ac:dyDescent="0.35">
      <c r="A678" s="8">
        <v>156</v>
      </c>
      <c r="B678" s="8">
        <f t="shared" si="20"/>
        <v>2.1931245983544616</v>
      </c>
      <c r="C678" s="8">
        <v>9</v>
      </c>
      <c r="D678" s="8">
        <v>86</v>
      </c>
      <c r="E678" s="8">
        <v>0</v>
      </c>
      <c r="F678" s="8">
        <v>0</v>
      </c>
      <c r="G678" s="8">
        <v>24.8</v>
      </c>
      <c r="H678" s="8">
        <v>0.23</v>
      </c>
      <c r="I678" s="8">
        <v>53</v>
      </c>
      <c r="J678" s="1">
        <v>2.0921986293283976</v>
      </c>
      <c r="K678" s="1">
        <v>0.10092596902606399</v>
      </c>
      <c r="L678">
        <f t="shared" si="21"/>
        <v>1.0186051223850027E-2</v>
      </c>
      <c r="P678" s="1">
        <v>640</v>
      </c>
      <c r="Q678" s="1">
        <v>3.792218446508816E-2</v>
      </c>
      <c r="R678" s="1">
        <v>-3.7912647630134501E-2</v>
      </c>
    </row>
    <row r="679" spans="1:18" x14ac:dyDescent="0.35">
      <c r="A679" s="8">
        <v>93</v>
      </c>
      <c r="B679" s="8">
        <f t="shared" si="20"/>
        <v>1.968482948553935</v>
      </c>
      <c r="C679" s="8">
        <v>0</v>
      </c>
      <c r="D679" s="8">
        <v>60</v>
      </c>
      <c r="E679" s="8">
        <v>0</v>
      </c>
      <c r="F679" s="8">
        <v>0</v>
      </c>
      <c r="G679" s="8">
        <v>35.299999999999997</v>
      </c>
      <c r="H679" s="8">
        <v>0.26300000000000001</v>
      </c>
      <c r="I679" s="8">
        <v>25</v>
      </c>
      <c r="J679" s="1">
        <v>2.0391978838631717</v>
      </c>
      <c r="K679" s="1">
        <v>-7.0714935309236671E-2</v>
      </c>
      <c r="L679">
        <f t="shared" si="21"/>
        <v>5.0006020757895273E-3</v>
      </c>
      <c r="P679" s="1">
        <v>641</v>
      </c>
      <c r="Q679" s="1">
        <v>2.2169436361849877E-2</v>
      </c>
      <c r="R679" s="1">
        <v>-1.9199946038667325E-2</v>
      </c>
    </row>
    <row r="680" spans="1:18" x14ac:dyDescent="0.35">
      <c r="A680" s="8">
        <v>121</v>
      </c>
      <c r="B680" s="8">
        <f t="shared" si="20"/>
        <v>2.0827853703164503</v>
      </c>
      <c r="C680" s="8">
        <v>3</v>
      </c>
      <c r="D680" s="8">
        <v>52</v>
      </c>
      <c r="E680" s="8">
        <v>0</v>
      </c>
      <c r="F680" s="8">
        <v>0</v>
      </c>
      <c r="G680" s="8">
        <v>36</v>
      </c>
      <c r="H680" s="8">
        <v>0.127</v>
      </c>
      <c r="I680" s="8">
        <v>25</v>
      </c>
      <c r="J680" s="1">
        <v>2.0373926476194235</v>
      </c>
      <c r="K680" s="1">
        <v>4.5392722697026766E-2</v>
      </c>
      <c r="L680">
        <f t="shared" si="21"/>
        <v>2.060499273849169E-3</v>
      </c>
      <c r="P680" s="1">
        <v>642</v>
      </c>
      <c r="Q680" s="1">
        <v>2.3005799213459799E-2</v>
      </c>
      <c r="R680" s="1">
        <v>-1.8811329376791194E-2</v>
      </c>
    </row>
    <row r="681" spans="1:18" x14ac:dyDescent="0.35">
      <c r="A681" s="8">
        <v>101</v>
      </c>
      <c r="B681" s="8">
        <f t="shared" si="20"/>
        <v>2.0043213737826426</v>
      </c>
      <c r="C681" s="8">
        <v>2</v>
      </c>
      <c r="D681" s="8">
        <v>58</v>
      </c>
      <c r="E681" s="8">
        <v>17</v>
      </c>
      <c r="F681" s="8">
        <v>265</v>
      </c>
      <c r="G681" s="8">
        <v>24.2</v>
      </c>
      <c r="H681" s="8">
        <v>0.61399999999999999</v>
      </c>
      <c r="I681" s="8">
        <v>23</v>
      </c>
      <c r="J681" s="1">
        <v>2.1027929736111131</v>
      </c>
      <c r="K681" s="1">
        <v>-9.8471599828470424E-2</v>
      </c>
      <c r="L681">
        <f t="shared" si="21"/>
        <v>9.6966559727784171E-3</v>
      </c>
      <c r="P681" s="1">
        <v>643</v>
      </c>
      <c r="Q681" s="1">
        <v>1.5629908871471004E-2</v>
      </c>
      <c r="R681" s="1">
        <v>-9.9018551536543299E-3</v>
      </c>
    </row>
    <row r="682" spans="1:18" x14ac:dyDescent="0.35">
      <c r="A682" s="8">
        <v>56</v>
      </c>
      <c r="B682" s="8">
        <f t="shared" si="20"/>
        <v>1.7481880270062005</v>
      </c>
      <c r="C682" s="8">
        <v>2</v>
      </c>
      <c r="D682" s="8">
        <v>56</v>
      </c>
      <c r="E682" s="8">
        <v>28</v>
      </c>
      <c r="F682" s="8">
        <v>45</v>
      </c>
      <c r="G682" s="8">
        <v>24.2</v>
      </c>
      <c r="H682" s="8">
        <v>0.33200000000000002</v>
      </c>
      <c r="I682" s="8">
        <v>22</v>
      </c>
      <c r="J682" s="1">
        <v>1.9703757022163264</v>
      </c>
      <c r="K682" s="1">
        <v>-0.22218767521012595</v>
      </c>
      <c r="L682">
        <f t="shared" si="21"/>
        <v>4.9367363015280413E-2</v>
      </c>
      <c r="P682" s="1">
        <v>644</v>
      </c>
      <c r="Q682" s="1">
        <v>2.7203589780669543E-2</v>
      </c>
      <c r="R682" s="1">
        <v>-2.1906691891421002E-2</v>
      </c>
    </row>
    <row r="683" spans="1:18" x14ac:dyDescent="0.35">
      <c r="A683" s="8">
        <v>162</v>
      </c>
      <c r="B683" s="8">
        <f t="shared" si="20"/>
        <v>2.2095150145426308</v>
      </c>
      <c r="C683" s="8">
        <v>0</v>
      </c>
      <c r="D683" s="8">
        <v>76</v>
      </c>
      <c r="E683" s="8">
        <v>36</v>
      </c>
      <c r="F683" s="8">
        <v>0</v>
      </c>
      <c r="G683" s="8">
        <v>49.6</v>
      </c>
      <c r="H683" s="8">
        <v>0.36399999999999999</v>
      </c>
      <c r="I683" s="8">
        <v>26</v>
      </c>
      <c r="J683" s="1">
        <v>2.0183612038913812</v>
      </c>
      <c r="K683" s="1">
        <v>0.19115381065124959</v>
      </c>
      <c r="L683">
        <f t="shared" si="21"/>
        <v>3.6539779326493778E-2</v>
      </c>
      <c r="P683" s="1">
        <v>645</v>
      </c>
      <c r="Q683" s="1">
        <v>3.0606515482443294E-2</v>
      </c>
      <c r="R683" s="1">
        <v>-2.8943183210946088E-2</v>
      </c>
    </row>
    <row r="684" spans="1:18" x14ac:dyDescent="0.35">
      <c r="A684" s="8">
        <v>95</v>
      </c>
      <c r="B684" s="8">
        <f t="shared" si="20"/>
        <v>1.9777236052888478</v>
      </c>
      <c r="C684" s="8">
        <v>0</v>
      </c>
      <c r="D684" s="8">
        <v>64</v>
      </c>
      <c r="E684" s="8">
        <v>39</v>
      </c>
      <c r="F684" s="8">
        <v>105</v>
      </c>
      <c r="G684" s="8">
        <v>44.6</v>
      </c>
      <c r="H684" s="8">
        <v>0.36599999999999999</v>
      </c>
      <c r="I684" s="8">
        <v>22</v>
      </c>
      <c r="J684" s="1">
        <v>2.0333230279891388</v>
      </c>
      <c r="K684" s="1">
        <v>-5.5599422700290946E-2</v>
      </c>
      <c r="L684">
        <f t="shared" si="21"/>
        <v>3.0912958046056282E-3</v>
      </c>
      <c r="P684" s="1">
        <v>646</v>
      </c>
      <c r="Q684" s="1">
        <v>-2.3134945188794772E-2</v>
      </c>
      <c r="R684" s="1">
        <v>2.3135140527379711E-2</v>
      </c>
    </row>
    <row r="685" spans="1:18" x14ac:dyDescent="0.35">
      <c r="A685" s="8">
        <v>125</v>
      </c>
      <c r="B685" s="8">
        <f t="shared" si="20"/>
        <v>2.0969100130080562</v>
      </c>
      <c r="C685" s="8">
        <v>4</v>
      </c>
      <c r="D685" s="8">
        <v>80</v>
      </c>
      <c r="E685" s="8">
        <v>0</v>
      </c>
      <c r="F685" s="8">
        <v>0</v>
      </c>
      <c r="G685" s="8">
        <v>32.299999999999997</v>
      </c>
      <c r="H685" s="8">
        <v>0.53600000000000003</v>
      </c>
      <c r="I685" s="8">
        <v>27</v>
      </c>
      <c r="J685" s="1">
        <v>2.0540049199638211</v>
      </c>
      <c r="K685" s="1">
        <v>4.2905093044235176E-2</v>
      </c>
      <c r="L685">
        <f t="shared" si="21"/>
        <v>1.8408470091344777E-3</v>
      </c>
      <c r="P685" s="1">
        <v>647</v>
      </c>
      <c r="Q685" s="1">
        <v>1.5321576052033452E-2</v>
      </c>
      <c r="R685" s="1">
        <v>8.4326877651710649E-3</v>
      </c>
    </row>
    <row r="686" spans="1:18" x14ac:dyDescent="0.35">
      <c r="A686" s="8">
        <v>136</v>
      </c>
      <c r="B686" s="8">
        <f t="shared" si="20"/>
        <v>2.1335389083702174</v>
      </c>
      <c r="C686" s="8">
        <v>5</v>
      </c>
      <c r="D686" s="8">
        <v>82</v>
      </c>
      <c r="E686" s="8">
        <v>0</v>
      </c>
      <c r="F686" s="8">
        <v>0</v>
      </c>
      <c r="G686" s="8">
        <v>0</v>
      </c>
      <c r="H686" s="8">
        <v>0.64</v>
      </c>
      <c r="I686" s="8">
        <v>69</v>
      </c>
      <c r="J686" s="1">
        <v>2.0686621611518907</v>
      </c>
      <c r="K686" s="1">
        <v>6.4876747218326702E-2</v>
      </c>
      <c r="L686">
        <f t="shared" si="21"/>
        <v>4.2089923296306612E-3</v>
      </c>
      <c r="P686" s="1">
        <v>648</v>
      </c>
      <c r="Q686" s="1">
        <v>5.5266656474432845E-2</v>
      </c>
      <c r="R686" s="1">
        <v>-1.1264269680005726E-2</v>
      </c>
    </row>
    <row r="687" spans="1:18" x14ac:dyDescent="0.35">
      <c r="A687" s="8">
        <v>129</v>
      </c>
      <c r="B687" s="8">
        <f t="shared" si="20"/>
        <v>2.1105897102992488</v>
      </c>
      <c r="C687" s="8">
        <v>2</v>
      </c>
      <c r="D687" s="8">
        <v>74</v>
      </c>
      <c r="E687" s="8">
        <v>26</v>
      </c>
      <c r="F687" s="8">
        <v>205</v>
      </c>
      <c r="G687" s="8">
        <v>33.200000000000003</v>
      </c>
      <c r="H687" s="8">
        <v>0.59099999999999997</v>
      </c>
      <c r="I687" s="8">
        <v>25</v>
      </c>
      <c r="J687" s="1">
        <v>2.0917892787438164</v>
      </c>
      <c r="K687" s="1">
        <v>1.8800431555432429E-2</v>
      </c>
      <c r="L687">
        <f t="shared" si="21"/>
        <v>3.5345622667049941E-4</v>
      </c>
      <c r="P687" s="1">
        <v>649</v>
      </c>
      <c r="Q687" s="1">
        <v>3.7249956939377347E-2</v>
      </c>
      <c r="R687" s="1">
        <v>-3.307147202468718E-2</v>
      </c>
    </row>
    <row r="688" spans="1:18" x14ac:dyDescent="0.35">
      <c r="A688" s="8">
        <v>130</v>
      </c>
      <c r="B688" s="8">
        <f t="shared" si="20"/>
        <v>2.1139433523068369</v>
      </c>
      <c r="C688" s="8">
        <v>3</v>
      </c>
      <c r="D688" s="8">
        <v>64</v>
      </c>
      <c r="E688" s="8">
        <v>0</v>
      </c>
      <c r="F688" s="8">
        <v>0</v>
      </c>
      <c r="G688" s="8">
        <v>23.1</v>
      </c>
      <c r="H688" s="8">
        <v>0.314</v>
      </c>
      <c r="I688" s="8">
        <v>22</v>
      </c>
      <c r="J688" s="1">
        <v>2.0047111999146288</v>
      </c>
      <c r="K688" s="1">
        <v>0.10923215239220818</v>
      </c>
      <c r="L688">
        <f t="shared" si="21"/>
        <v>1.1931663116234592E-2</v>
      </c>
      <c r="P688" s="1">
        <v>650</v>
      </c>
      <c r="Q688" s="1">
        <v>7.9878065193946857E-2</v>
      </c>
      <c r="R688" s="1">
        <v>-7.4760537292430568E-2</v>
      </c>
    </row>
    <row r="689" spans="1:18" x14ac:dyDescent="0.35">
      <c r="A689" s="8">
        <v>107</v>
      </c>
      <c r="B689" s="8">
        <f t="shared" si="20"/>
        <v>2.0293837776852097</v>
      </c>
      <c r="C689" s="8">
        <v>1</v>
      </c>
      <c r="D689" s="8">
        <v>50</v>
      </c>
      <c r="E689" s="8">
        <v>19</v>
      </c>
      <c r="F689" s="8">
        <v>0</v>
      </c>
      <c r="G689" s="8">
        <v>28.3</v>
      </c>
      <c r="H689" s="8">
        <v>0.18099999999999999</v>
      </c>
      <c r="I689" s="8">
        <v>29</v>
      </c>
      <c r="J689" s="1">
        <v>1.9876784672533103</v>
      </c>
      <c r="K689" s="1">
        <v>4.1705310431899401E-2</v>
      </c>
      <c r="L689">
        <f t="shared" si="21"/>
        <v>1.7393329182210969E-3</v>
      </c>
      <c r="P689" s="1">
        <v>651</v>
      </c>
      <c r="Q689" s="1">
        <v>5.0914162417750014E-2</v>
      </c>
      <c r="R689" s="1">
        <v>-4.9083738776584687E-2</v>
      </c>
    </row>
    <row r="690" spans="1:18" x14ac:dyDescent="0.35">
      <c r="A690" s="8">
        <v>140</v>
      </c>
      <c r="B690" s="8">
        <f t="shared" si="20"/>
        <v>2.1461280356782382</v>
      </c>
      <c r="C690" s="8">
        <v>1</v>
      </c>
      <c r="D690" s="8">
        <v>74</v>
      </c>
      <c r="E690" s="8">
        <v>26</v>
      </c>
      <c r="F690" s="8">
        <v>180</v>
      </c>
      <c r="G690" s="8">
        <v>24.1</v>
      </c>
      <c r="H690" s="8">
        <v>0.82799999999999996</v>
      </c>
      <c r="I690" s="8">
        <v>23</v>
      </c>
      <c r="J690" s="1">
        <v>2.0568803721936626</v>
      </c>
      <c r="K690" s="1">
        <v>8.9247663484575579E-2</v>
      </c>
      <c r="L690">
        <f t="shared" si="21"/>
        <v>7.9651454374560452E-3</v>
      </c>
      <c r="P690" s="1">
        <v>652</v>
      </c>
      <c r="Q690" s="1">
        <v>4.0477450358552949E-2</v>
      </c>
      <c r="R690" s="1">
        <v>-4.013863034904646E-2</v>
      </c>
    </row>
    <row r="691" spans="1:18" x14ac:dyDescent="0.35">
      <c r="A691" s="8">
        <v>144</v>
      </c>
      <c r="B691" s="8">
        <f t="shared" si="20"/>
        <v>2.1583624920952498</v>
      </c>
      <c r="C691" s="8">
        <v>1</v>
      </c>
      <c r="D691" s="8">
        <v>82</v>
      </c>
      <c r="E691" s="8">
        <v>46</v>
      </c>
      <c r="F691" s="8">
        <v>180</v>
      </c>
      <c r="G691" s="8">
        <v>46.1</v>
      </c>
      <c r="H691" s="8">
        <v>0.33500000000000002</v>
      </c>
      <c r="I691" s="8">
        <v>46</v>
      </c>
      <c r="J691" s="1">
        <v>2.1197719236342873</v>
      </c>
      <c r="K691" s="1">
        <v>3.8590568460962427E-2</v>
      </c>
      <c r="L691">
        <f t="shared" si="21"/>
        <v>1.489231974140228E-3</v>
      </c>
      <c r="P691" s="1">
        <v>653</v>
      </c>
      <c r="Q691" s="1">
        <v>7.4447528895261891E-2</v>
      </c>
      <c r="R691" s="1">
        <v>-6.7971332687199251E-2</v>
      </c>
    </row>
    <row r="692" spans="1:18" x14ac:dyDescent="0.35">
      <c r="A692" s="8">
        <v>107</v>
      </c>
      <c r="B692" s="8">
        <f t="shared" si="20"/>
        <v>2.0293837776852097</v>
      </c>
      <c r="C692" s="8">
        <v>8</v>
      </c>
      <c r="D692" s="8">
        <v>80</v>
      </c>
      <c r="E692" s="8">
        <v>0</v>
      </c>
      <c r="F692" s="8">
        <v>0</v>
      </c>
      <c r="G692" s="8">
        <v>24.6</v>
      </c>
      <c r="H692" s="8">
        <v>0.85599999999999998</v>
      </c>
      <c r="I692" s="8">
        <v>34</v>
      </c>
      <c r="J692" s="1">
        <v>2.0623485646366158</v>
      </c>
      <c r="K692" s="1">
        <v>-3.2964786951406033E-2</v>
      </c>
      <c r="L692">
        <f t="shared" si="21"/>
        <v>1.0866771787515896E-3</v>
      </c>
      <c r="P692" s="1">
        <v>654</v>
      </c>
      <c r="Q692" s="1">
        <v>2.4787089704598884E-2</v>
      </c>
      <c r="R692" s="1">
        <v>-2.1974884763359816E-2</v>
      </c>
    </row>
    <row r="693" spans="1:18" x14ac:dyDescent="0.35">
      <c r="A693" s="8">
        <v>158</v>
      </c>
      <c r="B693" s="8">
        <f t="shared" si="20"/>
        <v>2.1986570869544226</v>
      </c>
      <c r="C693" s="8">
        <v>13</v>
      </c>
      <c r="D693" s="8">
        <v>114</v>
      </c>
      <c r="E693" s="8">
        <v>0</v>
      </c>
      <c r="F693" s="8">
        <v>0</v>
      </c>
      <c r="G693" s="8">
        <v>42.3</v>
      </c>
      <c r="H693" s="8">
        <v>0.25700000000000001</v>
      </c>
      <c r="I693" s="8">
        <v>44</v>
      </c>
      <c r="J693" s="1">
        <v>2.1327238755507394</v>
      </c>
      <c r="K693" s="1">
        <v>6.5933211403683245E-2</v>
      </c>
      <c r="L693">
        <f t="shared" si="21"/>
        <v>4.3471883660027863E-3</v>
      </c>
      <c r="P693" s="1">
        <v>655</v>
      </c>
      <c r="Q693" s="1">
        <v>4.7321199378833376E-2</v>
      </c>
      <c r="R693" s="1">
        <v>-4.7191334595362518E-2</v>
      </c>
    </row>
    <row r="694" spans="1:18" x14ac:dyDescent="0.35">
      <c r="A694" s="8">
        <v>121</v>
      </c>
      <c r="B694" s="8">
        <f t="shared" si="20"/>
        <v>2.0827853703164503</v>
      </c>
      <c r="C694" s="8">
        <v>2</v>
      </c>
      <c r="D694" s="8">
        <v>70</v>
      </c>
      <c r="E694" s="8">
        <v>32</v>
      </c>
      <c r="F694" s="8">
        <v>95</v>
      </c>
      <c r="G694" s="8">
        <v>39.1</v>
      </c>
      <c r="H694" s="8">
        <v>0.88600000000000001</v>
      </c>
      <c r="I694" s="8">
        <v>23</v>
      </c>
      <c r="J694" s="1">
        <v>2.0486118094659789</v>
      </c>
      <c r="K694" s="1">
        <v>3.4173560850471407E-2</v>
      </c>
      <c r="L694">
        <f t="shared" si="21"/>
        <v>1.1678322612008721E-3</v>
      </c>
      <c r="P694" s="1">
        <v>656</v>
      </c>
      <c r="Q694" s="1">
        <v>-6.1852539020641972E-2</v>
      </c>
      <c r="R694" s="1">
        <v>6.4269011582505767E-2</v>
      </c>
    </row>
    <row r="695" spans="1:18" x14ac:dyDescent="0.35">
      <c r="A695" s="8">
        <v>129</v>
      </c>
      <c r="B695" s="8">
        <f t="shared" si="20"/>
        <v>2.1105897102992488</v>
      </c>
      <c r="C695" s="8">
        <v>7</v>
      </c>
      <c r="D695" s="8">
        <v>68</v>
      </c>
      <c r="E695" s="8">
        <v>49</v>
      </c>
      <c r="F695" s="8">
        <v>125</v>
      </c>
      <c r="G695" s="8">
        <v>38.5</v>
      </c>
      <c r="H695" s="8">
        <v>0.439</v>
      </c>
      <c r="I695" s="8">
        <v>43</v>
      </c>
      <c r="J695" s="1">
        <v>2.0653157848571664</v>
      </c>
      <c r="K695" s="1">
        <v>4.5273925442082419E-2</v>
      </c>
      <c r="L695">
        <f t="shared" si="21"/>
        <v>2.0497283249352378E-3</v>
      </c>
      <c r="P695" s="1">
        <v>657</v>
      </c>
      <c r="Q695" s="1">
        <v>7.1120577344267411E-2</v>
      </c>
      <c r="R695" s="1">
        <v>-6.9669581245106693E-2</v>
      </c>
    </row>
    <row r="696" spans="1:18" x14ac:dyDescent="0.35">
      <c r="A696" s="8">
        <v>90</v>
      </c>
      <c r="B696" s="8">
        <f t="shared" si="20"/>
        <v>1.954242509439325</v>
      </c>
      <c r="C696" s="8">
        <v>2</v>
      </c>
      <c r="D696" s="8">
        <v>60</v>
      </c>
      <c r="E696" s="8">
        <v>0</v>
      </c>
      <c r="F696" s="8">
        <v>0</v>
      </c>
      <c r="G696" s="8">
        <v>23.5</v>
      </c>
      <c r="H696" s="8">
        <v>0.191</v>
      </c>
      <c r="I696" s="8">
        <v>25</v>
      </c>
      <c r="J696" s="1">
        <v>2.0069788938807904</v>
      </c>
      <c r="K696" s="1">
        <v>-5.2736384441465445E-2</v>
      </c>
      <c r="L696">
        <f t="shared" si="21"/>
        <v>2.7811262439580388E-3</v>
      </c>
      <c r="P696" s="1">
        <v>658</v>
      </c>
      <c r="Q696" s="1">
        <v>4.3823547874804816E-2</v>
      </c>
      <c r="R696" s="1">
        <v>-4.2413919252983288E-2</v>
      </c>
    </row>
    <row r="697" spans="1:18" x14ac:dyDescent="0.35">
      <c r="A697" s="8">
        <v>142</v>
      </c>
      <c r="B697" s="8">
        <f t="shared" si="20"/>
        <v>2.1522883443830563</v>
      </c>
      <c r="C697" s="8">
        <v>7</v>
      </c>
      <c r="D697" s="8">
        <v>90</v>
      </c>
      <c r="E697" s="8">
        <v>24</v>
      </c>
      <c r="F697" s="8">
        <v>480</v>
      </c>
      <c r="G697" s="8">
        <v>30.4</v>
      </c>
      <c r="H697" s="8">
        <v>0.128</v>
      </c>
      <c r="I697" s="8">
        <v>43</v>
      </c>
      <c r="J697" s="1">
        <v>2.2517306242851185</v>
      </c>
      <c r="K697" s="1">
        <v>-9.9442279902062225E-2</v>
      </c>
      <c r="L697">
        <f t="shared" si="21"/>
        <v>9.8887670321200893E-3</v>
      </c>
      <c r="P697" s="1">
        <v>659</v>
      </c>
      <c r="Q697" s="1">
        <v>3.8877026036904395E-3</v>
      </c>
      <c r="R697" s="1">
        <v>-3.0017897419497277E-3</v>
      </c>
    </row>
    <row r="698" spans="1:18" x14ac:dyDescent="0.35">
      <c r="A698" s="8">
        <v>169</v>
      </c>
      <c r="B698" s="8">
        <f t="shared" si="20"/>
        <v>2.2278867046136734</v>
      </c>
      <c r="C698" s="8">
        <v>3</v>
      </c>
      <c r="D698" s="8">
        <v>74</v>
      </c>
      <c r="E698" s="8">
        <v>19</v>
      </c>
      <c r="F698" s="8">
        <v>125</v>
      </c>
      <c r="G698" s="8">
        <v>29.9</v>
      </c>
      <c r="H698" s="8">
        <v>0.26800000000000002</v>
      </c>
      <c r="I698" s="8">
        <v>31</v>
      </c>
      <c r="J698" s="1">
        <v>2.0658500564348738</v>
      </c>
      <c r="K698" s="1">
        <v>0.16203664817879959</v>
      </c>
      <c r="L698">
        <f t="shared" si="21"/>
        <v>2.6255875353020076E-2</v>
      </c>
      <c r="P698" s="1">
        <v>660</v>
      </c>
      <c r="Q698" s="1">
        <v>4.2616424263861669E-2</v>
      </c>
      <c r="R698" s="1">
        <v>-2.0504538409097432E-2</v>
      </c>
    </row>
    <row r="699" spans="1:18" x14ac:dyDescent="0.35">
      <c r="A699" s="8">
        <v>99</v>
      </c>
      <c r="B699" s="8">
        <f t="shared" si="20"/>
        <v>1.9956351945975499</v>
      </c>
      <c r="C699" s="8">
        <v>0</v>
      </c>
      <c r="D699" s="8">
        <v>0</v>
      </c>
      <c r="E699" s="8">
        <v>0</v>
      </c>
      <c r="F699" s="8">
        <v>0</v>
      </c>
      <c r="G699" s="8">
        <v>25</v>
      </c>
      <c r="H699" s="8">
        <v>0.253</v>
      </c>
      <c r="I699" s="8">
        <v>22</v>
      </c>
      <c r="J699" s="1">
        <v>1.9838871812850902</v>
      </c>
      <c r="K699" s="1">
        <v>1.1748013312459671E-2</v>
      </c>
      <c r="L699">
        <f t="shared" si="21"/>
        <v>1.3801581678972964E-4</v>
      </c>
      <c r="P699" s="1">
        <v>661</v>
      </c>
      <c r="Q699" s="1">
        <v>7.6888457124452345E-3</v>
      </c>
      <c r="R699" s="1">
        <v>4.0176096482303272E-3</v>
      </c>
    </row>
    <row r="700" spans="1:18" x14ac:dyDescent="0.35">
      <c r="A700" s="8">
        <v>127</v>
      </c>
      <c r="B700" s="8">
        <f t="shared" si="20"/>
        <v>2.1038037209559568</v>
      </c>
      <c r="C700" s="8">
        <v>4</v>
      </c>
      <c r="D700" s="8">
        <v>88</v>
      </c>
      <c r="E700" s="8">
        <v>11</v>
      </c>
      <c r="F700" s="8">
        <v>155</v>
      </c>
      <c r="G700" s="8">
        <v>34.5</v>
      </c>
      <c r="H700" s="8">
        <v>0.59799999999999998</v>
      </c>
      <c r="I700" s="8">
        <v>28</v>
      </c>
      <c r="J700" s="1">
        <v>2.1156649349090171</v>
      </c>
      <c r="K700" s="1">
        <v>-1.1861213953060279E-2</v>
      </c>
      <c r="L700">
        <f t="shared" si="21"/>
        <v>1.4068839644027184E-4</v>
      </c>
      <c r="P700" s="1">
        <v>662</v>
      </c>
      <c r="Q700" s="1">
        <v>8.7283575076119571E-2</v>
      </c>
      <c r="R700" s="1">
        <v>-2.4505186393004585E-3</v>
      </c>
    </row>
    <row r="701" spans="1:18" x14ac:dyDescent="0.35">
      <c r="A701" s="8">
        <v>118</v>
      </c>
      <c r="B701" s="8">
        <f t="shared" si="20"/>
        <v>2.0718820073061255</v>
      </c>
      <c r="C701" s="8">
        <v>4</v>
      </c>
      <c r="D701" s="8">
        <v>70</v>
      </c>
      <c r="E701" s="8">
        <v>0</v>
      </c>
      <c r="F701" s="8">
        <v>0</v>
      </c>
      <c r="G701" s="8">
        <v>44.5</v>
      </c>
      <c r="H701" s="8">
        <v>0.90400000000000003</v>
      </c>
      <c r="I701" s="8">
        <v>26</v>
      </c>
      <c r="J701" s="1">
        <v>2.0920110248240538</v>
      </c>
      <c r="K701" s="1">
        <v>-2.0129017517928283E-2</v>
      </c>
      <c r="L701">
        <f t="shared" si="21"/>
        <v>4.0517734623706371E-4</v>
      </c>
      <c r="P701" s="1">
        <v>663</v>
      </c>
      <c r="Q701" s="1">
        <v>3.4563029199976621E-2</v>
      </c>
      <c r="R701" s="1">
        <v>-2.4552525603072993E-2</v>
      </c>
    </row>
    <row r="702" spans="1:18" x14ac:dyDescent="0.35">
      <c r="A702" s="8">
        <v>122</v>
      </c>
      <c r="B702" s="8">
        <f t="shared" si="20"/>
        <v>2.0863598306747484</v>
      </c>
      <c r="C702" s="8">
        <v>2</v>
      </c>
      <c r="D702" s="8">
        <v>76</v>
      </c>
      <c r="E702" s="8">
        <v>27</v>
      </c>
      <c r="F702" s="8">
        <v>200</v>
      </c>
      <c r="G702" s="8">
        <v>35.9</v>
      </c>
      <c r="H702" s="8">
        <v>0.48299999999999998</v>
      </c>
      <c r="I702" s="8">
        <v>26</v>
      </c>
      <c r="J702" s="1">
        <v>2.0948124023963701</v>
      </c>
      <c r="K702" s="1">
        <v>-8.4525717216217267E-3</v>
      </c>
      <c r="L702">
        <f t="shared" si="21"/>
        <v>7.1445968709159279E-5</v>
      </c>
      <c r="P702" s="1">
        <v>664</v>
      </c>
      <c r="Q702" s="1">
        <v>5.5729552011259051E-2</v>
      </c>
      <c r="R702" s="1">
        <v>-4.8510026550480652E-2</v>
      </c>
    </row>
    <row r="703" spans="1:18" x14ac:dyDescent="0.35">
      <c r="A703" s="8">
        <v>125</v>
      </c>
      <c r="B703" s="8">
        <f t="shared" si="20"/>
        <v>2.0969100130080562</v>
      </c>
      <c r="C703" s="8">
        <v>6</v>
      </c>
      <c r="D703" s="8">
        <v>78</v>
      </c>
      <c r="E703" s="8">
        <v>31</v>
      </c>
      <c r="F703" s="8">
        <v>0</v>
      </c>
      <c r="G703" s="8">
        <v>27.6</v>
      </c>
      <c r="H703" s="8">
        <v>0.56499999999999995</v>
      </c>
      <c r="I703" s="8">
        <v>49</v>
      </c>
      <c r="J703" s="1">
        <v>2.0340429679985217</v>
      </c>
      <c r="K703" s="1">
        <v>6.286704500953455E-2</v>
      </c>
      <c r="L703">
        <f t="shared" si="21"/>
        <v>3.9522653482308434E-3</v>
      </c>
      <c r="P703" s="1">
        <v>665</v>
      </c>
      <c r="Q703" s="1">
        <v>9.2049459040553575E-2</v>
      </c>
      <c r="R703" s="1">
        <v>-8.8227232759022292E-2</v>
      </c>
    </row>
    <row r="704" spans="1:18" x14ac:dyDescent="0.35">
      <c r="A704" s="8">
        <v>168</v>
      </c>
      <c r="B704" s="8">
        <f t="shared" si="20"/>
        <v>2.2253092817258628</v>
      </c>
      <c r="C704" s="8">
        <v>1</v>
      </c>
      <c r="D704" s="8">
        <v>88</v>
      </c>
      <c r="E704" s="8">
        <v>29</v>
      </c>
      <c r="F704" s="8">
        <v>0</v>
      </c>
      <c r="G704" s="8">
        <v>35</v>
      </c>
      <c r="H704" s="8">
        <v>0.90500000000000003</v>
      </c>
      <c r="I704" s="8">
        <v>52</v>
      </c>
      <c r="J704" s="1">
        <v>2.0733484974503154</v>
      </c>
      <c r="K704" s="1">
        <v>0.15196078427554749</v>
      </c>
      <c r="L704">
        <f t="shared" si="21"/>
        <v>2.309207995763948E-2</v>
      </c>
      <c r="P704" s="1">
        <v>666</v>
      </c>
      <c r="Q704" s="1">
        <v>7.6249266325172579E-2</v>
      </c>
      <c r="R704" s="1">
        <v>-7.5004580489164849E-2</v>
      </c>
    </row>
    <row r="705" spans="1:18" x14ac:dyDescent="0.35">
      <c r="A705" s="8">
        <v>129</v>
      </c>
      <c r="B705" s="8">
        <f t="shared" si="20"/>
        <v>2.1105897102992488</v>
      </c>
      <c r="C705" s="8">
        <v>2</v>
      </c>
      <c r="D705" s="8">
        <v>0</v>
      </c>
      <c r="E705" s="8">
        <v>0</v>
      </c>
      <c r="F705" s="8">
        <v>0</v>
      </c>
      <c r="G705" s="8">
        <v>38.5</v>
      </c>
      <c r="H705" s="8">
        <v>0.30399999999999999</v>
      </c>
      <c r="I705" s="8">
        <v>41</v>
      </c>
      <c r="J705" s="1">
        <v>2.0681890337997086</v>
      </c>
      <c r="K705" s="1">
        <v>4.2400676499540157E-2</v>
      </c>
      <c r="L705">
        <f t="shared" si="21"/>
        <v>1.797817367618657E-3</v>
      </c>
      <c r="P705" s="1">
        <v>667</v>
      </c>
      <c r="Q705" s="1">
        <v>4.7663811454353763E-2</v>
      </c>
      <c r="R705" s="1">
        <v>-4.5190552234742179E-2</v>
      </c>
    </row>
    <row r="706" spans="1:18" x14ac:dyDescent="0.35">
      <c r="A706" s="8">
        <v>110</v>
      </c>
      <c r="B706" s="8">
        <f t="shared" si="20"/>
        <v>2.0413926851582249</v>
      </c>
      <c r="C706" s="8">
        <v>4</v>
      </c>
      <c r="D706" s="8">
        <v>76</v>
      </c>
      <c r="E706" s="8">
        <v>20</v>
      </c>
      <c r="F706" s="8">
        <v>100</v>
      </c>
      <c r="G706" s="8">
        <v>28.4</v>
      </c>
      <c r="H706" s="8">
        <v>0.11799999999999999</v>
      </c>
      <c r="I706" s="8">
        <v>27</v>
      </c>
      <c r="J706" s="1">
        <v>2.0364845522733992</v>
      </c>
      <c r="K706" s="1">
        <v>4.9081328848257222E-3</v>
      </c>
      <c r="L706">
        <f t="shared" si="21"/>
        <v>2.4089768415107666E-5</v>
      </c>
      <c r="P706" s="1">
        <v>668</v>
      </c>
      <c r="Q706" s="1">
        <v>6.3134538444933413E-2</v>
      </c>
      <c r="R706" s="1">
        <v>-6.1859902718989661E-2</v>
      </c>
    </row>
    <row r="707" spans="1:18" x14ac:dyDescent="0.35">
      <c r="A707" s="8">
        <v>80</v>
      </c>
      <c r="B707" s="8">
        <f t="shared" ref="B707:B769" si="22">LOG(A707)</f>
        <v>1.9030899869919435</v>
      </c>
      <c r="C707" s="8">
        <v>6</v>
      </c>
      <c r="D707" s="8">
        <v>80</v>
      </c>
      <c r="E707" s="8">
        <v>36</v>
      </c>
      <c r="F707" s="8">
        <v>0</v>
      </c>
      <c r="G707" s="8">
        <v>39.799999999999997</v>
      </c>
      <c r="H707" s="8">
        <v>0.17699999999999999</v>
      </c>
      <c r="I707" s="8">
        <v>28</v>
      </c>
      <c r="J707" s="1">
        <v>1.9980905082329681</v>
      </c>
      <c r="K707" s="1">
        <v>-9.5000521241024538E-2</v>
      </c>
      <c r="L707">
        <f t="shared" ref="L707:L769" si="23">K707*K707</f>
        <v>9.0250990360663547E-3</v>
      </c>
      <c r="P707" s="1">
        <v>669</v>
      </c>
      <c r="Q707" s="1">
        <v>2.7224891284076444E-2</v>
      </c>
      <c r="R707" s="1">
        <v>-1.3289437863220505E-2</v>
      </c>
    </row>
    <row r="708" spans="1:18" x14ac:dyDescent="0.35">
      <c r="A708" s="8">
        <v>115</v>
      </c>
      <c r="B708" s="8">
        <f t="shared" si="22"/>
        <v>2.0606978403536118</v>
      </c>
      <c r="C708" s="8">
        <v>10</v>
      </c>
      <c r="D708" s="8">
        <v>0</v>
      </c>
      <c r="E708" s="8">
        <v>0</v>
      </c>
      <c r="F708" s="8">
        <v>0</v>
      </c>
      <c r="G708" s="8">
        <v>0</v>
      </c>
      <c r="H708" s="8">
        <v>0.26100000000000001</v>
      </c>
      <c r="I708" s="8">
        <v>30</v>
      </c>
      <c r="J708" s="1">
        <v>1.9443393154514905</v>
      </c>
      <c r="K708" s="1">
        <v>0.11635852490212129</v>
      </c>
      <c r="L708">
        <f t="shared" si="23"/>
        <v>1.353930631739758E-2</v>
      </c>
      <c r="P708" s="1">
        <v>670</v>
      </c>
      <c r="Q708" s="1">
        <v>4.1616815497977667E-2</v>
      </c>
      <c r="R708" s="1">
        <v>-2.8371551705225033E-2</v>
      </c>
    </row>
    <row r="709" spans="1:18" x14ac:dyDescent="0.35">
      <c r="A709" s="8">
        <v>127</v>
      </c>
      <c r="B709" s="8">
        <f t="shared" si="22"/>
        <v>2.1038037209559568</v>
      </c>
      <c r="C709" s="8">
        <v>2</v>
      </c>
      <c r="D709" s="8">
        <v>46</v>
      </c>
      <c r="E709" s="8">
        <v>21</v>
      </c>
      <c r="F709" s="8">
        <v>335</v>
      </c>
      <c r="G709" s="8">
        <v>34.4</v>
      </c>
      <c r="H709" s="8">
        <v>0.17599999999999999</v>
      </c>
      <c r="I709" s="8">
        <v>22</v>
      </c>
      <c r="J709" s="1">
        <v>2.1356163355357984</v>
      </c>
      <c r="K709" s="1">
        <v>-3.1812614579841636E-2</v>
      </c>
      <c r="L709">
        <f t="shared" si="23"/>
        <v>1.0120424464055526E-3</v>
      </c>
      <c r="P709" s="1">
        <v>671</v>
      </c>
      <c r="Q709" s="1">
        <v>1.3605033228946595E-2</v>
      </c>
      <c r="R709" s="1">
        <v>-6.7893982206785365E-3</v>
      </c>
    </row>
    <row r="710" spans="1:18" x14ac:dyDescent="0.35">
      <c r="A710" s="8">
        <v>164</v>
      </c>
      <c r="B710" s="8">
        <f t="shared" si="22"/>
        <v>2.214843848047698</v>
      </c>
      <c r="C710" s="8">
        <v>9</v>
      </c>
      <c r="D710" s="8">
        <v>78</v>
      </c>
      <c r="E710" s="8">
        <v>0</v>
      </c>
      <c r="F710" s="8">
        <v>0</v>
      </c>
      <c r="G710" s="8">
        <v>32.799999999999997</v>
      </c>
      <c r="H710" s="8">
        <v>0.14799999999999999</v>
      </c>
      <c r="I710" s="8">
        <v>45</v>
      </c>
      <c r="J710" s="1">
        <v>2.0902837028535002</v>
      </c>
      <c r="K710" s="1">
        <v>0.12456014519419778</v>
      </c>
      <c r="L710">
        <f t="shared" si="23"/>
        <v>1.5515229770799633E-2</v>
      </c>
      <c r="P710" s="1">
        <v>672</v>
      </c>
      <c r="Q710" s="1">
        <v>4.3313095290241625E-2</v>
      </c>
      <c r="R710" s="1">
        <v>-4.3299776670387237E-2</v>
      </c>
    </row>
    <row r="711" spans="1:18" x14ac:dyDescent="0.35">
      <c r="A711" s="8">
        <v>93</v>
      </c>
      <c r="B711" s="8">
        <f t="shared" si="22"/>
        <v>1.968482948553935</v>
      </c>
      <c r="C711" s="8">
        <v>2</v>
      </c>
      <c r="D711" s="8">
        <v>64</v>
      </c>
      <c r="E711" s="8">
        <v>32</v>
      </c>
      <c r="F711" s="8">
        <v>160</v>
      </c>
      <c r="G711" s="8">
        <v>38</v>
      </c>
      <c r="H711" s="8">
        <v>0.67400000000000004</v>
      </c>
      <c r="I711" s="8">
        <v>23</v>
      </c>
      <c r="J711" s="1">
        <v>2.0670653808404862</v>
      </c>
      <c r="K711" s="1">
        <v>-9.8582432286551169E-2</v>
      </c>
      <c r="L711">
        <f t="shared" si="23"/>
        <v>9.7184959555324472E-3</v>
      </c>
      <c r="P711" s="1">
        <v>673</v>
      </c>
      <c r="Q711" s="1">
        <v>3.3704157109389843E-2</v>
      </c>
      <c r="R711" s="1">
        <v>3.4603389667940854E-2</v>
      </c>
    </row>
    <row r="712" spans="1:18" x14ac:dyDescent="0.35">
      <c r="A712" s="8">
        <v>158</v>
      </c>
      <c r="B712" s="8">
        <f t="shared" si="22"/>
        <v>2.1986570869544226</v>
      </c>
      <c r="C712" s="8">
        <v>3</v>
      </c>
      <c r="D712" s="8">
        <v>64</v>
      </c>
      <c r="E712" s="8">
        <v>13</v>
      </c>
      <c r="F712" s="8">
        <v>387</v>
      </c>
      <c r="G712" s="8">
        <v>31.2</v>
      </c>
      <c r="H712" s="8">
        <v>0.29499999999999998</v>
      </c>
      <c r="I712" s="8">
        <v>24</v>
      </c>
      <c r="J712" s="1">
        <v>2.1811726095533062</v>
      </c>
      <c r="K712" s="1">
        <v>1.7484477401116472E-2</v>
      </c>
      <c r="L712">
        <f t="shared" si="23"/>
        <v>3.0570694999015261E-4</v>
      </c>
      <c r="P712" s="1">
        <v>674</v>
      </c>
      <c r="Q712" s="1">
        <v>1.2929033420102124E-2</v>
      </c>
      <c r="R712" s="1">
        <v>-7.0591523005973855E-3</v>
      </c>
    </row>
    <row r="713" spans="1:18" x14ac:dyDescent="0.35">
      <c r="A713" s="8">
        <v>126</v>
      </c>
      <c r="B713" s="8">
        <f t="shared" si="22"/>
        <v>2.1003705451175629</v>
      </c>
      <c r="C713" s="8">
        <v>5</v>
      </c>
      <c r="D713" s="8">
        <v>78</v>
      </c>
      <c r="E713" s="8">
        <v>27</v>
      </c>
      <c r="F713" s="8">
        <v>22</v>
      </c>
      <c r="G713" s="8">
        <v>29.6</v>
      </c>
      <c r="H713" s="8">
        <v>0.439</v>
      </c>
      <c r="I713" s="8">
        <v>40</v>
      </c>
      <c r="J713" s="1">
        <v>2.0317528660509829</v>
      </c>
      <c r="K713" s="1">
        <v>6.8617679066580006E-2</v>
      </c>
      <c r="L713">
        <f t="shared" si="23"/>
        <v>4.7083858804841724E-3</v>
      </c>
      <c r="P713" s="1">
        <v>675</v>
      </c>
      <c r="Q713" s="1">
        <v>2.0777451105366569E-3</v>
      </c>
      <c r="R713" s="1">
        <v>4.0097319915321186E-2</v>
      </c>
    </row>
    <row r="714" spans="1:18" x14ac:dyDescent="0.35">
      <c r="A714" s="8">
        <v>129</v>
      </c>
      <c r="B714" s="8">
        <f t="shared" si="22"/>
        <v>2.1105897102992488</v>
      </c>
      <c r="C714" s="8">
        <v>10</v>
      </c>
      <c r="D714" s="8">
        <v>62</v>
      </c>
      <c r="E714" s="8">
        <v>36</v>
      </c>
      <c r="F714" s="8">
        <v>0</v>
      </c>
      <c r="G714" s="8">
        <v>41.2</v>
      </c>
      <c r="H714" s="8">
        <v>0.441</v>
      </c>
      <c r="I714" s="8">
        <v>38</v>
      </c>
      <c r="J714" s="1">
        <v>2.0305323208589932</v>
      </c>
      <c r="K714" s="1">
        <v>8.0057389440255644E-2</v>
      </c>
      <c r="L714">
        <f t="shared" si="23"/>
        <v>6.4091856039887561E-3</v>
      </c>
      <c r="P714" s="1">
        <v>676</v>
      </c>
      <c r="Q714" s="1">
        <v>1.7853797507397511E-2</v>
      </c>
      <c r="R714" s="1">
        <v>3.8744495108802061E-2</v>
      </c>
    </row>
    <row r="715" spans="1:18" x14ac:dyDescent="0.35">
      <c r="A715" s="8">
        <v>134</v>
      </c>
      <c r="B715" s="8">
        <f t="shared" si="22"/>
        <v>2.1271047983648077</v>
      </c>
      <c r="C715" s="8">
        <v>0</v>
      </c>
      <c r="D715" s="8">
        <v>58</v>
      </c>
      <c r="E715" s="8">
        <v>20</v>
      </c>
      <c r="F715" s="8">
        <v>291</v>
      </c>
      <c r="G715" s="8">
        <v>26.4</v>
      </c>
      <c r="H715" s="8">
        <v>0.35199999999999998</v>
      </c>
      <c r="I715" s="8">
        <v>21</v>
      </c>
      <c r="J715" s="1">
        <v>2.100663733860777</v>
      </c>
      <c r="K715" s="1">
        <v>2.644106450403072E-2</v>
      </c>
      <c r="L715">
        <f t="shared" si="23"/>
        <v>6.9912989210631335E-4</v>
      </c>
      <c r="P715" s="1">
        <v>677</v>
      </c>
      <c r="Q715" s="1">
        <v>7.9329680479648008E-3</v>
      </c>
      <c r="R715" s="1">
        <v>2.253083175885226E-3</v>
      </c>
    </row>
    <row r="716" spans="1:18" x14ac:dyDescent="0.35">
      <c r="A716" s="8">
        <v>102</v>
      </c>
      <c r="B716" s="8">
        <f t="shared" si="22"/>
        <v>2.0086001717619175</v>
      </c>
      <c r="C716" s="8">
        <v>3</v>
      </c>
      <c r="D716" s="8">
        <v>74</v>
      </c>
      <c r="E716" s="8">
        <v>0</v>
      </c>
      <c r="F716" s="8">
        <v>0</v>
      </c>
      <c r="G716" s="8">
        <v>29.5</v>
      </c>
      <c r="H716" s="8">
        <v>0.121</v>
      </c>
      <c r="I716" s="8">
        <v>32</v>
      </c>
      <c r="J716" s="1">
        <v>2.0432151298820211</v>
      </c>
      <c r="K716" s="1">
        <v>-3.4614958120103623E-2</v>
      </c>
      <c r="L716">
        <f t="shared" si="23"/>
        <v>1.1981953256565278E-3</v>
      </c>
      <c r="P716" s="1">
        <v>678</v>
      </c>
      <c r="Q716" s="1">
        <v>3.169806287931369E-2</v>
      </c>
      <c r="R716" s="1">
        <v>-2.6697460803524163E-2</v>
      </c>
    </row>
    <row r="717" spans="1:18" x14ac:dyDescent="0.35">
      <c r="A717" s="8">
        <v>187</v>
      </c>
      <c r="B717" s="8">
        <f t="shared" si="22"/>
        <v>2.271841606536499</v>
      </c>
      <c r="C717" s="8">
        <v>7</v>
      </c>
      <c r="D717" s="8">
        <v>50</v>
      </c>
      <c r="E717" s="8">
        <v>33</v>
      </c>
      <c r="F717" s="8">
        <v>392</v>
      </c>
      <c r="G717" s="8">
        <v>33.9</v>
      </c>
      <c r="H717" s="8">
        <v>0.82599999999999996</v>
      </c>
      <c r="I717" s="8">
        <v>34</v>
      </c>
      <c r="J717" s="1">
        <v>2.1893586921400114</v>
      </c>
      <c r="K717" s="1">
        <v>8.2482914396487583E-2</v>
      </c>
      <c r="L717">
        <f t="shared" si="23"/>
        <v>6.803431167338299E-3</v>
      </c>
      <c r="P717" s="1">
        <v>679</v>
      </c>
      <c r="Q717" s="1">
        <v>3.087345547150664E-2</v>
      </c>
      <c r="R717" s="1">
        <v>-2.8812956197657471E-2</v>
      </c>
    </row>
    <row r="718" spans="1:18" x14ac:dyDescent="0.35">
      <c r="A718" s="8">
        <v>173</v>
      </c>
      <c r="B718" s="8">
        <f t="shared" si="22"/>
        <v>2.2380461031287955</v>
      </c>
      <c r="C718" s="8">
        <v>3</v>
      </c>
      <c r="D718" s="8">
        <v>78</v>
      </c>
      <c r="E718" s="8">
        <v>39</v>
      </c>
      <c r="F718" s="8">
        <v>185</v>
      </c>
      <c r="G718" s="8">
        <v>33.799999999999997</v>
      </c>
      <c r="H718" s="8">
        <v>0.97</v>
      </c>
      <c r="I718" s="8">
        <v>31</v>
      </c>
      <c r="J718" s="1">
        <v>2.0860734979892768</v>
      </c>
      <c r="K718" s="1">
        <v>0.15197260513951871</v>
      </c>
      <c r="L718">
        <f t="shared" si="23"/>
        <v>2.3095672712892069E-2</v>
      </c>
      <c r="P718" s="1">
        <v>680</v>
      </c>
      <c r="Q718" s="1">
        <v>-1.6855997272116952E-2</v>
      </c>
      <c r="R718" s="1">
        <v>2.655265324489537E-2</v>
      </c>
    </row>
    <row r="719" spans="1:18" x14ac:dyDescent="0.35">
      <c r="A719" s="8">
        <v>94</v>
      </c>
      <c r="B719" s="8">
        <f t="shared" si="22"/>
        <v>1.9731278535996986</v>
      </c>
      <c r="C719" s="8">
        <v>10</v>
      </c>
      <c r="D719" s="8">
        <v>72</v>
      </c>
      <c r="E719" s="8">
        <v>18</v>
      </c>
      <c r="F719" s="8">
        <v>0</v>
      </c>
      <c r="G719" s="8">
        <v>23.1</v>
      </c>
      <c r="H719" s="8">
        <v>0.59499999999999997</v>
      </c>
      <c r="I719" s="8">
        <v>56</v>
      </c>
      <c r="J719" s="1">
        <v>2.0661525806563081</v>
      </c>
      <c r="K719" s="1">
        <v>-9.302472705660958E-2</v>
      </c>
      <c r="L719">
        <f t="shared" si="23"/>
        <v>8.6535998439567097E-3</v>
      </c>
      <c r="P719" s="1">
        <v>681</v>
      </c>
      <c r="Q719" s="1">
        <v>6.7308263864926401E-2</v>
      </c>
      <c r="R719" s="1">
        <v>-1.7940900849645988E-2</v>
      </c>
    </row>
    <row r="720" spans="1:18" x14ac:dyDescent="0.35">
      <c r="A720" s="8">
        <v>108</v>
      </c>
      <c r="B720" s="8">
        <f t="shared" si="22"/>
        <v>2.0334237554869499</v>
      </c>
      <c r="C720" s="8">
        <v>1</v>
      </c>
      <c r="D720" s="8">
        <v>60</v>
      </c>
      <c r="E720" s="8">
        <v>46</v>
      </c>
      <c r="F720" s="8">
        <v>178</v>
      </c>
      <c r="G720" s="8">
        <v>35.5</v>
      </c>
      <c r="H720" s="8">
        <v>0.41499999999999998</v>
      </c>
      <c r="I720" s="8">
        <v>24</v>
      </c>
      <c r="J720" s="1">
        <v>2.0337541500679439</v>
      </c>
      <c r="K720" s="1">
        <v>-3.3039458099404229E-4</v>
      </c>
      <c r="L720">
        <f t="shared" si="23"/>
        <v>1.0916057915022877E-7</v>
      </c>
      <c r="P720" s="1">
        <v>682</v>
      </c>
      <c r="Q720" s="1">
        <v>9.5044447810964924E-2</v>
      </c>
      <c r="R720" s="1">
        <v>-5.8504668484471146E-2</v>
      </c>
    </row>
    <row r="721" spans="1:18" x14ac:dyDescent="0.35">
      <c r="A721" s="8">
        <v>97</v>
      </c>
      <c r="B721" s="8">
        <f t="shared" si="22"/>
        <v>1.9867717342662448</v>
      </c>
      <c r="C721" s="8">
        <v>5</v>
      </c>
      <c r="D721" s="8">
        <v>76</v>
      </c>
      <c r="E721" s="8">
        <v>27</v>
      </c>
      <c r="F721" s="8">
        <v>0</v>
      </c>
      <c r="G721" s="8">
        <v>35.6</v>
      </c>
      <c r="H721" s="8">
        <v>0.378</v>
      </c>
      <c r="I721" s="8">
        <v>52</v>
      </c>
      <c r="J721" s="1">
        <v>2.0636058383322129</v>
      </c>
      <c r="K721" s="1">
        <v>-7.6834104065968134E-2</v>
      </c>
      <c r="L721">
        <f t="shared" si="23"/>
        <v>5.903479547620021E-3</v>
      </c>
      <c r="P721" s="1">
        <v>683</v>
      </c>
      <c r="Q721" s="1">
        <v>7.5050380314324427E-2</v>
      </c>
      <c r="R721" s="1">
        <v>-7.1959084509718801E-2</v>
      </c>
    </row>
    <row r="722" spans="1:18" x14ac:dyDescent="0.35">
      <c r="A722" s="8">
        <v>83</v>
      </c>
      <c r="B722" s="8">
        <f t="shared" si="22"/>
        <v>1.919078092376074</v>
      </c>
      <c r="C722" s="8">
        <v>4</v>
      </c>
      <c r="D722" s="8">
        <v>86</v>
      </c>
      <c r="E722" s="8">
        <v>19</v>
      </c>
      <c r="F722" s="8">
        <v>0</v>
      </c>
      <c r="G722" s="8">
        <v>29.3</v>
      </c>
      <c r="H722" s="8">
        <v>0.317</v>
      </c>
      <c r="I722" s="8">
        <v>34</v>
      </c>
      <c r="J722" s="1">
        <v>2.0208178953272551</v>
      </c>
      <c r="K722" s="1">
        <v>-0.10173980295118112</v>
      </c>
      <c r="L722">
        <f t="shared" si="23"/>
        <v>1.0350987504545163E-2</v>
      </c>
      <c r="P722" s="1">
        <v>684</v>
      </c>
      <c r="Q722" s="1">
        <v>1.629855531995051E-2</v>
      </c>
      <c r="R722" s="1">
        <v>-1.4457708310816032E-2</v>
      </c>
    </row>
    <row r="723" spans="1:18" x14ac:dyDescent="0.35">
      <c r="A723" s="8">
        <v>114</v>
      </c>
      <c r="B723" s="8">
        <f t="shared" si="22"/>
        <v>2.0569048513364727</v>
      </c>
      <c r="C723" s="8">
        <v>1</v>
      </c>
      <c r="D723" s="8">
        <v>66</v>
      </c>
      <c r="E723" s="8">
        <v>36</v>
      </c>
      <c r="F723" s="8">
        <v>200</v>
      </c>
      <c r="G723" s="8">
        <v>38.1</v>
      </c>
      <c r="H723" s="8">
        <v>0.28899999999999998</v>
      </c>
      <c r="I723" s="8">
        <v>21</v>
      </c>
      <c r="J723" s="1">
        <v>2.0617366449416186</v>
      </c>
      <c r="K723" s="1">
        <v>-4.831793605145851E-3</v>
      </c>
      <c r="L723">
        <f t="shared" si="23"/>
        <v>2.3346229442728339E-5</v>
      </c>
      <c r="P723" s="1">
        <v>685</v>
      </c>
      <c r="Q723" s="1">
        <v>2.1956191862076146E-3</v>
      </c>
      <c r="R723" s="1">
        <v>2.0133731434230466E-3</v>
      </c>
    </row>
    <row r="724" spans="1:18" x14ac:dyDescent="0.35">
      <c r="A724" s="8">
        <v>149</v>
      </c>
      <c r="B724" s="8">
        <f t="shared" si="22"/>
        <v>2.173186268412274</v>
      </c>
      <c r="C724" s="8">
        <v>1</v>
      </c>
      <c r="D724" s="8">
        <v>68</v>
      </c>
      <c r="E724" s="8">
        <v>29</v>
      </c>
      <c r="F724" s="8">
        <v>127</v>
      </c>
      <c r="G724" s="8">
        <v>29.3</v>
      </c>
      <c r="H724" s="8">
        <v>0.34899999999999998</v>
      </c>
      <c r="I724" s="8">
        <v>42</v>
      </c>
      <c r="J724" s="1">
        <v>2.0696415068923617</v>
      </c>
      <c r="K724" s="1">
        <v>0.10354476151991232</v>
      </c>
      <c r="L724">
        <f t="shared" si="23"/>
        <v>1.0721517638215515E-2</v>
      </c>
      <c r="P724" s="1">
        <v>686</v>
      </c>
      <c r="Q724" s="1">
        <v>1.3938487503446485E-2</v>
      </c>
      <c r="R724" s="1">
        <v>-1.3585031276775987E-2</v>
      </c>
    </row>
    <row r="725" spans="1:18" x14ac:dyDescent="0.35">
      <c r="A725" s="8">
        <v>117</v>
      </c>
      <c r="B725" s="8">
        <f t="shared" si="22"/>
        <v>2.0681858617461617</v>
      </c>
      <c r="C725" s="8">
        <v>5</v>
      </c>
      <c r="D725" s="8">
        <v>86</v>
      </c>
      <c r="E725" s="8">
        <v>30</v>
      </c>
      <c r="F725" s="8">
        <v>105</v>
      </c>
      <c r="G725" s="8">
        <v>39.1</v>
      </c>
      <c r="H725" s="8">
        <v>0.251</v>
      </c>
      <c r="I725" s="8">
        <v>42</v>
      </c>
      <c r="J725" s="1">
        <v>2.0913500748012184</v>
      </c>
      <c r="K725" s="1">
        <v>-2.316421305505667E-2</v>
      </c>
      <c r="L725">
        <f t="shared" si="23"/>
        <v>5.365807664600579E-4</v>
      </c>
      <c r="P725" s="1">
        <v>687</v>
      </c>
      <c r="Q725" s="1">
        <v>2.4631175476427097E-2</v>
      </c>
      <c r="R725" s="1">
        <v>-1.2699512360192506E-2</v>
      </c>
    </row>
    <row r="726" spans="1:18" x14ac:dyDescent="0.35">
      <c r="A726" s="8">
        <v>111</v>
      </c>
      <c r="B726" s="8">
        <f t="shared" si="22"/>
        <v>2.0453229787866576</v>
      </c>
      <c r="C726" s="8">
        <v>1</v>
      </c>
      <c r="D726" s="8">
        <v>94</v>
      </c>
      <c r="E726" s="8">
        <v>0</v>
      </c>
      <c r="F726" s="8">
        <v>0</v>
      </c>
      <c r="G726" s="8">
        <v>32.799999999999997</v>
      </c>
      <c r="H726" s="8">
        <v>0.26500000000000001</v>
      </c>
      <c r="I726" s="8">
        <v>45</v>
      </c>
      <c r="J726" s="1">
        <v>2.0913605464166602</v>
      </c>
      <c r="K726" s="1">
        <v>-4.6037567630002663E-2</v>
      </c>
      <c r="L726">
        <f t="shared" si="23"/>
        <v>2.119457633287069E-3</v>
      </c>
      <c r="P726" s="1">
        <v>688</v>
      </c>
      <c r="Q726" s="1">
        <v>6.7133815090153676E-2</v>
      </c>
      <c r="R726" s="1">
        <v>-6.5394482171932583E-2</v>
      </c>
    </row>
    <row r="727" spans="1:18" x14ac:dyDescent="0.35">
      <c r="A727" s="8">
        <v>112</v>
      </c>
      <c r="B727" s="8">
        <f t="shared" si="22"/>
        <v>2.0492180226701815</v>
      </c>
      <c r="C727" s="8">
        <v>4</v>
      </c>
      <c r="D727" s="8">
        <v>78</v>
      </c>
      <c r="E727" s="8">
        <v>40</v>
      </c>
      <c r="F727" s="8">
        <v>0</v>
      </c>
      <c r="G727" s="8">
        <v>39.4</v>
      </c>
      <c r="H727" s="8">
        <v>0.23599999999999999</v>
      </c>
      <c r="I727" s="8">
        <v>38</v>
      </c>
      <c r="J727" s="1">
        <v>2.0116050928970717</v>
      </c>
      <c r="K727" s="1">
        <v>3.7612929773109816E-2</v>
      </c>
      <c r="L727">
        <f t="shared" si="23"/>
        <v>1.4147324861168908E-3</v>
      </c>
      <c r="P727" s="1">
        <v>689</v>
      </c>
      <c r="Q727" s="1">
        <v>1.7159427707278851E-2</v>
      </c>
      <c r="R727" s="1">
        <v>-9.1942822698228063E-3</v>
      </c>
    </row>
    <row r="728" spans="1:18" x14ac:dyDescent="0.35">
      <c r="A728" s="8">
        <v>116</v>
      </c>
      <c r="B728" s="8">
        <f t="shared" si="22"/>
        <v>2.0644579892269186</v>
      </c>
      <c r="C728" s="8">
        <v>1</v>
      </c>
      <c r="D728" s="8">
        <v>78</v>
      </c>
      <c r="E728" s="8">
        <v>29</v>
      </c>
      <c r="F728" s="8">
        <v>180</v>
      </c>
      <c r="G728" s="8">
        <v>36.1</v>
      </c>
      <c r="H728" s="8">
        <v>0.496</v>
      </c>
      <c r="I728" s="8">
        <v>25</v>
      </c>
      <c r="J728" s="1">
        <v>2.080130982327093</v>
      </c>
      <c r="K728" s="1">
        <v>-1.5672993100174448E-2</v>
      </c>
      <c r="L728">
        <f t="shared" si="23"/>
        <v>2.4564271271811588E-4</v>
      </c>
      <c r="P728" s="1">
        <v>690</v>
      </c>
      <c r="Q728" s="1">
        <v>6.0304635653562061E-2</v>
      </c>
      <c r="R728" s="1">
        <v>-5.8815403679421834E-2</v>
      </c>
    </row>
    <row r="729" spans="1:18" x14ac:dyDescent="0.35">
      <c r="A729" s="8">
        <v>141</v>
      </c>
      <c r="B729" s="8">
        <f t="shared" si="22"/>
        <v>2.1492191126553797</v>
      </c>
      <c r="C729" s="8">
        <v>0</v>
      </c>
      <c r="D729" s="8">
        <v>84</v>
      </c>
      <c r="E729" s="8">
        <v>26</v>
      </c>
      <c r="F729" s="8">
        <v>0</v>
      </c>
      <c r="G729" s="8">
        <v>32.4</v>
      </c>
      <c r="H729" s="8">
        <v>0.433</v>
      </c>
      <c r="I729" s="8">
        <v>22</v>
      </c>
      <c r="J729" s="1">
        <v>1.9864705179481603</v>
      </c>
      <c r="K729" s="1">
        <v>0.16274859470721936</v>
      </c>
      <c r="L729">
        <f t="shared" si="23"/>
        <v>2.648710507917475E-2</v>
      </c>
      <c r="P729" s="1">
        <v>691</v>
      </c>
      <c r="Q729" s="1">
        <v>2.0655402715018352E-3</v>
      </c>
      <c r="R729" s="1">
        <v>-9.7886309275024559E-4</v>
      </c>
    </row>
    <row r="730" spans="1:18" x14ac:dyDescent="0.35">
      <c r="A730" s="8">
        <v>175</v>
      </c>
      <c r="B730" s="8">
        <f t="shared" si="22"/>
        <v>2.2430380486862944</v>
      </c>
      <c r="C730" s="8">
        <v>2</v>
      </c>
      <c r="D730" s="8">
        <v>88</v>
      </c>
      <c r="E730" s="8">
        <v>0</v>
      </c>
      <c r="F730" s="8">
        <v>0</v>
      </c>
      <c r="G730" s="8">
        <v>22.9</v>
      </c>
      <c r="H730" s="8">
        <v>0.32600000000000001</v>
      </c>
      <c r="I730" s="8">
        <v>22</v>
      </c>
      <c r="J730" s="1">
        <v>2.0115786357871328</v>
      </c>
      <c r="K730" s="1">
        <v>0.23145941289916161</v>
      </c>
      <c r="L730">
        <f t="shared" si="23"/>
        <v>5.357345981962458E-2</v>
      </c>
      <c r="P730" s="1">
        <v>692</v>
      </c>
      <c r="Q730" s="1">
        <v>-3.6566555849263001E-4</v>
      </c>
      <c r="R730" s="1">
        <v>4.7128539244954163E-3</v>
      </c>
    </row>
    <row r="731" spans="1:18" x14ac:dyDescent="0.35">
      <c r="A731" s="8">
        <v>92</v>
      </c>
      <c r="B731" s="8">
        <f t="shared" si="22"/>
        <v>1.9637878273455553</v>
      </c>
      <c r="C731" s="8">
        <v>2</v>
      </c>
      <c r="D731" s="8">
        <v>52</v>
      </c>
      <c r="E731" s="8">
        <v>0</v>
      </c>
      <c r="F731" s="8">
        <v>0</v>
      </c>
      <c r="G731" s="8">
        <v>30.1</v>
      </c>
      <c r="H731" s="8">
        <v>0.14099999999999999</v>
      </c>
      <c r="I731" s="8">
        <v>22</v>
      </c>
      <c r="J731" s="1">
        <v>2.0138214945114714</v>
      </c>
      <c r="K731" s="1">
        <v>-5.0033667165916063E-2</v>
      </c>
      <c r="L731">
        <f t="shared" si="23"/>
        <v>2.5033678500696673E-3</v>
      </c>
      <c r="P731" s="1">
        <v>693</v>
      </c>
      <c r="Q731" s="1">
        <v>5.0170710553728515E-2</v>
      </c>
      <c r="R731" s="1">
        <v>-4.9002878292527641E-2</v>
      </c>
    </row>
    <row r="732" spans="1:18" x14ac:dyDescent="0.35">
      <c r="A732" s="8">
        <v>130</v>
      </c>
      <c r="B732" s="8">
        <f t="shared" si="22"/>
        <v>2.1139433523068369</v>
      </c>
      <c r="C732" s="8">
        <v>3</v>
      </c>
      <c r="D732" s="8">
        <v>78</v>
      </c>
      <c r="E732" s="8">
        <v>23</v>
      </c>
      <c r="F732" s="8">
        <v>79</v>
      </c>
      <c r="G732" s="8">
        <v>28.4</v>
      </c>
      <c r="H732" s="8">
        <v>0.32300000000000001</v>
      </c>
      <c r="I732" s="8">
        <v>34</v>
      </c>
      <c r="J732" s="1">
        <v>2.0429802384132341</v>
      </c>
      <c r="K732" s="1">
        <v>7.096311389360288E-2</v>
      </c>
      <c r="L732">
        <f t="shared" si="23"/>
        <v>5.0357635334764544E-3</v>
      </c>
      <c r="P732" s="1">
        <v>694</v>
      </c>
      <c r="Q732" s="1">
        <v>7.101960312948323E-2</v>
      </c>
      <c r="R732" s="1">
        <v>-6.8969874804547998E-2</v>
      </c>
    </row>
    <row r="733" spans="1:18" x14ac:dyDescent="0.35">
      <c r="A733" s="8">
        <v>120</v>
      </c>
      <c r="B733" s="8">
        <f t="shared" si="22"/>
        <v>2.0791812460476247</v>
      </c>
      <c r="C733" s="8">
        <v>8</v>
      </c>
      <c r="D733" s="8">
        <v>86</v>
      </c>
      <c r="E733" s="8">
        <v>0</v>
      </c>
      <c r="F733" s="8">
        <v>0</v>
      </c>
      <c r="G733" s="8">
        <v>28.4</v>
      </c>
      <c r="H733" s="8">
        <v>0.25900000000000001</v>
      </c>
      <c r="I733" s="8">
        <v>22</v>
      </c>
      <c r="J733" s="1">
        <v>2.0296509515341796</v>
      </c>
      <c r="K733" s="1">
        <v>4.9530294513445039E-2</v>
      </c>
      <c r="L733">
        <f t="shared" si="23"/>
        <v>2.4532500745886037E-3</v>
      </c>
      <c r="P733" s="1">
        <v>695</v>
      </c>
      <c r="Q733" s="1">
        <v>2.8707511642921887E-2</v>
      </c>
      <c r="R733" s="1">
        <v>-2.5926385398963848E-2</v>
      </c>
    </row>
    <row r="734" spans="1:18" x14ac:dyDescent="0.35">
      <c r="A734" s="8">
        <v>174</v>
      </c>
      <c r="B734" s="8">
        <f t="shared" si="22"/>
        <v>2.2405492482825999</v>
      </c>
      <c r="C734" s="8">
        <v>2</v>
      </c>
      <c r="D734" s="8">
        <v>88</v>
      </c>
      <c r="E734" s="8">
        <v>37</v>
      </c>
      <c r="F734" s="8">
        <v>120</v>
      </c>
      <c r="G734" s="8">
        <v>44.5</v>
      </c>
      <c r="H734" s="8">
        <v>0.64600000000000002</v>
      </c>
      <c r="I734" s="8">
        <v>24</v>
      </c>
      <c r="J734" s="1">
        <v>2.0663564520562883</v>
      </c>
      <c r="K734" s="1">
        <v>0.17419279622631167</v>
      </c>
      <c r="L734">
        <f t="shared" si="23"/>
        <v>3.0343130257141342E-2</v>
      </c>
      <c r="P734" s="1">
        <v>696</v>
      </c>
      <c r="Q734" s="1">
        <v>-6.763105344259028E-2</v>
      </c>
      <c r="R734" s="1">
        <v>7.7519820474710371E-2</v>
      </c>
    </row>
    <row r="735" spans="1:18" x14ac:dyDescent="0.35">
      <c r="A735" s="8">
        <v>106</v>
      </c>
      <c r="B735" s="8">
        <f t="shared" si="22"/>
        <v>2.0253058652647704</v>
      </c>
      <c r="C735" s="8">
        <v>2</v>
      </c>
      <c r="D735" s="8">
        <v>56</v>
      </c>
      <c r="E735" s="8">
        <v>27</v>
      </c>
      <c r="F735" s="8">
        <v>165</v>
      </c>
      <c r="G735" s="8">
        <v>29</v>
      </c>
      <c r="H735" s="8">
        <v>0.42599999999999999</v>
      </c>
      <c r="I735" s="8">
        <v>22</v>
      </c>
      <c r="J735" s="1">
        <v>2.0425419234836979</v>
      </c>
      <c r="K735" s="1">
        <v>-1.7236058218927486E-2</v>
      </c>
      <c r="L735">
        <f t="shared" si="23"/>
        <v>2.9708170292625771E-4</v>
      </c>
      <c r="P735" s="1">
        <v>697</v>
      </c>
      <c r="Q735" s="1">
        <v>2.5168049445555299E-2</v>
      </c>
      <c r="R735" s="1">
        <v>1.0878259074647775E-3</v>
      </c>
    </row>
    <row r="736" spans="1:18" x14ac:dyDescent="0.35">
      <c r="A736" s="8">
        <v>105</v>
      </c>
      <c r="B736" s="8">
        <f t="shared" si="22"/>
        <v>2.0211892990699383</v>
      </c>
      <c r="C736" s="8">
        <v>2</v>
      </c>
      <c r="D736" s="8">
        <v>75</v>
      </c>
      <c r="E736" s="8">
        <v>0</v>
      </c>
      <c r="F736" s="8">
        <v>0</v>
      </c>
      <c r="G736" s="8">
        <v>23.3</v>
      </c>
      <c r="H736" s="8">
        <v>0.56000000000000005</v>
      </c>
      <c r="I736" s="8">
        <v>53</v>
      </c>
      <c r="J736" s="1">
        <v>2.0872222634870679</v>
      </c>
      <c r="K736" s="1">
        <v>-6.603296441712958E-2</v>
      </c>
      <c r="L736">
        <f t="shared" si="23"/>
        <v>4.3603523897139014E-3</v>
      </c>
      <c r="P736" s="1">
        <v>698</v>
      </c>
      <c r="Q736" s="1">
        <v>4.1413644305061621E-2</v>
      </c>
      <c r="R736" s="1">
        <v>-4.127562848827189E-2</v>
      </c>
    </row>
    <row r="737" spans="1:18" x14ac:dyDescent="0.35">
      <c r="A737" s="8">
        <v>95</v>
      </c>
      <c r="B737" s="8">
        <f t="shared" si="22"/>
        <v>1.9777236052888478</v>
      </c>
      <c r="C737" s="8">
        <v>4</v>
      </c>
      <c r="D737" s="8">
        <v>60</v>
      </c>
      <c r="E737" s="8">
        <v>32</v>
      </c>
      <c r="F737" s="8">
        <v>0</v>
      </c>
      <c r="G737" s="8">
        <v>35.4</v>
      </c>
      <c r="H737" s="8">
        <v>0.28399999999999997</v>
      </c>
      <c r="I737" s="8">
        <v>28</v>
      </c>
      <c r="J737" s="1">
        <v>1.9884146034052077</v>
      </c>
      <c r="K737" s="1">
        <v>-1.0690998116359873E-2</v>
      </c>
      <c r="L737">
        <f t="shared" si="23"/>
        <v>1.1429744072401035E-4</v>
      </c>
      <c r="P737" s="1">
        <v>699</v>
      </c>
      <c r="Q737" s="1">
        <v>-6.6706426076767172E-3</v>
      </c>
      <c r="R737" s="1">
        <v>6.8113310041169892E-3</v>
      </c>
    </row>
    <row r="738" spans="1:18" x14ac:dyDescent="0.35">
      <c r="A738" s="8">
        <v>126</v>
      </c>
      <c r="B738" s="8">
        <f t="shared" si="22"/>
        <v>2.1003705451175629</v>
      </c>
      <c r="C738" s="8">
        <v>0</v>
      </c>
      <c r="D738" s="8">
        <v>86</v>
      </c>
      <c r="E738" s="8">
        <v>27</v>
      </c>
      <c r="F738" s="8">
        <v>120</v>
      </c>
      <c r="G738" s="8">
        <v>27.4</v>
      </c>
      <c r="H738" s="8">
        <v>0.51500000000000001</v>
      </c>
      <c r="I738" s="8">
        <v>21</v>
      </c>
      <c r="J738" s="1">
        <v>2.026100246271219</v>
      </c>
      <c r="K738" s="1">
        <v>7.4270298846343952E-2</v>
      </c>
      <c r="L738">
        <f t="shared" si="23"/>
        <v>5.5160772907252393E-3</v>
      </c>
      <c r="P738" s="1">
        <v>700</v>
      </c>
      <c r="Q738" s="1">
        <v>1.2490770387821384E-2</v>
      </c>
      <c r="R738" s="1">
        <v>-1.2085593041584321E-2</v>
      </c>
    </row>
    <row r="739" spans="1:18" x14ac:dyDescent="0.35">
      <c r="A739" s="8">
        <v>65</v>
      </c>
      <c r="B739" s="8">
        <f t="shared" si="22"/>
        <v>1.8129133566428555</v>
      </c>
      <c r="C739" s="8">
        <v>8</v>
      </c>
      <c r="D739" s="8">
        <v>72</v>
      </c>
      <c r="E739" s="8">
        <v>23</v>
      </c>
      <c r="F739" s="8">
        <v>0</v>
      </c>
      <c r="G739" s="8">
        <v>32</v>
      </c>
      <c r="H739" s="8">
        <v>0.6</v>
      </c>
      <c r="I739" s="8">
        <v>42</v>
      </c>
      <c r="J739" s="1">
        <v>2.0462072389655894</v>
      </c>
      <c r="K739" s="1">
        <v>-0.23329388232273396</v>
      </c>
      <c r="L739">
        <f t="shared" si="23"/>
        <v>5.4426035529213643E-2</v>
      </c>
      <c r="P739" s="1">
        <v>701</v>
      </c>
      <c r="Q739" s="1">
        <v>1.8879595412363569E-2</v>
      </c>
      <c r="R739" s="1">
        <v>-1.8808149443654412E-2</v>
      </c>
    </row>
    <row r="740" spans="1:18" x14ac:dyDescent="0.35">
      <c r="A740" s="8">
        <v>99</v>
      </c>
      <c r="B740" s="8">
        <f t="shared" si="22"/>
        <v>1.9956351945975499</v>
      </c>
      <c r="C740" s="8">
        <v>2</v>
      </c>
      <c r="D740" s="8">
        <v>60</v>
      </c>
      <c r="E740" s="8">
        <v>17</v>
      </c>
      <c r="F740" s="8">
        <v>160</v>
      </c>
      <c r="G740" s="8">
        <v>36.6</v>
      </c>
      <c r="H740" s="8">
        <v>0.45300000000000001</v>
      </c>
      <c r="I740" s="8">
        <v>21</v>
      </c>
      <c r="J740" s="1">
        <v>2.0802187108511969</v>
      </c>
      <c r="K740" s="1">
        <v>-8.4583516253647018E-2</v>
      </c>
      <c r="L740">
        <f t="shared" si="23"/>
        <v>7.154371221830969E-3</v>
      </c>
      <c r="P740" s="1">
        <v>702</v>
      </c>
      <c r="Q740" s="1">
        <v>6.61579065905437E-2</v>
      </c>
      <c r="R740" s="1">
        <v>-6.2205641242312856E-2</v>
      </c>
    </row>
    <row r="741" spans="1:18" x14ac:dyDescent="0.35">
      <c r="A741" s="8">
        <v>102</v>
      </c>
      <c r="B741" s="8">
        <f t="shared" si="22"/>
        <v>2.0086001717619175</v>
      </c>
      <c r="C741" s="8">
        <v>1</v>
      </c>
      <c r="D741" s="8">
        <v>74</v>
      </c>
      <c r="E741" s="8">
        <v>0</v>
      </c>
      <c r="F741" s="8">
        <v>0</v>
      </c>
      <c r="G741" s="8">
        <v>39.5</v>
      </c>
      <c r="H741" s="8">
        <v>0.29299999999999998</v>
      </c>
      <c r="I741" s="8">
        <v>42</v>
      </c>
      <c r="J741" s="1">
        <v>2.096696185702291</v>
      </c>
      <c r="K741" s="1">
        <v>-8.8096013940373474E-2</v>
      </c>
      <c r="L741">
        <f t="shared" si="23"/>
        <v>7.7609076721824773E-3</v>
      </c>
      <c r="P741" s="1">
        <v>703</v>
      </c>
      <c r="Q741" s="1">
        <v>6.2611559314068851E-2</v>
      </c>
      <c r="R741" s="1">
        <v>-3.9519479356429368E-2</v>
      </c>
    </row>
    <row r="742" spans="1:18" x14ac:dyDescent="0.35">
      <c r="A742" s="8">
        <v>120</v>
      </c>
      <c r="B742" s="8">
        <f t="shared" si="22"/>
        <v>2.0791812460476247</v>
      </c>
      <c r="C742" s="8">
        <v>11</v>
      </c>
      <c r="D742" s="8">
        <v>80</v>
      </c>
      <c r="E742" s="8">
        <v>37</v>
      </c>
      <c r="F742" s="8">
        <v>150</v>
      </c>
      <c r="G742" s="8">
        <v>42.3</v>
      </c>
      <c r="H742" s="8">
        <v>0.78500000000000003</v>
      </c>
      <c r="I742" s="8">
        <v>48</v>
      </c>
      <c r="J742" s="1">
        <v>2.1397728202356303</v>
      </c>
      <c r="K742" s="1">
        <v>-6.0591574188005648E-2</v>
      </c>
      <c r="L742">
        <f t="shared" si="23"/>
        <v>3.6713388625805921E-3</v>
      </c>
      <c r="P742" s="1">
        <v>704</v>
      </c>
      <c r="Q742" s="1">
        <v>3.5410207692854509E-2</v>
      </c>
      <c r="R742" s="1">
        <v>-3.3612390325235851E-2</v>
      </c>
    </row>
    <row r="743" spans="1:18" x14ac:dyDescent="0.35">
      <c r="A743" s="8">
        <v>102</v>
      </c>
      <c r="B743" s="8">
        <f t="shared" si="22"/>
        <v>2.0086001717619175</v>
      </c>
      <c r="C743" s="8">
        <v>3</v>
      </c>
      <c r="D743" s="8">
        <v>44</v>
      </c>
      <c r="E743" s="8">
        <v>20</v>
      </c>
      <c r="F743" s="8">
        <v>94</v>
      </c>
      <c r="G743" s="8">
        <v>30.8</v>
      </c>
      <c r="H743" s="8">
        <v>0.4</v>
      </c>
      <c r="I743" s="8">
        <v>26</v>
      </c>
      <c r="J743" s="1">
        <v>2.0343740636635941</v>
      </c>
      <c r="K743" s="1">
        <v>-2.577389190167656E-2</v>
      </c>
      <c r="L743">
        <f t="shared" si="23"/>
        <v>6.6429350375930851E-4</v>
      </c>
      <c r="P743" s="1">
        <v>705</v>
      </c>
      <c r="Q743" s="1">
        <v>3.5012149105708407E-2</v>
      </c>
      <c r="R743" s="1">
        <v>-3.4988059337293299E-2</v>
      </c>
    </row>
    <row r="744" spans="1:18" x14ac:dyDescent="0.35">
      <c r="A744" s="8">
        <v>109</v>
      </c>
      <c r="B744" s="8">
        <f t="shared" si="22"/>
        <v>2.0374264979406238</v>
      </c>
      <c r="C744" s="8">
        <v>1</v>
      </c>
      <c r="D744" s="8">
        <v>58</v>
      </c>
      <c r="E744" s="8">
        <v>18</v>
      </c>
      <c r="F744" s="8">
        <v>116</v>
      </c>
      <c r="G744" s="8">
        <v>28.5</v>
      </c>
      <c r="H744" s="8">
        <v>0.219</v>
      </c>
      <c r="I744" s="8">
        <v>22</v>
      </c>
      <c r="J744" s="1">
        <v>2.0302957455983885</v>
      </c>
      <c r="K744" s="1">
        <v>7.1307523422352581E-3</v>
      </c>
      <c r="L744">
        <f t="shared" si="23"/>
        <v>5.0847628966293622E-5</v>
      </c>
      <c r="P744" s="1">
        <v>706</v>
      </c>
      <c r="Q744" s="1">
        <v>8.7035535884123938E-2</v>
      </c>
      <c r="R744" s="1">
        <v>-7.8010436848057585E-2</v>
      </c>
    </row>
    <row r="745" spans="1:18" x14ac:dyDescent="0.35">
      <c r="A745" s="8">
        <v>140</v>
      </c>
      <c r="B745" s="8">
        <f t="shared" si="22"/>
        <v>2.1461280356782382</v>
      </c>
      <c r="C745" s="8">
        <v>9</v>
      </c>
      <c r="D745" s="8">
        <v>94</v>
      </c>
      <c r="E745" s="8">
        <v>0</v>
      </c>
      <c r="F745" s="8">
        <v>0</v>
      </c>
      <c r="G745" s="8">
        <v>32.700000000000003</v>
      </c>
      <c r="H745" s="8">
        <v>0.73399999999999999</v>
      </c>
      <c r="I745" s="8">
        <v>45</v>
      </c>
      <c r="J745" s="1">
        <v>2.1121206586123193</v>
      </c>
      <c r="K745" s="1">
        <v>3.4007377065918831E-2</v>
      </c>
      <c r="L745">
        <f t="shared" si="23"/>
        <v>1.156501694903582E-3</v>
      </c>
      <c r="P745" s="1">
        <v>707</v>
      </c>
      <c r="Q745" s="1">
        <v>2.1599078437759052E-2</v>
      </c>
      <c r="R745" s="1">
        <v>-8.0597721203614723E-3</v>
      </c>
    </row>
    <row r="746" spans="1:18" x14ac:dyDescent="0.35">
      <c r="A746" s="8">
        <v>153</v>
      </c>
      <c r="B746" s="8">
        <f t="shared" si="22"/>
        <v>2.1846914308175989</v>
      </c>
      <c r="C746" s="8">
        <v>13</v>
      </c>
      <c r="D746" s="8">
        <v>88</v>
      </c>
      <c r="E746" s="8">
        <v>37</v>
      </c>
      <c r="F746" s="8">
        <v>140</v>
      </c>
      <c r="G746" s="8">
        <v>40.6</v>
      </c>
      <c r="H746" s="8">
        <v>1.1739999999999999</v>
      </c>
      <c r="I746" s="8">
        <v>39</v>
      </c>
      <c r="J746" s="1">
        <v>2.1253543008874907</v>
      </c>
      <c r="K746" s="1">
        <v>5.9337129930108201E-2</v>
      </c>
      <c r="L746">
        <f t="shared" si="23"/>
        <v>3.5208949883425425E-3</v>
      </c>
      <c r="P746" s="1">
        <v>708</v>
      </c>
      <c r="Q746" s="1">
        <v>-1.659736217504228E-2</v>
      </c>
      <c r="R746" s="1">
        <v>1.7609404621447833E-2</v>
      </c>
    </row>
    <row r="747" spans="1:18" x14ac:dyDescent="0.35">
      <c r="A747" s="8">
        <v>100</v>
      </c>
      <c r="B747" s="8">
        <f t="shared" si="22"/>
        <v>2</v>
      </c>
      <c r="C747" s="8">
        <v>12</v>
      </c>
      <c r="D747" s="8">
        <v>84</v>
      </c>
      <c r="E747" s="8">
        <v>33</v>
      </c>
      <c r="F747" s="8">
        <v>105</v>
      </c>
      <c r="G747" s="8">
        <v>30</v>
      </c>
      <c r="H747" s="8">
        <v>0.48799999999999999</v>
      </c>
      <c r="I747" s="8">
        <v>46</v>
      </c>
      <c r="J747" s="1">
        <v>2.0828605711289483</v>
      </c>
      <c r="K747" s="1">
        <v>-8.286057112894829E-2</v>
      </c>
      <c r="L747">
        <f t="shared" si="23"/>
        <v>6.8658742478154991E-3</v>
      </c>
      <c r="P747" s="1">
        <v>709</v>
      </c>
      <c r="Q747" s="1">
        <v>1.2928633199297181E-2</v>
      </c>
      <c r="R747" s="1">
        <v>2.5865965715024513E-3</v>
      </c>
    </row>
    <row r="748" spans="1:18" x14ac:dyDescent="0.35">
      <c r="A748" s="8">
        <v>147</v>
      </c>
      <c r="B748" s="8">
        <f t="shared" si="22"/>
        <v>2.167317334748176</v>
      </c>
      <c r="C748" s="8">
        <v>1</v>
      </c>
      <c r="D748" s="8">
        <v>94</v>
      </c>
      <c r="E748" s="8">
        <v>41</v>
      </c>
      <c r="F748" s="8">
        <v>0</v>
      </c>
      <c r="G748" s="8">
        <v>49.3</v>
      </c>
      <c r="H748" s="8">
        <v>0.35799999999999998</v>
      </c>
      <c r="I748" s="8">
        <v>27</v>
      </c>
      <c r="J748" s="1">
        <v>2.0169123922777192</v>
      </c>
      <c r="K748" s="1">
        <v>0.15040494247045677</v>
      </c>
      <c r="L748">
        <f t="shared" si="23"/>
        <v>2.2621646719541411E-2</v>
      </c>
      <c r="P748" s="1">
        <v>710</v>
      </c>
      <c r="Q748" s="1">
        <v>3.7858941115073763E-2</v>
      </c>
      <c r="R748" s="1">
        <v>-2.8140445159541318E-2</v>
      </c>
    </row>
    <row r="749" spans="1:18" x14ac:dyDescent="0.35">
      <c r="A749" s="8">
        <v>81</v>
      </c>
      <c r="B749" s="8">
        <f t="shared" si="22"/>
        <v>1.9084850188786497</v>
      </c>
      <c r="C749" s="8">
        <v>1</v>
      </c>
      <c r="D749" s="8">
        <v>74</v>
      </c>
      <c r="E749" s="8">
        <v>41</v>
      </c>
      <c r="F749" s="8">
        <v>57</v>
      </c>
      <c r="G749" s="8">
        <v>46.3</v>
      </c>
      <c r="H749" s="8">
        <v>1.0960000000000001</v>
      </c>
      <c r="I749" s="8">
        <v>32</v>
      </c>
      <c r="J749" s="1">
        <v>2.0607134470053019</v>
      </c>
      <c r="K749" s="1">
        <v>-0.15222842812665216</v>
      </c>
      <c r="L749">
        <f t="shared" si="23"/>
        <v>2.3173494329911302E-2</v>
      </c>
      <c r="P749" s="1">
        <v>711</v>
      </c>
      <c r="Q749" s="1">
        <v>-5.2592866555482787E-2</v>
      </c>
      <c r="R749" s="1">
        <v>5.2898573505472939E-2</v>
      </c>
    </row>
    <row r="750" spans="1:18" x14ac:dyDescent="0.35">
      <c r="A750" s="8">
        <v>187</v>
      </c>
      <c r="B750" s="8">
        <f t="shared" si="22"/>
        <v>2.271841606536499</v>
      </c>
      <c r="C750" s="8">
        <v>3</v>
      </c>
      <c r="D750" s="8">
        <v>70</v>
      </c>
      <c r="E750" s="8">
        <v>22</v>
      </c>
      <c r="F750" s="8">
        <v>200</v>
      </c>
      <c r="G750" s="8">
        <v>36.4</v>
      </c>
      <c r="H750" s="8">
        <v>0.40799999999999997</v>
      </c>
      <c r="I750" s="8">
        <v>36</v>
      </c>
      <c r="J750" s="1">
        <v>2.1260235528288423</v>
      </c>
      <c r="K750" s="1">
        <v>0.14581805370765677</v>
      </c>
      <c r="L750">
        <f t="shared" si="23"/>
        <v>2.1262904787089074E-2</v>
      </c>
      <c r="P750" s="1">
        <v>712</v>
      </c>
      <c r="Q750" s="1">
        <v>5.8589527937845609E-2</v>
      </c>
      <c r="R750" s="1">
        <v>-5.3881142057361435E-2</v>
      </c>
    </row>
    <row r="751" spans="1:18" x14ac:dyDescent="0.35">
      <c r="A751" s="8">
        <v>162</v>
      </c>
      <c r="B751" s="8">
        <f t="shared" si="22"/>
        <v>2.2095150145426308</v>
      </c>
      <c r="C751" s="8">
        <v>6</v>
      </c>
      <c r="D751" s="8">
        <v>62</v>
      </c>
      <c r="E751" s="8">
        <v>0</v>
      </c>
      <c r="F751" s="8">
        <v>0</v>
      </c>
      <c r="G751" s="8">
        <v>24.3</v>
      </c>
      <c r="H751" s="8">
        <v>0.17799999999999999</v>
      </c>
      <c r="I751" s="8">
        <v>50</v>
      </c>
      <c r="J751" s="1">
        <v>2.0714889734694011</v>
      </c>
      <c r="K751" s="1">
        <v>0.13802604107322969</v>
      </c>
      <c r="L751">
        <f t="shared" si="23"/>
        <v>1.905118801434889E-2</v>
      </c>
      <c r="P751" s="1">
        <v>713</v>
      </c>
      <c r="Q751" s="1">
        <v>7.7239497394471002E-2</v>
      </c>
      <c r="R751" s="1">
        <v>-7.0830311790482242E-2</v>
      </c>
    </row>
    <row r="752" spans="1:18" x14ac:dyDescent="0.35">
      <c r="A752" s="8">
        <v>136</v>
      </c>
      <c r="B752" s="8">
        <f t="shared" si="22"/>
        <v>2.1335389083702174</v>
      </c>
      <c r="C752" s="8">
        <v>4</v>
      </c>
      <c r="D752" s="8">
        <v>70</v>
      </c>
      <c r="E752" s="8">
        <v>0</v>
      </c>
      <c r="F752" s="8">
        <v>0</v>
      </c>
      <c r="G752" s="8">
        <v>31.2</v>
      </c>
      <c r="H752" s="8">
        <v>1.1819999999999999</v>
      </c>
      <c r="I752" s="8">
        <v>22</v>
      </c>
      <c r="J752" s="1">
        <v>2.054506582529128</v>
      </c>
      <c r="K752" s="1">
        <v>7.9032325841089435E-2</v>
      </c>
      <c r="L752">
        <f t="shared" si="23"/>
        <v>6.2461085278521329E-3</v>
      </c>
      <c r="P752" s="1">
        <v>714</v>
      </c>
      <c r="Q752" s="1">
        <v>-9.5615056507658922E-3</v>
      </c>
      <c r="R752" s="1">
        <v>1.0260635542872206E-2</v>
      </c>
    </row>
    <row r="753" spans="1:18" x14ac:dyDescent="0.35">
      <c r="A753" s="8">
        <v>121</v>
      </c>
      <c r="B753" s="8">
        <f t="shared" si="22"/>
        <v>2.0827853703164503</v>
      </c>
      <c r="C753" s="8">
        <v>1</v>
      </c>
      <c r="D753" s="8">
        <v>78</v>
      </c>
      <c r="E753" s="8">
        <v>39</v>
      </c>
      <c r="F753" s="8">
        <v>74</v>
      </c>
      <c r="G753" s="8">
        <v>39</v>
      </c>
      <c r="H753" s="8">
        <v>0.26100000000000001</v>
      </c>
      <c r="I753" s="8">
        <v>28</v>
      </c>
      <c r="J753" s="1">
        <v>2.0206339697323514</v>
      </c>
      <c r="K753" s="1">
        <v>6.2151400584098848E-2</v>
      </c>
      <c r="L753">
        <f t="shared" si="23"/>
        <v>3.8627965945651228E-3</v>
      </c>
      <c r="P753" s="1">
        <v>715</v>
      </c>
      <c r="Q753" s="1">
        <v>2.5488983676948775E-2</v>
      </c>
      <c r="R753" s="1">
        <v>-2.4290788351292246E-2</v>
      </c>
    </row>
    <row r="754" spans="1:18" x14ac:dyDescent="0.35">
      <c r="A754" s="8">
        <v>108</v>
      </c>
      <c r="B754" s="8">
        <f t="shared" si="22"/>
        <v>2.0334237554869499</v>
      </c>
      <c r="C754" s="8">
        <v>3</v>
      </c>
      <c r="D754" s="8">
        <v>62</v>
      </c>
      <c r="E754" s="8">
        <v>24</v>
      </c>
      <c r="F754" s="8">
        <v>0</v>
      </c>
      <c r="G754" s="8">
        <v>26</v>
      </c>
      <c r="H754" s="8">
        <v>0.223</v>
      </c>
      <c r="I754" s="8">
        <v>25</v>
      </c>
      <c r="J754" s="1">
        <v>1.9694689610537681</v>
      </c>
      <c r="K754" s="1">
        <v>6.395479443318175E-2</v>
      </c>
      <c r="L754">
        <f t="shared" si="23"/>
        <v>4.0902157309905349E-3</v>
      </c>
      <c r="P754" s="1">
        <v>716</v>
      </c>
      <c r="Q754" s="1">
        <v>-3.217752788356016E-2</v>
      </c>
      <c r="R754" s="1">
        <v>3.8980959050898462E-2</v>
      </c>
    </row>
    <row r="755" spans="1:18" x14ac:dyDescent="0.35">
      <c r="A755" s="8">
        <v>181</v>
      </c>
      <c r="B755" s="8">
        <f t="shared" si="22"/>
        <v>2.2576785748691846</v>
      </c>
      <c r="C755" s="8">
        <v>0</v>
      </c>
      <c r="D755" s="8">
        <v>88</v>
      </c>
      <c r="E755" s="8">
        <v>44</v>
      </c>
      <c r="F755" s="8">
        <v>510</v>
      </c>
      <c r="G755" s="8">
        <v>43.3</v>
      </c>
      <c r="H755" s="8">
        <v>0.222</v>
      </c>
      <c r="I755" s="8">
        <v>26</v>
      </c>
      <c r="J755" s="1">
        <v>2.2171302974182279</v>
      </c>
      <c r="K755" s="1">
        <v>4.0548277450956682E-2</v>
      </c>
      <c r="L755">
        <f t="shared" si="23"/>
        <v>1.644162804239762E-3</v>
      </c>
      <c r="P755" s="1">
        <v>717</v>
      </c>
      <c r="Q755" s="1">
        <v>3.3032747240500246E-2</v>
      </c>
      <c r="R755" s="1">
        <v>-9.9370745276081765E-3</v>
      </c>
    </row>
    <row r="756" spans="1:18" x14ac:dyDescent="0.35">
      <c r="A756" s="8">
        <v>154</v>
      </c>
      <c r="B756" s="8">
        <f t="shared" si="22"/>
        <v>2.1875207208364631</v>
      </c>
      <c r="C756" s="8">
        <v>8</v>
      </c>
      <c r="D756" s="8">
        <v>78</v>
      </c>
      <c r="E756" s="8">
        <v>32</v>
      </c>
      <c r="F756" s="8">
        <v>0</v>
      </c>
      <c r="G756" s="8">
        <v>32.4</v>
      </c>
      <c r="H756" s="8">
        <v>0.443</v>
      </c>
      <c r="I756" s="8">
        <v>45</v>
      </c>
      <c r="J756" s="1">
        <v>2.0342314213032746</v>
      </c>
      <c r="K756" s="1">
        <v>0.15328929953318848</v>
      </c>
      <c r="L756">
        <f t="shared" si="23"/>
        <v>2.3497609351375581E-2</v>
      </c>
      <c r="P756" s="1">
        <v>718</v>
      </c>
      <c r="Q756" s="1">
        <v>3.4560524486590832E-2</v>
      </c>
      <c r="R756" s="1">
        <v>-2.5906924642634124E-2</v>
      </c>
    </row>
    <row r="757" spans="1:18" x14ac:dyDescent="0.35">
      <c r="A757" s="8">
        <v>128</v>
      </c>
      <c r="B757" s="8">
        <f t="shared" si="22"/>
        <v>2.1072099696478683</v>
      </c>
      <c r="C757" s="8">
        <v>1</v>
      </c>
      <c r="D757" s="8">
        <v>88</v>
      </c>
      <c r="E757" s="8">
        <v>39</v>
      </c>
      <c r="F757" s="8">
        <v>110</v>
      </c>
      <c r="G757" s="8">
        <v>36.5</v>
      </c>
      <c r="H757" s="8">
        <v>1.0569999999999999</v>
      </c>
      <c r="I757" s="8">
        <v>37</v>
      </c>
      <c r="J757" s="1">
        <v>2.077259845863435</v>
      </c>
      <c r="K757" s="1">
        <v>2.9950123784433291E-2</v>
      </c>
      <c r="L757">
        <f t="shared" si="23"/>
        <v>8.9700991470287675E-4</v>
      </c>
      <c r="P757" s="1">
        <v>719</v>
      </c>
      <c r="Q757" s="1">
        <v>6.569481354396714E-2</v>
      </c>
      <c r="R757" s="1">
        <v>-6.5694704383387995E-2</v>
      </c>
    </row>
    <row r="758" spans="1:18" x14ac:dyDescent="0.35">
      <c r="A758" s="8">
        <v>137</v>
      </c>
      <c r="B758" s="8">
        <f t="shared" si="22"/>
        <v>2.1367205671564067</v>
      </c>
      <c r="C758" s="8">
        <v>7</v>
      </c>
      <c r="D758" s="8">
        <v>90</v>
      </c>
      <c r="E758" s="8">
        <v>41</v>
      </c>
      <c r="F758" s="8">
        <v>0</v>
      </c>
      <c r="G758" s="8">
        <v>32</v>
      </c>
      <c r="H758" s="8">
        <v>0.39100000000000001</v>
      </c>
      <c r="I758" s="8">
        <v>39</v>
      </c>
      <c r="J758" s="1">
        <v>2.0031747523034542</v>
      </c>
      <c r="K758" s="1">
        <v>0.13354581485295247</v>
      </c>
      <c r="L758">
        <f t="shared" si="23"/>
        <v>1.783448466473906E-2</v>
      </c>
      <c r="P758" s="1">
        <v>720</v>
      </c>
      <c r="Q758" s="1">
        <v>6.4427155496272787E-2</v>
      </c>
      <c r="R758" s="1">
        <v>-5.8523675948652765E-2</v>
      </c>
    </row>
    <row r="759" spans="1:18" x14ac:dyDescent="0.35">
      <c r="A759" s="8">
        <v>123</v>
      </c>
      <c r="B759" s="8">
        <f t="shared" si="22"/>
        <v>2.0899051114393981</v>
      </c>
      <c r="C759" s="8">
        <v>0</v>
      </c>
      <c r="D759" s="8">
        <v>72</v>
      </c>
      <c r="E759" s="8">
        <v>0</v>
      </c>
      <c r="F759" s="8">
        <v>0</v>
      </c>
      <c r="G759" s="8">
        <v>36.299999999999997</v>
      </c>
      <c r="H759" s="8">
        <v>0.25800000000000001</v>
      </c>
      <c r="I759" s="8">
        <v>52</v>
      </c>
      <c r="J759" s="1">
        <v>2.1086721478440862</v>
      </c>
      <c r="K759" s="1">
        <v>-1.8767036404688131E-2</v>
      </c>
      <c r="L759">
        <f t="shared" si="23"/>
        <v>3.5220165541488964E-4</v>
      </c>
      <c r="P759" s="1">
        <v>721</v>
      </c>
      <c r="Q759" s="1">
        <v>5.3079445605130997E-2</v>
      </c>
      <c r="R759" s="1">
        <v>-4.2728458100585835E-2</v>
      </c>
    </row>
    <row r="760" spans="1:18" x14ac:dyDescent="0.35">
      <c r="A760" s="8">
        <v>106</v>
      </c>
      <c r="B760" s="8">
        <f t="shared" si="22"/>
        <v>2.0253058652647704</v>
      </c>
      <c r="C760" s="8">
        <v>1</v>
      </c>
      <c r="D760" s="8">
        <v>76</v>
      </c>
      <c r="E760" s="8">
        <v>0</v>
      </c>
      <c r="F760" s="8">
        <v>0</v>
      </c>
      <c r="G760" s="8">
        <v>37.5</v>
      </c>
      <c r="H760" s="8">
        <v>0.19700000000000001</v>
      </c>
      <c r="I760" s="8">
        <v>26</v>
      </c>
      <c r="J760" s="1">
        <v>2.0519156941972523</v>
      </c>
      <c r="K760" s="1">
        <v>-2.6609828932481872E-2</v>
      </c>
      <c r="L760">
        <f t="shared" si="23"/>
        <v>7.080829958159493E-4</v>
      </c>
      <c r="P760" s="1">
        <v>722</v>
      </c>
      <c r="Q760" s="1">
        <v>4.3472071186437922E-2</v>
      </c>
      <c r="R760" s="1">
        <v>-4.3448724956995192E-2</v>
      </c>
    </row>
    <row r="761" spans="1:18" x14ac:dyDescent="0.35">
      <c r="A761" s="8">
        <v>190</v>
      </c>
      <c r="B761" s="8">
        <f t="shared" si="22"/>
        <v>2.2787536009528289</v>
      </c>
      <c r="C761" s="8">
        <v>6</v>
      </c>
      <c r="D761" s="8">
        <v>92</v>
      </c>
      <c r="E761" s="8">
        <v>0</v>
      </c>
      <c r="F761" s="8">
        <v>0</v>
      </c>
      <c r="G761" s="8">
        <v>35.5</v>
      </c>
      <c r="H761" s="8">
        <v>0.27800000000000002</v>
      </c>
      <c r="I761" s="8">
        <v>66</v>
      </c>
      <c r="J761" s="1">
        <v>2.1520754801537225</v>
      </c>
      <c r="K761" s="1">
        <v>0.12667812079910634</v>
      </c>
      <c r="L761">
        <f t="shared" si="23"/>
        <v>1.6047346289192979E-2</v>
      </c>
      <c r="P761" s="1">
        <v>723</v>
      </c>
      <c r="Q761" s="1">
        <v>4.3915647510575972E-2</v>
      </c>
      <c r="R761" s="1">
        <v>-3.3194129872360457E-2</v>
      </c>
    </row>
    <row r="762" spans="1:18" x14ac:dyDescent="0.35">
      <c r="A762" s="8">
        <v>88</v>
      </c>
      <c r="B762" s="8">
        <f t="shared" si="22"/>
        <v>1.9444826721501687</v>
      </c>
      <c r="C762" s="8">
        <v>2</v>
      </c>
      <c r="D762" s="8">
        <v>58</v>
      </c>
      <c r="E762" s="8">
        <v>26</v>
      </c>
      <c r="F762" s="8">
        <v>16</v>
      </c>
      <c r="G762" s="8">
        <v>28.4</v>
      </c>
      <c r="H762" s="8">
        <v>0.76600000000000001</v>
      </c>
      <c r="I762" s="8">
        <v>22</v>
      </c>
      <c r="J762" s="1">
        <v>1.985607315022283</v>
      </c>
      <c r="K762" s="1">
        <v>-4.112464287211437E-2</v>
      </c>
      <c r="L762">
        <f t="shared" si="23"/>
        <v>1.6912362513589472E-3</v>
      </c>
      <c r="P762" s="1">
        <v>724</v>
      </c>
      <c r="Q762" s="1">
        <v>4.4998119140750074E-2</v>
      </c>
      <c r="R762" s="1">
        <v>-4.4461538374290017E-2</v>
      </c>
    </row>
    <row r="763" spans="1:18" x14ac:dyDescent="0.35">
      <c r="A763" s="8">
        <v>170</v>
      </c>
      <c r="B763" s="8">
        <f t="shared" si="22"/>
        <v>2.2304489213782741</v>
      </c>
      <c r="C763" s="8">
        <v>9</v>
      </c>
      <c r="D763" s="8">
        <v>74</v>
      </c>
      <c r="E763" s="8">
        <v>31</v>
      </c>
      <c r="F763" s="8">
        <v>0</v>
      </c>
      <c r="G763" s="8">
        <v>44</v>
      </c>
      <c r="H763" s="8">
        <v>0.40300000000000002</v>
      </c>
      <c r="I763" s="8">
        <v>43</v>
      </c>
      <c r="J763" s="1">
        <v>2.0615158513182634</v>
      </c>
      <c r="K763" s="1">
        <v>0.16893307006001068</v>
      </c>
      <c r="L763">
        <f t="shared" si="23"/>
        <v>2.8538382159900476E-2</v>
      </c>
      <c r="P763" s="1">
        <v>725</v>
      </c>
      <c r="Q763" s="1">
        <v>2.0771075380427811E-2</v>
      </c>
      <c r="R763" s="1">
        <v>-1.865161774714074E-2</v>
      </c>
    </row>
    <row r="764" spans="1:18" x14ac:dyDescent="0.35">
      <c r="A764" s="8">
        <v>89</v>
      </c>
      <c r="B764" s="8">
        <f t="shared" si="22"/>
        <v>1.9493900066449128</v>
      </c>
      <c r="C764" s="8">
        <v>9</v>
      </c>
      <c r="D764" s="8">
        <v>62</v>
      </c>
      <c r="E764" s="8">
        <v>0</v>
      </c>
      <c r="F764" s="8">
        <v>0</v>
      </c>
      <c r="G764" s="8">
        <v>22.5</v>
      </c>
      <c r="H764" s="8">
        <v>0.14199999999999999</v>
      </c>
      <c r="I764" s="8">
        <v>33</v>
      </c>
      <c r="J764" s="1">
        <v>2.0288267527041977</v>
      </c>
      <c r="K764" s="1">
        <v>-7.9436746059284857E-2</v>
      </c>
      <c r="L764">
        <f t="shared" si="23"/>
        <v>6.3101966244873079E-3</v>
      </c>
      <c r="P764" s="1">
        <v>726</v>
      </c>
      <c r="Q764" s="1">
        <v>9.5128063684552303E-2</v>
      </c>
      <c r="R764" s="1">
        <v>-9.3713331198435418E-2</v>
      </c>
    </row>
    <row r="765" spans="1:18" x14ac:dyDescent="0.35">
      <c r="A765" s="8">
        <v>101</v>
      </c>
      <c r="B765" s="8">
        <f t="shared" si="22"/>
        <v>2.0043213737826426</v>
      </c>
      <c r="C765" s="8">
        <v>10</v>
      </c>
      <c r="D765" s="8">
        <v>76</v>
      </c>
      <c r="E765" s="8">
        <v>48</v>
      </c>
      <c r="F765" s="8">
        <v>180</v>
      </c>
      <c r="G765" s="8">
        <v>32.9</v>
      </c>
      <c r="H765" s="8">
        <v>0.17100000000000001</v>
      </c>
      <c r="I765" s="8">
        <v>63</v>
      </c>
      <c r="J765" s="1">
        <v>2.1214708458110558</v>
      </c>
      <c r="K765" s="1">
        <v>-0.11714947202841319</v>
      </c>
      <c r="L765">
        <f t="shared" si="23"/>
        <v>1.3723998796535965E-2</v>
      </c>
      <c r="P765" s="1">
        <v>727</v>
      </c>
      <c r="Q765" s="1">
        <v>2.9059031011179383E-2</v>
      </c>
      <c r="R765" s="1">
        <v>-2.8813388298461268E-2</v>
      </c>
    </row>
    <row r="766" spans="1:18" x14ac:dyDescent="0.35">
      <c r="A766" s="8">
        <v>122</v>
      </c>
      <c r="B766" s="8">
        <f t="shared" si="22"/>
        <v>2.0863598306747484</v>
      </c>
      <c r="C766" s="8">
        <v>2</v>
      </c>
      <c r="D766" s="8">
        <v>70</v>
      </c>
      <c r="E766" s="8">
        <v>27</v>
      </c>
      <c r="F766" s="8">
        <v>0</v>
      </c>
      <c r="G766" s="8">
        <v>36.799999999999997</v>
      </c>
      <c r="H766" s="8">
        <v>0.34</v>
      </c>
      <c r="I766" s="8">
        <v>27</v>
      </c>
      <c r="J766" s="1">
        <v>2.0026868587021456</v>
      </c>
      <c r="K766" s="1">
        <v>8.3672971972602816E-2</v>
      </c>
      <c r="L766">
        <f t="shared" si="23"/>
        <v>7.0011662387279763E-3</v>
      </c>
      <c r="P766" s="1">
        <v>728</v>
      </c>
      <c r="Q766" s="1">
        <v>7.2894058686470753E-2</v>
      </c>
      <c r="R766" s="1">
        <v>-4.6406953607296006E-2</v>
      </c>
    </row>
    <row r="767" spans="1:18" x14ac:dyDescent="0.35">
      <c r="A767" s="8">
        <v>121</v>
      </c>
      <c r="B767" s="8">
        <f t="shared" si="22"/>
        <v>2.0827853703164503</v>
      </c>
      <c r="C767" s="8">
        <v>5</v>
      </c>
      <c r="D767" s="8">
        <v>72</v>
      </c>
      <c r="E767" s="8">
        <v>23</v>
      </c>
      <c r="F767" s="8">
        <v>112</v>
      </c>
      <c r="G767" s="8">
        <v>26.2</v>
      </c>
      <c r="H767" s="8">
        <v>0.245</v>
      </c>
      <c r="I767" s="8">
        <v>30</v>
      </c>
      <c r="J767" s="1">
        <v>2.0403360567795699</v>
      </c>
      <c r="K767" s="1">
        <v>4.2449313536880418E-2</v>
      </c>
      <c r="L767">
        <f t="shared" si="23"/>
        <v>1.801944219752379E-3</v>
      </c>
      <c r="P767" s="1">
        <v>729</v>
      </c>
      <c r="Q767" s="1">
        <v>2.1961995243831647E-2</v>
      </c>
      <c r="R767" s="1">
        <v>3.1611464575792933E-2</v>
      </c>
    </row>
    <row r="768" spans="1:18" x14ac:dyDescent="0.35">
      <c r="A768" s="8">
        <v>126</v>
      </c>
      <c r="B768" s="8">
        <f t="shared" si="22"/>
        <v>2.1003705451175629</v>
      </c>
      <c r="C768" s="8">
        <v>1</v>
      </c>
      <c r="D768" s="8">
        <v>60</v>
      </c>
      <c r="E768" s="8">
        <v>0</v>
      </c>
      <c r="F768" s="8">
        <v>0</v>
      </c>
      <c r="G768" s="8">
        <v>30.1</v>
      </c>
      <c r="H768" s="8">
        <v>0.34899999999999998</v>
      </c>
      <c r="I768" s="8">
        <v>47</v>
      </c>
      <c r="J768" s="1">
        <v>2.0797240782994293</v>
      </c>
      <c r="K768" s="1">
        <v>2.0646466818133646E-2</v>
      </c>
      <c r="L768">
        <f t="shared" si="23"/>
        <v>4.2627659207229371E-4</v>
      </c>
      <c r="P768" s="1">
        <v>730</v>
      </c>
      <c r="Q768" s="1">
        <v>3.2127675634020164E-2</v>
      </c>
      <c r="R768" s="1">
        <v>-2.9624307783950497E-2</v>
      </c>
    </row>
    <row r="769" spans="1:18" ht="15" thickBot="1" x14ac:dyDescent="0.4">
      <c r="A769" s="8">
        <v>93</v>
      </c>
      <c r="B769" s="8">
        <f t="shared" si="22"/>
        <v>1.968482948553935</v>
      </c>
      <c r="C769" s="8">
        <v>1</v>
      </c>
      <c r="D769" s="8">
        <v>70</v>
      </c>
      <c r="E769" s="8">
        <v>31</v>
      </c>
      <c r="F769" s="8">
        <v>0</v>
      </c>
      <c r="G769" s="8">
        <v>30.4</v>
      </c>
      <c r="H769" s="8">
        <v>0.315</v>
      </c>
      <c r="I769" s="8">
        <v>23</v>
      </c>
      <c r="J769" s="2">
        <v>1.9665057806605348</v>
      </c>
      <c r="K769" s="2">
        <v>1.9771678934001891E-3</v>
      </c>
      <c r="L769">
        <f t="shared" si="23"/>
        <v>3.9091928786925413E-6</v>
      </c>
      <c r="P769" s="1">
        <v>731</v>
      </c>
      <c r="Q769" s="1">
        <v>4.2367852035800964E-2</v>
      </c>
      <c r="R769" s="1">
        <v>-3.7332088502324508E-2</v>
      </c>
    </row>
    <row r="770" spans="1:18" x14ac:dyDescent="0.35">
      <c r="P770" s="1">
        <v>732</v>
      </c>
      <c r="Q770" s="1">
        <v>1.4560998281184982E-2</v>
      </c>
      <c r="R770" s="1">
        <v>-1.2107748206596379E-2</v>
      </c>
    </row>
    <row r="771" spans="1:18" x14ac:dyDescent="0.35">
      <c r="P771" s="1">
        <v>733</v>
      </c>
      <c r="Q771" s="1">
        <v>5.4647967131113556E-2</v>
      </c>
      <c r="R771" s="1">
        <v>-2.4304836873972214E-2</v>
      </c>
    </row>
    <row r="772" spans="1:18" x14ac:dyDescent="0.35">
      <c r="P772" s="1">
        <v>734</v>
      </c>
      <c r="Q772" s="1">
        <v>3.2517053561989757E-2</v>
      </c>
      <c r="R772" s="1">
        <v>-3.2219971859063501E-2</v>
      </c>
    </row>
    <row r="773" spans="1:18" x14ac:dyDescent="0.35">
      <c r="P773" s="1">
        <v>735</v>
      </c>
      <c r="Q773" s="1">
        <v>1.459522982323307E-2</v>
      </c>
      <c r="R773" s="1">
        <v>-1.0234877433519168E-2</v>
      </c>
    </row>
    <row r="774" spans="1:18" x14ac:dyDescent="0.35">
      <c r="P774" s="1">
        <v>736</v>
      </c>
      <c r="Q774" s="1">
        <v>8.372470158908786E-2</v>
      </c>
      <c r="R774" s="1">
        <v>-8.3610404148363848E-2</v>
      </c>
    </row>
    <row r="775" spans="1:18" x14ac:dyDescent="0.35">
      <c r="P775" s="1">
        <v>737</v>
      </c>
      <c r="Q775" s="1">
        <v>4.090382136532926E-2</v>
      </c>
      <c r="R775" s="1">
        <v>-3.5387744074604023E-2</v>
      </c>
    </row>
    <row r="776" spans="1:18" x14ac:dyDescent="0.35">
      <c r="P776" s="1">
        <v>738</v>
      </c>
      <c r="Q776" s="1">
        <v>5.013337892879955E-2</v>
      </c>
      <c r="R776" s="1">
        <v>4.2926566004140923E-3</v>
      </c>
    </row>
    <row r="777" spans="1:18" x14ac:dyDescent="0.35">
      <c r="P777" s="1">
        <v>739</v>
      </c>
      <c r="Q777" s="1">
        <v>1.5059745309159576E-2</v>
      </c>
      <c r="R777" s="1">
        <v>-7.9053740873286059E-3</v>
      </c>
    </row>
    <row r="778" spans="1:18" x14ac:dyDescent="0.35">
      <c r="P778" s="1">
        <v>740</v>
      </c>
      <c r="Q778" s="1">
        <v>2.4756998894272991E-2</v>
      </c>
      <c r="R778" s="1">
        <v>-1.6996091222090514E-2</v>
      </c>
    </row>
    <row r="779" spans="1:18" x14ac:dyDescent="0.35">
      <c r="P779" s="1">
        <v>741</v>
      </c>
      <c r="Q779" s="1">
        <v>2.6941792245241247E-2</v>
      </c>
      <c r="R779" s="1">
        <v>-2.3270453382660653E-2</v>
      </c>
    </row>
    <row r="780" spans="1:18" x14ac:dyDescent="0.35">
      <c r="P780" s="1">
        <v>742</v>
      </c>
      <c r="Q780" s="1">
        <v>3.8692079509417832E-2</v>
      </c>
      <c r="R780" s="1">
        <v>-3.8027786005658523E-2</v>
      </c>
    </row>
    <row r="781" spans="1:18" x14ac:dyDescent="0.35">
      <c r="P781" s="1">
        <v>743</v>
      </c>
      <c r="Q781" s="1">
        <v>3.3831539051716257E-2</v>
      </c>
      <c r="R781" s="1">
        <v>-3.3780691422749962E-2</v>
      </c>
    </row>
    <row r="782" spans="1:18" x14ac:dyDescent="0.35">
      <c r="P782" s="1">
        <v>744</v>
      </c>
      <c r="Q782" s="1">
        <v>-6.5473520838664132E-4</v>
      </c>
      <c r="R782" s="1">
        <v>1.8112369032902234E-3</v>
      </c>
    </row>
    <row r="783" spans="1:18" x14ac:dyDescent="0.35">
      <c r="P783" s="1">
        <v>745</v>
      </c>
      <c r="Q783" s="1">
        <v>1.9185877323155607E-2</v>
      </c>
      <c r="R783" s="1">
        <v>-1.5664982334813064E-2</v>
      </c>
    </row>
    <row r="784" spans="1:18" x14ac:dyDescent="0.35">
      <c r="P784" s="1">
        <v>746</v>
      </c>
      <c r="Q784" s="1">
        <v>3.3807364161678621E-2</v>
      </c>
      <c r="R784" s="1">
        <v>-2.6941489913863123E-2</v>
      </c>
    </row>
    <row r="785" spans="16:18" x14ac:dyDescent="0.35">
      <c r="P785" s="1">
        <v>747</v>
      </c>
      <c r="Q785" s="1">
        <v>9.962082973764351E-2</v>
      </c>
      <c r="R785" s="1">
        <v>-7.6999183018102102E-2</v>
      </c>
    </row>
    <row r="786" spans="16:18" x14ac:dyDescent="0.35">
      <c r="P786" s="1">
        <v>748</v>
      </c>
      <c r="Q786" s="1">
        <v>7.3063807800073349E-2</v>
      </c>
      <c r="R786" s="1">
        <v>-4.9890313470162047E-2</v>
      </c>
    </row>
    <row r="787" spans="16:18" x14ac:dyDescent="0.35">
      <c r="P787" s="1">
        <v>749</v>
      </c>
      <c r="Q787" s="1">
        <v>8.7941274717412855E-3</v>
      </c>
      <c r="R787" s="1">
        <v>1.2468777315347788E-2</v>
      </c>
    </row>
    <row r="788" spans="16:18" x14ac:dyDescent="0.35">
      <c r="P788" s="1">
        <v>750</v>
      </c>
      <c r="Q788" s="1">
        <v>1.8130280988383332E-2</v>
      </c>
      <c r="R788" s="1">
        <v>9.2090702596555815E-4</v>
      </c>
    </row>
    <row r="789" spans="16:18" x14ac:dyDescent="0.35">
      <c r="P789" s="1">
        <v>751</v>
      </c>
      <c r="Q789" s="1">
        <v>6.6921362188206383E-3</v>
      </c>
      <c r="R789" s="1">
        <v>-4.4602769096850538E-4</v>
      </c>
    </row>
    <row r="790" spans="16:18" x14ac:dyDescent="0.35">
      <c r="P790" s="1">
        <v>752</v>
      </c>
      <c r="Q790" s="1">
        <v>7.9694083288011225E-2</v>
      </c>
      <c r="R790" s="1">
        <v>-7.5831286693446104E-2</v>
      </c>
    </row>
    <row r="791" spans="16:18" x14ac:dyDescent="0.35">
      <c r="P791" s="1">
        <v>753</v>
      </c>
      <c r="Q791" s="1">
        <v>7.0881336974188663E-2</v>
      </c>
      <c r="R791" s="1">
        <v>-6.6791121243198123E-2</v>
      </c>
    </row>
    <row r="792" spans="16:18" x14ac:dyDescent="0.35">
      <c r="P792" s="1">
        <v>754</v>
      </c>
      <c r="Q792" s="1">
        <v>-2.4684646243846333E-2</v>
      </c>
      <c r="R792" s="1">
        <v>2.6328809048086096E-2</v>
      </c>
    </row>
    <row r="793" spans="16:18" x14ac:dyDescent="0.35">
      <c r="P793" s="1">
        <v>755</v>
      </c>
      <c r="Q793" s="1">
        <v>6.8250101019247347E-2</v>
      </c>
      <c r="R793" s="1">
        <v>-4.4752491667871763E-2</v>
      </c>
    </row>
    <row r="794" spans="16:18" x14ac:dyDescent="0.35">
      <c r="P794" s="1">
        <v>756</v>
      </c>
      <c r="Q794" s="1">
        <v>5.1957156760527853E-2</v>
      </c>
      <c r="R794" s="1">
        <v>-5.1060146845824973E-2</v>
      </c>
    </row>
    <row r="795" spans="16:18" x14ac:dyDescent="0.35">
      <c r="P795" s="1">
        <v>757</v>
      </c>
      <c r="Q795" s="1">
        <v>8.643692283232278E-2</v>
      </c>
      <c r="R795" s="1">
        <v>-6.8602438167583712E-2</v>
      </c>
    </row>
    <row r="796" spans="16:18" x14ac:dyDescent="0.35">
      <c r="P796" s="1">
        <v>758</v>
      </c>
      <c r="Q796" s="1">
        <v>2.5329110280775995E-2</v>
      </c>
      <c r="R796" s="1">
        <v>-2.4976908625361106E-2</v>
      </c>
    </row>
    <row r="797" spans="16:18" x14ac:dyDescent="0.35">
      <c r="P797" s="1">
        <v>759</v>
      </c>
      <c r="Q797" s="1">
        <v>2.871025950792307E-2</v>
      </c>
      <c r="R797" s="1">
        <v>-2.8002176512107121E-2</v>
      </c>
    </row>
    <row r="798" spans="16:18" x14ac:dyDescent="0.35">
      <c r="P798" s="1">
        <v>760</v>
      </c>
      <c r="Q798" s="1">
        <v>9.6531697790702038E-3</v>
      </c>
      <c r="R798" s="1">
        <v>6.3941765101227753E-3</v>
      </c>
    </row>
    <row r="799" spans="16:18" x14ac:dyDescent="0.35">
      <c r="P799" s="1">
        <v>761</v>
      </c>
      <c r="Q799" s="1">
        <v>6.3261770524607422E-2</v>
      </c>
      <c r="R799" s="1">
        <v>-6.1570534273248476E-2</v>
      </c>
    </row>
    <row r="800" spans="16:18" x14ac:dyDescent="0.35">
      <c r="P800" s="1">
        <v>762</v>
      </c>
      <c r="Q800" s="1">
        <v>6.7698072685926022E-2</v>
      </c>
      <c r="R800" s="1">
        <v>-3.9159690526025547E-2</v>
      </c>
    </row>
    <row r="801" spans="16:18" x14ac:dyDescent="0.35">
      <c r="P801" s="1">
        <v>763</v>
      </c>
      <c r="Q801" s="1">
        <v>1.6730190314109418E-2</v>
      </c>
      <c r="R801" s="1">
        <v>-1.041999368962211E-2</v>
      </c>
    </row>
    <row r="802" spans="16:18" x14ac:dyDescent="0.35">
      <c r="P802" s="1">
        <v>764</v>
      </c>
      <c r="Q802" s="1">
        <v>4.9620957676179307E-2</v>
      </c>
      <c r="R802" s="1">
        <v>-3.5896958879643344E-2</v>
      </c>
    </row>
    <row r="803" spans="16:18" x14ac:dyDescent="0.35">
      <c r="P803" s="1">
        <v>765</v>
      </c>
      <c r="Q803" s="1">
        <v>7.5230947682889501E-2</v>
      </c>
      <c r="R803" s="1">
        <v>-6.822978144416153E-2</v>
      </c>
    </row>
    <row r="804" spans="16:18" x14ac:dyDescent="0.35">
      <c r="P804" s="1">
        <v>766</v>
      </c>
      <c r="Q804" s="1">
        <v>3.3400420214138561E-2</v>
      </c>
      <c r="R804" s="1">
        <v>-3.1598475994386185E-2</v>
      </c>
    </row>
    <row r="805" spans="16:18" x14ac:dyDescent="0.35">
      <c r="P805" s="1">
        <v>767</v>
      </c>
      <c r="Q805" s="1">
        <v>2.4292337697518644E-2</v>
      </c>
      <c r="R805" s="1">
        <v>-2.386606110544635E-2</v>
      </c>
    </row>
    <row r="806" spans="16:18" ht="15" thickBot="1" x14ac:dyDescent="0.4">
      <c r="P806" s="2">
        <v>768</v>
      </c>
      <c r="Q806" s="2">
        <v>8.4737650742890816E-2</v>
      </c>
      <c r="R806" s="2">
        <v>-8.473374155001212E-2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Graphical Representation</vt:lpstr>
      <vt:lpstr>Sheet5</vt:lpstr>
      <vt:lpstr>Breuch-Pagan Test </vt:lpstr>
      <vt:lpstr>Fix Heteroscedisity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Singh</dc:creator>
  <cp:lastModifiedBy>Pradeep Singh</cp:lastModifiedBy>
  <dcterms:created xsi:type="dcterms:W3CDTF">2022-03-23T14:27:28Z</dcterms:created>
  <dcterms:modified xsi:type="dcterms:W3CDTF">2022-03-24T02:13:13Z</dcterms:modified>
</cp:coreProperties>
</file>