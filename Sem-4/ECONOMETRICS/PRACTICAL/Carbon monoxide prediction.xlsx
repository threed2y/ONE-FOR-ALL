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5672FA4-5A0F-486E-83D2-06B563D4C131}" xr6:coauthVersionLast="47" xr6:coauthVersionMax="47" xr10:uidLastSave="{00000000-0000-0000-0000-000000000000}"/>
  <bookViews>
    <workbookView xWindow="-108" yWindow="-108" windowWidth="23256" windowHeight="12576" activeTab="5" xr2:uid="{E83E6113-A633-4AB8-BFEA-75F1D5FC4D46}"/>
  </bookViews>
  <sheets>
    <sheet name="Problem" sheetId="2" r:id="rId1"/>
    <sheet name="Data" sheetId="1" r:id="rId2"/>
    <sheet name="Main Model" sheetId="4" r:id="rId3"/>
    <sheet name="Drop X1" sheetId="5" r:id="rId4"/>
    <sheet name="Drop X2" sheetId="7" r:id="rId5"/>
    <sheet name="Conclusio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2" i="4" l="1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7" i="4"/>
  <c r="D80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55" i="5"/>
  <c r="D82" i="7"/>
  <c r="D73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4" i="7"/>
  <c r="D75" i="7"/>
  <c r="D76" i="7"/>
  <c r="D77" i="7"/>
  <c r="D78" i="7"/>
  <c r="D79" i="7"/>
  <c r="D80" i="7"/>
  <c r="D81" i="7"/>
  <c r="D57" i="7"/>
  <c r="H22" i="1"/>
  <c r="H28" i="1" s="1"/>
  <c r="I22" i="1"/>
  <c r="H21" i="1"/>
  <c r="G21" i="1"/>
  <c r="G27" i="1" s="1"/>
  <c r="G22" i="1"/>
  <c r="G28" i="1" s="1"/>
  <c r="G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Manthan Darji</author>
  </authors>
  <commentList>
    <comment ref="A1" authorId="0" shapeId="0" xr:uid="{356A83A5-DE27-4174-801F-8B99E5C1B6A0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Carbon Monoxide (milligrams)</t>
        </r>
      </text>
    </comment>
    <comment ref="B1" authorId="0" shapeId="0" xr:uid="{59B98688-1CBC-4229-94F6-160771987DFE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Tar (milligrams)</t>
        </r>
      </text>
    </comment>
    <comment ref="C1" authorId="0" shapeId="0" xr:uid="{DEC555E9-60CC-4FC3-B628-4872E803FBBB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Nicotine (milligrams)</t>
        </r>
      </text>
    </comment>
    <comment ref="D1" authorId="0" shapeId="0" xr:uid="{FBDE9012-5A36-4A03-AA03-D0CD03640FFA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Weight (Grams)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Manthan Darji</author>
  </authors>
  <commentList>
    <comment ref="A26" authorId="0" shapeId="0" xr:uid="{49936019-F03C-41EB-9777-7AF2752CA326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Carbon Monoxide (milligrams)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Manthan Darji</author>
  </authors>
  <commentList>
    <comment ref="A1" authorId="0" shapeId="0" xr:uid="{5788E84A-B1AB-4C7B-A2C1-6EC738F5A209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Carbon Monoxide (milligrams)</t>
        </r>
      </text>
    </comment>
    <comment ref="B1" authorId="0" shapeId="0" xr:uid="{4AB57EB7-E56A-419F-99A8-6016A6D4CF1F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Nicotine (milligrams)</t>
        </r>
      </text>
    </comment>
    <comment ref="C1" authorId="0" shapeId="0" xr:uid="{CE742870-AF7C-48A9-B4D3-C363A6D3BB15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Weight (Grams)</t>
        </r>
      </text>
    </comment>
    <comment ref="E26" authorId="0" shapeId="0" xr:uid="{55B11B28-8A80-4050-A002-39B9DAF54EB2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Carbon Monoxide (milligrams)</t>
        </r>
      </text>
    </comment>
    <comment ref="B54" authorId="0" shapeId="0" xr:uid="{5747C196-6BA0-4A8C-BC25-8CD751C9FF82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Carbon Monoxide (milligrams)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Manthan Darji</author>
  </authors>
  <commentList>
    <comment ref="A1" authorId="0" shapeId="0" xr:uid="{171D94FF-546A-4380-9EA3-C027E5DE8479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Carbon Monoxide (milligrams)</t>
        </r>
      </text>
    </comment>
    <comment ref="B1" authorId="0" shapeId="0" xr:uid="{0EA3AE24-C310-4FE0-A764-82055FD0BCC2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Tar (milligrams)</t>
        </r>
      </text>
    </comment>
    <comment ref="C1" authorId="0" shapeId="0" xr:uid="{7035F01A-9065-46F5-BCE8-8C635B764CA2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Weight (Grams)</t>
        </r>
      </text>
    </comment>
    <comment ref="E26" authorId="0" shapeId="0" xr:uid="{9AC618BA-8723-41C6-9977-59D1D7F515B6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Carbon Monoxide (milligrams)</t>
        </r>
      </text>
    </comment>
    <comment ref="B56" authorId="0" shapeId="0" xr:uid="{D17EBB59-5D28-41D9-9E80-842B44DF28BC}">
      <text>
        <r>
          <rPr>
            <b/>
            <sz val="9"/>
            <color indexed="81"/>
            <rFont val="Tahoma"/>
            <family val="2"/>
          </rPr>
          <t>Manthan Darji:</t>
        </r>
        <r>
          <rPr>
            <sz val="9"/>
            <color indexed="81"/>
            <rFont val="Tahoma"/>
            <family val="2"/>
          </rPr>
          <t xml:space="preserve">
Carbon Monoxide (milligrams)</t>
        </r>
      </text>
    </comment>
  </commentList>
</comments>
</file>

<file path=xl/sharedStrings.xml><?xml version="1.0" encoding="utf-8"?>
<sst xmlns="http://schemas.openxmlformats.org/spreadsheetml/2006/main" count="169" uniqueCount="46">
  <si>
    <t>Y</t>
  </si>
  <si>
    <t>X1</t>
  </si>
  <si>
    <t>X2</t>
  </si>
  <si>
    <t>X3</t>
  </si>
  <si>
    <t>Question : To check increases in the tar and nicotine content of cigarette are accompanied by 
an increase in the carbon monoxide conent , Y  as function of tar(X1), Nicotine(X2), and weight (X3).</t>
  </si>
  <si>
    <t>Correlation Matrix For all Data</t>
  </si>
  <si>
    <t>Correalation Matrix For all indepdent variables</t>
  </si>
  <si>
    <t>R^2= Coefficient of Determination</t>
  </si>
  <si>
    <t>VIF = Variance Inflation Factor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</si>
  <si>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</si>
  <si>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</si>
  <si>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</si>
  <si>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</si>
  <si>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</si>
  <si>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</si>
  <si>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</si>
  <si>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</si>
  <si>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</si>
  <si>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</si>
  <si>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</si>
  <si>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</si>
  <si>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</si>
  <si>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</si>
  <si>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</si>
  <si>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</si>
  <si>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</si>
  <si>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</si>
  <si>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</si>
  <si>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</si>
  <si>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</si>
  <si>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</si>
  <si>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</si>
  <si>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</si>
  <si>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</si>
  <si>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</si>
  <si>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</si>
  <si>
    <t>Actual Y</t>
  </si>
  <si>
    <t>Main Model</t>
  </si>
  <si>
    <t>Model -1 = Drop X1</t>
  </si>
  <si>
    <t>Model 2 = Drop X2</t>
  </si>
  <si>
    <t>Comparing all models the R^2 and adjusted R^2 are good and the relatively Standard Error is less for model-2. So, we can say that model-2  is better than all models.</t>
  </si>
  <si>
    <t>Here, we see that the VIF of X1 and X2 is Very High above 10 so we have to remove one of the variable and fit models again.</t>
  </si>
  <si>
    <t>MAPE Value</t>
  </si>
  <si>
    <t>Absolute percentage error</t>
  </si>
  <si>
    <t>MAPE</t>
  </si>
  <si>
    <t>Absolute Percentage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</si>
</sst>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2" borderId="0" xfId="0" applyFill="1" applyBorder="1" applyAlignment="1"/>
    <xf numFmtId="0" fontId="5" fillId="2" borderId="3" xfId="0" applyFont="1" applyFill="1" applyBorder="1" applyAlignment="1">
      <alignment horizontal="center"/>
    </xf>
    <xf numFmtId="0" fontId="0" fillId="3" borderId="0" xfId="0" applyFill="1" applyBorder="1" applyAlignment="1"/>
    <xf numFmtId="0" fontId="5" fillId="0" borderId="3" xfId="0" applyFont="1" applyFill="1" applyBorder="1" applyAlignment="1">
      <alignment horizontal="centerContinuous"/>
    </xf>
    <xf numFmtId="0" fontId="5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Main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'Main Model'!$C$26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'Main Model'!$C$27:$C$51</c:f>
              <c:numCache>
                <c:formatCode>General</c:formatCode>
                <c:ptCount val="25"/>
                <c:pt idx="0">
                  <c:v>-0.78139375899589147</c:v>
                </c:pt>
                <c:pt idx="1">
                  <c:v>0.9365826929970229</c:v>
                </c:pt>
                <c:pt idx="2">
                  <c:v>-2.8884504949341796</c:v>
                </c:pt>
                <c:pt idx="3">
                  <c:v>1.180357242933459</c:v>
                </c:pt>
                <c:pt idx="4">
                  <c:v>-0.56993339103582041</c:v>
                </c:pt>
                <c:pt idx="5">
                  <c:v>0.20447603505983203</c:v>
                </c:pt>
                <c:pt idx="6">
                  <c:v>-0.53334434791898033</c:v>
                </c:pt>
                <c:pt idx="7">
                  <c:v>-0.22181270133338593</c:v>
                </c:pt>
                <c:pt idx="8">
                  <c:v>0.18323944879317722</c:v>
                </c:pt>
                <c:pt idx="9">
                  <c:v>0.6477210203753696</c:v>
                </c:pt>
                <c:pt idx="10">
                  <c:v>-0.6072206914789362</c:v>
                </c:pt>
                <c:pt idx="11">
                  <c:v>-0.8501354071699776</c:v>
                </c:pt>
                <c:pt idx="12">
                  <c:v>0.91932554220450768</c:v>
                </c:pt>
                <c:pt idx="13">
                  <c:v>-1.7636416359128404</c:v>
                </c:pt>
                <c:pt idx="14">
                  <c:v>-0.3143457065842199</c:v>
                </c:pt>
                <c:pt idx="15">
                  <c:v>-2.2272157986682557</c:v>
                </c:pt>
                <c:pt idx="16">
                  <c:v>2.3625151407110465</c:v>
                </c:pt>
                <c:pt idx="17">
                  <c:v>5.8216462723242657E-2</c:v>
                </c:pt>
                <c:pt idx="18">
                  <c:v>1.7387084198428866</c:v>
                </c:pt>
                <c:pt idx="19">
                  <c:v>-1.4098442471199961</c:v>
                </c:pt>
                <c:pt idx="20">
                  <c:v>1.5301838637523897</c:v>
                </c:pt>
                <c:pt idx="21">
                  <c:v>7.6294685512721117E-3</c:v>
                </c:pt>
                <c:pt idx="22">
                  <c:v>1.0637524218047538</c:v>
                </c:pt>
                <c:pt idx="23">
                  <c:v>-1.1279301764010228</c:v>
                </c:pt>
                <c:pt idx="24">
                  <c:v>2.4625605978046181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0-4AC6-9015-2A1C94CEE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876080"/>
        <c:axId val="280896880"/>
      </c:barChart>
      <c:lineChart>
        <c:grouping val="standard"/>
        <c:varyColors val="0"/>
        <c:ser>
          <c:idx val="0"/>
          <c:order val="0"/>
          <c:tx>
            <c:strRef>
              <c:f>'Main Model'!$A$26</c:f>
              <c:strCache>
                <c:ptCount val="1"/>
                <c:pt idx="0">
                  <c:v>Actual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'Main Model'!$A$27:$A$51</c:f>
              <c:numCache>
                <c:formatCode>0.00</c:formatCode>
                <c:ptCount val="25"/>
                <c:pt idx="0">
                  <c:v>13.6</c:v>
                </c:pt>
                <c:pt idx="1">
                  <c:v>16.600000000000001</c:v>
                </c:pt>
                <c:pt idx="2">
                  <c:v>23.5</c:v>
                </c:pt>
                <c:pt idx="3">
                  <c:v>10.199999999999999</c:v>
                </c:pt>
                <c:pt idx="4">
                  <c:v>5.4</c:v>
                </c:pt>
                <c:pt idx="5">
                  <c:v>15</c:v>
                </c:pt>
                <c:pt idx="6">
                  <c:v>9</c:v>
                </c:pt>
                <c:pt idx="7">
                  <c:v>12.3</c:v>
                </c:pt>
                <c:pt idx="8">
                  <c:v>16.3</c:v>
                </c:pt>
                <c:pt idx="9">
                  <c:v>15.4</c:v>
                </c:pt>
                <c:pt idx="10">
                  <c:v>13</c:v>
                </c:pt>
                <c:pt idx="11">
                  <c:v>14.4</c:v>
                </c:pt>
                <c:pt idx="12">
                  <c:v>10</c:v>
                </c:pt>
                <c:pt idx="13">
                  <c:v>10.199999999999999</c:v>
                </c:pt>
                <c:pt idx="14">
                  <c:v>9.5</c:v>
                </c:pt>
                <c:pt idx="15">
                  <c:v>1.5</c:v>
                </c:pt>
                <c:pt idx="16">
                  <c:v>18.5</c:v>
                </c:pt>
                <c:pt idx="17">
                  <c:v>12.6</c:v>
                </c:pt>
                <c:pt idx="18">
                  <c:v>17.5</c:v>
                </c:pt>
                <c:pt idx="19">
                  <c:v>4.9000000000000004</c:v>
                </c:pt>
                <c:pt idx="20">
                  <c:v>15.9</c:v>
                </c:pt>
                <c:pt idx="21">
                  <c:v>8.5</c:v>
                </c:pt>
                <c:pt idx="22">
                  <c:v>10.6</c:v>
                </c:pt>
                <c:pt idx="23">
                  <c:v>13.9</c:v>
                </c:pt>
                <c:pt idx="24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0-4AC6-9015-2A1C94CEE916}"/>
            </c:ext>
          </c:extLst>
        </c:ser>
        <c:ser>
          <c:idx val="1"/>
          <c:order val="1"/>
          <c:tx>
            <c:strRef>
              <c:f>'Main Model'!$B$26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'Main Model'!$B$27:$B$51</c:f>
              <c:numCache>
                <c:formatCode>General</c:formatCode>
                <c:ptCount val="25"/>
                <c:pt idx="0">
                  <c:v>14.381393758995891</c:v>
                </c:pt>
                <c:pt idx="1">
                  <c:v>15.663417307002979</c:v>
                </c:pt>
                <c:pt idx="2">
                  <c:v>26.38845049493418</c:v>
                </c:pt>
                <c:pt idx="3">
                  <c:v>9.0196427570665403</c:v>
                </c:pt>
                <c:pt idx="4">
                  <c:v>5.9699333910358208</c:v>
                </c:pt>
                <c:pt idx="5">
                  <c:v>14.795523964940168</c:v>
                </c:pt>
                <c:pt idx="6">
                  <c:v>9.5333443479189803</c:v>
                </c:pt>
                <c:pt idx="7">
                  <c:v>12.521812701333387</c:v>
                </c:pt>
                <c:pt idx="8">
                  <c:v>16.116760551206823</c:v>
                </c:pt>
                <c:pt idx="9">
                  <c:v>14.752278979624631</c:v>
                </c:pt>
                <c:pt idx="10">
                  <c:v>13.607220691478936</c:v>
                </c:pt>
                <c:pt idx="11">
                  <c:v>15.250135407169978</c:v>
                </c:pt>
                <c:pt idx="12">
                  <c:v>9.0806744577954923</c:v>
                </c:pt>
                <c:pt idx="13">
                  <c:v>11.96364163591284</c:v>
                </c:pt>
                <c:pt idx="14">
                  <c:v>9.8143457065842199</c:v>
                </c:pt>
                <c:pt idx="15">
                  <c:v>3.7272157986682557</c:v>
                </c:pt>
                <c:pt idx="16">
                  <c:v>16.137484859288953</c:v>
                </c:pt>
                <c:pt idx="17">
                  <c:v>12.541783537276757</c:v>
                </c:pt>
                <c:pt idx="18">
                  <c:v>15.761291580157113</c:v>
                </c:pt>
                <c:pt idx="19">
                  <c:v>6.3098442471199965</c:v>
                </c:pt>
                <c:pt idx="20">
                  <c:v>14.369816136247611</c:v>
                </c:pt>
                <c:pt idx="21">
                  <c:v>8.4923705314487279</c:v>
                </c:pt>
                <c:pt idx="22">
                  <c:v>9.5362475781952458</c:v>
                </c:pt>
                <c:pt idx="23">
                  <c:v>15.027930176401023</c:v>
                </c:pt>
                <c:pt idx="24">
                  <c:v>12.437439402195382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0-4AC6-9015-2A1C94CEE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420464"/>
        <c:axId val="255421712"/>
      </c:lineChart>
      <c:catAx>
        <c:axId val="25542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421712"/>
        <c:crosses val="autoZero"/>
        <c:auto val="1"/>
        <c:lblAlgn val="ctr"/>
        <c:lblOffset val="100"/>
        <c:noMultiLvlLbl val="0"/>
      </c:catAx>
      <c:valAx>
        <c:axId val="2554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420464"/>
        <c:crosses val="autoZero"/>
        <c:crossBetween val="between"/>
      </c:valAx>
      <c:valAx>
        <c:axId val="280896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76080"/>
        <c:crosses val="max"/>
        <c:crossBetween val="between"/>
      </c:valAx>
      <c:catAx>
        <c:axId val="280876080"/>
        <c:scaling>
          <c:orientation val="minMax"/>
        </c:scaling>
        <c:delete val="1"/>
        <c:axPos val="b"/>
        <c:majorTickMark val="out"/>
        <c:minorTickMark val="none"/>
        <c:tickLblPos val="nextTo"/>
        <c:crossAx val="280896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</a:t>
            </a:r>
            <a:r>
              <a:rPr lang="en-IN" baseline="0"/>
              <a:t> after dropping X1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'Drop X1'!$G$26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'Drop X1'!$G$27:$G$51</c:f>
              <c:numCache>
                <c:formatCode>General</c:formatCode>
                <c:ptCount val="25"/>
                <c:pt idx="0">
                  <c:v>1.2760459680466454</c:v>
                </c:pt>
                <c:pt idx="1">
                  <c:v>1.8006186538760929</c:v>
                </c:pt>
                <c:pt idx="2">
                  <c:v>-3.3250333081536532</c:v>
                </c:pt>
                <c:pt idx="3">
                  <c:v>0.22969674058877843</c:v>
                </c:pt>
                <c:pt idx="4">
                  <c:v>-1.2213000301659296</c:v>
                </c:pt>
                <c:pt idx="5">
                  <c:v>0.43968746847444429</c:v>
                </c:pt>
                <c:pt idx="6">
                  <c:v>-2.0820720532239054</c:v>
                </c:pt>
                <c:pt idx="7">
                  <c:v>-1.1427608178782513</c:v>
                </c:pt>
                <c:pt idx="8">
                  <c:v>0.74955140592504321</c:v>
                </c:pt>
                <c:pt idx="9">
                  <c:v>1.0875853679144996</c:v>
                </c:pt>
                <c:pt idx="10">
                  <c:v>-1.1849859073180387</c:v>
                </c:pt>
                <c:pt idx="11">
                  <c:v>1.5776746562635502</c:v>
                </c:pt>
                <c:pt idx="12">
                  <c:v>1.2716266561066067</c:v>
                </c:pt>
                <c:pt idx="13">
                  <c:v>-1.1258473888632441</c:v>
                </c:pt>
                <c:pt idx="14">
                  <c:v>-1.3416827980001642</c:v>
                </c:pt>
                <c:pt idx="15">
                  <c:v>-1.7801104974266457</c:v>
                </c:pt>
                <c:pt idx="16">
                  <c:v>1.2128280061932379</c:v>
                </c:pt>
                <c:pt idx="17">
                  <c:v>-2.4497632427800422</c:v>
                </c:pt>
                <c:pt idx="18">
                  <c:v>3.9347479465574686</c:v>
                </c:pt>
                <c:pt idx="19">
                  <c:v>-1.9708670014195944</c:v>
                </c:pt>
                <c:pt idx="20">
                  <c:v>1.7166003645883681</c:v>
                </c:pt>
                <c:pt idx="21">
                  <c:v>-0.72396432195042415</c:v>
                </c:pt>
                <c:pt idx="22">
                  <c:v>0.38348098663189134</c:v>
                </c:pt>
                <c:pt idx="23">
                  <c:v>-0.40963429835943543</c:v>
                </c:pt>
                <c:pt idx="24">
                  <c:v>3.0778774443728398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9-469C-8AF5-9926F313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652160"/>
        <c:axId val="303651744"/>
      </c:barChart>
      <c:lineChart>
        <c:grouping val="standard"/>
        <c:varyColors val="0"/>
        <c:ser>
          <c:idx val="0"/>
          <c:order val="0"/>
          <c:tx>
            <c:strRef>
              <c:f>'Drop X1'!$E$26</c:f>
              <c:strCache>
                <c:ptCount val="1"/>
                <c:pt idx="0">
                  <c:v>Actual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'Drop X1'!$E$27:$E$51</c:f>
              <c:numCache>
                <c:formatCode>0.00</c:formatCode>
                <c:ptCount val="25"/>
                <c:pt idx="0">
                  <c:v>13.6</c:v>
                </c:pt>
                <c:pt idx="1">
                  <c:v>16.600000000000001</c:v>
                </c:pt>
                <c:pt idx="2">
                  <c:v>23.5</c:v>
                </c:pt>
                <c:pt idx="3">
                  <c:v>10.199999999999999</c:v>
                </c:pt>
                <c:pt idx="4">
                  <c:v>5.4</c:v>
                </c:pt>
                <c:pt idx="5">
                  <c:v>15</c:v>
                </c:pt>
                <c:pt idx="6">
                  <c:v>9</c:v>
                </c:pt>
                <c:pt idx="7">
                  <c:v>12.3</c:v>
                </c:pt>
                <c:pt idx="8">
                  <c:v>16.3</c:v>
                </c:pt>
                <c:pt idx="9">
                  <c:v>15.4</c:v>
                </c:pt>
                <c:pt idx="10">
                  <c:v>13</c:v>
                </c:pt>
                <c:pt idx="11">
                  <c:v>14.4</c:v>
                </c:pt>
                <c:pt idx="12">
                  <c:v>10</c:v>
                </c:pt>
                <c:pt idx="13">
                  <c:v>10.199999999999999</c:v>
                </c:pt>
                <c:pt idx="14">
                  <c:v>9.5</c:v>
                </c:pt>
                <c:pt idx="15">
                  <c:v>1.5</c:v>
                </c:pt>
                <c:pt idx="16">
                  <c:v>18.5</c:v>
                </c:pt>
                <c:pt idx="17">
                  <c:v>12.6</c:v>
                </c:pt>
                <c:pt idx="18">
                  <c:v>17.5</c:v>
                </c:pt>
                <c:pt idx="19">
                  <c:v>4.9000000000000004</c:v>
                </c:pt>
                <c:pt idx="20">
                  <c:v>15.9</c:v>
                </c:pt>
                <c:pt idx="21">
                  <c:v>8.5</c:v>
                </c:pt>
                <c:pt idx="22">
                  <c:v>10.6</c:v>
                </c:pt>
                <c:pt idx="23">
                  <c:v>13.9</c:v>
                </c:pt>
                <c:pt idx="24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9-469C-8AF5-9926F3132A23}"/>
            </c:ext>
          </c:extLst>
        </c:ser>
        <c:ser>
          <c:idx val="1"/>
          <c:order val="1"/>
          <c:tx>
            <c:strRef>
              <c:f>'Drop X1'!$F$26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'Drop X1'!$F$27:$F$51</c:f>
              <c:numCache>
                <c:formatCode>General</c:formatCode>
                <c:ptCount val="25"/>
                <c:pt idx="0">
                  <c:v>12.323954031953354</c:v>
                </c:pt>
                <c:pt idx="1">
                  <c:v>14.799381346123909</c:v>
                </c:pt>
                <c:pt idx="2">
                  <c:v>26.825033308153653</c:v>
                </c:pt>
                <c:pt idx="3">
                  <c:v>9.9703032594112209</c:v>
                </c:pt>
                <c:pt idx="4">
                  <c:v>6.6213000301659299</c:v>
                </c:pt>
                <c:pt idx="5">
                  <c:v>14.560312531525556</c:v>
                </c:pt>
                <c:pt idx="6">
                  <c:v>11.082072053223905</c:v>
                </c:pt>
                <c:pt idx="7">
                  <c:v>13.442760817878252</c:v>
                </c:pt>
                <c:pt idx="8">
                  <c:v>15.550448594074957</c:v>
                </c:pt>
                <c:pt idx="9">
                  <c:v>14.312414632085501</c:v>
                </c:pt>
                <c:pt idx="10">
                  <c:v>14.184985907318039</c:v>
                </c:pt>
                <c:pt idx="11">
                  <c:v>12.82232534373645</c:v>
                </c:pt>
                <c:pt idx="12">
                  <c:v>8.7283733438933933</c:v>
                </c:pt>
                <c:pt idx="13">
                  <c:v>11.325847388863243</c:v>
                </c:pt>
                <c:pt idx="14">
                  <c:v>10.841682798000164</c:v>
                </c:pt>
                <c:pt idx="15">
                  <c:v>3.2801104974266457</c:v>
                </c:pt>
                <c:pt idx="16">
                  <c:v>17.287171993806762</c:v>
                </c:pt>
                <c:pt idx="17">
                  <c:v>15.049763242780042</c:v>
                </c:pt>
                <c:pt idx="18">
                  <c:v>13.565252053442531</c:v>
                </c:pt>
                <c:pt idx="19">
                  <c:v>6.8708670014195947</c:v>
                </c:pt>
                <c:pt idx="20">
                  <c:v>14.183399635411632</c:v>
                </c:pt>
                <c:pt idx="21">
                  <c:v>9.2239643219504242</c:v>
                </c:pt>
                <c:pt idx="22">
                  <c:v>10.216519013368108</c:v>
                </c:pt>
                <c:pt idx="23">
                  <c:v>14.309634298359436</c:v>
                </c:pt>
                <c:pt idx="24">
                  <c:v>11.822122555627161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9-469C-8AF5-9926F313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905456"/>
        <c:axId val="243975952"/>
      </c:lineChart>
      <c:catAx>
        <c:axId val="89905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75952"/>
        <c:crosses val="autoZero"/>
        <c:auto val="1"/>
        <c:lblAlgn val="ctr"/>
        <c:lblOffset val="100"/>
        <c:noMultiLvlLbl val="0"/>
      </c:catAx>
      <c:valAx>
        <c:axId val="2439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5456"/>
        <c:crosses val="autoZero"/>
        <c:crossBetween val="between"/>
      </c:valAx>
      <c:valAx>
        <c:axId val="303651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52160"/>
        <c:crosses val="max"/>
        <c:crossBetween val="between"/>
      </c:valAx>
      <c:catAx>
        <c:axId val="303652160"/>
        <c:scaling>
          <c:orientation val="minMax"/>
        </c:scaling>
        <c:delete val="1"/>
        <c:axPos val="b"/>
        <c:majorTickMark val="out"/>
        <c:minorTickMark val="none"/>
        <c:tickLblPos val="nextTo"/>
        <c:crossAx val="303651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 after droping X2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'Drop X2'!$G$26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'Drop X2'!$G$27:$G$51</c:f>
              <c:numCache>
                <c:formatCode>General</c:formatCode>
                <c:ptCount val="25"/>
                <c:pt idx="0">
                  <c:v>-0.43643172888996418</c:v>
                </c:pt>
                <c:pt idx="1">
                  <c:v>1.0887030294372693</c:v>
                </c:pt>
                <c:pt idx="2">
                  <c:v>-3.081258578034511</c:v>
                </c:pt>
                <c:pt idx="3">
                  <c:v>1.0439215986211963</c:v>
                </c:pt>
                <c:pt idx="4">
                  <c:v>-0.6084845391874758</c:v>
                </c:pt>
                <c:pt idx="5">
                  <c:v>0.1909836242669023</c:v>
                </c:pt>
                <c:pt idx="6">
                  <c:v>-0.75061401332759736</c:v>
                </c:pt>
                <c:pt idx="7">
                  <c:v>-0.39970677353992912</c:v>
                </c:pt>
                <c:pt idx="8">
                  <c:v>0.22544999499494978</c:v>
                </c:pt>
                <c:pt idx="9">
                  <c:v>0.67011066996282054</c:v>
                </c:pt>
                <c:pt idx="10">
                  <c:v>-0.72501438510640526</c:v>
                </c:pt>
                <c:pt idx="11">
                  <c:v>-0.4679797061736366</c:v>
                </c:pt>
                <c:pt idx="12">
                  <c:v>1.0260826692390932</c:v>
                </c:pt>
                <c:pt idx="13">
                  <c:v>-1.5943915409407854</c:v>
                </c:pt>
                <c:pt idx="14">
                  <c:v>-0.4989060807607828</c:v>
                </c:pt>
                <c:pt idx="15">
                  <c:v>-2.094176606791367</c:v>
                </c:pt>
                <c:pt idx="16">
                  <c:v>2.0965141758286272</c:v>
                </c:pt>
                <c:pt idx="17">
                  <c:v>-0.36321033849882234</c:v>
                </c:pt>
                <c:pt idx="18">
                  <c:v>2.0815248666216739</c:v>
                </c:pt>
                <c:pt idx="19">
                  <c:v>-1.4481510484030737</c:v>
                </c:pt>
                <c:pt idx="20">
                  <c:v>1.5493559568950417</c:v>
                </c:pt>
                <c:pt idx="21">
                  <c:v>-6.6503298320247595E-2</c:v>
                </c:pt>
                <c:pt idx="22">
                  <c:v>0.9816867812008816</c:v>
                </c:pt>
                <c:pt idx="23">
                  <c:v>-1.0394704933693752</c:v>
                </c:pt>
                <c:pt idx="24">
                  <c:v>2.6199657642755998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A-4835-8DAE-30D17F0C9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715392"/>
        <c:axId val="307719968"/>
      </c:barChart>
      <c:lineChart>
        <c:grouping val="standard"/>
        <c:varyColors val="0"/>
        <c:ser>
          <c:idx val="0"/>
          <c:order val="0"/>
          <c:tx>
            <c:strRef>
              <c:f>'Drop X2'!$E$26</c:f>
              <c:strCache>
                <c:ptCount val="1"/>
                <c:pt idx="0">
                  <c:v>Actual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'Drop X2'!$E$27:$E$51</c:f>
              <c:numCache>
                <c:formatCode>0.00</c:formatCode>
                <c:ptCount val="25"/>
                <c:pt idx="0">
                  <c:v>13.6</c:v>
                </c:pt>
                <c:pt idx="1">
                  <c:v>16.600000000000001</c:v>
                </c:pt>
                <c:pt idx="2">
                  <c:v>23.5</c:v>
                </c:pt>
                <c:pt idx="3">
                  <c:v>10.199999999999999</c:v>
                </c:pt>
                <c:pt idx="4">
                  <c:v>5.4</c:v>
                </c:pt>
                <c:pt idx="5">
                  <c:v>15</c:v>
                </c:pt>
                <c:pt idx="6">
                  <c:v>9</c:v>
                </c:pt>
                <c:pt idx="7">
                  <c:v>12.3</c:v>
                </c:pt>
                <c:pt idx="8">
                  <c:v>16.3</c:v>
                </c:pt>
                <c:pt idx="9">
                  <c:v>15.4</c:v>
                </c:pt>
                <c:pt idx="10">
                  <c:v>13</c:v>
                </c:pt>
                <c:pt idx="11">
                  <c:v>14.4</c:v>
                </c:pt>
                <c:pt idx="12">
                  <c:v>10</c:v>
                </c:pt>
                <c:pt idx="13">
                  <c:v>10.199999999999999</c:v>
                </c:pt>
                <c:pt idx="14">
                  <c:v>9.5</c:v>
                </c:pt>
                <c:pt idx="15">
                  <c:v>1.5</c:v>
                </c:pt>
                <c:pt idx="16">
                  <c:v>18.5</c:v>
                </c:pt>
                <c:pt idx="17">
                  <c:v>12.6</c:v>
                </c:pt>
                <c:pt idx="18">
                  <c:v>17.5</c:v>
                </c:pt>
                <c:pt idx="19">
                  <c:v>4.9000000000000004</c:v>
                </c:pt>
                <c:pt idx="20">
                  <c:v>15.9</c:v>
                </c:pt>
                <c:pt idx="21">
                  <c:v>8.5</c:v>
                </c:pt>
                <c:pt idx="22">
                  <c:v>10.6</c:v>
                </c:pt>
                <c:pt idx="23">
                  <c:v>13.9</c:v>
                </c:pt>
                <c:pt idx="24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A-4835-8DAE-30D17F0C90FC}"/>
            </c:ext>
          </c:extLst>
        </c:ser>
        <c:ser>
          <c:idx val="1"/>
          <c:order val="1"/>
          <c:tx>
            <c:strRef>
              <c:f>'Drop X2'!$F$26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'Drop X2'!$F$27:$F$51</c:f>
              <c:numCache>
                <c:formatCode>General</c:formatCode>
                <c:ptCount val="25"/>
                <c:pt idx="0">
                  <c:v>14.036431728889964</c:v>
                </c:pt>
                <c:pt idx="1">
                  <c:v>15.511296970562732</c:v>
                </c:pt>
                <c:pt idx="2">
                  <c:v>26.581258578034511</c:v>
                </c:pt>
                <c:pt idx="3">
                  <c:v>9.156078401378803</c:v>
                </c:pt>
                <c:pt idx="4">
                  <c:v>6.0084845391874762</c:v>
                </c:pt>
                <c:pt idx="5">
                  <c:v>14.809016375733098</c:v>
                </c:pt>
                <c:pt idx="6">
                  <c:v>9.7506140133275974</c:v>
                </c:pt>
                <c:pt idx="7">
                  <c:v>12.69970677353993</c:v>
                </c:pt>
                <c:pt idx="8">
                  <c:v>16.074550005005051</c:v>
                </c:pt>
                <c:pt idx="9">
                  <c:v>14.72988933003718</c:v>
                </c:pt>
                <c:pt idx="10">
                  <c:v>13.725014385106405</c:v>
                </c:pt>
                <c:pt idx="11">
                  <c:v>14.867979706173637</c:v>
                </c:pt>
                <c:pt idx="12">
                  <c:v>8.9739173307609068</c:v>
                </c:pt>
                <c:pt idx="13">
                  <c:v>11.794391540940785</c:v>
                </c:pt>
                <c:pt idx="14">
                  <c:v>9.9989060807607828</c:v>
                </c:pt>
                <c:pt idx="15">
                  <c:v>3.594176606791367</c:v>
                </c:pt>
                <c:pt idx="16">
                  <c:v>16.403485824171373</c:v>
                </c:pt>
                <c:pt idx="17">
                  <c:v>12.963210338498822</c:v>
                </c:pt>
                <c:pt idx="18">
                  <c:v>15.418475133378326</c:v>
                </c:pt>
                <c:pt idx="19">
                  <c:v>6.3481510484030741</c:v>
                </c:pt>
                <c:pt idx="20">
                  <c:v>14.350644043104959</c:v>
                </c:pt>
                <c:pt idx="21">
                  <c:v>8.5665032983202476</c:v>
                </c:pt>
                <c:pt idx="22">
                  <c:v>9.618313218799118</c:v>
                </c:pt>
                <c:pt idx="23">
                  <c:v>14.939470493369376</c:v>
                </c:pt>
                <c:pt idx="24">
                  <c:v>12.280034235724401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A-4835-8DAE-30D17F0C9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99248"/>
        <c:axId val="1905060800"/>
      </c:lineChart>
      <c:catAx>
        <c:axId val="47899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60800"/>
        <c:crosses val="autoZero"/>
        <c:auto val="1"/>
        <c:lblAlgn val="ctr"/>
        <c:lblOffset val="100"/>
        <c:noMultiLvlLbl val="0"/>
      </c:catAx>
      <c:valAx>
        <c:axId val="19050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9248"/>
        <c:crosses val="autoZero"/>
        <c:crossBetween val="between"/>
      </c:valAx>
      <c:valAx>
        <c:axId val="307719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15392"/>
        <c:crosses val="max"/>
        <c:crossBetween val="between"/>
      </c:valAx>
      <c:catAx>
        <c:axId val="307715392"/>
        <c:scaling>
          <c:orientation val="minMax"/>
        </c:scaling>
        <c:delete val="1"/>
        <c:axPos val="b"/>
        <c:majorTickMark val="out"/>
        <c:minorTickMark val="none"/>
        <c:tickLblPos val="nextTo"/>
        <c:crossAx val="30771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Main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'Main Model'!$C$26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'Main Model'!$C$27:$C$51</c:f>
              <c:numCache>
                <c:formatCode>General</c:formatCode>
                <c:ptCount val="25"/>
                <c:pt idx="0">
                  <c:v>-0.78139375899589147</c:v>
                </c:pt>
                <c:pt idx="1">
                  <c:v>0.9365826929970229</c:v>
                </c:pt>
                <c:pt idx="2">
                  <c:v>-2.8884504949341796</c:v>
                </c:pt>
                <c:pt idx="3">
                  <c:v>1.180357242933459</c:v>
                </c:pt>
                <c:pt idx="4">
                  <c:v>-0.56993339103582041</c:v>
                </c:pt>
                <c:pt idx="5">
                  <c:v>0.20447603505983203</c:v>
                </c:pt>
                <c:pt idx="6">
                  <c:v>-0.53334434791898033</c:v>
                </c:pt>
                <c:pt idx="7">
                  <c:v>-0.22181270133338593</c:v>
                </c:pt>
                <c:pt idx="8">
                  <c:v>0.18323944879317722</c:v>
                </c:pt>
                <c:pt idx="9">
                  <c:v>0.6477210203753696</c:v>
                </c:pt>
                <c:pt idx="10">
                  <c:v>-0.6072206914789362</c:v>
                </c:pt>
                <c:pt idx="11">
                  <c:v>-0.8501354071699776</c:v>
                </c:pt>
                <c:pt idx="12">
                  <c:v>0.91932554220450768</c:v>
                </c:pt>
                <c:pt idx="13">
                  <c:v>-1.7636416359128404</c:v>
                </c:pt>
                <c:pt idx="14">
                  <c:v>-0.3143457065842199</c:v>
                </c:pt>
                <c:pt idx="15">
                  <c:v>-2.2272157986682557</c:v>
                </c:pt>
                <c:pt idx="16">
                  <c:v>2.3625151407110465</c:v>
                </c:pt>
                <c:pt idx="17">
                  <c:v>5.8216462723242657E-2</c:v>
                </c:pt>
                <c:pt idx="18">
                  <c:v>1.7387084198428866</c:v>
                </c:pt>
                <c:pt idx="19">
                  <c:v>-1.4098442471199961</c:v>
                </c:pt>
                <c:pt idx="20">
                  <c:v>1.5301838637523897</c:v>
                </c:pt>
                <c:pt idx="21">
                  <c:v>7.6294685512721117E-3</c:v>
                </c:pt>
                <c:pt idx="22">
                  <c:v>1.0637524218047538</c:v>
                </c:pt>
                <c:pt idx="23">
                  <c:v>-1.1279301764010228</c:v>
                </c:pt>
                <c:pt idx="24">
                  <c:v>2.4625605978046181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3-4EAD-8259-39669C4D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876080"/>
        <c:axId val="280896880"/>
      </c:barChart>
      <c:lineChart>
        <c:grouping val="standard"/>
        <c:varyColors val="0"/>
        <c:ser>
          <c:idx val="0"/>
          <c:order val="0"/>
          <c:tx>
            <c:strRef>
              <c:f>'Main Model'!$A$26</c:f>
              <c:strCache>
                <c:ptCount val="1"/>
                <c:pt idx="0">
                  <c:v>Actual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'Main Model'!$A$27:$A$51</c:f>
              <c:numCache>
                <c:formatCode>0.00</c:formatCode>
                <c:ptCount val="25"/>
                <c:pt idx="0">
                  <c:v>13.6</c:v>
                </c:pt>
                <c:pt idx="1">
                  <c:v>16.600000000000001</c:v>
                </c:pt>
                <c:pt idx="2">
                  <c:v>23.5</c:v>
                </c:pt>
                <c:pt idx="3">
                  <c:v>10.199999999999999</c:v>
                </c:pt>
                <c:pt idx="4">
                  <c:v>5.4</c:v>
                </c:pt>
                <c:pt idx="5">
                  <c:v>15</c:v>
                </c:pt>
                <c:pt idx="6">
                  <c:v>9</c:v>
                </c:pt>
                <c:pt idx="7">
                  <c:v>12.3</c:v>
                </c:pt>
                <c:pt idx="8">
                  <c:v>16.3</c:v>
                </c:pt>
                <c:pt idx="9">
                  <c:v>15.4</c:v>
                </c:pt>
                <c:pt idx="10">
                  <c:v>13</c:v>
                </c:pt>
                <c:pt idx="11">
                  <c:v>14.4</c:v>
                </c:pt>
                <c:pt idx="12">
                  <c:v>10</c:v>
                </c:pt>
                <c:pt idx="13">
                  <c:v>10.199999999999999</c:v>
                </c:pt>
                <c:pt idx="14">
                  <c:v>9.5</c:v>
                </c:pt>
                <c:pt idx="15">
                  <c:v>1.5</c:v>
                </c:pt>
                <c:pt idx="16">
                  <c:v>18.5</c:v>
                </c:pt>
                <c:pt idx="17">
                  <c:v>12.6</c:v>
                </c:pt>
                <c:pt idx="18">
                  <c:v>17.5</c:v>
                </c:pt>
                <c:pt idx="19">
                  <c:v>4.9000000000000004</c:v>
                </c:pt>
                <c:pt idx="20">
                  <c:v>15.9</c:v>
                </c:pt>
                <c:pt idx="21">
                  <c:v>8.5</c:v>
                </c:pt>
                <c:pt idx="22">
                  <c:v>10.6</c:v>
                </c:pt>
                <c:pt idx="23">
                  <c:v>13.9</c:v>
                </c:pt>
                <c:pt idx="24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3-4EAD-8259-39669C4D97E5}"/>
            </c:ext>
          </c:extLst>
        </c:ser>
        <c:ser>
          <c:idx val="1"/>
          <c:order val="1"/>
          <c:tx>
            <c:strRef>
              <c:f>'Main Model'!$B$26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'Main Model'!$B$27:$B$51</c:f>
              <c:numCache>
                <c:formatCode>General</c:formatCode>
                <c:ptCount val="25"/>
                <c:pt idx="0">
                  <c:v>14.381393758995891</c:v>
                </c:pt>
                <c:pt idx="1">
                  <c:v>15.663417307002979</c:v>
                </c:pt>
                <c:pt idx="2">
                  <c:v>26.38845049493418</c:v>
                </c:pt>
                <c:pt idx="3">
                  <c:v>9.0196427570665403</c:v>
                </c:pt>
                <c:pt idx="4">
                  <c:v>5.9699333910358208</c:v>
                </c:pt>
                <c:pt idx="5">
                  <c:v>14.795523964940168</c:v>
                </c:pt>
                <c:pt idx="6">
                  <c:v>9.5333443479189803</c:v>
                </c:pt>
                <c:pt idx="7">
                  <c:v>12.521812701333387</c:v>
                </c:pt>
                <c:pt idx="8">
                  <c:v>16.116760551206823</c:v>
                </c:pt>
                <c:pt idx="9">
                  <c:v>14.752278979624631</c:v>
                </c:pt>
                <c:pt idx="10">
                  <c:v>13.607220691478936</c:v>
                </c:pt>
                <c:pt idx="11">
                  <c:v>15.250135407169978</c:v>
                </c:pt>
                <c:pt idx="12">
                  <c:v>9.0806744577954923</c:v>
                </c:pt>
                <c:pt idx="13">
                  <c:v>11.96364163591284</c:v>
                </c:pt>
                <c:pt idx="14">
                  <c:v>9.8143457065842199</c:v>
                </c:pt>
                <c:pt idx="15">
                  <c:v>3.7272157986682557</c:v>
                </c:pt>
                <c:pt idx="16">
                  <c:v>16.137484859288953</c:v>
                </c:pt>
                <c:pt idx="17">
                  <c:v>12.541783537276757</c:v>
                </c:pt>
                <c:pt idx="18">
                  <c:v>15.761291580157113</c:v>
                </c:pt>
                <c:pt idx="19">
                  <c:v>6.3098442471199965</c:v>
                </c:pt>
                <c:pt idx="20">
                  <c:v>14.369816136247611</c:v>
                </c:pt>
                <c:pt idx="21">
                  <c:v>8.4923705314487279</c:v>
                </c:pt>
                <c:pt idx="22">
                  <c:v>9.5362475781952458</c:v>
                </c:pt>
                <c:pt idx="23">
                  <c:v>15.027930176401023</c:v>
                </c:pt>
                <c:pt idx="24">
                  <c:v>12.437439402195382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C3-4EAD-8259-39669C4D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420464"/>
        <c:axId val="255421712"/>
      </c:lineChart>
      <c:catAx>
        <c:axId val="25542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421712"/>
        <c:crosses val="autoZero"/>
        <c:auto val="1"/>
        <c:lblAlgn val="ctr"/>
        <c:lblOffset val="100"/>
        <c:noMultiLvlLbl val="0"/>
      </c:catAx>
      <c:valAx>
        <c:axId val="2554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420464"/>
        <c:crosses val="autoZero"/>
        <c:crossBetween val="between"/>
      </c:valAx>
      <c:valAx>
        <c:axId val="280896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76080"/>
        <c:crosses val="max"/>
        <c:crossBetween val="between"/>
      </c:valAx>
      <c:catAx>
        <c:axId val="280876080"/>
        <c:scaling>
          <c:orientation val="minMax"/>
        </c:scaling>
        <c:delete val="1"/>
        <c:axPos val="b"/>
        <c:majorTickMark val="out"/>
        <c:minorTickMark val="none"/>
        <c:tickLblPos val="nextTo"/>
        <c:crossAx val="280896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 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'Drop X1'!$G$26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'Drop X1'!$G$27:$G$51</c:f>
              <c:numCache>
                <c:formatCode>General</c:formatCode>
                <c:ptCount val="25"/>
                <c:pt idx="0">
                  <c:v>1.2760459680466454</c:v>
                </c:pt>
                <c:pt idx="1">
                  <c:v>1.8006186538760929</c:v>
                </c:pt>
                <c:pt idx="2">
                  <c:v>-3.3250333081536532</c:v>
                </c:pt>
                <c:pt idx="3">
                  <c:v>0.22969674058877843</c:v>
                </c:pt>
                <c:pt idx="4">
                  <c:v>-1.2213000301659296</c:v>
                </c:pt>
                <c:pt idx="5">
                  <c:v>0.43968746847444429</c:v>
                </c:pt>
                <c:pt idx="6">
                  <c:v>-2.0820720532239054</c:v>
                </c:pt>
                <c:pt idx="7">
                  <c:v>-1.1427608178782513</c:v>
                </c:pt>
                <c:pt idx="8">
                  <c:v>0.74955140592504321</c:v>
                </c:pt>
                <c:pt idx="9">
                  <c:v>1.0875853679144996</c:v>
                </c:pt>
                <c:pt idx="10">
                  <c:v>-1.1849859073180387</c:v>
                </c:pt>
                <c:pt idx="11">
                  <c:v>1.5776746562635502</c:v>
                </c:pt>
                <c:pt idx="12">
                  <c:v>1.2716266561066067</c:v>
                </c:pt>
                <c:pt idx="13">
                  <c:v>-1.1258473888632441</c:v>
                </c:pt>
                <c:pt idx="14">
                  <c:v>-1.3416827980001642</c:v>
                </c:pt>
                <c:pt idx="15">
                  <c:v>-1.7801104974266457</c:v>
                </c:pt>
                <c:pt idx="16">
                  <c:v>1.2128280061932379</c:v>
                </c:pt>
                <c:pt idx="17">
                  <c:v>-2.4497632427800422</c:v>
                </c:pt>
                <c:pt idx="18">
                  <c:v>3.9347479465574686</c:v>
                </c:pt>
                <c:pt idx="19">
                  <c:v>-1.9708670014195944</c:v>
                </c:pt>
                <c:pt idx="20">
                  <c:v>1.7166003645883681</c:v>
                </c:pt>
                <c:pt idx="21">
                  <c:v>-0.72396432195042415</c:v>
                </c:pt>
                <c:pt idx="22">
                  <c:v>0.38348098663189134</c:v>
                </c:pt>
                <c:pt idx="23">
                  <c:v>-0.40963429835943543</c:v>
                </c:pt>
                <c:pt idx="24">
                  <c:v>3.0778774443728398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A-4BAA-A399-7926932A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652160"/>
        <c:axId val="303651744"/>
      </c:barChart>
      <c:lineChart>
        <c:grouping val="standard"/>
        <c:varyColors val="0"/>
        <c:ser>
          <c:idx val="0"/>
          <c:order val="0"/>
          <c:tx>
            <c:strRef>
              <c:f>'Drop X1'!$E$26</c:f>
              <c:strCache>
                <c:ptCount val="1"/>
                <c:pt idx="0">
                  <c:v>Actual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'Drop X1'!$E$27:$E$51</c:f>
              <c:numCache>
                <c:formatCode>0.00</c:formatCode>
                <c:ptCount val="25"/>
                <c:pt idx="0">
                  <c:v>13.6</c:v>
                </c:pt>
                <c:pt idx="1">
                  <c:v>16.600000000000001</c:v>
                </c:pt>
                <c:pt idx="2">
                  <c:v>23.5</c:v>
                </c:pt>
                <c:pt idx="3">
                  <c:v>10.199999999999999</c:v>
                </c:pt>
                <c:pt idx="4">
                  <c:v>5.4</c:v>
                </c:pt>
                <c:pt idx="5">
                  <c:v>15</c:v>
                </c:pt>
                <c:pt idx="6">
                  <c:v>9</c:v>
                </c:pt>
                <c:pt idx="7">
                  <c:v>12.3</c:v>
                </c:pt>
                <c:pt idx="8">
                  <c:v>16.3</c:v>
                </c:pt>
                <c:pt idx="9">
                  <c:v>15.4</c:v>
                </c:pt>
                <c:pt idx="10">
                  <c:v>13</c:v>
                </c:pt>
                <c:pt idx="11">
                  <c:v>14.4</c:v>
                </c:pt>
                <c:pt idx="12">
                  <c:v>10</c:v>
                </c:pt>
                <c:pt idx="13">
                  <c:v>10.199999999999999</c:v>
                </c:pt>
                <c:pt idx="14">
                  <c:v>9.5</c:v>
                </c:pt>
                <c:pt idx="15">
                  <c:v>1.5</c:v>
                </c:pt>
                <c:pt idx="16">
                  <c:v>18.5</c:v>
                </c:pt>
                <c:pt idx="17">
                  <c:v>12.6</c:v>
                </c:pt>
                <c:pt idx="18">
                  <c:v>17.5</c:v>
                </c:pt>
                <c:pt idx="19">
                  <c:v>4.9000000000000004</c:v>
                </c:pt>
                <c:pt idx="20">
                  <c:v>15.9</c:v>
                </c:pt>
                <c:pt idx="21">
                  <c:v>8.5</c:v>
                </c:pt>
                <c:pt idx="22">
                  <c:v>10.6</c:v>
                </c:pt>
                <c:pt idx="23">
                  <c:v>13.9</c:v>
                </c:pt>
                <c:pt idx="24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A-4BAA-A399-7926932ACBF3}"/>
            </c:ext>
          </c:extLst>
        </c:ser>
        <c:ser>
          <c:idx val="1"/>
          <c:order val="1"/>
          <c:tx>
            <c:strRef>
              <c:f>'Drop X1'!$F$26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'Drop X1'!$F$27:$F$51</c:f>
              <c:numCache>
                <c:formatCode>General</c:formatCode>
                <c:ptCount val="25"/>
                <c:pt idx="0">
                  <c:v>12.323954031953354</c:v>
                </c:pt>
                <c:pt idx="1">
                  <c:v>14.799381346123909</c:v>
                </c:pt>
                <c:pt idx="2">
                  <c:v>26.825033308153653</c:v>
                </c:pt>
                <c:pt idx="3">
                  <c:v>9.9703032594112209</c:v>
                </c:pt>
                <c:pt idx="4">
                  <c:v>6.6213000301659299</c:v>
                </c:pt>
                <c:pt idx="5">
                  <c:v>14.560312531525556</c:v>
                </c:pt>
                <c:pt idx="6">
                  <c:v>11.082072053223905</c:v>
                </c:pt>
                <c:pt idx="7">
                  <c:v>13.442760817878252</c:v>
                </c:pt>
                <c:pt idx="8">
                  <c:v>15.550448594074957</c:v>
                </c:pt>
                <c:pt idx="9">
                  <c:v>14.312414632085501</c:v>
                </c:pt>
                <c:pt idx="10">
                  <c:v>14.184985907318039</c:v>
                </c:pt>
                <c:pt idx="11">
                  <c:v>12.82232534373645</c:v>
                </c:pt>
                <c:pt idx="12">
                  <c:v>8.7283733438933933</c:v>
                </c:pt>
                <c:pt idx="13">
                  <c:v>11.325847388863243</c:v>
                </c:pt>
                <c:pt idx="14">
                  <c:v>10.841682798000164</c:v>
                </c:pt>
                <c:pt idx="15">
                  <c:v>3.2801104974266457</c:v>
                </c:pt>
                <c:pt idx="16">
                  <c:v>17.287171993806762</c:v>
                </c:pt>
                <c:pt idx="17">
                  <c:v>15.049763242780042</c:v>
                </c:pt>
                <c:pt idx="18">
                  <c:v>13.565252053442531</c:v>
                </c:pt>
                <c:pt idx="19">
                  <c:v>6.8708670014195947</c:v>
                </c:pt>
                <c:pt idx="20">
                  <c:v>14.183399635411632</c:v>
                </c:pt>
                <c:pt idx="21">
                  <c:v>9.2239643219504242</c:v>
                </c:pt>
                <c:pt idx="22">
                  <c:v>10.216519013368108</c:v>
                </c:pt>
                <c:pt idx="23">
                  <c:v>14.309634298359436</c:v>
                </c:pt>
                <c:pt idx="24">
                  <c:v>11.822122555627161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0A-4BAA-A399-7926932A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905456"/>
        <c:axId val="243975952"/>
      </c:lineChart>
      <c:catAx>
        <c:axId val="89905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75952"/>
        <c:crosses val="autoZero"/>
        <c:auto val="1"/>
        <c:lblAlgn val="ctr"/>
        <c:lblOffset val="100"/>
        <c:noMultiLvlLbl val="0"/>
      </c:catAx>
      <c:valAx>
        <c:axId val="2439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5456"/>
        <c:crosses val="autoZero"/>
        <c:crossBetween val="between"/>
      </c:valAx>
      <c:valAx>
        <c:axId val="303651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52160"/>
        <c:crosses val="max"/>
        <c:crossBetween val="between"/>
      </c:valAx>
      <c:catAx>
        <c:axId val="303652160"/>
        <c:scaling>
          <c:orientation val="minMax"/>
        </c:scaling>
        <c:delete val="1"/>
        <c:axPos val="b"/>
        <c:majorTickMark val="out"/>
        <c:minorTickMark val="none"/>
        <c:tickLblPos val="nextTo"/>
        <c:crossAx val="303651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</a:t>
            </a:r>
            <a:r>
              <a:rPr lang="en-IN" baseline="0"/>
              <a:t> -2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'Drop X2'!$G$26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'Drop X2'!$G$27:$G$51</c:f>
              <c:numCache>
                <c:formatCode>General</c:formatCode>
                <c:ptCount val="25"/>
                <c:pt idx="0">
                  <c:v>-0.43643172888996418</c:v>
                </c:pt>
                <c:pt idx="1">
                  <c:v>1.0887030294372693</c:v>
                </c:pt>
                <c:pt idx="2">
                  <c:v>-3.081258578034511</c:v>
                </c:pt>
                <c:pt idx="3">
                  <c:v>1.0439215986211963</c:v>
                </c:pt>
                <c:pt idx="4">
                  <c:v>-0.6084845391874758</c:v>
                </c:pt>
                <c:pt idx="5">
                  <c:v>0.1909836242669023</c:v>
                </c:pt>
                <c:pt idx="6">
                  <c:v>-0.75061401332759736</c:v>
                </c:pt>
                <c:pt idx="7">
                  <c:v>-0.39970677353992912</c:v>
                </c:pt>
                <c:pt idx="8">
                  <c:v>0.22544999499494978</c:v>
                </c:pt>
                <c:pt idx="9">
                  <c:v>0.67011066996282054</c:v>
                </c:pt>
                <c:pt idx="10">
                  <c:v>-0.72501438510640526</c:v>
                </c:pt>
                <c:pt idx="11">
                  <c:v>-0.4679797061736366</c:v>
                </c:pt>
                <c:pt idx="12">
                  <c:v>1.0260826692390932</c:v>
                </c:pt>
                <c:pt idx="13">
                  <c:v>-1.5943915409407854</c:v>
                </c:pt>
                <c:pt idx="14">
                  <c:v>-0.4989060807607828</c:v>
                </c:pt>
                <c:pt idx="15">
                  <c:v>-2.094176606791367</c:v>
                </c:pt>
                <c:pt idx="16">
                  <c:v>2.0965141758286272</c:v>
                </c:pt>
                <c:pt idx="17">
                  <c:v>-0.36321033849882234</c:v>
                </c:pt>
                <c:pt idx="18">
                  <c:v>2.0815248666216739</c:v>
                </c:pt>
                <c:pt idx="19">
                  <c:v>-1.4481510484030737</c:v>
                </c:pt>
                <c:pt idx="20">
                  <c:v>1.5493559568950417</c:v>
                </c:pt>
                <c:pt idx="21">
                  <c:v>-6.6503298320247595E-2</c:v>
                </c:pt>
                <c:pt idx="22">
                  <c:v>0.9816867812008816</c:v>
                </c:pt>
                <c:pt idx="23">
                  <c:v>-1.0394704933693752</c:v>
                </c:pt>
                <c:pt idx="24">
                  <c:v>2.6199657642755998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E-4081-9A92-A1682207A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715392"/>
        <c:axId val="307719968"/>
      </c:barChart>
      <c:lineChart>
        <c:grouping val="standard"/>
        <c:varyColors val="0"/>
        <c:ser>
          <c:idx val="0"/>
          <c:order val="0"/>
          <c:tx>
            <c:strRef>
              <c:f>'Drop X2'!$E$26</c:f>
              <c:strCache>
                <c:ptCount val="1"/>
                <c:pt idx="0">
                  <c:v>Actual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'Drop X2'!$E$27:$E$51</c:f>
              <c:numCache>
                <c:formatCode>0.00</c:formatCode>
                <c:ptCount val="25"/>
                <c:pt idx="0">
                  <c:v>13.6</c:v>
                </c:pt>
                <c:pt idx="1">
                  <c:v>16.600000000000001</c:v>
                </c:pt>
                <c:pt idx="2">
                  <c:v>23.5</c:v>
                </c:pt>
                <c:pt idx="3">
                  <c:v>10.199999999999999</c:v>
                </c:pt>
                <c:pt idx="4">
                  <c:v>5.4</c:v>
                </c:pt>
                <c:pt idx="5">
                  <c:v>15</c:v>
                </c:pt>
                <c:pt idx="6">
                  <c:v>9</c:v>
                </c:pt>
                <c:pt idx="7">
                  <c:v>12.3</c:v>
                </c:pt>
                <c:pt idx="8">
                  <c:v>16.3</c:v>
                </c:pt>
                <c:pt idx="9">
                  <c:v>15.4</c:v>
                </c:pt>
                <c:pt idx="10">
                  <c:v>13</c:v>
                </c:pt>
                <c:pt idx="11">
                  <c:v>14.4</c:v>
                </c:pt>
                <c:pt idx="12">
                  <c:v>10</c:v>
                </c:pt>
                <c:pt idx="13">
                  <c:v>10.199999999999999</c:v>
                </c:pt>
                <c:pt idx="14">
                  <c:v>9.5</c:v>
                </c:pt>
                <c:pt idx="15">
                  <c:v>1.5</c:v>
                </c:pt>
                <c:pt idx="16">
                  <c:v>18.5</c:v>
                </c:pt>
                <c:pt idx="17">
                  <c:v>12.6</c:v>
                </c:pt>
                <c:pt idx="18">
                  <c:v>17.5</c:v>
                </c:pt>
                <c:pt idx="19">
                  <c:v>4.9000000000000004</c:v>
                </c:pt>
                <c:pt idx="20">
                  <c:v>15.9</c:v>
                </c:pt>
                <c:pt idx="21">
                  <c:v>8.5</c:v>
                </c:pt>
                <c:pt idx="22">
                  <c:v>10.6</c:v>
                </c:pt>
                <c:pt idx="23">
                  <c:v>13.9</c:v>
                </c:pt>
                <c:pt idx="24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E-4081-9A92-A1682207A861}"/>
            </c:ext>
          </c:extLst>
        </c:ser>
        <c:ser>
          <c:idx val="1"/>
          <c:order val="1"/>
          <c:tx>
            <c:strRef>
              <c:f>'Drop X2'!$F$26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'Drop X2'!$F$27:$F$51</c:f>
              <c:numCache>
                <c:formatCode>General</c:formatCode>
                <c:ptCount val="25"/>
                <c:pt idx="0">
                  <c:v>14.036431728889964</c:v>
                </c:pt>
                <c:pt idx="1">
                  <c:v>15.511296970562732</c:v>
                </c:pt>
                <c:pt idx="2">
                  <c:v>26.581258578034511</c:v>
                </c:pt>
                <c:pt idx="3">
                  <c:v>9.156078401378803</c:v>
                </c:pt>
                <c:pt idx="4">
                  <c:v>6.0084845391874762</c:v>
                </c:pt>
                <c:pt idx="5">
                  <c:v>14.809016375733098</c:v>
                </c:pt>
                <c:pt idx="6">
                  <c:v>9.7506140133275974</c:v>
                </c:pt>
                <c:pt idx="7">
                  <c:v>12.69970677353993</c:v>
                </c:pt>
                <c:pt idx="8">
                  <c:v>16.074550005005051</c:v>
                </c:pt>
                <c:pt idx="9">
                  <c:v>14.72988933003718</c:v>
                </c:pt>
                <c:pt idx="10">
                  <c:v>13.725014385106405</c:v>
                </c:pt>
                <c:pt idx="11">
                  <c:v>14.867979706173637</c:v>
                </c:pt>
                <c:pt idx="12">
                  <c:v>8.9739173307609068</c:v>
                </c:pt>
                <c:pt idx="13">
                  <c:v>11.794391540940785</c:v>
                </c:pt>
                <c:pt idx="14">
                  <c:v>9.9989060807607828</c:v>
                </c:pt>
                <c:pt idx="15">
                  <c:v>3.594176606791367</c:v>
                </c:pt>
                <c:pt idx="16">
                  <c:v>16.403485824171373</c:v>
                </c:pt>
                <c:pt idx="17">
                  <c:v>12.963210338498822</c:v>
                </c:pt>
                <c:pt idx="18">
                  <c:v>15.418475133378326</c:v>
                </c:pt>
                <c:pt idx="19">
                  <c:v>6.3481510484030741</c:v>
                </c:pt>
                <c:pt idx="20">
                  <c:v>14.350644043104959</c:v>
                </c:pt>
                <c:pt idx="21">
                  <c:v>8.5665032983202476</c:v>
                </c:pt>
                <c:pt idx="22">
                  <c:v>9.618313218799118</c:v>
                </c:pt>
                <c:pt idx="23">
                  <c:v>14.939470493369376</c:v>
                </c:pt>
                <c:pt idx="24">
                  <c:v>12.280034235724401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8E-4081-9A92-A1682207A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99248"/>
        <c:axId val="1905060800"/>
      </c:lineChart>
      <c:catAx>
        <c:axId val="47899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60800"/>
        <c:crosses val="autoZero"/>
        <c:auto val="1"/>
        <c:lblAlgn val="ctr"/>
        <c:lblOffset val="100"/>
        <c:noMultiLvlLbl val="0"/>
      </c:catAx>
      <c:valAx>
        <c:axId val="19050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9248"/>
        <c:crosses val="autoZero"/>
        <c:crossBetween val="between"/>
      </c:valAx>
      <c:valAx>
        <c:axId val="307719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15392"/>
        <c:crosses val="max"/>
        <c:crossBetween val="between"/>
      </c:valAx>
      <c:catAx>
        <c:axId val="307715392"/>
        <c:scaling>
          <c:orientation val="minMax"/>
        </c:scaling>
        <c:delete val="1"/>
        <c:axPos val="b"/>
        <c:majorTickMark val="out"/>
        <c:minorTickMark val="none"/>
        <c:tickLblPos val="nextTo"/>
        <c:crossAx val="30771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7</xdr:row>
      <xdr:rowOff>137160</xdr:rowOff>
    </xdr:from>
    <xdr:to>
      <xdr:col>19</xdr:col>
      <xdr:colOff>373380</xdr:colOff>
      <xdr:row>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46C0B-7AEE-47CA-A3FD-E1AFDF900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31</xdr:row>
      <xdr:rowOff>99060</xdr:rowOff>
    </xdr:from>
    <xdr:to>
      <xdr:col>14</xdr:col>
      <xdr:colOff>548640</xdr:colOff>
      <xdr:row>46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C9F4A-2F80-4EFF-8FF1-24140D045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403860</xdr:colOff>
      <xdr:row>23</xdr:row>
      <xdr:rowOff>114300</xdr:rowOff>
    </xdr:from>
    <xdr:to>
      <xdr:col>18</xdr:col>
      <xdr:colOff>220980</xdr:colOff>
      <xdr:row>42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4B934-06DC-4DEE-998F-D9A61C92A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13</xdr:col>
      <xdr:colOff>342900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DBDFEC-22D6-4D7E-833F-EE2D24FCA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10</xdr:col>
      <xdr:colOff>304800</xdr:colOff>
      <xdr:row>43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4611AB-127C-47FC-A355-B309D8369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511629</xdr:colOff>
      <xdr:row>50</xdr:row>
      <xdr:rowOff>54428</xdr:rowOff>
    </xdr:from>
    <xdr:to>
      <xdr:col>16</xdr:col>
      <xdr:colOff>328749</xdr:colOff>
      <xdr:row>68</xdr:row>
      <xdr:rowOff>165462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B10D5E-EF5E-45DD-8F6A-9F26A7681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DD3D-EE88-4CFB-B7FA-E24641BE9942}">
  <dimension ref="A2"/>
  <sheetViews>
    <sheetView workbookViewId="0">
      <selection activeCell="A2" sqref="A2"/>
    </sheetView>
  </sheetViews>
  <sheetFormatPr defaultRowHeight="14.4" x14ac:dyDescent="0.3"/>
  <sheetData>
    <row r="2" spans="1:1" ht="409.6" x14ac:dyDescent="0.3">
      <c r="A2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E518-B26A-4CFC-AE3C-13EB034B4A95}">
  <dimension ref="A1:J33"/>
  <sheetViews>
    <sheetView zoomScale="85" zoomScaleNormal="85" workbookViewId="0">
      <selection sqref="A1:D26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0" x14ac:dyDescent="0.3">
      <c r="A2" s="3">
        <v>13.6</v>
      </c>
      <c r="B2" s="3">
        <v>14.1</v>
      </c>
      <c r="C2" s="3">
        <v>0.86</v>
      </c>
      <c r="D2" s="3">
        <v>0.98529999999999995</v>
      </c>
      <c r="F2" t="s">
        <v>5</v>
      </c>
    </row>
    <row r="3" spans="1:10" ht="15" thickBot="1" x14ac:dyDescent="0.35">
      <c r="A3" s="3">
        <v>16.600000000000001</v>
      </c>
      <c r="B3" s="3">
        <v>16</v>
      </c>
      <c r="C3" s="3">
        <v>1.06</v>
      </c>
      <c r="D3" s="3">
        <v>1.0938000000000001</v>
      </c>
    </row>
    <row r="4" spans="1:10" x14ac:dyDescent="0.3">
      <c r="A4" s="3">
        <v>23.5</v>
      </c>
      <c r="B4" s="3">
        <v>29.8</v>
      </c>
      <c r="C4" s="3">
        <v>2.0299999999999998</v>
      </c>
      <c r="D4" s="3">
        <v>1.165</v>
      </c>
      <c r="F4" s="6"/>
      <c r="G4" s="6" t="s">
        <v>0</v>
      </c>
      <c r="H4" s="6" t="s">
        <v>1</v>
      </c>
      <c r="I4" s="6" t="s">
        <v>2</v>
      </c>
      <c r="J4" s="6" t="s">
        <v>3</v>
      </c>
    </row>
    <row r="5" spans="1:10" x14ac:dyDescent="0.3">
      <c r="A5" s="3">
        <v>10.199999999999999</v>
      </c>
      <c r="B5" s="3">
        <v>8</v>
      </c>
      <c r="C5" s="3">
        <v>0.67</v>
      </c>
      <c r="D5" s="3">
        <v>0.92800000000000005</v>
      </c>
      <c r="F5" s="4" t="s">
        <v>0</v>
      </c>
      <c r="G5" s="4">
        <v>1</v>
      </c>
      <c r="H5" s="4"/>
      <c r="I5" s="4"/>
      <c r="J5" s="4"/>
    </row>
    <row r="6" spans="1:10" x14ac:dyDescent="0.3">
      <c r="A6" s="3">
        <v>5.4</v>
      </c>
      <c r="B6" s="3">
        <v>4.0999999999999996</v>
      </c>
      <c r="C6" s="3">
        <v>0.4</v>
      </c>
      <c r="D6" s="3">
        <v>0.94620000000000004</v>
      </c>
      <c r="F6" s="4" t="s">
        <v>1</v>
      </c>
      <c r="G6" s="4">
        <v>0.9574853297136916</v>
      </c>
      <c r="H6" s="4">
        <v>1</v>
      </c>
      <c r="I6" s="4"/>
      <c r="J6" s="4"/>
    </row>
    <row r="7" spans="1:10" x14ac:dyDescent="0.3">
      <c r="A7" s="3">
        <v>15</v>
      </c>
      <c r="B7" s="3">
        <v>15</v>
      </c>
      <c r="C7" s="3">
        <v>1.04</v>
      </c>
      <c r="D7" s="3">
        <v>0.88849999999999996</v>
      </c>
      <c r="F7" s="4" t="s">
        <v>2</v>
      </c>
      <c r="G7" s="4">
        <v>0.92594730515963042</v>
      </c>
      <c r="H7" s="4">
        <v>0.97660763446947474</v>
      </c>
      <c r="I7" s="4">
        <v>1</v>
      </c>
      <c r="J7" s="4"/>
    </row>
    <row r="8" spans="1:10" ht="15" thickBot="1" x14ac:dyDescent="0.35">
      <c r="A8" s="3">
        <v>9</v>
      </c>
      <c r="B8" s="3">
        <v>8.8000000000000007</v>
      </c>
      <c r="C8" s="3">
        <v>0.76</v>
      </c>
      <c r="D8" s="3">
        <v>1.0266999999999999</v>
      </c>
      <c r="F8" s="5" t="s">
        <v>3</v>
      </c>
      <c r="G8" s="5">
        <v>0.46026579714734317</v>
      </c>
      <c r="H8" s="5">
        <v>0.48805005032733767</v>
      </c>
      <c r="I8" s="5">
        <v>0.4977306543195833</v>
      </c>
      <c r="J8" s="5">
        <v>1</v>
      </c>
    </row>
    <row r="9" spans="1:10" x14ac:dyDescent="0.3">
      <c r="A9" s="3">
        <v>12.3</v>
      </c>
      <c r="B9" s="3">
        <v>12.4</v>
      </c>
      <c r="C9" s="3">
        <v>0.95</v>
      </c>
      <c r="D9" s="3">
        <v>0.92249999999999999</v>
      </c>
    </row>
    <row r="10" spans="1:10" x14ac:dyDescent="0.3">
      <c r="A10" s="3">
        <v>16.3</v>
      </c>
      <c r="B10" s="3">
        <v>16.600000000000001</v>
      </c>
      <c r="C10" s="3">
        <v>1.1200000000000001</v>
      </c>
      <c r="D10" s="3">
        <v>0.93269999999999997</v>
      </c>
      <c r="F10" t="s">
        <v>6</v>
      </c>
    </row>
    <row r="11" spans="1:10" ht="15" thickBot="1" x14ac:dyDescent="0.35">
      <c r="A11" s="3">
        <v>15.4</v>
      </c>
      <c r="B11" s="3">
        <v>14.9</v>
      </c>
      <c r="C11" s="3">
        <v>1.02</v>
      </c>
      <c r="D11" s="3">
        <v>0.88580000000000003</v>
      </c>
    </row>
    <row r="12" spans="1:10" x14ac:dyDescent="0.3">
      <c r="A12" s="3">
        <v>13</v>
      </c>
      <c r="B12" s="3">
        <v>13.7</v>
      </c>
      <c r="C12" s="3">
        <v>1.01</v>
      </c>
      <c r="D12" s="3">
        <v>0.96430000000000005</v>
      </c>
      <c r="F12" s="6"/>
      <c r="G12" s="8" t="s">
        <v>1</v>
      </c>
      <c r="H12" s="6" t="s">
        <v>2</v>
      </c>
      <c r="I12" s="6" t="s">
        <v>3</v>
      </c>
    </row>
    <row r="13" spans="1:10" x14ac:dyDescent="0.3">
      <c r="A13" s="3">
        <v>14.4</v>
      </c>
      <c r="B13" s="3">
        <v>15.1</v>
      </c>
      <c r="C13" s="3">
        <v>0.9</v>
      </c>
      <c r="D13" s="3">
        <v>0.93159999999999998</v>
      </c>
      <c r="F13" s="4" t="s">
        <v>1</v>
      </c>
      <c r="G13" s="4">
        <v>1</v>
      </c>
      <c r="H13" s="4"/>
      <c r="I13" s="4"/>
    </row>
    <row r="14" spans="1:10" x14ac:dyDescent="0.3">
      <c r="A14" s="3">
        <v>10</v>
      </c>
      <c r="B14" s="3">
        <v>7.8</v>
      </c>
      <c r="C14" s="3">
        <v>0.56999999999999995</v>
      </c>
      <c r="D14" s="3">
        <v>0.97050000000000003</v>
      </c>
      <c r="F14" s="7" t="s">
        <v>2</v>
      </c>
      <c r="G14" s="4">
        <v>0.97660763446947474</v>
      </c>
      <c r="H14" s="4">
        <v>1</v>
      </c>
      <c r="I14" s="4"/>
    </row>
    <row r="15" spans="1:10" ht="15" thickBot="1" x14ac:dyDescent="0.35">
      <c r="A15" s="3">
        <v>10.199999999999999</v>
      </c>
      <c r="B15" s="3">
        <v>11.4</v>
      </c>
      <c r="C15" s="3">
        <v>0.78</v>
      </c>
      <c r="D15" s="3">
        <v>1.1240000000000001</v>
      </c>
      <c r="F15" s="5" t="s">
        <v>3</v>
      </c>
      <c r="G15" s="5">
        <v>0.48805005032733767</v>
      </c>
      <c r="H15" s="5">
        <v>0.4977306543195833</v>
      </c>
      <c r="I15" s="5">
        <v>1</v>
      </c>
    </row>
    <row r="16" spans="1:10" x14ac:dyDescent="0.3">
      <c r="A16" s="3">
        <v>9.5</v>
      </c>
      <c r="B16" s="3">
        <v>9</v>
      </c>
      <c r="C16" s="3">
        <v>0.74</v>
      </c>
      <c r="D16" s="3">
        <v>0.85170000000000001</v>
      </c>
    </row>
    <row r="17" spans="1:9" x14ac:dyDescent="0.3">
      <c r="A17" s="3">
        <v>1.5</v>
      </c>
      <c r="B17" s="3">
        <v>1</v>
      </c>
      <c r="C17" s="3">
        <v>0.13</v>
      </c>
      <c r="D17" s="3">
        <v>0.78510000000000002</v>
      </c>
      <c r="F17" t="s">
        <v>7</v>
      </c>
    </row>
    <row r="18" spans="1:9" ht="15" thickBot="1" x14ac:dyDescent="0.35">
      <c r="A18" s="3">
        <v>18.5</v>
      </c>
      <c r="B18" s="3">
        <v>17</v>
      </c>
      <c r="C18" s="3">
        <v>1.26</v>
      </c>
      <c r="D18" s="3">
        <v>0.91859999999999997</v>
      </c>
    </row>
    <row r="19" spans="1:9" x14ac:dyDescent="0.3">
      <c r="A19" s="3">
        <v>12.6</v>
      </c>
      <c r="B19" s="3">
        <v>12.8</v>
      </c>
      <c r="C19" s="3">
        <v>1.08</v>
      </c>
      <c r="D19" s="3">
        <v>1.0395000000000001</v>
      </c>
      <c r="F19" s="6"/>
      <c r="G19" s="8" t="s">
        <v>1</v>
      </c>
      <c r="H19" s="6" t="s">
        <v>2</v>
      </c>
      <c r="I19" s="6" t="s">
        <v>3</v>
      </c>
    </row>
    <row r="20" spans="1:9" x14ac:dyDescent="0.3">
      <c r="A20" s="3">
        <v>17.5</v>
      </c>
      <c r="B20" s="3">
        <v>15.8</v>
      </c>
      <c r="C20" s="3">
        <v>0.96</v>
      </c>
      <c r="D20" s="3">
        <v>0.95730000000000004</v>
      </c>
      <c r="F20" s="4" t="s">
        <v>1</v>
      </c>
      <c r="G20" s="4">
        <f>G13^2</f>
        <v>1</v>
      </c>
      <c r="H20" s="4"/>
      <c r="I20" s="4"/>
    </row>
    <row r="21" spans="1:9" x14ac:dyDescent="0.3">
      <c r="A21" s="3">
        <v>4.9000000000000004</v>
      </c>
      <c r="B21" s="3">
        <v>4.5</v>
      </c>
      <c r="C21" s="3">
        <v>0.42</v>
      </c>
      <c r="D21" s="3">
        <v>0.91059999999999997</v>
      </c>
      <c r="F21" s="7" t="s">
        <v>2</v>
      </c>
      <c r="G21" s="4">
        <f t="shared" ref="G21:I22" si="0">G14^2</f>
        <v>0.95376247170406314</v>
      </c>
      <c r="H21" s="4">
        <f t="shared" si="0"/>
        <v>1</v>
      </c>
      <c r="I21" s="4"/>
    </row>
    <row r="22" spans="1:9" ht="15" thickBot="1" x14ac:dyDescent="0.35">
      <c r="A22" s="3">
        <v>15.9</v>
      </c>
      <c r="B22" s="3">
        <v>14.5</v>
      </c>
      <c r="C22" s="3">
        <v>1.01</v>
      </c>
      <c r="D22" s="3">
        <v>1.0006999999999999</v>
      </c>
      <c r="F22" s="5" t="s">
        <v>3</v>
      </c>
      <c r="G22" s="4">
        <f t="shared" si="0"/>
        <v>0.23819285162451684</v>
      </c>
      <c r="H22" s="4">
        <f t="shared" si="0"/>
        <v>0.24773580424940053</v>
      </c>
      <c r="I22" s="4">
        <f t="shared" si="0"/>
        <v>1</v>
      </c>
    </row>
    <row r="23" spans="1:9" x14ac:dyDescent="0.3">
      <c r="A23" s="3">
        <v>8.5</v>
      </c>
      <c r="B23" s="3">
        <v>7.3</v>
      </c>
      <c r="C23" s="3">
        <v>0.61</v>
      </c>
      <c r="D23" s="3">
        <v>0.98060000000000003</v>
      </c>
    </row>
    <row r="24" spans="1:9" x14ac:dyDescent="0.3">
      <c r="A24" s="3">
        <v>10.6</v>
      </c>
      <c r="B24" s="3">
        <v>8.6</v>
      </c>
      <c r="C24" s="3">
        <v>0.69</v>
      </c>
      <c r="D24" s="3">
        <v>0.96930000000000005</v>
      </c>
      <c r="F24" t="s">
        <v>8</v>
      </c>
    </row>
    <row r="25" spans="1:9" ht="15" thickBot="1" x14ac:dyDescent="0.35">
      <c r="A25" s="3">
        <v>13.9</v>
      </c>
      <c r="B25" s="3">
        <v>15.2</v>
      </c>
      <c r="C25" s="3">
        <v>1.02</v>
      </c>
      <c r="D25" s="3">
        <v>0.9496</v>
      </c>
    </row>
    <row r="26" spans="1:9" x14ac:dyDescent="0.3">
      <c r="A26" s="3">
        <v>14.9</v>
      </c>
      <c r="B26" s="3">
        <v>12</v>
      </c>
      <c r="C26" s="3">
        <v>0.82</v>
      </c>
      <c r="D26" s="3">
        <v>1.1184000000000001</v>
      </c>
      <c r="F26" s="6"/>
      <c r="G26" s="8" t="s">
        <v>1</v>
      </c>
      <c r="H26" s="6" t="s">
        <v>2</v>
      </c>
    </row>
    <row r="27" spans="1:9" x14ac:dyDescent="0.3">
      <c r="F27" s="7" t="s">
        <v>2</v>
      </c>
      <c r="G27" s="9">
        <f>1/(1-G21)</f>
        <v>21.627453647600696</v>
      </c>
      <c r="H27" s="4"/>
    </row>
    <row r="28" spans="1:9" ht="15" thickBot="1" x14ac:dyDescent="0.35">
      <c r="F28" s="5" t="s">
        <v>3</v>
      </c>
      <c r="G28" s="4">
        <f>1/(1-G22)</f>
        <v>1.3126681761026417</v>
      </c>
      <c r="H28" s="4">
        <f>1/(1-H22)</f>
        <v>1.3293202117671079</v>
      </c>
    </row>
    <row r="33" spans="6:6" ht="21" x14ac:dyDescent="0.4">
      <c r="F33" s="16" t="s">
        <v>41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2E3C-D987-42B5-A7E3-3351C8563429}">
  <dimension ref="A1:I52"/>
  <sheetViews>
    <sheetView topLeftCell="A29" workbookViewId="0">
      <selection activeCell="D53" sqref="D53"/>
    </sheetView>
  </sheetViews>
  <sheetFormatPr defaultRowHeight="14.4" x14ac:dyDescent="0.3"/>
  <sheetData>
    <row r="1" spans="1:9" x14ac:dyDescent="0.3">
      <c r="A1" t="s">
        <v>9</v>
      </c>
    </row>
    <row r="2" spans="1:9" ht="15" thickBot="1" x14ac:dyDescent="0.35"/>
    <row r="3" spans="1:9" x14ac:dyDescent="0.3">
      <c r="A3" s="10" t="s">
        <v>10</v>
      </c>
      <c r="B3" s="10"/>
    </row>
    <row r="4" spans="1:9" x14ac:dyDescent="0.3">
      <c r="A4" s="4" t="s">
        <v>11</v>
      </c>
      <c r="B4" s="4">
        <v>0.95843407930729907</v>
      </c>
    </row>
    <row r="5" spans="1:9" x14ac:dyDescent="0.3">
      <c r="A5" s="4" t="s">
        <v>12</v>
      </c>
      <c r="B5" s="4">
        <v>0.91859588437762996</v>
      </c>
    </row>
    <row r="6" spans="1:9" x14ac:dyDescent="0.3">
      <c r="A6" s="4" t="s">
        <v>13</v>
      </c>
      <c r="B6" s="4">
        <v>0.90696672500300557</v>
      </c>
    </row>
    <row r="7" spans="1:9" x14ac:dyDescent="0.3">
      <c r="A7" s="4" t="s">
        <v>14</v>
      </c>
      <c r="B7" s="4">
        <v>1.4456677728639724</v>
      </c>
    </row>
    <row r="8" spans="1:9" ht="15" thickBot="1" x14ac:dyDescent="0.35">
      <c r="A8" s="5" t="s">
        <v>15</v>
      </c>
      <c r="B8" s="5">
        <v>25</v>
      </c>
    </row>
    <row r="10" spans="1:9" ht="15" thickBot="1" x14ac:dyDescent="0.35">
      <c r="A10" t="s">
        <v>16</v>
      </c>
    </row>
    <row r="11" spans="1:9" x14ac:dyDescent="0.3">
      <c r="A11" s="6"/>
      <c r="B11" s="6" t="s">
        <v>21</v>
      </c>
      <c r="C11" s="6" t="s">
        <v>22</v>
      </c>
      <c r="D11" s="6" t="s">
        <v>23</v>
      </c>
      <c r="E11" s="6" t="s">
        <v>24</v>
      </c>
      <c r="F11" s="6" t="s">
        <v>25</v>
      </c>
    </row>
    <row r="12" spans="1:9" x14ac:dyDescent="0.3">
      <c r="A12" s="4" t="s">
        <v>17</v>
      </c>
      <c r="B12" s="4">
        <v>3</v>
      </c>
      <c r="C12" s="4">
        <v>495.26133850055282</v>
      </c>
      <c r="D12" s="4">
        <v>165.08711283351761</v>
      </c>
      <c r="E12" s="4">
        <v>78.990738262825431</v>
      </c>
      <c r="F12" s="4">
        <v>1.3276945589700974E-11</v>
      </c>
    </row>
    <row r="13" spans="1:9" x14ac:dyDescent="0.3">
      <c r="A13" s="4" t="s">
        <v>18</v>
      </c>
      <c r="B13" s="4">
        <v>21</v>
      </c>
      <c r="C13" s="4">
        <v>43.889061499447038</v>
      </c>
      <c r="D13" s="4">
        <v>2.0899553094974781</v>
      </c>
      <c r="E13" s="4"/>
      <c r="F13" s="4"/>
    </row>
    <row r="14" spans="1:9" ht="15" thickBot="1" x14ac:dyDescent="0.35">
      <c r="A14" s="5" t="s">
        <v>19</v>
      </c>
      <c r="B14" s="5">
        <v>24</v>
      </c>
      <c r="C14" s="5">
        <v>539.15039999999988</v>
      </c>
      <c r="D14" s="5"/>
      <c r="E14" s="5"/>
      <c r="F14" s="5"/>
    </row>
    <row r="15" spans="1:9" ht="15" thickBot="1" x14ac:dyDescent="0.35"/>
    <row r="16" spans="1:9" x14ac:dyDescent="0.3">
      <c r="A16" s="6"/>
      <c r="B16" s="6" t="s">
        <v>26</v>
      </c>
      <c r="C16" s="6" t="s">
        <v>14</v>
      </c>
      <c r="D16" s="6" t="s">
        <v>27</v>
      </c>
      <c r="E16" s="6" t="s">
        <v>28</v>
      </c>
      <c r="F16" s="6" t="s">
        <v>29</v>
      </c>
      <c r="G16" s="6" t="s">
        <v>30</v>
      </c>
      <c r="H16" s="6" t="s">
        <v>31</v>
      </c>
      <c r="I16" s="6" t="s">
        <v>32</v>
      </c>
    </row>
    <row r="17" spans="1:9" x14ac:dyDescent="0.3">
      <c r="A17" s="4" t="s">
        <v>20</v>
      </c>
      <c r="B17" s="4">
        <v>3.2671906719420001</v>
      </c>
      <c r="C17" s="4">
        <v>3.4571293755903501</v>
      </c>
      <c r="D17" s="4">
        <v>0.94505883841390359</v>
      </c>
      <c r="E17" s="4">
        <v>0.3553764923481143</v>
      </c>
      <c r="F17" s="4">
        <v>-3.9223034405504515</v>
      </c>
      <c r="G17" s="4">
        <v>10.456684784434451</v>
      </c>
      <c r="H17" s="4">
        <v>-3.9223034405504515</v>
      </c>
      <c r="I17" s="4">
        <v>10.456684784434451</v>
      </c>
    </row>
    <row r="18" spans="1:9" x14ac:dyDescent="0.3">
      <c r="A18" s="4" t="s">
        <v>1</v>
      </c>
      <c r="B18" s="4">
        <v>0.962609317387356</v>
      </c>
      <c r="C18" s="4">
        <v>0.24222983453934824</v>
      </c>
      <c r="D18" s="4">
        <v>3.9739502742012074</v>
      </c>
      <c r="E18" s="4">
        <v>6.9142970772770654E-4</v>
      </c>
      <c r="F18" s="4">
        <v>0.45886479987323225</v>
      </c>
      <c r="G18" s="4">
        <v>1.4663538349014797</v>
      </c>
      <c r="H18" s="4">
        <v>0.45886479987323225</v>
      </c>
      <c r="I18" s="4">
        <v>1.4663538349014797</v>
      </c>
    </row>
    <row r="19" spans="1:9" x14ac:dyDescent="0.3">
      <c r="A19" s="4" t="s">
        <v>2</v>
      </c>
      <c r="B19" s="4">
        <v>-2.6230110235206423</v>
      </c>
      <c r="C19" s="4">
        <v>3.9007855253215209</v>
      </c>
      <c r="D19" s="4">
        <v>-0.67243149014311454</v>
      </c>
      <c r="E19" s="4">
        <v>0.50864092258613081</v>
      </c>
      <c r="F19" s="4">
        <v>-10.735138607292612</v>
      </c>
      <c r="G19" s="4">
        <v>5.4891165602513281</v>
      </c>
      <c r="H19" s="4">
        <v>-10.735138607292612</v>
      </c>
      <c r="I19" s="4">
        <v>5.4891165602513281</v>
      </c>
    </row>
    <row r="20" spans="1:9" ht="15" thickBot="1" x14ac:dyDescent="0.35">
      <c r="A20" s="5" t="s">
        <v>3</v>
      </c>
      <c r="B20" s="5">
        <v>-0.20582442695633238</v>
      </c>
      <c r="C20" s="5">
        <v>3.8799363566508851</v>
      </c>
      <c r="D20" s="5">
        <v>-5.3048402869679434E-2</v>
      </c>
      <c r="E20" s="5">
        <v>0.95819475163330992</v>
      </c>
      <c r="F20" s="5">
        <v>-8.2745937909097869</v>
      </c>
      <c r="G20" s="5">
        <v>7.8629449369971214</v>
      </c>
      <c r="H20" s="5">
        <v>-8.2745937909097869</v>
      </c>
      <c r="I20" s="5">
        <v>7.8629449369971214</v>
      </c>
    </row>
    <row r="24" spans="1:9" x14ac:dyDescent="0.3">
      <c r="A24" t="s">
        <v>33</v>
      </c>
    </row>
    <row r="26" spans="1:9" x14ac:dyDescent="0.3">
      <c r="A26" s="2" t="s">
        <v>36</v>
      </c>
      <c r="B26" s="11" t="s">
        <v>34</v>
      </c>
      <c r="C26" s="11" t="s">
        <v>35</v>
      </c>
      <c r="D26" t="s">
        <v>45</v>
      </c>
    </row>
    <row r="27" spans="1:9" x14ac:dyDescent="0.3">
      <c r="A27" s="3">
        <v>13.6</v>
      </c>
      <c r="B27" s="12">
        <v>14.381393758995891</v>
      </c>
      <c r="C27" s="12">
        <v>-0.78139375899589147</v>
      </c>
      <c r="D27">
        <f>ABS(A27-B27)/A27*100</f>
        <v>5.7455423455580261</v>
      </c>
    </row>
    <row r="28" spans="1:9" x14ac:dyDescent="0.3">
      <c r="A28" s="3">
        <v>16.600000000000001</v>
      </c>
      <c r="B28" s="12">
        <v>15.663417307002979</v>
      </c>
      <c r="C28" s="12">
        <v>0.9365826929970229</v>
      </c>
      <c r="D28">
        <f t="shared" ref="D28:D51" si="0">ABS(A28-B28)/A28*100</f>
        <v>5.6420644156447164</v>
      </c>
    </row>
    <row r="29" spans="1:9" x14ac:dyDescent="0.3">
      <c r="A29" s="3">
        <v>23.5</v>
      </c>
      <c r="B29" s="12">
        <v>26.38845049493418</v>
      </c>
      <c r="C29" s="12">
        <v>-2.8884504949341796</v>
      </c>
      <c r="D29">
        <f t="shared" si="0"/>
        <v>12.291278701847572</v>
      </c>
    </row>
    <row r="30" spans="1:9" x14ac:dyDescent="0.3">
      <c r="A30" s="3">
        <v>10.199999999999999</v>
      </c>
      <c r="B30" s="12">
        <v>9.0196427570665403</v>
      </c>
      <c r="C30" s="12">
        <v>1.180357242933459</v>
      </c>
      <c r="D30">
        <f t="shared" si="0"/>
        <v>11.572129832680972</v>
      </c>
    </row>
    <row r="31" spans="1:9" x14ac:dyDescent="0.3">
      <c r="A31" s="3">
        <v>5.4</v>
      </c>
      <c r="B31" s="12">
        <v>5.9699333910358208</v>
      </c>
      <c r="C31" s="12">
        <v>-0.56993339103582041</v>
      </c>
      <c r="D31">
        <f t="shared" si="0"/>
        <v>10.554322056218895</v>
      </c>
    </row>
    <row r="32" spans="1:9" x14ac:dyDescent="0.3">
      <c r="A32" s="3">
        <v>15</v>
      </c>
      <c r="B32" s="12">
        <v>14.795523964940168</v>
      </c>
      <c r="C32" s="12">
        <v>0.20447603505983203</v>
      </c>
      <c r="D32">
        <f t="shared" si="0"/>
        <v>1.3631735670655469</v>
      </c>
    </row>
    <row r="33" spans="1:4" x14ac:dyDescent="0.3">
      <c r="A33" s="3">
        <v>9</v>
      </c>
      <c r="B33" s="12">
        <v>9.5333443479189803</v>
      </c>
      <c r="C33" s="12">
        <v>-0.53334434791898033</v>
      </c>
      <c r="D33">
        <f t="shared" si="0"/>
        <v>5.9260483102108932</v>
      </c>
    </row>
    <row r="34" spans="1:4" x14ac:dyDescent="0.3">
      <c r="A34" s="3">
        <v>12.3</v>
      </c>
      <c r="B34" s="12">
        <v>12.521812701333387</v>
      </c>
      <c r="C34" s="12">
        <v>-0.22181270133338593</v>
      </c>
      <c r="D34">
        <f t="shared" si="0"/>
        <v>1.8033552953933816</v>
      </c>
    </row>
    <row r="35" spans="1:4" x14ac:dyDescent="0.3">
      <c r="A35" s="3">
        <v>16.3</v>
      </c>
      <c r="B35" s="12">
        <v>16.116760551206823</v>
      </c>
      <c r="C35" s="12">
        <v>0.18323944879317722</v>
      </c>
      <c r="D35">
        <f t="shared" si="0"/>
        <v>1.1241683975041545</v>
      </c>
    </row>
    <row r="36" spans="1:4" x14ac:dyDescent="0.3">
      <c r="A36" s="3">
        <v>15.4</v>
      </c>
      <c r="B36" s="12">
        <v>14.752278979624631</v>
      </c>
      <c r="C36" s="12">
        <v>0.6477210203753696</v>
      </c>
      <c r="D36">
        <f t="shared" si="0"/>
        <v>4.2059806517881135</v>
      </c>
    </row>
    <row r="37" spans="1:4" x14ac:dyDescent="0.3">
      <c r="A37" s="3">
        <v>13</v>
      </c>
      <c r="B37" s="12">
        <v>13.607220691478936</v>
      </c>
      <c r="C37" s="12">
        <v>-0.6072206914789362</v>
      </c>
      <c r="D37">
        <f t="shared" si="0"/>
        <v>4.6709283959918171</v>
      </c>
    </row>
    <row r="38" spans="1:4" x14ac:dyDescent="0.3">
      <c r="A38" s="3">
        <v>14.4</v>
      </c>
      <c r="B38" s="12">
        <v>15.250135407169978</v>
      </c>
      <c r="C38" s="12">
        <v>-0.8501354071699776</v>
      </c>
      <c r="D38">
        <f t="shared" si="0"/>
        <v>5.9037181053470666</v>
      </c>
    </row>
    <row r="39" spans="1:4" x14ac:dyDescent="0.3">
      <c r="A39" s="3">
        <v>10</v>
      </c>
      <c r="B39" s="12">
        <v>9.0806744577954923</v>
      </c>
      <c r="C39" s="12">
        <v>0.91932554220450768</v>
      </c>
      <c r="D39">
        <f t="shared" si="0"/>
        <v>9.1932554220450768</v>
      </c>
    </row>
    <row r="40" spans="1:4" x14ac:dyDescent="0.3">
      <c r="A40" s="3">
        <v>10.199999999999999</v>
      </c>
      <c r="B40" s="12">
        <v>11.96364163591284</v>
      </c>
      <c r="C40" s="12">
        <v>-1.7636416359128404</v>
      </c>
      <c r="D40">
        <f t="shared" si="0"/>
        <v>17.290604273655301</v>
      </c>
    </row>
    <row r="41" spans="1:4" x14ac:dyDescent="0.3">
      <c r="A41" s="3">
        <v>9.5</v>
      </c>
      <c r="B41" s="12">
        <v>9.8143457065842199</v>
      </c>
      <c r="C41" s="12">
        <v>-0.3143457065842199</v>
      </c>
      <c r="D41">
        <f t="shared" si="0"/>
        <v>3.3089021745707359</v>
      </c>
    </row>
    <row r="42" spans="1:4" x14ac:dyDescent="0.3">
      <c r="A42" s="3">
        <v>1.5</v>
      </c>
      <c r="B42" s="12">
        <v>3.7272157986682557</v>
      </c>
      <c r="C42" s="12">
        <v>-2.2272157986682557</v>
      </c>
      <c r="D42">
        <f t="shared" si="0"/>
        <v>148.4810532445504</v>
      </c>
    </row>
    <row r="43" spans="1:4" x14ac:dyDescent="0.3">
      <c r="A43" s="3">
        <v>18.5</v>
      </c>
      <c r="B43" s="12">
        <v>16.137484859288953</v>
      </c>
      <c r="C43" s="12">
        <v>2.3625151407110465</v>
      </c>
      <c r="D43">
        <f t="shared" si="0"/>
        <v>12.770352111951603</v>
      </c>
    </row>
    <row r="44" spans="1:4" x14ac:dyDescent="0.3">
      <c r="A44" s="3">
        <v>12.6</v>
      </c>
      <c r="B44" s="12">
        <v>12.541783537276757</v>
      </c>
      <c r="C44" s="12">
        <v>5.8216462723242657E-2</v>
      </c>
      <c r="D44">
        <f t="shared" si="0"/>
        <v>0.46203541843843376</v>
      </c>
    </row>
    <row r="45" spans="1:4" x14ac:dyDescent="0.3">
      <c r="A45" s="3">
        <v>17.5</v>
      </c>
      <c r="B45" s="12">
        <v>15.761291580157113</v>
      </c>
      <c r="C45" s="12">
        <v>1.7387084198428866</v>
      </c>
      <c r="D45">
        <f t="shared" si="0"/>
        <v>9.9354766848164946</v>
      </c>
    </row>
    <row r="46" spans="1:4" x14ac:dyDescent="0.3">
      <c r="A46" s="3">
        <v>4.9000000000000004</v>
      </c>
      <c r="B46" s="12">
        <v>6.3098442471199965</v>
      </c>
      <c r="C46" s="12">
        <v>-1.4098442471199961</v>
      </c>
      <c r="D46">
        <f t="shared" si="0"/>
        <v>28.772331573877469</v>
      </c>
    </row>
    <row r="47" spans="1:4" x14ac:dyDescent="0.3">
      <c r="A47" s="3">
        <v>15.9</v>
      </c>
      <c r="B47" s="12">
        <v>14.369816136247611</v>
      </c>
      <c r="C47" s="12">
        <v>1.5301838637523897</v>
      </c>
      <c r="D47">
        <f t="shared" si="0"/>
        <v>9.623797885235156</v>
      </c>
    </row>
    <row r="48" spans="1:4" x14ac:dyDescent="0.3">
      <c r="A48" s="3">
        <v>8.5</v>
      </c>
      <c r="B48" s="12">
        <v>8.4923705314487279</v>
      </c>
      <c r="C48" s="12">
        <v>7.6294685512721117E-3</v>
      </c>
      <c r="D48">
        <f t="shared" si="0"/>
        <v>8.9758453544377781E-2</v>
      </c>
    </row>
    <row r="49" spans="1:4" x14ac:dyDescent="0.3">
      <c r="A49" s="3">
        <v>10.6</v>
      </c>
      <c r="B49" s="12">
        <v>9.5362475781952458</v>
      </c>
      <c r="C49" s="12">
        <v>1.0637524218047538</v>
      </c>
      <c r="D49">
        <f t="shared" si="0"/>
        <v>10.035400205705225</v>
      </c>
    </row>
    <row r="50" spans="1:4" x14ac:dyDescent="0.3">
      <c r="A50" s="3">
        <v>13.9</v>
      </c>
      <c r="B50" s="12">
        <v>15.027930176401023</v>
      </c>
      <c r="C50" s="12">
        <v>-1.1279301764010228</v>
      </c>
      <c r="D50">
        <f t="shared" si="0"/>
        <v>8.1146055856188681</v>
      </c>
    </row>
    <row r="51" spans="1:4" x14ac:dyDescent="0.3">
      <c r="A51" s="3">
        <v>14.9</v>
      </c>
      <c r="B51" s="12">
        <v>12.437439402195382</v>
      </c>
      <c r="C51" s="12">
        <v>2.4625605978046181</v>
      </c>
      <c r="D51">
        <f t="shared" si="0"/>
        <v>16.527252334259181</v>
      </c>
    </row>
    <row r="52" spans="1:4" x14ac:dyDescent="0.3">
      <c r="C52" t="s">
        <v>44</v>
      </c>
      <c r="D52">
        <f>AVERAGE(D27:D51)</f>
        <v>13.816301417740778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014F-753A-4216-B6B0-5C21B20B8708}">
  <dimension ref="A1:M80"/>
  <sheetViews>
    <sheetView topLeftCell="A45" workbookViewId="0">
      <selection activeCell="D54" sqref="D54"/>
    </sheetView>
  </sheetViews>
  <sheetFormatPr defaultRowHeight="14.4" x14ac:dyDescent="0.3"/>
  <sheetData>
    <row r="1" spans="1:10" x14ac:dyDescent="0.3">
      <c r="A1" s="2" t="s">
        <v>0</v>
      </c>
      <c r="B1" s="2" t="s">
        <v>2</v>
      </c>
      <c r="C1" s="2" t="s">
        <v>3</v>
      </c>
    </row>
    <row r="2" spans="1:10" x14ac:dyDescent="0.3">
      <c r="A2" s="3">
        <v>13.6</v>
      </c>
      <c r="B2" s="3">
        <v>0.86</v>
      </c>
      <c r="C2" s="3">
        <v>0.98529999999999995</v>
      </c>
      <c r="E2" t="s">
        <v>9</v>
      </c>
    </row>
    <row r="3" spans="1:10" ht="15" thickBot="1" x14ac:dyDescent="0.35">
      <c r="A3" s="3">
        <v>16.600000000000001</v>
      </c>
      <c r="B3" s="3">
        <v>1.06</v>
      </c>
      <c r="C3" s="3">
        <v>1.0938000000000001</v>
      </c>
    </row>
    <row r="4" spans="1:10" x14ac:dyDescent="0.3">
      <c r="A4" s="3">
        <v>23.5</v>
      </c>
      <c r="B4" s="3">
        <v>2.0299999999999998</v>
      </c>
      <c r="C4" s="3">
        <v>1.165</v>
      </c>
      <c r="E4" s="10" t="s">
        <v>10</v>
      </c>
      <c r="F4" s="10"/>
    </row>
    <row r="5" spans="1:10" x14ac:dyDescent="0.3">
      <c r="A5" s="3">
        <v>10.199999999999999</v>
      </c>
      <c r="B5" s="3">
        <v>0.67</v>
      </c>
      <c r="C5" s="3">
        <v>0.92800000000000005</v>
      </c>
      <c r="E5" s="4" t="s">
        <v>11</v>
      </c>
      <c r="F5" s="4">
        <v>0.92594756925581267</v>
      </c>
    </row>
    <row r="6" spans="1:10" x14ac:dyDescent="0.3">
      <c r="A6" s="3">
        <v>5.4</v>
      </c>
      <c r="B6" s="3">
        <v>0.4</v>
      </c>
      <c r="C6" s="3">
        <v>0.94620000000000004</v>
      </c>
      <c r="E6" s="4" t="s">
        <v>12</v>
      </c>
      <c r="F6" s="4">
        <v>0.85737890101074798</v>
      </c>
    </row>
    <row r="7" spans="1:10" x14ac:dyDescent="0.3">
      <c r="A7" s="3">
        <v>15</v>
      </c>
      <c r="B7" s="3">
        <v>1.04</v>
      </c>
      <c r="C7" s="3">
        <v>0.88849999999999996</v>
      </c>
      <c r="E7" s="4" t="s">
        <v>13</v>
      </c>
      <c r="F7" s="4">
        <v>0.84441334655717959</v>
      </c>
    </row>
    <row r="8" spans="1:10" x14ac:dyDescent="0.3">
      <c r="A8" s="3">
        <v>9</v>
      </c>
      <c r="B8" s="3">
        <v>0.76</v>
      </c>
      <c r="C8" s="3">
        <v>1.0266999999999999</v>
      </c>
      <c r="E8" s="4" t="s">
        <v>14</v>
      </c>
      <c r="F8" s="4">
        <v>1.8695432423272751</v>
      </c>
    </row>
    <row r="9" spans="1:10" ht="15" thickBot="1" x14ac:dyDescent="0.35">
      <c r="A9" s="3">
        <v>12.3</v>
      </c>
      <c r="B9" s="3">
        <v>0.95</v>
      </c>
      <c r="C9" s="3">
        <v>0.92249999999999999</v>
      </c>
      <c r="E9" s="5" t="s">
        <v>15</v>
      </c>
      <c r="F9" s="5">
        <v>25</v>
      </c>
    </row>
    <row r="10" spans="1:10" x14ac:dyDescent="0.3">
      <c r="A10" s="3">
        <v>16.3</v>
      </c>
      <c r="B10" s="3">
        <v>1.1200000000000001</v>
      </c>
      <c r="C10" s="3">
        <v>0.93269999999999997</v>
      </c>
    </row>
    <row r="11" spans="1:10" ht="15" thickBot="1" x14ac:dyDescent="0.35">
      <c r="A11" s="3">
        <v>15.4</v>
      </c>
      <c r="B11" s="3">
        <v>1.02</v>
      </c>
      <c r="C11" s="3">
        <v>0.88580000000000003</v>
      </c>
      <c r="E11" t="s">
        <v>16</v>
      </c>
    </row>
    <row r="12" spans="1:10" x14ac:dyDescent="0.3">
      <c r="A12" s="3">
        <v>13</v>
      </c>
      <c r="B12" s="3">
        <v>1.01</v>
      </c>
      <c r="C12" s="3">
        <v>0.96430000000000005</v>
      </c>
      <c r="E12" s="6"/>
      <c r="F12" s="6" t="s">
        <v>21</v>
      </c>
      <c r="G12" s="6" t="s">
        <v>22</v>
      </c>
      <c r="H12" s="6" t="s">
        <v>23</v>
      </c>
      <c r="I12" s="6" t="s">
        <v>24</v>
      </c>
      <c r="J12" s="6" t="s">
        <v>25</v>
      </c>
    </row>
    <row r="13" spans="1:10" x14ac:dyDescent="0.3">
      <c r="A13" s="3">
        <v>14.4</v>
      </c>
      <c r="B13" s="3">
        <v>0.9</v>
      </c>
      <c r="C13" s="3">
        <v>0.93159999999999998</v>
      </c>
      <c r="E13" s="4" t="s">
        <v>17</v>
      </c>
      <c r="F13" s="4">
        <v>2</v>
      </c>
      <c r="G13" s="4">
        <v>462.25617743150508</v>
      </c>
      <c r="H13" s="4">
        <v>231.12808871575254</v>
      </c>
      <c r="I13" s="4">
        <v>66.127438211852294</v>
      </c>
      <c r="J13" s="4">
        <v>4.9661698063586808E-10</v>
      </c>
    </row>
    <row r="14" spans="1:10" x14ac:dyDescent="0.3">
      <c r="A14" s="3">
        <v>10</v>
      </c>
      <c r="B14" s="3">
        <v>0.56999999999999995</v>
      </c>
      <c r="C14" s="3">
        <v>0.97050000000000003</v>
      </c>
      <c r="E14" s="4" t="s">
        <v>18</v>
      </c>
      <c r="F14" s="4">
        <v>22</v>
      </c>
      <c r="G14" s="4">
        <v>76.894222568494769</v>
      </c>
      <c r="H14" s="4">
        <v>3.4951919349315803</v>
      </c>
      <c r="I14" s="4"/>
      <c r="J14" s="4"/>
    </row>
    <row r="15" spans="1:10" ht="15" thickBot="1" x14ac:dyDescent="0.35">
      <c r="A15" s="3">
        <v>10.199999999999999</v>
      </c>
      <c r="B15" s="3">
        <v>0.78</v>
      </c>
      <c r="C15" s="3">
        <v>1.1240000000000001</v>
      </c>
      <c r="E15" s="5" t="s">
        <v>19</v>
      </c>
      <c r="F15" s="5">
        <v>24</v>
      </c>
      <c r="G15" s="5">
        <v>539.15039999999988</v>
      </c>
      <c r="H15" s="5"/>
      <c r="I15" s="5"/>
      <c r="J15" s="5"/>
    </row>
    <row r="16" spans="1:10" ht="15" thickBot="1" x14ac:dyDescent="0.35">
      <c r="A16" s="3">
        <v>9.5</v>
      </c>
      <c r="B16" s="3">
        <v>0.74</v>
      </c>
      <c r="C16" s="3">
        <v>0.85170000000000001</v>
      </c>
    </row>
    <row r="17" spans="1:13" x14ac:dyDescent="0.3">
      <c r="A17" s="3">
        <v>1.5</v>
      </c>
      <c r="B17" s="3">
        <v>0.13</v>
      </c>
      <c r="C17" s="3">
        <v>0.78510000000000002</v>
      </c>
      <c r="E17" s="6"/>
      <c r="F17" s="6" t="s">
        <v>26</v>
      </c>
      <c r="G17" s="6" t="s">
        <v>14</v>
      </c>
      <c r="H17" s="6" t="s">
        <v>27</v>
      </c>
      <c r="I17" s="6" t="s">
        <v>28</v>
      </c>
      <c r="J17" s="6" t="s">
        <v>29</v>
      </c>
      <c r="K17" s="6" t="s">
        <v>30</v>
      </c>
      <c r="L17" s="6" t="s">
        <v>31</v>
      </c>
      <c r="M17" s="6" t="s">
        <v>32</v>
      </c>
    </row>
    <row r="18" spans="1:13" x14ac:dyDescent="0.3">
      <c r="A18" s="3">
        <v>18.5</v>
      </c>
      <c r="B18" s="3">
        <v>1.26</v>
      </c>
      <c r="C18" s="3">
        <v>0.91859999999999997</v>
      </c>
      <c r="E18" s="4" t="s">
        <v>20</v>
      </c>
      <c r="F18" s="4">
        <v>1.7022231346311851</v>
      </c>
      <c r="G18" s="4">
        <v>4.4416726215482374</v>
      </c>
      <c r="H18" s="4">
        <v>0.38323921631978358</v>
      </c>
      <c r="I18" s="4">
        <v>0.70522062163897581</v>
      </c>
      <c r="J18" s="4">
        <v>-7.5092420916443752</v>
      </c>
      <c r="K18" s="4">
        <v>10.913688360906745</v>
      </c>
      <c r="L18" s="4">
        <v>-7.5092420916443752</v>
      </c>
      <c r="M18" s="4">
        <v>10.913688360906745</v>
      </c>
    </row>
    <row r="19" spans="1:13" x14ac:dyDescent="0.3">
      <c r="A19" s="3">
        <v>12.6</v>
      </c>
      <c r="B19" s="3">
        <v>1.08</v>
      </c>
      <c r="C19" s="3">
        <v>1.0395000000000001</v>
      </c>
      <c r="E19" s="4" t="s">
        <v>2</v>
      </c>
      <c r="F19" s="4">
        <v>12.400778123304034</v>
      </c>
      <c r="G19" s="4">
        <v>1.2427100926297781</v>
      </c>
      <c r="H19" s="4">
        <v>9.9788182270749548</v>
      </c>
      <c r="I19" s="4">
        <v>1.2546287133748302E-9</v>
      </c>
      <c r="J19" s="4">
        <v>9.8235551309866196</v>
      </c>
      <c r="K19" s="4">
        <v>14.978001115621449</v>
      </c>
      <c r="L19" s="4">
        <v>9.8235551309866196</v>
      </c>
      <c r="M19" s="4">
        <v>14.978001115621449</v>
      </c>
    </row>
    <row r="20" spans="1:13" ht="15" thickBot="1" x14ac:dyDescent="0.35">
      <c r="A20" s="3">
        <v>17.5</v>
      </c>
      <c r="B20" s="3">
        <v>0.96</v>
      </c>
      <c r="C20" s="3">
        <v>0.95730000000000004</v>
      </c>
      <c r="E20" s="5" t="s">
        <v>3</v>
      </c>
      <c r="F20" s="5">
        <v>-4.3578898527657513E-2</v>
      </c>
      <c r="G20" s="5">
        <v>5.0172711410761526</v>
      </c>
      <c r="H20" s="5">
        <v>-8.6857770493763455E-3</v>
      </c>
      <c r="I20" s="5">
        <v>0.99314812295998367</v>
      </c>
      <c r="J20" s="5">
        <v>-10.44876239237759</v>
      </c>
      <c r="K20" s="5">
        <v>10.361604595322275</v>
      </c>
      <c r="L20" s="5">
        <v>-10.44876239237759</v>
      </c>
      <c r="M20" s="5">
        <v>10.361604595322275</v>
      </c>
    </row>
    <row r="21" spans="1:13" x14ac:dyDescent="0.3">
      <c r="A21" s="3">
        <v>4.9000000000000004</v>
      </c>
      <c r="B21" s="3">
        <v>0.42</v>
      </c>
      <c r="C21" s="3">
        <v>0.91059999999999997</v>
      </c>
    </row>
    <row r="22" spans="1:13" x14ac:dyDescent="0.3">
      <c r="A22" s="3">
        <v>15.9</v>
      </c>
      <c r="B22" s="3">
        <v>1.01</v>
      </c>
      <c r="C22" s="3">
        <v>1.0006999999999999</v>
      </c>
    </row>
    <row r="23" spans="1:13" x14ac:dyDescent="0.3">
      <c r="A23" s="3">
        <v>8.5</v>
      </c>
      <c r="B23" s="3">
        <v>0.61</v>
      </c>
      <c r="C23" s="3">
        <v>0.98060000000000003</v>
      </c>
    </row>
    <row r="24" spans="1:13" x14ac:dyDescent="0.3">
      <c r="A24" s="3">
        <v>10.6</v>
      </c>
      <c r="B24" s="3">
        <v>0.69</v>
      </c>
      <c r="C24" s="3">
        <v>0.96930000000000005</v>
      </c>
      <c r="E24" t="s">
        <v>33</v>
      </c>
    </row>
    <row r="25" spans="1:13" ht="15" thickBot="1" x14ac:dyDescent="0.35">
      <c r="A25" s="3">
        <v>13.9</v>
      </c>
      <c r="B25" s="3">
        <v>1.02</v>
      </c>
      <c r="C25" s="3">
        <v>0.9496</v>
      </c>
    </row>
    <row r="26" spans="1:13" x14ac:dyDescent="0.3">
      <c r="A26" s="3">
        <v>14.9</v>
      </c>
      <c r="B26" s="3">
        <v>0.82</v>
      </c>
      <c r="C26" s="3">
        <v>1.1184000000000001</v>
      </c>
      <c r="E26" s="2" t="s">
        <v>36</v>
      </c>
      <c r="F26" s="6" t="s">
        <v>34</v>
      </c>
      <c r="G26" s="6" t="s">
        <v>35</v>
      </c>
    </row>
    <row r="27" spans="1:13" x14ac:dyDescent="0.3">
      <c r="E27" s="3">
        <v>13.6</v>
      </c>
      <c r="F27" s="4">
        <v>12.323954031953354</v>
      </c>
      <c r="G27" s="4">
        <v>1.2760459680466454</v>
      </c>
    </row>
    <row r="28" spans="1:13" x14ac:dyDescent="0.3">
      <c r="E28" s="3">
        <v>16.600000000000001</v>
      </c>
      <c r="F28" s="4">
        <v>14.799381346123909</v>
      </c>
      <c r="G28" s="4">
        <v>1.8006186538760929</v>
      </c>
    </row>
    <row r="29" spans="1:13" x14ac:dyDescent="0.3">
      <c r="E29" s="3">
        <v>23.5</v>
      </c>
      <c r="F29" s="4">
        <v>26.825033308153653</v>
      </c>
      <c r="G29" s="4">
        <v>-3.3250333081536532</v>
      </c>
    </row>
    <row r="30" spans="1:13" x14ac:dyDescent="0.3">
      <c r="E30" s="3">
        <v>10.199999999999999</v>
      </c>
      <c r="F30" s="4">
        <v>9.9703032594112209</v>
      </c>
      <c r="G30" s="4">
        <v>0.22969674058877843</v>
      </c>
    </row>
    <row r="31" spans="1:13" x14ac:dyDescent="0.3">
      <c r="E31" s="3">
        <v>5.4</v>
      </c>
      <c r="F31" s="4">
        <v>6.6213000301659299</v>
      </c>
      <c r="G31" s="4">
        <v>-1.2213000301659296</v>
      </c>
    </row>
    <row r="32" spans="1:13" x14ac:dyDescent="0.3">
      <c r="E32" s="3">
        <v>15</v>
      </c>
      <c r="F32" s="4">
        <v>14.560312531525556</v>
      </c>
      <c r="G32" s="4">
        <v>0.43968746847444429</v>
      </c>
    </row>
    <row r="33" spans="5:7" x14ac:dyDescent="0.3">
      <c r="E33" s="3">
        <v>9</v>
      </c>
      <c r="F33" s="4">
        <v>11.082072053223905</v>
      </c>
      <c r="G33" s="4">
        <v>-2.0820720532239054</v>
      </c>
    </row>
    <row r="34" spans="5:7" x14ac:dyDescent="0.3">
      <c r="E34" s="3">
        <v>12.3</v>
      </c>
      <c r="F34" s="4">
        <v>13.442760817878252</v>
      </c>
      <c r="G34" s="4">
        <v>-1.1427608178782513</v>
      </c>
    </row>
    <row r="35" spans="5:7" x14ac:dyDescent="0.3">
      <c r="E35" s="3">
        <v>16.3</v>
      </c>
      <c r="F35" s="4">
        <v>15.550448594074957</v>
      </c>
      <c r="G35" s="4">
        <v>0.74955140592504321</v>
      </c>
    </row>
    <row r="36" spans="5:7" x14ac:dyDescent="0.3">
      <c r="E36" s="3">
        <v>15.4</v>
      </c>
      <c r="F36" s="4">
        <v>14.312414632085501</v>
      </c>
      <c r="G36" s="4">
        <v>1.0875853679144996</v>
      </c>
    </row>
    <row r="37" spans="5:7" x14ac:dyDescent="0.3">
      <c r="E37" s="3">
        <v>13</v>
      </c>
      <c r="F37" s="4">
        <v>14.184985907318039</v>
      </c>
      <c r="G37" s="4">
        <v>-1.1849859073180387</v>
      </c>
    </row>
    <row r="38" spans="5:7" x14ac:dyDescent="0.3">
      <c r="E38" s="3">
        <v>14.4</v>
      </c>
      <c r="F38" s="4">
        <v>12.82232534373645</v>
      </c>
      <c r="G38" s="4">
        <v>1.5776746562635502</v>
      </c>
    </row>
    <row r="39" spans="5:7" x14ac:dyDescent="0.3">
      <c r="E39" s="3">
        <v>10</v>
      </c>
      <c r="F39" s="4">
        <v>8.7283733438933933</v>
      </c>
      <c r="G39" s="4">
        <v>1.2716266561066067</v>
      </c>
    </row>
    <row r="40" spans="5:7" x14ac:dyDescent="0.3">
      <c r="E40" s="3">
        <v>10.199999999999999</v>
      </c>
      <c r="F40" s="4">
        <v>11.325847388863243</v>
      </c>
      <c r="G40" s="4">
        <v>-1.1258473888632441</v>
      </c>
    </row>
    <row r="41" spans="5:7" x14ac:dyDescent="0.3">
      <c r="E41" s="3">
        <v>9.5</v>
      </c>
      <c r="F41" s="4">
        <v>10.841682798000164</v>
      </c>
      <c r="G41" s="4">
        <v>-1.3416827980001642</v>
      </c>
    </row>
    <row r="42" spans="5:7" x14ac:dyDescent="0.3">
      <c r="E42" s="3">
        <v>1.5</v>
      </c>
      <c r="F42" s="4">
        <v>3.2801104974266457</v>
      </c>
      <c r="G42" s="4">
        <v>-1.7801104974266457</v>
      </c>
    </row>
    <row r="43" spans="5:7" x14ac:dyDescent="0.3">
      <c r="E43" s="3">
        <v>18.5</v>
      </c>
      <c r="F43" s="4">
        <v>17.287171993806762</v>
      </c>
      <c r="G43" s="4">
        <v>1.2128280061932379</v>
      </c>
    </row>
    <row r="44" spans="5:7" x14ac:dyDescent="0.3">
      <c r="E44" s="3">
        <v>12.6</v>
      </c>
      <c r="F44" s="4">
        <v>15.049763242780042</v>
      </c>
      <c r="G44" s="4">
        <v>-2.4497632427800422</v>
      </c>
    </row>
    <row r="45" spans="5:7" x14ac:dyDescent="0.3">
      <c r="E45" s="3">
        <v>17.5</v>
      </c>
      <c r="F45" s="4">
        <v>13.565252053442531</v>
      </c>
      <c r="G45" s="4">
        <v>3.9347479465574686</v>
      </c>
    </row>
    <row r="46" spans="5:7" x14ac:dyDescent="0.3">
      <c r="E46" s="3">
        <v>4.9000000000000004</v>
      </c>
      <c r="F46" s="4">
        <v>6.8708670014195947</v>
      </c>
      <c r="G46" s="4">
        <v>-1.9708670014195944</v>
      </c>
    </row>
    <row r="47" spans="5:7" x14ac:dyDescent="0.3">
      <c r="E47" s="3">
        <v>15.9</v>
      </c>
      <c r="F47" s="4">
        <v>14.183399635411632</v>
      </c>
      <c r="G47" s="4">
        <v>1.7166003645883681</v>
      </c>
    </row>
    <row r="48" spans="5:7" x14ac:dyDescent="0.3">
      <c r="E48" s="3">
        <v>8.5</v>
      </c>
      <c r="F48" s="4">
        <v>9.2239643219504242</v>
      </c>
      <c r="G48" s="4">
        <v>-0.72396432195042415</v>
      </c>
    </row>
    <row r="49" spans="2:7" x14ac:dyDescent="0.3">
      <c r="E49" s="3">
        <v>10.6</v>
      </c>
      <c r="F49" s="4">
        <v>10.216519013368108</v>
      </c>
      <c r="G49" s="4">
        <v>0.38348098663189134</v>
      </c>
    </row>
    <row r="50" spans="2:7" x14ac:dyDescent="0.3">
      <c r="E50" s="3">
        <v>13.9</v>
      </c>
      <c r="F50" s="4">
        <v>14.309634298359436</v>
      </c>
      <c r="G50" s="4">
        <v>-0.40963429835943543</v>
      </c>
    </row>
    <row r="51" spans="2:7" ht="15" thickBot="1" x14ac:dyDescent="0.35">
      <c r="E51" s="3">
        <v>14.9</v>
      </c>
      <c r="F51" s="5">
        <v>11.822122555627161</v>
      </c>
      <c r="G51" s="5">
        <v>3.0778774443728398</v>
      </c>
    </row>
    <row r="53" spans="2:7" ht="15" thickBot="1" x14ac:dyDescent="0.35"/>
    <row r="54" spans="2:7" x14ac:dyDescent="0.3">
      <c r="B54" s="2" t="s">
        <v>36</v>
      </c>
      <c r="C54" s="6" t="s">
        <v>34</v>
      </c>
      <c r="D54" t="s">
        <v>45</v>
      </c>
    </row>
    <row r="55" spans="2:7" x14ac:dyDescent="0.3">
      <c r="B55" s="3">
        <v>13.6</v>
      </c>
      <c r="C55" s="4">
        <v>12.323954031953354</v>
      </c>
      <c r="D55">
        <f>ABS(B55-C55)/B55*100</f>
        <v>9.382690941519451</v>
      </c>
    </row>
    <row r="56" spans="2:7" x14ac:dyDescent="0.3">
      <c r="B56" s="3">
        <v>16.600000000000001</v>
      </c>
      <c r="C56" s="4">
        <v>14.799381346123909</v>
      </c>
      <c r="D56">
        <f t="shared" ref="D56:D79" si="0">ABS(B56-C56)/B56*100</f>
        <v>10.847100324554775</v>
      </c>
    </row>
    <row r="57" spans="2:7" x14ac:dyDescent="0.3">
      <c r="B57" s="3">
        <v>23.5</v>
      </c>
      <c r="C57" s="4">
        <v>26.825033308153653</v>
      </c>
      <c r="D57">
        <f t="shared" si="0"/>
        <v>14.149077907036823</v>
      </c>
    </row>
    <row r="58" spans="2:7" x14ac:dyDescent="0.3">
      <c r="B58" s="3">
        <v>10.199999999999999</v>
      </c>
      <c r="C58" s="4">
        <v>9.9703032594112209</v>
      </c>
      <c r="D58">
        <f t="shared" si="0"/>
        <v>2.2519288293017494</v>
      </c>
    </row>
    <row r="59" spans="2:7" x14ac:dyDescent="0.3">
      <c r="B59" s="3">
        <v>5.4</v>
      </c>
      <c r="C59" s="4">
        <v>6.6213000301659299</v>
      </c>
      <c r="D59">
        <f t="shared" si="0"/>
        <v>22.616667225294989</v>
      </c>
    </row>
    <row r="60" spans="2:7" x14ac:dyDescent="0.3">
      <c r="B60" s="3">
        <v>15</v>
      </c>
      <c r="C60" s="4">
        <v>14.560312531525556</v>
      </c>
      <c r="D60">
        <f t="shared" si="0"/>
        <v>2.9312497898296286</v>
      </c>
    </row>
    <row r="61" spans="2:7" x14ac:dyDescent="0.3">
      <c r="B61" s="3">
        <v>9</v>
      </c>
      <c r="C61" s="4">
        <v>11.082072053223905</v>
      </c>
      <c r="D61">
        <f t="shared" si="0"/>
        <v>23.13413392471006</v>
      </c>
    </row>
    <row r="62" spans="2:7" x14ac:dyDescent="0.3">
      <c r="B62" s="3">
        <v>12.3</v>
      </c>
      <c r="C62" s="4">
        <v>13.442760817878252</v>
      </c>
      <c r="D62">
        <f t="shared" si="0"/>
        <v>9.2907383567337511</v>
      </c>
    </row>
    <row r="63" spans="2:7" x14ac:dyDescent="0.3">
      <c r="B63" s="3">
        <v>16.3</v>
      </c>
      <c r="C63" s="4">
        <v>15.550448594074957</v>
      </c>
      <c r="D63">
        <f t="shared" si="0"/>
        <v>4.5984748829757249</v>
      </c>
    </row>
    <row r="64" spans="2:7" x14ac:dyDescent="0.3">
      <c r="B64" s="3">
        <v>15.4</v>
      </c>
      <c r="C64" s="4">
        <v>14.312414632085501</v>
      </c>
      <c r="D64">
        <f t="shared" si="0"/>
        <v>7.0622426487954515</v>
      </c>
    </row>
    <row r="65" spans="2:4" x14ac:dyDescent="0.3">
      <c r="B65" s="3">
        <v>13</v>
      </c>
      <c r="C65" s="4">
        <v>14.184985907318039</v>
      </c>
      <c r="D65">
        <f t="shared" si="0"/>
        <v>9.1152762101387594</v>
      </c>
    </row>
    <row r="66" spans="2:4" x14ac:dyDescent="0.3">
      <c r="B66" s="3">
        <v>14.4</v>
      </c>
      <c r="C66" s="4">
        <v>12.82232534373645</v>
      </c>
      <c r="D66">
        <f t="shared" si="0"/>
        <v>10.95607400183021</v>
      </c>
    </row>
    <row r="67" spans="2:4" x14ac:dyDescent="0.3">
      <c r="B67" s="3">
        <v>10</v>
      </c>
      <c r="C67" s="4">
        <v>8.7283733438933933</v>
      </c>
      <c r="D67">
        <f t="shared" si="0"/>
        <v>12.716266561066067</v>
      </c>
    </row>
    <row r="68" spans="2:4" x14ac:dyDescent="0.3">
      <c r="B68" s="3">
        <v>10.199999999999999</v>
      </c>
      <c r="C68" s="4">
        <v>11.325847388863243</v>
      </c>
      <c r="D68">
        <f t="shared" si="0"/>
        <v>11.037719498659257</v>
      </c>
    </row>
    <row r="69" spans="2:4" x14ac:dyDescent="0.3">
      <c r="B69" s="3">
        <v>9.5</v>
      </c>
      <c r="C69" s="4">
        <v>10.841682798000164</v>
      </c>
      <c r="D69">
        <f t="shared" si="0"/>
        <v>14.122976821054358</v>
      </c>
    </row>
    <row r="70" spans="2:4" x14ac:dyDescent="0.3">
      <c r="B70" s="3">
        <v>1.5</v>
      </c>
      <c r="C70" s="4">
        <v>3.2801104974266457</v>
      </c>
      <c r="D70">
        <f t="shared" si="0"/>
        <v>118.67403316177638</v>
      </c>
    </row>
    <row r="71" spans="2:4" x14ac:dyDescent="0.3">
      <c r="B71" s="3">
        <v>18.5</v>
      </c>
      <c r="C71" s="4">
        <v>17.287171993806762</v>
      </c>
      <c r="D71">
        <f t="shared" si="0"/>
        <v>6.5558270605039892</v>
      </c>
    </row>
    <row r="72" spans="2:4" x14ac:dyDescent="0.3">
      <c r="B72" s="3">
        <v>12.6</v>
      </c>
      <c r="C72" s="4">
        <v>15.049763242780042</v>
      </c>
      <c r="D72">
        <f t="shared" si="0"/>
        <v>19.442565418889224</v>
      </c>
    </row>
    <row r="73" spans="2:4" x14ac:dyDescent="0.3">
      <c r="B73" s="3">
        <v>17.5</v>
      </c>
      <c r="C73" s="4">
        <v>13.565252053442531</v>
      </c>
      <c r="D73">
        <f t="shared" si="0"/>
        <v>22.484273980328393</v>
      </c>
    </row>
    <row r="74" spans="2:4" x14ac:dyDescent="0.3">
      <c r="B74" s="3">
        <v>4.9000000000000004</v>
      </c>
      <c r="C74" s="4">
        <v>6.8708670014195947</v>
      </c>
      <c r="D74">
        <f t="shared" si="0"/>
        <v>40.22177553917539</v>
      </c>
    </row>
    <row r="75" spans="2:4" x14ac:dyDescent="0.3">
      <c r="B75" s="3">
        <v>15.9</v>
      </c>
      <c r="C75" s="4">
        <v>14.183399635411632</v>
      </c>
      <c r="D75">
        <f t="shared" si="0"/>
        <v>10.796228708102944</v>
      </c>
    </row>
    <row r="76" spans="2:4" x14ac:dyDescent="0.3">
      <c r="B76" s="3">
        <v>8.5</v>
      </c>
      <c r="C76" s="4">
        <v>9.2239643219504242</v>
      </c>
      <c r="D76">
        <f t="shared" si="0"/>
        <v>8.5172273170638135</v>
      </c>
    </row>
    <row r="77" spans="2:4" x14ac:dyDescent="0.3">
      <c r="B77" s="3">
        <v>10.6</v>
      </c>
      <c r="C77" s="4">
        <v>10.216519013368108</v>
      </c>
      <c r="D77">
        <f t="shared" si="0"/>
        <v>3.6177451569046353</v>
      </c>
    </row>
    <row r="78" spans="2:4" x14ac:dyDescent="0.3">
      <c r="B78" s="3">
        <v>13.9</v>
      </c>
      <c r="C78" s="4">
        <v>14.309634298359436</v>
      </c>
      <c r="D78">
        <f t="shared" si="0"/>
        <v>2.9470093407153626</v>
      </c>
    </row>
    <row r="79" spans="2:4" ht="15" thickBot="1" x14ac:dyDescent="0.35">
      <c r="B79" s="3">
        <v>14.9</v>
      </c>
      <c r="C79" s="5">
        <v>11.822122555627161</v>
      </c>
      <c r="D79">
        <f t="shared" si="0"/>
        <v>20.656895599817719</v>
      </c>
    </row>
    <row r="80" spans="2:4" x14ac:dyDescent="0.3">
      <c r="D80">
        <f>AVERAGE(D55:D79)</f>
        <v>16.725047968271156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3681-8BA8-4350-B0C2-937AE46CF732}">
  <dimension ref="A1:M82"/>
  <sheetViews>
    <sheetView topLeftCell="A18" workbookViewId="0">
      <selection activeCell="E82" sqref="E82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3</v>
      </c>
    </row>
    <row r="2" spans="1:10" x14ac:dyDescent="0.3">
      <c r="A2" s="3">
        <v>13.6</v>
      </c>
      <c r="B2" s="3">
        <v>14.1</v>
      </c>
      <c r="C2" s="3">
        <v>0.98529999999999995</v>
      </c>
      <c r="E2" t="s">
        <v>9</v>
      </c>
    </row>
    <row r="3" spans="1:10" ht="15" thickBot="1" x14ac:dyDescent="0.35">
      <c r="A3" s="3">
        <v>16.600000000000001</v>
      </c>
      <c r="B3" s="3">
        <v>16</v>
      </c>
      <c r="C3" s="3">
        <v>1.0938000000000001</v>
      </c>
    </row>
    <row r="4" spans="1:10" x14ac:dyDescent="0.3">
      <c r="A4" s="3">
        <v>23.5</v>
      </c>
      <c r="B4" s="3">
        <v>29.8</v>
      </c>
      <c r="C4" s="3">
        <v>1.165</v>
      </c>
      <c r="E4" s="10" t="s">
        <v>10</v>
      </c>
      <c r="F4" s="10"/>
    </row>
    <row r="5" spans="1:10" x14ac:dyDescent="0.3">
      <c r="A5" s="3">
        <v>10.199999999999999</v>
      </c>
      <c r="B5" s="3">
        <v>8</v>
      </c>
      <c r="C5" s="3">
        <v>0.92800000000000005</v>
      </c>
      <c r="E5" s="4" t="s">
        <v>11</v>
      </c>
      <c r="F5" s="4">
        <v>0.95751925387892978</v>
      </c>
    </row>
    <row r="6" spans="1:10" x14ac:dyDescent="0.3">
      <c r="A6" s="3">
        <v>5.4</v>
      </c>
      <c r="B6" s="3">
        <v>4.0999999999999996</v>
      </c>
      <c r="C6" s="3">
        <v>0.94620000000000004</v>
      </c>
      <c r="E6" s="4" t="s">
        <v>12</v>
      </c>
      <c r="F6" s="4">
        <v>0.91684312154886238</v>
      </c>
    </row>
    <row r="7" spans="1:10" x14ac:dyDescent="0.3">
      <c r="A7" s="3">
        <v>15</v>
      </c>
      <c r="B7" s="3">
        <v>15</v>
      </c>
      <c r="C7" s="3">
        <v>0.88849999999999996</v>
      </c>
      <c r="E7" s="4" t="s">
        <v>13</v>
      </c>
      <c r="F7" s="4">
        <v>0.90928340532603158</v>
      </c>
    </row>
    <row r="8" spans="1:10" x14ac:dyDescent="0.3">
      <c r="A8" s="3">
        <v>9</v>
      </c>
      <c r="B8" s="3">
        <v>8.8000000000000007</v>
      </c>
      <c r="C8" s="3">
        <v>1.0266999999999999</v>
      </c>
      <c r="E8" s="4" t="s">
        <v>14</v>
      </c>
      <c r="F8" s="4">
        <v>1.4275545568253523</v>
      </c>
    </row>
    <row r="9" spans="1:10" ht="15" thickBot="1" x14ac:dyDescent="0.35">
      <c r="A9" s="3">
        <v>12.3</v>
      </c>
      <c r="B9" s="3">
        <v>12.4</v>
      </c>
      <c r="C9" s="3">
        <v>0.92249999999999999</v>
      </c>
      <c r="E9" s="5" t="s">
        <v>15</v>
      </c>
      <c r="F9" s="5">
        <v>25</v>
      </c>
    </row>
    <row r="10" spans="1:10" x14ac:dyDescent="0.3">
      <c r="A10" s="3">
        <v>16.3</v>
      </c>
      <c r="B10" s="3">
        <v>16.600000000000001</v>
      </c>
      <c r="C10" s="3">
        <v>0.93269999999999997</v>
      </c>
    </row>
    <row r="11" spans="1:10" ht="15" thickBot="1" x14ac:dyDescent="0.35">
      <c r="A11" s="3">
        <v>15.4</v>
      </c>
      <c r="B11" s="3">
        <v>14.9</v>
      </c>
      <c r="C11" s="3">
        <v>0.88580000000000003</v>
      </c>
      <c r="E11" t="s">
        <v>16</v>
      </c>
    </row>
    <row r="12" spans="1:10" x14ac:dyDescent="0.3">
      <c r="A12" s="3">
        <v>13</v>
      </c>
      <c r="B12" s="3">
        <v>13.7</v>
      </c>
      <c r="C12" s="3">
        <v>0.96430000000000005</v>
      </c>
      <c r="E12" s="6"/>
      <c r="F12" s="6" t="s">
        <v>21</v>
      </c>
      <c r="G12" s="6" t="s">
        <v>22</v>
      </c>
      <c r="H12" s="6" t="s">
        <v>23</v>
      </c>
      <c r="I12" s="6" t="s">
        <v>24</v>
      </c>
      <c r="J12" s="6" t="s">
        <v>25</v>
      </c>
    </row>
    <row r="13" spans="1:10" x14ac:dyDescent="0.3">
      <c r="A13" s="3">
        <v>14.4</v>
      </c>
      <c r="B13" s="3">
        <v>15.1</v>
      </c>
      <c r="C13" s="3">
        <v>0.93159999999999998</v>
      </c>
      <c r="E13" s="4" t="s">
        <v>17</v>
      </c>
      <c r="F13" s="4">
        <v>2</v>
      </c>
      <c r="G13" s="4">
        <v>494.31633572031768</v>
      </c>
      <c r="H13" s="4">
        <v>247.15816786015884</v>
      </c>
      <c r="I13" s="4">
        <v>121.28009762852658</v>
      </c>
      <c r="J13" s="4">
        <v>1.3148613581076016E-12</v>
      </c>
    </row>
    <row r="14" spans="1:10" x14ac:dyDescent="0.3">
      <c r="A14" s="3">
        <v>10</v>
      </c>
      <c r="B14" s="3">
        <v>7.8</v>
      </c>
      <c r="C14" s="3">
        <v>0.97050000000000003</v>
      </c>
      <c r="E14" s="4" t="s">
        <v>18</v>
      </c>
      <c r="F14" s="4">
        <v>22</v>
      </c>
      <c r="G14" s="4">
        <v>44.83406427968221</v>
      </c>
      <c r="H14" s="4">
        <v>2.0379120127128276</v>
      </c>
      <c r="I14" s="4"/>
      <c r="J14" s="4"/>
    </row>
    <row r="15" spans="1:10" ht="15" thickBot="1" x14ac:dyDescent="0.35">
      <c r="A15" s="3">
        <v>10.199999999999999</v>
      </c>
      <c r="B15" s="3">
        <v>11.4</v>
      </c>
      <c r="C15" s="3">
        <v>1.1240000000000001</v>
      </c>
      <c r="E15" s="5" t="s">
        <v>19</v>
      </c>
      <c r="F15" s="5">
        <v>24</v>
      </c>
      <c r="G15" s="5">
        <v>539.15039999999988</v>
      </c>
      <c r="H15" s="5"/>
      <c r="I15" s="5"/>
      <c r="J15" s="5"/>
    </row>
    <row r="16" spans="1:10" ht="15" thickBot="1" x14ac:dyDescent="0.35">
      <c r="A16" s="3">
        <v>9.5</v>
      </c>
      <c r="B16" s="3">
        <v>9</v>
      </c>
      <c r="C16" s="3">
        <v>0.85170000000000001</v>
      </c>
    </row>
    <row r="17" spans="1:13" x14ac:dyDescent="0.3">
      <c r="A17" s="3">
        <v>1.5</v>
      </c>
      <c r="B17" s="3">
        <v>1</v>
      </c>
      <c r="C17" s="3">
        <v>0.78510000000000002</v>
      </c>
      <c r="E17" s="6"/>
      <c r="F17" s="6" t="s">
        <v>26</v>
      </c>
      <c r="G17" s="6" t="s">
        <v>14</v>
      </c>
      <c r="H17" s="6" t="s">
        <v>27</v>
      </c>
      <c r="I17" s="6" t="s">
        <v>28</v>
      </c>
      <c r="J17" s="6" t="s">
        <v>29</v>
      </c>
      <c r="K17" s="6" t="s">
        <v>30</v>
      </c>
      <c r="L17" s="6" t="s">
        <v>31</v>
      </c>
      <c r="M17" s="6" t="s">
        <v>32</v>
      </c>
    </row>
    <row r="18" spans="1:13" x14ac:dyDescent="0.3">
      <c r="A18" s="3">
        <v>18.5</v>
      </c>
      <c r="B18" s="3">
        <v>17</v>
      </c>
      <c r="C18" s="3">
        <v>0.91859999999999997</v>
      </c>
      <c r="E18" s="4" t="s">
        <v>20</v>
      </c>
      <c r="F18" s="4">
        <v>3.1812752719881878</v>
      </c>
      <c r="G18" s="4">
        <v>3.4114817004312488</v>
      </c>
      <c r="H18" s="4">
        <v>0.93252010455927103</v>
      </c>
      <c r="I18" s="4">
        <v>0.36118979108074412</v>
      </c>
      <c r="J18" s="4">
        <v>-3.8937047481836089</v>
      </c>
      <c r="K18" s="4">
        <v>10.256255292159985</v>
      </c>
      <c r="L18" s="4">
        <v>-3.8937047481836089</v>
      </c>
      <c r="M18" s="4">
        <v>10.256255292159985</v>
      </c>
    </row>
    <row r="19" spans="1:13" x14ac:dyDescent="0.3">
      <c r="A19" s="3">
        <v>12.6</v>
      </c>
      <c r="B19" s="3">
        <v>12.8</v>
      </c>
      <c r="C19" s="3">
        <v>1.0395000000000001</v>
      </c>
      <c r="E19" s="4" t="s">
        <v>1</v>
      </c>
      <c r="F19" s="4">
        <v>0.80474620725362822</v>
      </c>
      <c r="G19" s="4">
        <v>5.8925406261199333E-2</v>
      </c>
      <c r="H19" s="4">
        <v>13.657032820213752</v>
      </c>
      <c r="I19" s="4">
        <v>3.191872603026988E-12</v>
      </c>
      <c r="J19" s="4">
        <v>0.68254239419322371</v>
      </c>
      <c r="K19" s="4">
        <v>0.92695002031403273</v>
      </c>
      <c r="L19" s="4">
        <v>0.68254239419322371</v>
      </c>
      <c r="M19" s="4">
        <v>0.92695002031403273</v>
      </c>
    </row>
    <row r="20" spans="1:13" ht="15" thickBot="1" x14ac:dyDescent="0.35">
      <c r="A20" s="3">
        <v>17.5</v>
      </c>
      <c r="B20" s="3">
        <v>15.8</v>
      </c>
      <c r="C20" s="3">
        <v>0.95730000000000004</v>
      </c>
      <c r="E20" s="5" t="s">
        <v>3</v>
      </c>
      <c r="F20" s="5">
        <v>-0.49910186275690865</v>
      </c>
      <c r="G20" s="5">
        <v>3.8070400506115929</v>
      </c>
      <c r="H20" s="5">
        <v>-0.13109971424564579</v>
      </c>
      <c r="I20" s="5">
        <v>0.89688790659180184</v>
      </c>
      <c r="J20" s="5">
        <v>-8.3944196921522707</v>
      </c>
      <c r="K20" s="5">
        <v>7.3962159666384526</v>
      </c>
      <c r="L20" s="5">
        <v>-8.3944196921522707</v>
      </c>
      <c r="M20" s="5">
        <v>7.3962159666384526</v>
      </c>
    </row>
    <row r="21" spans="1:13" x14ac:dyDescent="0.3">
      <c r="A21" s="3">
        <v>4.9000000000000004</v>
      </c>
      <c r="B21" s="3">
        <v>4.5</v>
      </c>
      <c r="C21" s="3">
        <v>0.91059999999999997</v>
      </c>
    </row>
    <row r="22" spans="1:13" x14ac:dyDescent="0.3">
      <c r="A22" s="3">
        <v>15.9</v>
      </c>
      <c r="B22" s="3">
        <v>14.5</v>
      </c>
      <c r="C22" s="3">
        <v>1.0006999999999999</v>
      </c>
    </row>
    <row r="23" spans="1:13" x14ac:dyDescent="0.3">
      <c r="A23" s="3">
        <v>8.5</v>
      </c>
      <c r="B23" s="3">
        <v>7.3</v>
      </c>
      <c r="C23" s="3">
        <v>0.98060000000000003</v>
      </c>
    </row>
    <row r="24" spans="1:13" x14ac:dyDescent="0.3">
      <c r="A24" s="3">
        <v>10.6</v>
      </c>
      <c r="B24" s="3">
        <v>8.6</v>
      </c>
      <c r="C24" s="3">
        <v>0.96930000000000005</v>
      </c>
      <c r="E24" t="s">
        <v>33</v>
      </c>
    </row>
    <row r="25" spans="1:13" ht="15" thickBot="1" x14ac:dyDescent="0.35">
      <c r="A25" s="3">
        <v>13.9</v>
      </c>
      <c r="B25" s="3">
        <v>15.2</v>
      </c>
      <c r="C25" s="3">
        <v>0.9496</v>
      </c>
    </row>
    <row r="26" spans="1:13" x14ac:dyDescent="0.3">
      <c r="A26" s="3">
        <v>14.9</v>
      </c>
      <c r="B26" s="3">
        <v>12</v>
      </c>
      <c r="C26" s="3">
        <v>1.1184000000000001</v>
      </c>
      <c r="E26" s="2" t="s">
        <v>36</v>
      </c>
      <c r="F26" s="6" t="s">
        <v>34</v>
      </c>
      <c r="G26" s="6" t="s">
        <v>35</v>
      </c>
    </row>
    <row r="27" spans="1:13" x14ac:dyDescent="0.3">
      <c r="E27" s="3">
        <v>13.6</v>
      </c>
      <c r="F27" s="4">
        <v>14.036431728889964</v>
      </c>
      <c r="G27" s="4">
        <v>-0.43643172888996418</v>
      </c>
    </row>
    <row r="28" spans="1:13" x14ac:dyDescent="0.3">
      <c r="E28" s="3">
        <v>16.600000000000001</v>
      </c>
      <c r="F28" s="4">
        <v>15.511296970562732</v>
      </c>
      <c r="G28" s="4">
        <v>1.0887030294372693</v>
      </c>
    </row>
    <row r="29" spans="1:13" x14ac:dyDescent="0.3">
      <c r="E29" s="3">
        <v>23.5</v>
      </c>
      <c r="F29" s="4">
        <v>26.581258578034511</v>
      </c>
      <c r="G29" s="4">
        <v>-3.081258578034511</v>
      </c>
    </row>
    <row r="30" spans="1:13" x14ac:dyDescent="0.3">
      <c r="E30" s="3">
        <v>10.199999999999999</v>
      </c>
      <c r="F30" s="4">
        <v>9.156078401378803</v>
      </c>
      <c r="G30" s="4">
        <v>1.0439215986211963</v>
      </c>
    </row>
    <row r="31" spans="1:13" x14ac:dyDescent="0.3">
      <c r="E31" s="3">
        <v>5.4</v>
      </c>
      <c r="F31" s="4">
        <v>6.0084845391874762</v>
      </c>
      <c r="G31" s="4">
        <v>-0.6084845391874758</v>
      </c>
    </row>
    <row r="32" spans="1:13" x14ac:dyDescent="0.3">
      <c r="E32" s="3">
        <v>15</v>
      </c>
      <c r="F32" s="4">
        <v>14.809016375733098</v>
      </c>
      <c r="G32" s="4">
        <v>0.1909836242669023</v>
      </c>
    </row>
    <row r="33" spans="5:7" x14ac:dyDescent="0.3">
      <c r="E33" s="3">
        <v>9</v>
      </c>
      <c r="F33" s="4">
        <v>9.7506140133275974</v>
      </c>
      <c r="G33" s="4">
        <v>-0.75061401332759736</v>
      </c>
    </row>
    <row r="34" spans="5:7" x14ac:dyDescent="0.3">
      <c r="E34" s="3">
        <v>12.3</v>
      </c>
      <c r="F34" s="4">
        <v>12.69970677353993</v>
      </c>
      <c r="G34" s="4">
        <v>-0.39970677353992912</v>
      </c>
    </row>
    <row r="35" spans="5:7" x14ac:dyDescent="0.3">
      <c r="E35" s="3">
        <v>16.3</v>
      </c>
      <c r="F35" s="4">
        <v>16.074550005005051</v>
      </c>
      <c r="G35" s="4">
        <v>0.22544999499494978</v>
      </c>
    </row>
    <row r="36" spans="5:7" x14ac:dyDescent="0.3">
      <c r="E36" s="3">
        <v>15.4</v>
      </c>
      <c r="F36" s="4">
        <v>14.72988933003718</v>
      </c>
      <c r="G36" s="4">
        <v>0.67011066996282054</v>
      </c>
    </row>
    <row r="37" spans="5:7" x14ac:dyDescent="0.3">
      <c r="E37" s="3">
        <v>13</v>
      </c>
      <c r="F37" s="4">
        <v>13.725014385106405</v>
      </c>
      <c r="G37" s="4">
        <v>-0.72501438510640526</v>
      </c>
    </row>
    <row r="38" spans="5:7" x14ac:dyDescent="0.3">
      <c r="E38" s="3">
        <v>14.4</v>
      </c>
      <c r="F38" s="4">
        <v>14.867979706173637</v>
      </c>
      <c r="G38" s="4">
        <v>-0.4679797061736366</v>
      </c>
    </row>
    <row r="39" spans="5:7" x14ac:dyDescent="0.3">
      <c r="E39" s="3">
        <v>10</v>
      </c>
      <c r="F39" s="4">
        <v>8.9739173307609068</v>
      </c>
      <c r="G39" s="4">
        <v>1.0260826692390932</v>
      </c>
    </row>
    <row r="40" spans="5:7" x14ac:dyDescent="0.3">
      <c r="E40" s="3">
        <v>10.199999999999999</v>
      </c>
      <c r="F40" s="4">
        <v>11.794391540940785</v>
      </c>
      <c r="G40" s="4">
        <v>-1.5943915409407854</v>
      </c>
    </row>
    <row r="41" spans="5:7" x14ac:dyDescent="0.3">
      <c r="E41" s="3">
        <v>9.5</v>
      </c>
      <c r="F41" s="4">
        <v>9.9989060807607828</v>
      </c>
      <c r="G41" s="4">
        <v>-0.4989060807607828</v>
      </c>
    </row>
    <row r="42" spans="5:7" x14ac:dyDescent="0.3">
      <c r="E42" s="3">
        <v>1.5</v>
      </c>
      <c r="F42" s="4">
        <v>3.594176606791367</v>
      </c>
      <c r="G42" s="4">
        <v>-2.094176606791367</v>
      </c>
    </row>
    <row r="43" spans="5:7" x14ac:dyDescent="0.3">
      <c r="E43" s="3">
        <v>18.5</v>
      </c>
      <c r="F43" s="4">
        <v>16.403485824171373</v>
      </c>
      <c r="G43" s="4">
        <v>2.0965141758286272</v>
      </c>
    </row>
    <row r="44" spans="5:7" x14ac:dyDescent="0.3">
      <c r="E44" s="3">
        <v>12.6</v>
      </c>
      <c r="F44" s="4">
        <v>12.963210338498822</v>
      </c>
      <c r="G44" s="4">
        <v>-0.36321033849882234</v>
      </c>
    </row>
    <row r="45" spans="5:7" x14ac:dyDescent="0.3">
      <c r="E45" s="3">
        <v>17.5</v>
      </c>
      <c r="F45" s="4">
        <v>15.418475133378326</v>
      </c>
      <c r="G45" s="4">
        <v>2.0815248666216739</v>
      </c>
    </row>
    <row r="46" spans="5:7" x14ac:dyDescent="0.3">
      <c r="E46" s="3">
        <v>4.9000000000000004</v>
      </c>
      <c r="F46" s="4">
        <v>6.3481510484030741</v>
      </c>
      <c r="G46" s="4">
        <v>-1.4481510484030737</v>
      </c>
    </row>
    <row r="47" spans="5:7" x14ac:dyDescent="0.3">
      <c r="E47" s="3">
        <v>15.9</v>
      </c>
      <c r="F47" s="4">
        <v>14.350644043104959</v>
      </c>
      <c r="G47" s="4">
        <v>1.5493559568950417</v>
      </c>
    </row>
    <row r="48" spans="5:7" x14ac:dyDescent="0.3">
      <c r="E48" s="3">
        <v>8.5</v>
      </c>
      <c r="F48" s="4">
        <v>8.5665032983202476</v>
      </c>
      <c r="G48" s="4">
        <v>-6.6503298320247595E-2</v>
      </c>
    </row>
    <row r="49" spans="2:7" x14ac:dyDescent="0.3">
      <c r="E49" s="3">
        <v>10.6</v>
      </c>
      <c r="F49" s="4">
        <v>9.618313218799118</v>
      </c>
      <c r="G49" s="4">
        <v>0.9816867812008816</v>
      </c>
    </row>
    <row r="50" spans="2:7" x14ac:dyDescent="0.3">
      <c r="E50" s="3">
        <v>13.9</v>
      </c>
      <c r="F50" s="4">
        <v>14.939470493369376</v>
      </c>
      <c r="G50" s="4">
        <v>-1.0394704933693752</v>
      </c>
    </row>
    <row r="51" spans="2:7" ht="15" thickBot="1" x14ac:dyDescent="0.35">
      <c r="E51" s="3">
        <v>14.9</v>
      </c>
      <c r="F51" s="5">
        <v>12.280034235724401</v>
      </c>
      <c r="G51" s="5">
        <v>2.6199657642755998</v>
      </c>
    </row>
    <row r="54" spans="2:7" x14ac:dyDescent="0.3">
      <c r="B54" t="s">
        <v>42</v>
      </c>
    </row>
    <row r="55" spans="2:7" ht="15" thickBot="1" x14ac:dyDescent="0.35"/>
    <row r="56" spans="2:7" x14ac:dyDescent="0.3">
      <c r="B56" s="2" t="s">
        <v>36</v>
      </c>
      <c r="C56" s="6" t="s">
        <v>34</v>
      </c>
      <c r="D56" t="s">
        <v>43</v>
      </c>
    </row>
    <row r="57" spans="2:7" x14ac:dyDescent="0.3">
      <c r="B57" s="3">
        <v>13.6</v>
      </c>
      <c r="C57" s="4">
        <v>14.036431728889964</v>
      </c>
      <c r="D57">
        <f>ABS(B57-C57)/B57*100</f>
        <v>3.209056830073266</v>
      </c>
    </row>
    <row r="58" spans="2:7" x14ac:dyDescent="0.3">
      <c r="B58" s="3">
        <v>16.600000000000001</v>
      </c>
      <c r="C58" s="4">
        <v>15.511296970562732</v>
      </c>
      <c r="D58">
        <f t="shared" ref="D58:D81" si="0">ABS(B58-C58)/B58*100</f>
        <v>6.5584519845618621</v>
      </c>
    </row>
    <row r="59" spans="2:7" x14ac:dyDescent="0.3">
      <c r="B59" s="3">
        <v>23.5</v>
      </c>
      <c r="C59" s="4">
        <v>26.581258578034511</v>
      </c>
      <c r="D59">
        <f t="shared" si="0"/>
        <v>13.111738629934088</v>
      </c>
    </row>
    <row r="60" spans="2:7" x14ac:dyDescent="0.3">
      <c r="B60" s="3">
        <v>10.199999999999999</v>
      </c>
      <c r="C60" s="4">
        <v>9.156078401378803</v>
      </c>
      <c r="D60">
        <f t="shared" si="0"/>
        <v>10.234525476678396</v>
      </c>
    </row>
    <row r="61" spans="2:7" x14ac:dyDescent="0.3">
      <c r="B61" s="3">
        <v>5.4</v>
      </c>
      <c r="C61" s="4">
        <v>6.0084845391874762</v>
      </c>
      <c r="D61">
        <f t="shared" si="0"/>
        <v>11.268232207175476</v>
      </c>
    </row>
    <row r="62" spans="2:7" x14ac:dyDescent="0.3">
      <c r="B62" s="3">
        <v>15</v>
      </c>
      <c r="C62" s="4">
        <v>14.809016375733098</v>
      </c>
      <c r="D62">
        <f t="shared" si="0"/>
        <v>1.2732241617793487</v>
      </c>
    </row>
    <row r="63" spans="2:7" x14ac:dyDescent="0.3">
      <c r="B63" s="3">
        <v>9</v>
      </c>
      <c r="C63" s="4">
        <v>9.7506140133275974</v>
      </c>
      <c r="D63">
        <f t="shared" si="0"/>
        <v>8.3401557036399705</v>
      </c>
    </row>
    <row r="64" spans="2:7" x14ac:dyDescent="0.3">
      <c r="B64" s="3">
        <v>12.3</v>
      </c>
      <c r="C64" s="4">
        <v>12.69970677353993</v>
      </c>
      <c r="D64">
        <f t="shared" si="0"/>
        <v>3.2496485653652769</v>
      </c>
    </row>
    <row r="65" spans="2:4" x14ac:dyDescent="0.3">
      <c r="B65" s="3">
        <v>16.3</v>
      </c>
      <c r="C65" s="4">
        <v>16.074550005005051</v>
      </c>
      <c r="D65">
        <f t="shared" si="0"/>
        <v>1.3831288036499987</v>
      </c>
    </row>
    <row r="66" spans="2:4" x14ac:dyDescent="0.3">
      <c r="B66" s="3">
        <v>15.4</v>
      </c>
      <c r="C66" s="4">
        <v>14.72988933003718</v>
      </c>
      <c r="D66">
        <f t="shared" si="0"/>
        <v>4.351367986771562</v>
      </c>
    </row>
    <row r="67" spans="2:4" x14ac:dyDescent="0.3">
      <c r="B67" s="3">
        <v>13</v>
      </c>
      <c r="C67" s="4">
        <v>13.725014385106405</v>
      </c>
      <c r="D67">
        <f t="shared" si="0"/>
        <v>5.5770337315877327</v>
      </c>
    </row>
    <row r="68" spans="2:4" x14ac:dyDescent="0.3">
      <c r="B68" s="3">
        <v>14.4</v>
      </c>
      <c r="C68" s="4">
        <v>14.867979706173637</v>
      </c>
      <c r="D68">
        <f t="shared" si="0"/>
        <v>3.2498590706502539</v>
      </c>
    </row>
    <row r="69" spans="2:4" x14ac:dyDescent="0.3">
      <c r="B69" s="3">
        <v>10</v>
      </c>
      <c r="C69" s="4">
        <v>8.9739173307609068</v>
      </c>
      <c r="D69">
        <f t="shared" si="0"/>
        <v>10.260826692390932</v>
      </c>
    </row>
    <row r="70" spans="2:4" x14ac:dyDescent="0.3">
      <c r="B70" s="3">
        <v>10.199999999999999</v>
      </c>
      <c r="C70" s="4">
        <v>11.794391540940785</v>
      </c>
      <c r="D70">
        <f t="shared" si="0"/>
        <v>15.631289617066525</v>
      </c>
    </row>
    <row r="71" spans="2:4" x14ac:dyDescent="0.3">
      <c r="B71" s="3">
        <v>9.5</v>
      </c>
      <c r="C71" s="4">
        <v>9.9989060807607828</v>
      </c>
      <c r="D71">
        <f t="shared" si="0"/>
        <v>5.2516429553766608</v>
      </c>
    </row>
    <row r="72" spans="2:4" x14ac:dyDescent="0.3">
      <c r="B72" s="3">
        <v>1.5</v>
      </c>
      <c r="C72" s="4">
        <v>3.594176606791367</v>
      </c>
      <c r="D72">
        <f t="shared" si="0"/>
        <v>139.61177378609113</v>
      </c>
    </row>
    <row r="73" spans="2:4" x14ac:dyDescent="0.3">
      <c r="B73" s="3">
        <v>18.5</v>
      </c>
      <c r="C73" s="4">
        <v>16.403485824171373</v>
      </c>
      <c r="D73">
        <f>ABS(B73-C73)/B73*100</f>
        <v>11.33250905853312</v>
      </c>
    </row>
    <row r="74" spans="2:4" x14ac:dyDescent="0.3">
      <c r="B74" s="3">
        <v>12.6</v>
      </c>
      <c r="C74" s="4">
        <v>12.963210338498822</v>
      </c>
      <c r="D74">
        <f t="shared" si="0"/>
        <v>2.8826217341176377</v>
      </c>
    </row>
    <row r="75" spans="2:4" x14ac:dyDescent="0.3">
      <c r="B75" s="3">
        <v>17.5</v>
      </c>
      <c r="C75" s="4">
        <v>15.418475133378326</v>
      </c>
      <c r="D75">
        <f t="shared" si="0"/>
        <v>11.894427809266709</v>
      </c>
    </row>
    <row r="76" spans="2:4" x14ac:dyDescent="0.3">
      <c r="B76" s="3">
        <v>4.9000000000000004</v>
      </c>
      <c r="C76" s="4">
        <v>6.3481510484030741</v>
      </c>
      <c r="D76">
        <f t="shared" si="0"/>
        <v>29.554103028634156</v>
      </c>
    </row>
    <row r="77" spans="2:4" x14ac:dyDescent="0.3">
      <c r="B77" s="3">
        <v>15.9</v>
      </c>
      <c r="C77" s="4">
        <v>14.350644043104959</v>
      </c>
      <c r="D77">
        <f t="shared" si="0"/>
        <v>9.7443770873901983</v>
      </c>
    </row>
    <row r="78" spans="2:4" x14ac:dyDescent="0.3">
      <c r="B78" s="3">
        <v>8.5</v>
      </c>
      <c r="C78" s="4">
        <v>8.5665032983202476</v>
      </c>
      <c r="D78">
        <f t="shared" si="0"/>
        <v>0.78239174494408936</v>
      </c>
    </row>
    <row r="79" spans="2:4" x14ac:dyDescent="0.3">
      <c r="B79" s="3">
        <v>10.6</v>
      </c>
      <c r="C79" s="4">
        <v>9.618313218799118</v>
      </c>
      <c r="D79">
        <f t="shared" si="0"/>
        <v>9.261196049064921</v>
      </c>
    </row>
    <row r="80" spans="2:4" x14ac:dyDescent="0.3">
      <c r="B80" s="3">
        <v>13.9</v>
      </c>
      <c r="C80" s="4">
        <v>14.939470493369376</v>
      </c>
      <c r="D80">
        <f t="shared" si="0"/>
        <v>7.478204988268887</v>
      </c>
    </row>
    <row r="81" spans="2:4" ht="15" thickBot="1" x14ac:dyDescent="0.35">
      <c r="B81" s="3">
        <v>14.9</v>
      </c>
      <c r="C81" s="5">
        <v>12.280034235724401</v>
      </c>
      <c r="D81">
        <f t="shared" si="0"/>
        <v>17.583662847487247</v>
      </c>
    </row>
    <row r="82" spans="2:4" x14ac:dyDescent="0.3">
      <c r="C82" t="s">
        <v>44</v>
      </c>
      <c r="D82">
        <f>AVERAGE(D57:D81)</f>
        <v>13.723018022019977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BFE4-EEA1-41B4-AD79-394E29363026}">
  <dimension ref="A3:B74"/>
  <sheetViews>
    <sheetView tabSelected="1" topLeftCell="A50" zoomScale="70" zoomScaleNormal="70" workbookViewId="0">
      <selection activeCell="E62" sqref="E62"/>
    </sheetView>
  </sheetViews>
  <sheetFormatPr defaultRowHeight="14.4" x14ac:dyDescent="0.3"/>
  <sheetData>
    <row r="3" spans="1:2" x14ac:dyDescent="0.3">
      <c r="A3" s="13" t="s">
        <v>37</v>
      </c>
    </row>
    <row r="4" spans="1:2" x14ac:dyDescent="0.3">
      <c r="A4" t="s">
        <v>9</v>
      </c>
    </row>
    <row r="5" spans="1:2" ht="15" thickBot="1" x14ac:dyDescent="0.35"/>
    <row r="6" spans="1:2" x14ac:dyDescent="0.3">
      <c r="A6" s="10" t="s">
        <v>10</v>
      </c>
      <c r="B6" s="10"/>
    </row>
    <row r="7" spans="1:2" x14ac:dyDescent="0.3">
      <c r="A7" s="4" t="s">
        <v>11</v>
      </c>
      <c r="B7" s="4">
        <v>0.95843407930729907</v>
      </c>
    </row>
    <row r="8" spans="1:2" x14ac:dyDescent="0.3">
      <c r="A8" s="4" t="s">
        <v>12</v>
      </c>
      <c r="B8" s="4">
        <v>0.91859588437762996</v>
      </c>
    </row>
    <row r="9" spans="1:2" x14ac:dyDescent="0.3">
      <c r="A9" s="4" t="s">
        <v>13</v>
      </c>
      <c r="B9" s="4">
        <v>0.90696672500300557</v>
      </c>
    </row>
    <row r="10" spans="1:2" x14ac:dyDescent="0.3">
      <c r="A10" s="4" t="s">
        <v>14</v>
      </c>
      <c r="B10" s="4">
        <v>1.4456677728639724</v>
      </c>
    </row>
    <row r="11" spans="1:2" ht="15" thickBot="1" x14ac:dyDescent="0.35">
      <c r="A11" s="5" t="s">
        <v>15</v>
      </c>
      <c r="B11" s="5">
        <v>25</v>
      </c>
    </row>
    <row r="27" spans="1:2" x14ac:dyDescent="0.3">
      <c r="A27" s="14" t="s">
        <v>38</v>
      </c>
      <c r="B27" s="15"/>
    </row>
    <row r="28" spans="1:2" x14ac:dyDescent="0.3">
      <c r="A28" t="s">
        <v>9</v>
      </c>
    </row>
    <row r="29" spans="1:2" ht="15" thickBot="1" x14ac:dyDescent="0.35"/>
    <row r="30" spans="1:2" x14ac:dyDescent="0.3">
      <c r="A30" s="10" t="s">
        <v>10</v>
      </c>
      <c r="B30" s="10"/>
    </row>
    <row r="31" spans="1:2" x14ac:dyDescent="0.3">
      <c r="A31" s="4" t="s">
        <v>11</v>
      </c>
      <c r="B31" s="4">
        <v>0.92594756925581267</v>
      </c>
    </row>
    <row r="32" spans="1:2" x14ac:dyDescent="0.3">
      <c r="A32" s="4" t="s">
        <v>12</v>
      </c>
      <c r="B32" s="4">
        <v>0.85737890101074798</v>
      </c>
    </row>
    <row r="33" spans="1:2" x14ac:dyDescent="0.3">
      <c r="A33" s="4" t="s">
        <v>13</v>
      </c>
      <c r="B33" s="4">
        <v>0.84441334655717959</v>
      </c>
    </row>
    <row r="34" spans="1:2" x14ac:dyDescent="0.3">
      <c r="A34" s="4" t="s">
        <v>14</v>
      </c>
      <c r="B34" s="4">
        <v>1.8695432423272751</v>
      </c>
    </row>
    <row r="35" spans="1:2" ht="15" thickBot="1" x14ac:dyDescent="0.35">
      <c r="A35" s="5" t="s">
        <v>15</v>
      </c>
      <c r="B35" s="5">
        <v>25</v>
      </c>
    </row>
    <row r="49" spans="1:2" x14ac:dyDescent="0.3">
      <c r="A49" s="14" t="s">
        <v>39</v>
      </c>
    </row>
    <row r="50" spans="1:2" x14ac:dyDescent="0.3">
      <c r="A50" t="s">
        <v>9</v>
      </c>
    </row>
    <row r="51" spans="1:2" ht="15" thickBot="1" x14ac:dyDescent="0.35"/>
    <row r="52" spans="1:2" x14ac:dyDescent="0.3">
      <c r="A52" s="10" t="s">
        <v>10</v>
      </c>
      <c r="B52" s="10"/>
    </row>
    <row r="53" spans="1:2" x14ac:dyDescent="0.3">
      <c r="A53" s="4" t="s">
        <v>11</v>
      </c>
      <c r="B53" s="4">
        <v>0.95751925387892978</v>
      </c>
    </row>
    <row r="54" spans="1:2" x14ac:dyDescent="0.3">
      <c r="A54" s="4" t="s">
        <v>12</v>
      </c>
      <c r="B54" s="4">
        <v>0.91684312154886238</v>
      </c>
    </row>
    <row r="55" spans="1:2" x14ac:dyDescent="0.3">
      <c r="A55" s="4" t="s">
        <v>13</v>
      </c>
      <c r="B55" s="4">
        <v>0.90928340532603158</v>
      </c>
    </row>
    <row r="56" spans="1:2" x14ac:dyDescent="0.3">
      <c r="A56" s="4" t="s">
        <v>14</v>
      </c>
      <c r="B56" s="4">
        <v>1.4275545568253523</v>
      </c>
    </row>
    <row r="57" spans="1:2" ht="15" thickBot="1" x14ac:dyDescent="0.35">
      <c r="A57" s="5" t="s">
        <v>15</v>
      </c>
      <c r="B57" s="5">
        <v>25</v>
      </c>
    </row>
    <row r="74" spans="2:2" ht="23.4" x14ac:dyDescent="0.45">
      <c r="B74" s="17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Data</vt:lpstr>
      <vt:lpstr>Main Model</vt:lpstr>
      <vt:lpstr>Drop X1</vt:lpstr>
      <vt:lpstr>Drop X2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Darji</dc:creator>
  <cp:lastModifiedBy>Manthan Darji</cp:lastModifiedBy>
  <dcterms:created xsi:type="dcterms:W3CDTF">2022-03-23T13:45:14Z</dcterms:created>
  <dcterms:modified xsi:type="dcterms:W3CDTF">2022-03-24T02:18:10Z</dcterms:modified>
</cp:coreProperties>
</file>