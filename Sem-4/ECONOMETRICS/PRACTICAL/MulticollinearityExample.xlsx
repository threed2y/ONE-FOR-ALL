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35868cb9daa75df/Desktop/MSC FINAL SEM-2/Econometrics Lab/"/>
    </mc:Choice>
  </mc:AlternateContent>
  <xr:revisionPtr revIDLastSave="0" documentId="8_{65CDD774-EFCE-40D4-8E8D-5667E1ADDA96}" xr6:coauthVersionLast="47" xr6:coauthVersionMax="47" xr10:uidLastSave="{00000000-0000-0000-0000-000000000000}"/>
  <bookViews>
    <workbookView xWindow="-110" yWindow="-110" windowWidth="19420" windowHeight="10300" activeTab="2"/>
  </bookViews>
  <sheets>
    <sheet name="MulticollinearityExample" sheetId="1" r:id="rId1"/>
    <sheet name="VIF X1,X3" sheetId="3" r:id="rId2"/>
    <sheet name="VIF X1,X2" sheetId="2" r:id="rId3"/>
    <sheet name="VIF X2,X3" sheetId="4" r:id="rId4"/>
    <sheet name="Centering" sheetId="6" r:id="rId5"/>
  </sheets>
  <calcPr calcId="0"/>
</workbook>
</file>

<file path=xl/calcChain.xml><?xml version="1.0" encoding="utf-8"?>
<calcChain xmlns="http://schemas.openxmlformats.org/spreadsheetml/2006/main">
  <c r="F4" i="4" l="1"/>
  <c r="F3" i="3"/>
  <c r="P12" i="6"/>
  <c r="O11" i="6"/>
  <c r="O12" i="6"/>
  <c r="P7" i="6"/>
  <c r="O7" i="6"/>
  <c r="O6" i="6"/>
  <c r="F4" i="2"/>
  <c r="M33" i="1"/>
</calcChain>
</file>

<file path=xl/sharedStrings.xml><?xml version="1.0" encoding="utf-8"?>
<sst xmlns="http://schemas.openxmlformats.org/spreadsheetml/2006/main" count="200" uniqueCount="43">
  <si>
    <t>Femoral Neck</t>
  </si>
  <si>
    <t>%Fat</t>
  </si>
  <si>
    <t>Weight kg</t>
  </si>
  <si>
    <t>Activity</t>
  </si>
  <si>
    <t>%Fat S</t>
  </si>
  <si>
    <t>Weight S</t>
  </si>
  <si>
    <t>Activity S</t>
  </si>
  <si>
    <t>Y</t>
  </si>
  <si>
    <t>X1</t>
  </si>
  <si>
    <t>X2</t>
  </si>
  <si>
    <t>X3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</si>
  <si>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</si>
  <si>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</si>
  <si>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</si>
  <si>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</si>
  <si>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</si>
  <si>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</si>
  <si>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</si>
  <si>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</si>
  <si>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</si>
  <si>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</si>
  <si>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</si>
  <si>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</si>
  <si>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</si>
  <si>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</si>
  <si>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</si>
  <si>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</si>
  <si>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</si>
  <si>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</si>
  <si>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</si>
  <si>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</si>
  <si>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</si>
  <si>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</si>
  <si>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</si>
  <si>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</si>
  <si>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</si>
  <si>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</si>
  <si>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Femoral Neck</t>
  </si>
  <si>
    <t>Residuals</t>
  </si>
  <si>
    <t>VIF=</t>
  </si>
  <si>
    <t>Predicted %Fat</t>
  </si>
  <si>
    <t>R2 values=</t>
  </si>
  <si>
    <t>Predicted Weight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</si>
</sst>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10" xfId="0" applyFont="1" applyBorder="1"/>
    <xf numFmtId="0" fontId="0" fillId="0" borderId="10" xfId="0" applyBorder="1"/>
    <xf numFmtId="0" fontId="0" fillId="0" borderId="0" xfId="0" applyFill="1" applyBorder="1" applyAlignment="1"/>
    <xf numFmtId="0" fontId="0" fillId="0" borderId="11" xfId="0" applyFill="1" applyBorder="1" applyAlignment="1"/>
    <xf numFmtId="0" fontId="18" fillId="0" borderId="12" xfId="0" applyFont="1" applyFill="1" applyBorder="1" applyAlignment="1">
      <alignment horizontal="center"/>
    </xf>
    <xf numFmtId="0" fontId="18" fillId="0" borderId="12" xfId="0" applyFont="1" applyFill="1" applyBorder="1" applyAlignment="1">
      <alignment horizontal="centerContinuous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2"/>
  <sheetViews>
    <sheetView topLeftCell="A74" zoomScale="95" zoomScaleNormal="95" workbookViewId="0">
      <selection activeCell="E2" sqref="E2:G94"/>
    </sheetView>
  </sheetViews>
  <sheetFormatPr defaultRowHeight="14.5" x14ac:dyDescent="0.35"/>
  <cols>
    <col min="1" max="1" width="12.08984375" bestFit="1" customWidth="1"/>
    <col min="2" max="2" width="4.81640625" bestFit="1" customWidth="1"/>
    <col min="3" max="3" width="10.81640625" bestFit="1" customWidth="1"/>
    <col min="4" max="4" width="7.81640625" bestFit="1" customWidth="1"/>
    <col min="5" max="7" width="12.453125" bestFit="1" customWidth="1"/>
    <col min="9" max="9" width="17.26953125" bestFit="1" customWidth="1"/>
    <col min="10" max="10" width="21.453125" bestFit="1" customWidth="1"/>
    <col min="11" max="11" width="13.6328125" bestFit="1" customWidth="1"/>
    <col min="12" max="12" width="13" bestFit="1" customWidth="1"/>
    <col min="13" max="13" width="12.453125" bestFit="1" customWidth="1"/>
    <col min="14" max="17" width="13" bestFit="1" customWidth="1"/>
  </cols>
  <sheetData>
    <row r="1" spans="1:16" x14ac:dyDescent="0.35">
      <c r="A1" t="s">
        <v>7</v>
      </c>
      <c r="B1" t="s">
        <v>8</v>
      </c>
      <c r="C1" t="s">
        <v>9</v>
      </c>
      <c r="D1" t="s">
        <v>10</v>
      </c>
    </row>
    <row r="2" spans="1:16" ht="15" thickBot="1" x14ac:dyDescent="0.4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16" x14ac:dyDescent="0.35">
      <c r="A3" s="2">
        <v>0.93400000000000005</v>
      </c>
      <c r="B3" s="2">
        <v>25.3</v>
      </c>
      <c r="C3" s="2">
        <v>52.163125999999998</v>
      </c>
      <c r="D3" s="2">
        <v>3508.44</v>
      </c>
      <c r="E3" s="2">
        <v>-3.2652173913043399</v>
      </c>
      <c r="F3" s="2">
        <v>-1.76506607826088</v>
      </c>
      <c r="G3" s="2">
        <v>946.450434782608</v>
      </c>
      <c r="L3" s="5"/>
      <c r="M3" s="5" t="s">
        <v>0</v>
      </c>
      <c r="N3" s="5" t="s">
        <v>1</v>
      </c>
      <c r="O3" s="5" t="s">
        <v>2</v>
      </c>
      <c r="P3" s="5" t="s">
        <v>3</v>
      </c>
    </row>
    <row r="4" spans="1:16" x14ac:dyDescent="0.35">
      <c r="A4" s="2">
        <v>0.88800000000000001</v>
      </c>
      <c r="B4" s="2">
        <v>29.3</v>
      </c>
      <c r="C4" s="2">
        <v>61.801964499999997</v>
      </c>
      <c r="D4" s="2">
        <v>2773.54</v>
      </c>
      <c r="E4" s="2">
        <v>0.73478260869565304</v>
      </c>
      <c r="F4" s="2">
        <v>7.8737724217391101</v>
      </c>
      <c r="G4" s="2">
        <v>211.55043478260799</v>
      </c>
      <c r="L4" s="3" t="s">
        <v>0</v>
      </c>
      <c r="M4" s="3">
        <v>1</v>
      </c>
      <c r="N4" s="3"/>
      <c r="O4" s="3"/>
      <c r="P4" s="3"/>
    </row>
    <row r="5" spans="1:16" x14ac:dyDescent="0.35">
      <c r="A5" s="2">
        <v>0.93300000000000005</v>
      </c>
      <c r="B5" s="2">
        <v>37.700000000000003</v>
      </c>
      <c r="C5" s="2">
        <v>93.440034400000002</v>
      </c>
      <c r="D5" s="2">
        <v>1738.97</v>
      </c>
      <c r="E5" s="2">
        <v>9.1347826086956498</v>
      </c>
      <c r="F5" s="2">
        <v>39.511842321739103</v>
      </c>
      <c r="G5" s="2">
        <v>-823.019565217391</v>
      </c>
      <c r="I5" t="s">
        <v>11</v>
      </c>
      <c r="L5" s="3" t="s">
        <v>1</v>
      </c>
      <c r="M5" s="3">
        <v>0.45558418116191274</v>
      </c>
      <c r="N5" s="3">
        <v>1</v>
      </c>
      <c r="O5" s="3"/>
      <c r="P5" s="3"/>
    </row>
    <row r="6" spans="1:16" ht="15" thickBot="1" x14ac:dyDescent="0.4">
      <c r="A6" s="2">
        <v>0.75700000000000001</v>
      </c>
      <c r="B6" s="2">
        <v>32.799999999999997</v>
      </c>
      <c r="C6" s="2">
        <v>59.8741968</v>
      </c>
      <c r="D6" s="2">
        <v>1665.29</v>
      </c>
      <c r="E6" s="2">
        <v>4.2347826086956397</v>
      </c>
      <c r="F6" s="2">
        <v>5.9460047217391097</v>
      </c>
      <c r="G6" s="2">
        <v>-896.69956521739095</v>
      </c>
      <c r="L6" s="3" t="s">
        <v>2</v>
      </c>
      <c r="M6" s="3">
        <v>0.65679290233797338</v>
      </c>
      <c r="N6" s="3">
        <v>0.8267145438392387</v>
      </c>
      <c r="O6" s="3">
        <v>1</v>
      </c>
      <c r="P6" s="3"/>
    </row>
    <row r="7" spans="1:16" ht="15" thickBot="1" x14ac:dyDescent="0.4">
      <c r="A7" s="2">
        <v>1.0309999999999999</v>
      </c>
      <c r="B7" s="2">
        <v>24.6</v>
      </c>
      <c r="C7" s="2">
        <v>50.348756399999999</v>
      </c>
      <c r="D7" s="2">
        <v>3982.95</v>
      </c>
      <c r="E7" s="2">
        <v>-3.96521739130434</v>
      </c>
      <c r="F7" s="2">
        <v>-3.57943567826088</v>
      </c>
      <c r="G7" s="2">
        <v>1420.9604347826</v>
      </c>
      <c r="I7" s="6" t="s">
        <v>12</v>
      </c>
      <c r="J7" s="6"/>
      <c r="L7" s="4" t="s">
        <v>3</v>
      </c>
      <c r="M7" s="4">
        <v>0.16181814568606362</v>
      </c>
      <c r="N7" s="4">
        <v>-2.2527420108596669E-2</v>
      </c>
      <c r="O7" s="4">
        <v>-0.10766796322625993</v>
      </c>
      <c r="P7" s="4">
        <v>1</v>
      </c>
    </row>
    <row r="8" spans="1:16" x14ac:dyDescent="0.35">
      <c r="A8" s="2">
        <v>0.88300000000000001</v>
      </c>
      <c r="B8" s="2">
        <v>26.5</v>
      </c>
      <c r="C8" s="2">
        <v>57.606234800000003</v>
      </c>
      <c r="D8" s="2">
        <v>2985.74</v>
      </c>
      <c r="E8" s="2">
        <v>-2.0652173913043401</v>
      </c>
      <c r="F8" s="2">
        <v>3.6780427217391098</v>
      </c>
      <c r="G8" s="2">
        <v>423.75043478260699</v>
      </c>
      <c r="I8" s="3" t="s">
        <v>13</v>
      </c>
      <c r="J8" s="3">
        <v>0.72118158021371681</v>
      </c>
    </row>
    <row r="9" spans="1:16" x14ac:dyDescent="0.35">
      <c r="A9" s="2">
        <v>0.83699999999999997</v>
      </c>
      <c r="B9" s="2">
        <v>21.2</v>
      </c>
      <c r="C9" s="2">
        <v>51.7095336</v>
      </c>
      <c r="D9" s="2">
        <v>3002.38</v>
      </c>
      <c r="E9" s="2">
        <v>-7.3652173913043404</v>
      </c>
      <c r="F9" s="2">
        <v>-2.2186584782608798</v>
      </c>
      <c r="G9" s="2">
        <v>440.390434782608</v>
      </c>
      <c r="I9" s="3" t="s">
        <v>14</v>
      </c>
      <c r="J9" s="3">
        <v>0.5201028716395536</v>
      </c>
    </row>
    <row r="10" spans="1:16" x14ac:dyDescent="0.35">
      <c r="A10" s="2">
        <v>0.91200000000000003</v>
      </c>
      <c r="B10" s="2">
        <v>28.4</v>
      </c>
      <c r="C10" s="2">
        <v>54.884680400000001</v>
      </c>
      <c r="D10" s="2">
        <v>3232.98</v>
      </c>
      <c r="E10" s="2">
        <v>-0.16521739130434901</v>
      </c>
      <c r="F10" s="2">
        <v>0.95648832173911502</v>
      </c>
      <c r="G10" s="2">
        <v>670.99043478260796</v>
      </c>
      <c r="I10" s="3" t="s">
        <v>15</v>
      </c>
      <c r="J10" s="3">
        <v>0.50374274226362925</v>
      </c>
    </row>
    <row r="11" spans="1:16" x14ac:dyDescent="0.35">
      <c r="A11" s="2">
        <v>0.85299999999999998</v>
      </c>
      <c r="B11" s="2">
        <v>24</v>
      </c>
      <c r="C11" s="2">
        <v>53.977495599999997</v>
      </c>
      <c r="D11" s="2">
        <v>2823.68</v>
      </c>
      <c r="E11" s="2">
        <v>-4.5652173913043397</v>
      </c>
      <c r="F11" s="2">
        <v>4.9303521739112399E-2</v>
      </c>
      <c r="G11" s="2">
        <v>261.69043478260801</v>
      </c>
      <c r="I11" s="3" t="s">
        <v>16</v>
      </c>
      <c r="J11" s="3">
        <v>7.3415252345050822E-2</v>
      </c>
      <c r="P11" t="s">
        <v>41</v>
      </c>
    </row>
    <row r="12" spans="1:16" ht="15" thickBot="1" x14ac:dyDescent="0.4">
      <c r="A12" s="2">
        <v>0.82499999999999996</v>
      </c>
      <c r="B12" s="2">
        <v>28.7</v>
      </c>
      <c r="C12" s="2">
        <v>53.523903199999999</v>
      </c>
      <c r="D12" s="2">
        <v>2414.12</v>
      </c>
      <c r="E12" s="2">
        <v>0.13478260869565101</v>
      </c>
      <c r="F12" s="2">
        <v>-0.404288878260885</v>
      </c>
      <c r="G12" s="2">
        <v>-147.869565217391</v>
      </c>
      <c r="I12" s="4" t="s">
        <v>17</v>
      </c>
      <c r="J12" s="4">
        <v>92</v>
      </c>
    </row>
    <row r="13" spans="1:16" x14ac:dyDescent="0.35">
      <c r="A13" s="2">
        <v>0.77200000000000002</v>
      </c>
      <c r="B13" s="2">
        <v>37.4</v>
      </c>
      <c r="C13" s="2">
        <v>56.925846200000002</v>
      </c>
      <c r="D13" s="2">
        <v>2110.59</v>
      </c>
      <c r="E13" s="2">
        <v>8.8347826086956491</v>
      </c>
      <c r="F13" s="2">
        <v>2.9976541217391102</v>
      </c>
      <c r="G13" s="2">
        <v>-451.399565217391</v>
      </c>
    </row>
    <row r="14" spans="1:16" ht="15" thickBot="1" x14ac:dyDescent="0.4">
      <c r="A14" s="2">
        <v>1.0149999999999999</v>
      </c>
      <c r="B14" s="2">
        <v>30.7</v>
      </c>
      <c r="C14" s="2">
        <v>63.616334100000003</v>
      </c>
      <c r="D14" s="2">
        <v>3100.52</v>
      </c>
      <c r="E14" s="2">
        <v>2.1347826086956498</v>
      </c>
      <c r="F14" s="2">
        <v>9.6881420217391092</v>
      </c>
      <c r="G14" s="2">
        <v>538.53043478260804</v>
      </c>
      <c r="I14" t="s">
        <v>18</v>
      </c>
    </row>
    <row r="15" spans="1:16" x14ac:dyDescent="0.35">
      <c r="A15" s="2">
        <v>0.96299999999999997</v>
      </c>
      <c r="B15" s="2">
        <v>36.700000000000003</v>
      </c>
      <c r="C15" s="2">
        <v>75.069542200000001</v>
      </c>
      <c r="D15" s="2">
        <v>1573.55</v>
      </c>
      <c r="E15" s="2">
        <v>8.1347826086956498</v>
      </c>
      <c r="F15" s="2">
        <v>21.141350121739102</v>
      </c>
      <c r="G15" s="2">
        <v>-988.43956521739096</v>
      </c>
      <c r="I15" s="5"/>
      <c r="J15" s="5" t="s">
        <v>23</v>
      </c>
      <c r="K15" s="5" t="s">
        <v>24</v>
      </c>
      <c r="L15" s="5" t="s">
        <v>25</v>
      </c>
      <c r="M15" s="5" t="s">
        <v>26</v>
      </c>
      <c r="N15" s="5" t="s">
        <v>27</v>
      </c>
    </row>
    <row r="16" spans="1:16" x14ac:dyDescent="0.35">
      <c r="A16" s="2">
        <v>0.72899999999999998</v>
      </c>
      <c r="B16" s="2">
        <v>28.2</v>
      </c>
      <c r="C16" s="2">
        <v>48.761183000000003</v>
      </c>
      <c r="D16" s="2">
        <v>2814.91</v>
      </c>
      <c r="E16" s="2">
        <v>-0.36521739130434799</v>
      </c>
      <c r="F16" s="2">
        <v>-5.1670090782608797</v>
      </c>
      <c r="G16" s="2">
        <v>252.920434782608</v>
      </c>
      <c r="I16" s="3" t="s">
        <v>19</v>
      </c>
      <c r="J16" s="3">
        <v>3</v>
      </c>
      <c r="K16" s="3">
        <v>0.51403934841650911</v>
      </c>
      <c r="L16" s="3">
        <v>0.1713464494721697</v>
      </c>
      <c r="M16" s="3">
        <v>31.79087766903244</v>
      </c>
      <c r="N16" s="3">
        <v>5.1381299268380095E-14</v>
      </c>
    </row>
    <row r="17" spans="1:17" x14ac:dyDescent="0.35">
      <c r="A17" s="2">
        <v>0.73799999999999999</v>
      </c>
      <c r="B17" s="2">
        <v>26.4</v>
      </c>
      <c r="C17" s="2">
        <v>48.420988700000002</v>
      </c>
      <c r="D17" s="2">
        <v>1254.29</v>
      </c>
      <c r="E17" s="2">
        <v>-2.1652173913043402</v>
      </c>
      <c r="F17" s="2">
        <v>-5.50720337826088</v>
      </c>
      <c r="G17" s="2">
        <v>-1307.69956521739</v>
      </c>
      <c r="I17" s="3" t="s">
        <v>20</v>
      </c>
      <c r="J17" s="3">
        <v>88</v>
      </c>
      <c r="K17" s="3">
        <v>0.47430233636609914</v>
      </c>
      <c r="L17" s="3">
        <v>5.3897992768874902E-3</v>
      </c>
      <c r="M17" s="3"/>
      <c r="N17" s="3"/>
    </row>
    <row r="18" spans="1:17" ht="15" thickBot="1" x14ac:dyDescent="0.4">
      <c r="A18" s="2">
        <v>0.89400000000000002</v>
      </c>
      <c r="B18" s="2">
        <v>37.1</v>
      </c>
      <c r="C18" s="2">
        <v>72.688182100000006</v>
      </c>
      <c r="D18" s="2">
        <v>4096.58</v>
      </c>
      <c r="E18" s="2">
        <v>8.5347826086956502</v>
      </c>
      <c r="F18" s="2">
        <v>18.7599900217391</v>
      </c>
      <c r="G18" s="2">
        <v>1534.5904347825999</v>
      </c>
      <c r="I18" s="4" t="s">
        <v>21</v>
      </c>
      <c r="J18" s="4">
        <v>91</v>
      </c>
      <c r="K18" s="4">
        <v>0.98834168478260831</v>
      </c>
      <c r="L18" s="4"/>
      <c r="M18" s="4"/>
      <c r="N18" s="4"/>
    </row>
    <row r="19" spans="1:17" ht="15" thickBot="1" x14ac:dyDescent="0.4">
      <c r="A19" s="2">
        <v>0.86299999999999999</v>
      </c>
      <c r="B19" s="2">
        <v>31.1</v>
      </c>
      <c r="C19" s="2">
        <v>54.431088000000003</v>
      </c>
      <c r="D19" s="2">
        <v>2116.94</v>
      </c>
      <c r="E19" s="2">
        <v>2.5347826086956502</v>
      </c>
      <c r="F19" s="2">
        <v>0.50289592173911701</v>
      </c>
      <c r="G19" s="2">
        <v>-445.04956521739098</v>
      </c>
    </row>
    <row r="20" spans="1:17" x14ac:dyDescent="0.35">
      <c r="A20" s="2">
        <v>0.82699999999999996</v>
      </c>
      <c r="B20" s="2">
        <v>43.1</v>
      </c>
      <c r="C20" s="2">
        <v>78.471485200000004</v>
      </c>
      <c r="D20" s="2">
        <v>1591.77</v>
      </c>
      <c r="E20" s="2">
        <v>14.5347826086956</v>
      </c>
      <c r="F20" s="2">
        <v>24.543293121739101</v>
      </c>
      <c r="G20" s="2">
        <v>-970.21956521739105</v>
      </c>
      <c r="I20" s="5"/>
      <c r="J20" s="5" t="s">
        <v>28</v>
      </c>
      <c r="K20" s="5" t="s">
        <v>16</v>
      </c>
      <c r="L20" s="5" t="s">
        <v>29</v>
      </c>
      <c r="M20" s="5" t="s">
        <v>30</v>
      </c>
      <c r="N20" s="5" t="s">
        <v>31</v>
      </c>
      <c r="O20" s="5" t="s">
        <v>32</v>
      </c>
      <c r="P20" s="5" t="s">
        <v>33</v>
      </c>
      <c r="Q20" s="5" t="s">
        <v>34</v>
      </c>
    </row>
    <row r="21" spans="1:17" x14ac:dyDescent="0.35">
      <c r="A21" s="2">
        <v>0.85</v>
      </c>
      <c r="B21" s="2">
        <v>34.1</v>
      </c>
      <c r="C21" s="2">
        <v>58.513419599999999</v>
      </c>
      <c r="D21" s="2">
        <v>4157.72</v>
      </c>
      <c r="E21" s="2">
        <v>5.5347826086956502</v>
      </c>
      <c r="F21" s="2">
        <v>4.5852275217391103</v>
      </c>
      <c r="G21" s="2">
        <v>1595.7304347826</v>
      </c>
      <c r="I21" s="3" t="s">
        <v>22</v>
      </c>
      <c r="J21" s="3">
        <v>0.52144810976109857</v>
      </c>
      <c r="K21" s="3">
        <v>3.8300988189156775E-2</v>
      </c>
      <c r="L21" s="3">
        <v>13.614481881925006</v>
      </c>
      <c r="M21" s="3">
        <v>2.2484059333288825E-23</v>
      </c>
      <c r="N21" s="3">
        <v>0.44533294411976887</v>
      </c>
      <c r="O21" s="3">
        <v>0.59756327540242826</v>
      </c>
      <c r="P21" s="3">
        <v>0.44533294411976887</v>
      </c>
      <c r="Q21" s="3">
        <v>0.59756327540242826</v>
      </c>
    </row>
    <row r="22" spans="1:17" x14ac:dyDescent="0.35">
      <c r="A22" s="2">
        <v>0.83899999999999997</v>
      </c>
      <c r="B22" s="2">
        <v>26.7</v>
      </c>
      <c r="C22" s="2">
        <v>49.554969700000001</v>
      </c>
      <c r="D22" s="2">
        <v>2534.71</v>
      </c>
      <c r="E22" s="2">
        <v>-1.8652173913043399</v>
      </c>
      <c r="F22" s="2">
        <v>-4.3732223782608797</v>
      </c>
      <c r="G22" s="2">
        <v>-27.279565217391699</v>
      </c>
      <c r="I22" s="3" t="s">
        <v>1</v>
      </c>
      <c r="J22" s="3">
        <v>-4.9231490047588946E-3</v>
      </c>
      <c r="K22" s="3">
        <v>1.9711036599130488E-3</v>
      </c>
      <c r="L22" s="3">
        <v>-2.4976611351713838</v>
      </c>
      <c r="M22" s="3">
        <v>1.4361396509944052E-2</v>
      </c>
      <c r="N22" s="3">
        <v>-8.8403033306357261E-3</v>
      </c>
      <c r="O22" s="3">
        <v>-1.0059946788820631E-3</v>
      </c>
      <c r="P22" s="3">
        <v>-8.8403033306357261E-3</v>
      </c>
      <c r="Q22" s="3">
        <v>-1.0059946788820631E-3</v>
      </c>
    </row>
    <row r="23" spans="1:17" x14ac:dyDescent="0.35">
      <c r="A23" s="2">
        <v>0.79500000000000004</v>
      </c>
      <c r="B23" s="2">
        <v>30.9</v>
      </c>
      <c r="C23" s="2">
        <v>57.719632900000001</v>
      </c>
      <c r="D23" s="2">
        <v>5853.51</v>
      </c>
      <c r="E23" s="2">
        <v>2.33478260869565</v>
      </c>
      <c r="F23" s="2">
        <v>3.7914408217391098</v>
      </c>
      <c r="G23" s="2">
        <v>3291.5204347826002</v>
      </c>
      <c r="I23" s="3" t="s">
        <v>2</v>
      </c>
      <c r="J23" s="3">
        <v>6.6080197490283113E-3</v>
      </c>
      <c r="K23" s="3">
        <v>9.174302882930742E-4</v>
      </c>
      <c r="L23" s="3">
        <v>7.2027486266263008</v>
      </c>
      <c r="M23" s="3">
        <v>1.9056849195513582E-10</v>
      </c>
      <c r="N23" s="3">
        <v>4.7848198354143445E-3</v>
      </c>
      <c r="O23" s="3">
        <v>8.4312196626422781E-3</v>
      </c>
      <c r="P23" s="3">
        <v>4.7848198354143445E-3</v>
      </c>
      <c r="Q23" s="3">
        <v>8.4312196626422781E-3</v>
      </c>
    </row>
    <row r="24" spans="1:17" ht="15" thickBot="1" x14ac:dyDescent="0.4">
      <c r="A24" s="2">
        <v>0.73499999999999999</v>
      </c>
      <c r="B24" s="2">
        <v>30</v>
      </c>
      <c r="C24" s="2">
        <v>46.720017200000001</v>
      </c>
      <c r="D24" s="2">
        <v>3230.57</v>
      </c>
      <c r="E24" s="2">
        <v>1.4347826086956501</v>
      </c>
      <c r="F24" s="2">
        <v>-7.2081748782608797</v>
      </c>
      <c r="G24" s="2">
        <v>668.58043478260799</v>
      </c>
      <c r="I24" s="4" t="s">
        <v>3</v>
      </c>
      <c r="J24" s="4">
        <v>2.5739261252173973E-5</v>
      </c>
      <c r="K24" s="4">
        <v>7.4786802267353789E-6</v>
      </c>
      <c r="L24" s="4">
        <v>3.4416849593540877</v>
      </c>
      <c r="M24" s="4">
        <v>8.8653447795564231E-4</v>
      </c>
      <c r="N24" s="4">
        <v>1.0876955835269462E-5</v>
      </c>
      <c r="O24" s="4">
        <v>4.0601566669078482E-5</v>
      </c>
      <c r="P24" s="4">
        <v>1.0876955835269462E-5</v>
      </c>
      <c r="Q24" s="4">
        <v>4.0601566669078482E-5</v>
      </c>
    </row>
    <row r="25" spans="1:17" x14ac:dyDescent="0.35">
      <c r="A25" s="2">
        <v>0.85899999999999999</v>
      </c>
      <c r="B25" s="2">
        <v>22.1</v>
      </c>
      <c r="C25" s="2">
        <v>46.720017200000001</v>
      </c>
      <c r="D25" s="2">
        <v>2780.89</v>
      </c>
      <c r="E25" s="2">
        <v>-6.46521739130434</v>
      </c>
      <c r="F25" s="2">
        <v>-7.2081748782608797</v>
      </c>
      <c r="G25" s="2">
        <v>218.90043478260799</v>
      </c>
    </row>
    <row r="26" spans="1:17" x14ac:dyDescent="0.35">
      <c r="A26" s="2">
        <v>0.76300000000000001</v>
      </c>
      <c r="B26" s="2">
        <v>24.4</v>
      </c>
      <c r="C26" s="2">
        <v>48.307590599999997</v>
      </c>
      <c r="D26" s="2">
        <v>2145.35</v>
      </c>
      <c r="E26" s="2">
        <v>-4.1652173913043402</v>
      </c>
      <c r="F26" s="2">
        <v>-5.6206014782608804</v>
      </c>
      <c r="G26" s="2">
        <v>-416.63956521739101</v>
      </c>
    </row>
    <row r="27" spans="1:17" x14ac:dyDescent="0.35">
      <c r="A27" s="2">
        <v>0.82099999999999995</v>
      </c>
      <c r="B27" s="2">
        <v>22.5</v>
      </c>
      <c r="C27" s="2">
        <v>49.441571600000003</v>
      </c>
      <c r="D27" s="2">
        <v>1349.81</v>
      </c>
      <c r="E27" s="2">
        <v>-6.0652173913043397</v>
      </c>
      <c r="F27" s="2">
        <v>-4.4866204782608801</v>
      </c>
      <c r="G27" s="2">
        <v>-1212.1795652173901</v>
      </c>
    </row>
    <row r="28" spans="1:17" x14ac:dyDescent="0.35">
      <c r="A28" s="2">
        <v>0.70399999999999996</v>
      </c>
      <c r="B28" s="2">
        <v>24.9</v>
      </c>
      <c r="C28" s="2">
        <v>45.35924</v>
      </c>
      <c r="D28" s="2">
        <v>1819.44</v>
      </c>
      <c r="E28" s="2">
        <v>-3.6652173913043402</v>
      </c>
      <c r="F28" s="2">
        <v>-8.5689520782608799</v>
      </c>
      <c r="G28" s="2">
        <v>-742.54956521739098</v>
      </c>
      <c r="I28" t="s">
        <v>35</v>
      </c>
    </row>
    <row r="29" spans="1:17" ht="15" thickBot="1" x14ac:dyDescent="0.4">
      <c r="A29" s="2">
        <v>0.74199999999999999</v>
      </c>
      <c r="B29" s="2">
        <v>18.2</v>
      </c>
      <c r="C29" s="2">
        <v>44.111860900000003</v>
      </c>
      <c r="D29" s="2">
        <v>2569.71</v>
      </c>
      <c r="E29" s="2">
        <v>-10.3652173913043</v>
      </c>
      <c r="F29" s="2">
        <v>-9.8163311782608798</v>
      </c>
      <c r="G29" s="2">
        <v>7.7204347826081996</v>
      </c>
    </row>
    <row r="30" spans="1:17" x14ac:dyDescent="0.35">
      <c r="A30" s="2">
        <v>0.76200000000000001</v>
      </c>
      <c r="B30" s="2">
        <v>27.3</v>
      </c>
      <c r="C30" s="2">
        <v>43.544870400000001</v>
      </c>
      <c r="D30" s="2">
        <v>1945.33</v>
      </c>
      <c r="E30" s="2">
        <v>-1.2652173913043401</v>
      </c>
      <c r="F30" s="2">
        <v>-10.383321678260801</v>
      </c>
      <c r="G30" s="2">
        <v>-616.65956521739099</v>
      </c>
      <c r="I30" s="5" t="s">
        <v>36</v>
      </c>
      <c r="J30" s="5" t="s">
        <v>37</v>
      </c>
      <c r="K30" s="5" t="s">
        <v>38</v>
      </c>
    </row>
    <row r="31" spans="1:17" x14ac:dyDescent="0.35">
      <c r="A31" s="2">
        <v>0.73099999999999998</v>
      </c>
      <c r="B31" s="2">
        <v>25.9</v>
      </c>
      <c r="C31" s="2">
        <v>40.142927399999998</v>
      </c>
      <c r="D31" s="2">
        <v>1722.13</v>
      </c>
      <c r="E31" s="2">
        <v>-2.6652173913043402</v>
      </c>
      <c r="F31" s="2">
        <v>-13.7852646782608</v>
      </c>
      <c r="G31" s="2">
        <v>-839.85956521739104</v>
      </c>
      <c r="I31" s="3">
        <v>1</v>
      </c>
      <c r="J31" s="3">
        <v>0.831892060467328</v>
      </c>
      <c r="K31" s="3">
        <v>0.10210793953267205</v>
      </c>
    </row>
    <row r="32" spans="1:17" x14ac:dyDescent="0.35">
      <c r="A32" s="2">
        <v>0.8</v>
      </c>
      <c r="B32" s="2">
        <v>28.3</v>
      </c>
      <c r="C32" s="2">
        <v>46.720017200000001</v>
      </c>
      <c r="D32" s="2">
        <v>1580.64</v>
      </c>
      <c r="E32" s="2">
        <v>-0.26521739130434602</v>
      </c>
      <c r="F32" s="2">
        <v>-7.2081748782608797</v>
      </c>
      <c r="G32" s="2">
        <v>-981.34956521739105</v>
      </c>
      <c r="I32" s="3">
        <v>2</v>
      </c>
      <c r="J32" s="3">
        <v>0.85697731651976417</v>
      </c>
      <c r="K32" s="3">
        <v>3.1022683480235846E-2</v>
      </c>
    </row>
    <row r="33" spans="1:13" x14ac:dyDescent="0.35">
      <c r="A33" s="2">
        <v>0.79800000000000004</v>
      </c>
      <c r="B33" s="2">
        <v>18.7</v>
      </c>
      <c r="C33" s="2">
        <v>44.452055199999997</v>
      </c>
      <c r="D33" s="2">
        <v>1809.41</v>
      </c>
      <c r="E33" s="2">
        <v>-9.8652173913043395</v>
      </c>
      <c r="F33" s="2">
        <v>-9.4761368782608795</v>
      </c>
      <c r="G33" s="2">
        <v>-752.57956521739095</v>
      </c>
      <c r="I33" s="3">
        <v>3</v>
      </c>
      <c r="J33" s="3">
        <v>0.99805878808646598</v>
      </c>
      <c r="K33" s="3">
        <v>-6.5058788086465924E-2</v>
      </c>
      <c r="M33">
        <f>1/1-J9</f>
        <v>0.4798971283604464</v>
      </c>
    </row>
    <row r="34" spans="1:13" x14ac:dyDescent="0.35">
      <c r="A34" s="2">
        <v>0.78900000000000003</v>
      </c>
      <c r="B34" s="2">
        <v>22.4</v>
      </c>
      <c r="C34" s="2">
        <v>45.35924</v>
      </c>
      <c r="D34" s="2">
        <v>2815.98</v>
      </c>
      <c r="E34" s="2">
        <v>-6.1652173913043402</v>
      </c>
      <c r="F34" s="2">
        <v>-8.5689520782608799</v>
      </c>
      <c r="G34" s="2">
        <v>253.99043478260799</v>
      </c>
      <c r="I34" s="3">
        <v>4</v>
      </c>
      <c r="J34" s="3">
        <v>0.79848203168724741</v>
      </c>
      <c r="K34" s="3">
        <v>-4.14820316872474E-2</v>
      </c>
    </row>
    <row r="35" spans="1:13" x14ac:dyDescent="0.35">
      <c r="A35" s="2">
        <v>0.95499999999999996</v>
      </c>
      <c r="B35" s="2">
        <v>23.6</v>
      </c>
      <c r="C35" s="2">
        <v>43.091278000000003</v>
      </c>
      <c r="D35" s="2">
        <v>3503.26</v>
      </c>
      <c r="E35" s="2">
        <v>-4.96521739130434</v>
      </c>
      <c r="F35" s="2">
        <v>-10.836914078260801</v>
      </c>
      <c r="G35" s="2">
        <v>941.27043478260805</v>
      </c>
      <c r="I35" s="3">
        <v>5</v>
      </c>
      <c r="J35" s="3">
        <v>0.83556241147859167</v>
      </c>
      <c r="K35" s="3">
        <v>0.19543758852140825</v>
      </c>
    </row>
    <row r="36" spans="1:13" x14ac:dyDescent="0.35">
      <c r="A36" s="2">
        <v>0.78200000000000003</v>
      </c>
      <c r="B36" s="2">
        <v>26.8</v>
      </c>
      <c r="C36" s="2">
        <v>52.163125999999998</v>
      </c>
      <c r="D36" s="2">
        <v>3381.07</v>
      </c>
      <c r="E36" s="2">
        <v>-1.7652173913043401</v>
      </c>
      <c r="F36" s="2">
        <v>-1.76506607826088</v>
      </c>
      <c r="G36" s="2">
        <v>819.08043478260799</v>
      </c>
      <c r="I36" s="3">
        <v>6</v>
      </c>
      <c r="J36" s="3">
        <v>0.84849854025161575</v>
      </c>
      <c r="K36" s="3">
        <v>3.4501459748384256E-2</v>
      </c>
    </row>
    <row r="37" spans="1:13" x14ac:dyDescent="0.35">
      <c r="A37" s="2">
        <v>0.68100000000000005</v>
      </c>
      <c r="B37" s="2">
        <v>17.8</v>
      </c>
      <c r="C37" s="2">
        <v>34.586420500000003</v>
      </c>
      <c r="D37" s="2">
        <v>5153.57</v>
      </c>
      <c r="E37" s="2">
        <v>-10.765217391304301</v>
      </c>
      <c r="F37" s="2">
        <v>-19.341771578260801</v>
      </c>
      <c r="G37" s="2">
        <v>2591.5804347826002</v>
      </c>
      <c r="I37" s="3">
        <v>7</v>
      </c>
      <c r="J37" s="3">
        <v>0.83605401330035511</v>
      </c>
      <c r="K37" s="3">
        <v>9.4598669964485183E-4</v>
      </c>
    </row>
    <row r="38" spans="1:13" x14ac:dyDescent="0.35">
      <c r="A38" s="2">
        <v>0.85</v>
      </c>
      <c r="B38" s="2">
        <v>27.4</v>
      </c>
      <c r="C38" s="2">
        <v>56.69905</v>
      </c>
      <c r="D38" s="2">
        <v>2446.4</v>
      </c>
      <c r="E38" s="2">
        <v>-1.16521739130434</v>
      </c>
      <c r="F38" s="2">
        <v>2.7708579217391098</v>
      </c>
      <c r="G38" s="2">
        <v>-115.589565217391</v>
      </c>
      <c r="I38" s="3">
        <v>8</v>
      </c>
      <c r="J38" s="3">
        <v>0.82752424687130643</v>
      </c>
      <c r="K38" s="3">
        <v>8.4475753128693598E-2</v>
      </c>
    </row>
    <row r="39" spans="1:13" x14ac:dyDescent="0.35">
      <c r="A39" s="2">
        <v>0.67</v>
      </c>
      <c r="B39" s="2">
        <v>16.8</v>
      </c>
      <c r="C39" s="2">
        <v>34.926614800000003</v>
      </c>
      <c r="D39" s="2">
        <v>2031.51</v>
      </c>
      <c r="E39" s="2">
        <v>-11.765217391304301</v>
      </c>
      <c r="F39" s="2">
        <v>-19.0015772782608</v>
      </c>
      <c r="G39" s="2">
        <v>-530.47956521739104</v>
      </c>
      <c r="I39" s="3">
        <v>9</v>
      </c>
      <c r="J39" s="3">
        <v>0.83265632778731247</v>
      </c>
      <c r="K39" s="3">
        <v>2.0343672212687514E-2</v>
      </c>
    </row>
    <row r="40" spans="1:13" x14ac:dyDescent="0.35">
      <c r="A40" s="2">
        <v>0.64500000000000002</v>
      </c>
      <c r="B40" s="2">
        <v>26.1</v>
      </c>
      <c r="C40" s="2">
        <v>35.380207200000001</v>
      </c>
      <c r="D40" s="2">
        <v>1742.94</v>
      </c>
      <c r="E40" s="2">
        <v>-2.46521739130434</v>
      </c>
      <c r="F40" s="2">
        <v>-18.547984878260799</v>
      </c>
      <c r="G40" s="2">
        <v>-819.04956521739098</v>
      </c>
      <c r="I40" s="3">
        <v>10</v>
      </c>
      <c r="J40" s="3">
        <v>0.79597840808929621</v>
      </c>
      <c r="K40" s="3">
        <v>2.9021591910703748E-2</v>
      </c>
    </row>
    <row r="41" spans="1:13" x14ac:dyDescent="0.35">
      <c r="A41" s="2">
        <v>0.69</v>
      </c>
      <c r="B41" s="2">
        <v>20.8</v>
      </c>
      <c r="C41" s="2">
        <v>37.648169199999998</v>
      </c>
      <c r="D41" s="2">
        <v>1665.29</v>
      </c>
      <c r="E41" s="2">
        <v>-7.7652173913043399</v>
      </c>
      <c r="F41" s="2">
        <v>-16.280022878260802</v>
      </c>
      <c r="G41" s="2">
        <v>-896.69956521739095</v>
      </c>
      <c r="I41" s="3">
        <v>11</v>
      </c>
      <c r="J41" s="3">
        <v>0.76781448030909005</v>
      </c>
      <c r="K41" s="3">
        <v>4.1855196909099668E-3</v>
      </c>
    </row>
    <row r="42" spans="1:13" x14ac:dyDescent="0.35">
      <c r="A42" s="2">
        <v>0.68</v>
      </c>
      <c r="B42" s="2">
        <v>22.7</v>
      </c>
      <c r="C42" s="2">
        <v>39.008946399999999</v>
      </c>
      <c r="D42" s="2">
        <v>2730.81</v>
      </c>
      <c r="E42" s="2">
        <v>-5.8652173913043404</v>
      </c>
      <c r="F42" s="2">
        <v>-14.919245678260801</v>
      </c>
      <c r="G42" s="2">
        <v>168.820434782608</v>
      </c>
      <c r="I42" s="3">
        <v>12</v>
      </c>
      <c r="J42" s="3">
        <v>0.87049052170617414</v>
      </c>
      <c r="K42" s="3">
        <v>0.14450947829382577</v>
      </c>
    </row>
    <row r="43" spans="1:13" x14ac:dyDescent="0.35">
      <c r="A43" s="2">
        <v>0.70899999999999996</v>
      </c>
      <c r="B43" s="2">
        <v>20.2</v>
      </c>
      <c r="C43" s="2">
        <v>41.730500800000002</v>
      </c>
      <c r="D43" s="2">
        <v>3576.25</v>
      </c>
      <c r="E43" s="2">
        <v>-8.3652173913043395</v>
      </c>
      <c r="F43" s="2">
        <v>-12.1976912782608</v>
      </c>
      <c r="G43" s="2">
        <v>1014.2604347826</v>
      </c>
      <c r="I43" s="3">
        <v>13</v>
      </c>
      <c r="J43" s="3">
        <v>0.87733157323791966</v>
      </c>
      <c r="K43" s="3">
        <v>8.5668426762080307E-2</v>
      </c>
    </row>
    <row r="44" spans="1:13" x14ac:dyDescent="0.35">
      <c r="A44" s="2">
        <v>0.749</v>
      </c>
      <c r="B44" s="2">
        <v>20.3</v>
      </c>
      <c r="C44" s="2">
        <v>38.101761600000003</v>
      </c>
      <c r="D44" s="2">
        <v>1499.31</v>
      </c>
      <c r="E44" s="2">
        <v>-8.2652173913043399</v>
      </c>
      <c r="F44" s="2">
        <v>-15.8264304782608</v>
      </c>
      <c r="G44" s="2">
        <v>-1062.6795652173901</v>
      </c>
      <c r="I44" s="3">
        <v>14</v>
      </c>
      <c r="J44" s="3">
        <v>0.77728387196823845</v>
      </c>
      <c r="K44" s="3">
        <v>-4.8283871968238468E-2</v>
      </c>
    </row>
    <row r="45" spans="1:13" x14ac:dyDescent="0.35">
      <c r="A45" s="2">
        <v>0.55800000000000005</v>
      </c>
      <c r="B45" s="2">
        <v>31.9</v>
      </c>
      <c r="C45" s="2">
        <v>33.565837600000002</v>
      </c>
      <c r="D45" s="2">
        <v>2060.48</v>
      </c>
      <c r="E45" s="2">
        <v>3.33478260869565</v>
      </c>
      <c r="F45" s="2">
        <v>-20.362354478260801</v>
      </c>
      <c r="G45" s="2">
        <v>-501.50956521739101</v>
      </c>
      <c r="I45" s="3">
        <v>15</v>
      </c>
      <c r="J45" s="3">
        <v>0.7437283236285297</v>
      </c>
      <c r="K45" s="3">
        <v>-5.7283236285297079E-3</v>
      </c>
    </row>
    <row r="46" spans="1:13" x14ac:dyDescent="0.35">
      <c r="A46" s="2">
        <v>0.68700000000000006</v>
      </c>
      <c r="B46" s="2">
        <v>22.9</v>
      </c>
      <c r="C46" s="2">
        <v>33.6792357</v>
      </c>
      <c r="D46" s="2">
        <v>4998.25</v>
      </c>
      <c r="E46" s="2">
        <v>-5.6652173913043402</v>
      </c>
      <c r="F46" s="2">
        <v>-20.2489563782608</v>
      </c>
      <c r="G46" s="2">
        <v>2436.2604347826</v>
      </c>
      <c r="I46" s="3">
        <v>16</v>
      </c>
      <c r="J46" s="3">
        <v>0.9245671673827407</v>
      </c>
      <c r="K46" s="3">
        <v>-3.0567167382740679E-2</v>
      </c>
    </row>
    <row r="47" spans="1:13" x14ac:dyDescent="0.35">
      <c r="A47" s="2">
        <v>0.73399999999999999</v>
      </c>
      <c r="B47" s="2">
        <v>25.3</v>
      </c>
      <c r="C47" s="2">
        <v>49.441571600000003</v>
      </c>
      <c r="D47" s="2">
        <v>1450.86</v>
      </c>
      <c r="E47" s="2">
        <v>-3.2652173913043399</v>
      </c>
      <c r="F47" s="2">
        <v>-4.4866204782608801</v>
      </c>
      <c r="G47" s="2">
        <v>-1111.1295652173901</v>
      </c>
      <c r="I47" s="3">
        <v>17</v>
      </c>
      <c r="J47" s="3">
        <v>0.78250835189337198</v>
      </c>
      <c r="K47" s="3">
        <v>8.0491648106628011E-2</v>
      </c>
    </row>
    <row r="48" spans="1:13" x14ac:dyDescent="0.35">
      <c r="A48" s="2">
        <v>0.69899999999999995</v>
      </c>
      <c r="B48" s="2">
        <v>17.3</v>
      </c>
      <c r="C48" s="2">
        <v>39.008946399999999</v>
      </c>
      <c r="D48" s="2">
        <v>1547.67</v>
      </c>
      <c r="E48" s="2">
        <v>-11.265217391304301</v>
      </c>
      <c r="F48" s="2">
        <v>-14.919245678260801</v>
      </c>
      <c r="G48" s="2">
        <v>-1014.31956521739</v>
      </c>
      <c r="I48" s="3">
        <v>18</v>
      </c>
      <c r="J48" s="3">
        <v>0.868772495476546</v>
      </c>
      <c r="K48" s="3">
        <v>-4.1772495476546045E-2</v>
      </c>
    </row>
    <row r="49" spans="1:11" x14ac:dyDescent="0.35">
      <c r="A49" s="2">
        <v>0.81499999999999995</v>
      </c>
      <c r="B49" s="2">
        <v>41</v>
      </c>
      <c r="C49" s="2">
        <v>63.0493436</v>
      </c>
      <c r="D49" s="2">
        <v>1880.67</v>
      </c>
      <c r="E49" s="2">
        <v>12.434782608695601</v>
      </c>
      <c r="F49" s="2">
        <v>9.1211515217391099</v>
      </c>
      <c r="G49" s="2">
        <v>-681.31956521739096</v>
      </c>
      <c r="I49" s="3">
        <v>19</v>
      </c>
      <c r="J49" s="3">
        <v>0.84724320229218941</v>
      </c>
      <c r="K49" s="3">
        <v>2.7567977078105654E-3</v>
      </c>
    </row>
    <row r="50" spans="1:11" x14ac:dyDescent="0.35">
      <c r="A50" s="2">
        <v>0.80100000000000005</v>
      </c>
      <c r="B50" s="2">
        <v>25.8</v>
      </c>
      <c r="C50" s="2">
        <v>49.895164000000001</v>
      </c>
      <c r="D50" s="2">
        <v>1405.69</v>
      </c>
      <c r="E50" s="2">
        <v>-2.7652173913043399</v>
      </c>
      <c r="F50" s="2">
        <v>-4.0330280782608803</v>
      </c>
      <c r="G50" s="2">
        <v>-1156.29956521739</v>
      </c>
      <c r="I50" s="3">
        <v>20</v>
      </c>
      <c r="J50" s="3">
        <v>0.7827018126626335</v>
      </c>
      <c r="K50" s="3">
        <v>5.6298187337366468E-2</v>
      </c>
    </row>
    <row r="51" spans="1:11" x14ac:dyDescent="0.35">
      <c r="A51" s="2">
        <v>0.81499999999999995</v>
      </c>
      <c r="B51" s="2">
        <v>36.6</v>
      </c>
      <c r="C51" s="2">
        <v>58.740215800000001</v>
      </c>
      <c r="D51" s="2">
        <v>2013.06</v>
      </c>
      <c r="E51" s="2">
        <v>8.0347826086956502</v>
      </c>
      <c r="F51" s="2">
        <v>4.8120237217391102</v>
      </c>
      <c r="G51" s="2">
        <v>-548.92956521739097</v>
      </c>
      <c r="I51" s="3">
        <v>21</v>
      </c>
      <c r="J51" s="3">
        <v>0.90140030275612593</v>
      </c>
      <c r="K51" s="3">
        <v>-0.10640030275612589</v>
      </c>
    </row>
    <row r="52" spans="1:11" x14ac:dyDescent="0.35">
      <c r="A52" s="2">
        <v>0.745</v>
      </c>
      <c r="B52" s="2">
        <v>27.8</v>
      </c>
      <c r="C52" s="2">
        <v>56.812448099999997</v>
      </c>
      <c r="D52" s="2">
        <v>2558.81</v>
      </c>
      <c r="E52" s="2">
        <v>-0.76521739130434696</v>
      </c>
      <c r="F52" s="2">
        <v>2.8842560217391102</v>
      </c>
      <c r="G52" s="2">
        <v>-3.1795652173918798</v>
      </c>
      <c r="I52" s="3">
        <v>22</v>
      </c>
      <c r="J52" s="3">
        <v>0.76563292117430981</v>
      </c>
      <c r="K52" s="3">
        <v>-3.0632921174309824E-2</v>
      </c>
    </row>
    <row r="53" spans="1:11" x14ac:dyDescent="0.35">
      <c r="A53" s="2">
        <v>0.83599999999999997</v>
      </c>
      <c r="B53" s="2">
        <v>39.4</v>
      </c>
      <c r="C53" s="2">
        <v>61.688566399999999</v>
      </c>
      <c r="D53" s="2">
        <v>2748.62</v>
      </c>
      <c r="E53" s="2">
        <v>10.834782608695599</v>
      </c>
      <c r="F53" s="2">
        <v>7.7603743217391097</v>
      </c>
      <c r="G53" s="2">
        <v>186.63043478260801</v>
      </c>
      <c r="I53" s="3">
        <v>23</v>
      </c>
      <c r="J53" s="3">
        <v>0.79295136731202753</v>
      </c>
      <c r="K53" s="3">
        <v>6.6048632687972453E-2</v>
      </c>
    </row>
    <row r="54" spans="1:11" x14ac:dyDescent="0.35">
      <c r="A54" s="2">
        <v>0.76200000000000001</v>
      </c>
      <c r="B54" s="2">
        <v>36.4</v>
      </c>
      <c r="C54" s="2">
        <v>54.431088000000003</v>
      </c>
      <c r="D54" s="2">
        <v>2187.21</v>
      </c>
      <c r="E54" s="2">
        <v>7.83478260869565</v>
      </c>
      <c r="F54" s="2">
        <v>0.50289592173911701</v>
      </c>
      <c r="G54" s="2">
        <v>-374.779565217391</v>
      </c>
      <c r="I54" s="3">
        <v>24</v>
      </c>
      <c r="J54" s="3">
        <v>0.77576051088510733</v>
      </c>
      <c r="K54" s="3">
        <v>-1.2760510885107323E-2</v>
      </c>
    </row>
    <row r="55" spans="1:11" x14ac:dyDescent="0.35">
      <c r="A55" s="2">
        <v>0.86099999999999999</v>
      </c>
      <c r="B55" s="2">
        <v>46.8</v>
      </c>
      <c r="C55" s="2">
        <v>93.893626800000007</v>
      </c>
      <c r="D55" s="2">
        <v>824.25</v>
      </c>
      <c r="E55" s="2">
        <v>18.2347826086956</v>
      </c>
      <c r="F55" s="2">
        <v>39.965434721739101</v>
      </c>
      <c r="G55" s="2">
        <v>-1737.73956521739</v>
      </c>
      <c r="I55" s="3">
        <v>25</v>
      </c>
      <c r="J55" s="3">
        <v>0.77213125094061763</v>
      </c>
      <c r="K55" s="3">
        <v>4.8868749059382321E-2</v>
      </c>
    </row>
    <row r="56" spans="1:11" x14ac:dyDescent="0.35">
      <c r="A56" s="2">
        <v>1.02</v>
      </c>
      <c r="B56" s="2">
        <v>40.5</v>
      </c>
      <c r="C56" s="2">
        <v>74.3891536</v>
      </c>
      <c r="D56" s="2">
        <v>2701.94</v>
      </c>
      <c r="E56" s="2">
        <v>11.934782608695601</v>
      </c>
      <c r="F56" s="2">
        <v>20.460961521739101</v>
      </c>
      <c r="G56" s="2">
        <v>139.950434782608</v>
      </c>
      <c r="I56" s="3">
        <v>26</v>
      </c>
      <c r="J56" s="3">
        <v>0.74542749475617243</v>
      </c>
      <c r="K56" s="3">
        <v>-4.1427494756172467E-2</v>
      </c>
    </row>
    <row r="57" spans="1:11" x14ac:dyDescent="0.35">
      <c r="A57" s="2">
        <v>0.77600000000000002</v>
      </c>
      <c r="B57" s="2">
        <v>43</v>
      </c>
      <c r="C57" s="2">
        <v>96.161588800000004</v>
      </c>
      <c r="D57" s="2">
        <v>1595.62</v>
      </c>
      <c r="E57" s="2">
        <v>14.434782608695601</v>
      </c>
      <c r="F57" s="2">
        <v>42.233396721739098</v>
      </c>
      <c r="G57" s="2">
        <v>-966.36956521739103</v>
      </c>
      <c r="I57" s="3">
        <v>27</v>
      </c>
      <c r="J57" s="3">
        <v>0.78948128290040054</v>
      </c>
      <c r="K57" s="3">
        <v>-4.7481282900400545E-2</v>
      </c>
    </row>
    <row r="58" spans="1:11" x14ac:dyDescent="0.35">
      <c r="A58" s="2">
        <v>1.008</v>
      </c>
      <c r="B58" s="2">
        <v>39.5</v>
      </c>
      <c r="C58" s="2">
        <v>72.574783999999994</v>
      </c>
      <c r="D58" s="2">
        <v>7191.08</v>
      </c>
      <c r="E58" s="2">
        <v>10.934782608695601</v>
      </c>
      <c r="F58" s="2">
        <v>18.646591921739098</v>
      </c>
      <c r="G58" s="2">
        <v>4629.0904347825999</v>
      </c>
      <c r="I58" s="3">
        <v>28</v>
      </c>
      <c r="J58" s="3">
        <v>0.72486286259495081</v>
      </c>
      <c r="K58" s="3">
        <v>3.7137137405049203E-2</v>
      </c>
    </row>
    <row r="59" spans="1:11" x14ac:dyDescent="0.35">
      <c r="A59" s="2">
        <v>1.01</v>
      </c>
      <c r="B59" s="2">
        <v>39.4</v>
      </c>
      <c r="C59" s="2">
        <v>98.429550800000001</v>
      </c>
      <c r="D59" s="2">
        <v>1704.27</v>
      </c>
      <c r="E59" s="2">
        <v>10.834782608695599</v>
      </c>
      <c r="F59" s="2">
        <v>44.501358721739102</v>
      </c>
      <c r="G59" s="2">
        <v>-857.71956521739105</v>
      </c>
      <c r="I59" s="3">
        <v>29</v>
      </c>
      <c r="J59" s="3">
        <v>0.70353016156105919</v>
      </c>
      <c r="K59" s="3">
        <v>2.7469838438940797E-2</v>
      </c>
    </row>
    <row r="60" spans="1:11" x14ac:dyDescent="0.35">
      <c r="A60" s="2">
        <v>0.88500000000000001</v>
      </c>
      <c r="B60" s="2">
        <v>24.8</v>
      </c>
      <c r="C60" s="2">
        <v>51.596135500000003</v>
      </c>
      <c r="D60" s="2">
        <v>1827.86</v>
      </c>
      <c r="E60" s="2">
        <v>-3.7652173913043399</v>
      </c>
      <c r="F60" s="2">
        <v>-2.3320565782608802</v>
      </c>
      <c r="G60" s="2">
        <v>-734.12956521739102</v>
      </c>
      <c r="I60" s="3">
        <v>30</v>
      </c>
      <c r="J60" s="3">
        <v>0.73153429516460045</v>
      </c>
      <c r="K60" s="3">
        <v>6.8465704835399599E-2</v>
      </c>
    </row>
    <row r="61" spans="1:11" x14ac:dyDescent="0.35">
      <c r="A61" s="2">
        <v>0.77100000000000002</v>
      </c>
      <c r="B61" s="2">
        <v>35</v>
      </c>
      <c r="C61" s="2">
        <v>56.245457600000002</v>
      </c>
      <c r="D61" s="2">
        <v>3246.64</v>
      </c>
      <c r="E61" s="2">
        <v>6.4347826086956497</v>
      </c>
      <c r="F61" s="2">
        <v>2.31726552173911</v>
      </c>
      <c r="G61" s="2">
        <v>684.65043478260804</v>
      </c>
      <c r="I61" s="3">
        <v>31</v>
      </c>
      <c r="J61" s="3">
        <v>0.76969815872089997</v>
      </c>
      <c r="K61" s="3">
        <v>2.8301841279100071E-2</v>
      </c>
    </row>
    <row r="62" spans="1:11" x14ac:dyDescent="0.35">
      <c r="A62" s="2">
        <v>1.081</v>
      </c>
      <c r="B62" s="2">
        <v>25.3</v>
      </c>
      <c r="C62" s="2">
        <v>59.420604400000002</v>
      </c>
      <c r="D62" s="2">
        <v>3035.29</v>
      </c>
      <c r="E62" s="2">
        <v>-3.2652173913043399</v>
      </c>
      <c r="F62" s="2">
        <v>5.4924123217391099</v>
      </c>
      <c r="G62" s="2">
        <v>473.30043478260802</v>
      </c>
      <c r="I62" s="3">
        <v>32</v>
      </c>
      <c r="J62" s="3">
        <v>0.7833855706763112</v>
      </c>
      <c r="K62" s="3">
        <v>5.6144293236888299E-3</v>
      </c>
    </row>
    <row r="63" spans="1:11" x14ac:dyDescent="0.35">
      <c r="A63" s="2">
        <v>1.0269999999999999</v>
      </c>
      <c r="B63" s="2">
        <v>42.5</v>
      </c>
      <c r="C63" s="2">
        <v>93.440034400000002</v>
      </c>
      <c r="D63" s="2">
        <v>2198.29</v>
      </c>
      <c r="E63" s="2">
        <v>13.934782608695601</v>
      </c>
      <c r="F63" s="2">
        <v>39.511842321739103</v>
      </c>
      <c r="G63" s="2">
        <v>-363.69956521739101</v>
      </c>
      <c r="I63" s="3">
        <v>33</v>
      </c>
      <c r="J63" s="3">
        <v>0.78018113365794883</v>
      </c>
      <c r="K63" s="3">
        <v>0.17481886634205113</v>
      </c>
    </row>
    <row r="64" spans="1:11" x14ac:dyDescent="0.35">
      <c r="A64" s="2">
        <v>0.80200000000000005</v>
      </c>
      <c r="B64" s="2">
        <v>27.8</v>
      </c>
      <c r="C64" s="2">
        <v>48.987979199999998</v>
      </c>
      <c r="D64" s="2">
        <v>2209.1999999999998</v>
      </c>
      <c r="E64" s="2">
        <v>-0.76521739130434696</v>
      </c>
      <c r="F64" s="2">
        <v>-4.9402128782608798</v>
      </c>
      <c r="G64" s="2">
        <v>-352.78956521739201</v>
      </c>
      <c r="I64" s="3">
        <v>34</v>
      </c>
      <c r="J64" s="3">
        <v>0.82122892725450014</v>
      </c>
      <c r="K64" s="3">
        <v>-3.9228927254500112E-2</v>
      </c>
    </row>
    <row r="65" spans="1:11" x14ac:dyDescent="0.35">
      <c r="A65" s="2">
        <v>0.78300000000000003</v>
      </c>
      <c r="B65" s="2">
        <v>35.799999999999997</v>
      </c>
      <c r="C65" s="2">
        <v>53.750698999999997</v>
      </c>
      <c r="D65" s="2">
        <v>3188.11</v>
      </c>
      <c r="E65" s="2">
        <v>7.2347826086956397</v>
      </c>
      <c r="F65" s="2">
        <v>-0.17749307826088701</v>
      </c>
      <c r="G65" s="2">
        <v>626.12043478260796</v>
      </c>
      <c r="I65" s="3">
        <v>35</v>
      </c>
      <c r="J65" s="3">
        <v>0.79501289179995416</v>
      </c>
      <c r="K65" s="3">
        <v>-0.11401289179995411</v>
      </c>
    </row>
    <row r="66" spans="1:11" x14ac:dyDescent="0.35">
      <c r="A66" s="2">
        <v>0.98</v>
      </c>
      <c r="B66" s="2">
        <v>39.200000000000003</v>
      </c>
      <c r="C66" s="2">
        <v>91.625664799999996</v>
      </c>
      <c r="D66" s="2">
        <v>1280.8900000000001</v>
      </c>
      <c r="E66" s="2">
        <v>10.6347826086956</v>
      </c>
      <c r="F66" s="2">
        <v>37.697472721739103</v>
      </c>
      <c r="G66" s="2">
        <v>-1281.0995652173899</v>
      </c>
      <c r="I66" s="3">
        <v>36</v>
      </c>
      <c r="J66" s="3">
        <v>0.82419079790916694</v>
      </c>
      <c r="K66" s="3">
        <v>2.5809202090833039E-2</v>
      </c>
    </row>
    <row r="67" spans="1:11" x14ac:dyDescent="0.35">
      <c r="A67" s="2">
        <v>0.84799999999999998</v>
      </c>
      <c r="B67" s="2">
        <v>38.299999999999997</v>
      </c>
      <c r="C67" s="2">
        <v>62.595751200000002</v>
      </c>
      <c r="D67" s="2">
        <v>2771.29</v>
      </c>
      <c r="E67" s="2">
        <v>9.7347826086956495</v>
      </c>
      <c r="F67" s="2">
        <v>8.6675591217391101</v>
      </c>
      <c r="G67" s="2">
        <v>209.30043478260799</v>
      </c>
      <c r="I67" s="3">
        <v>37</v>
      </c>
      <c r="J67" s="3">
        <v>0.72182453347265751</v>
      </c>
      <c r="K67" s="3">
        <v>-5.1824533472657475E-2</v>
      </c>
    </row>
    <row r="68" spans="1:11" x14ac:dyDescent="0.35">
      <c r="A68" s="2">
        <v>0.84899999999999998</v>
      </c>
      <c r="B68" s="2">
        <v>34.1</v>
      </c>
      <c r="C68" s="2">
        <v>68.03886</v>
      </c>
      <c r="D68" s="2">
        <v>3795.98</v>
      </c>
      <c r="E68" s="2">
        <v>5.5347826086956502</v>
      </c>
      <c r="F68" s="2">
        <v>14.1106679217391</v>
      </c>
      <c r="G68" s="2">
        <v>1233.9904347826</v>
      </c>
      <c r="I68" s="3">
        <v>38</v>
      </c>
      <c r="J68" s="3">
        <v>0.6716090166460692</v>
      </c>
      <c r="K68" s="3">
        <v>-2.6609016646069183E-2</v>
      </c>
    </row>
    <row r="69" spans="1:11" x14ac:dyDescent="0.35">
      <c r="A69" s="2">
        <v>0.97299999999999998</v>
      </c>
      <c r="B69" s="2">
        <v>39.9</v>
      </c>
      <c r="C69" s="2">
        <v>84.368186399999999</v>
      </c>
      <c r="D69" s="2">
        <v>1974.92</v>
      </c>
      <c r="E69" s="2">
        <v>11.334782608695599</v>
      </c>
      <c r="F69" s="2">
        <v>30.4399943217391</v>
      </c>
      <c r="G69" s="2">
        <v>-587.06956521739096</v>
      </c>
      <c r="I69" s="3">
        <v>39</v>
      </c>
      <c r="J69" s="3">
        <v>0.7106897904211058</v>
      </c>
      <c r="K69" s="3">
        <v>-2.0689790421105858E-2</v>
      </c>
    </row>
    <row r="70" spans="1:11" x14ac:dyDescent="0.35">
      <c r="A70" s="2">
        <v>0.86599999999999999</v>
      </c>
      <c r="B70" s="2">
        <v>32.5</v>
      </c>
      <c r="C70" s="2">
        <v>69.853229999999996</v>
      </c>
      <c r="D70" s="2">
        <v>2161.87</v>
      </c>
      <c r="E70" s="2">
        <v>3.9347826086956501</v>
      </c>
      <c r="F70" s="2">
        <v>15.925037921739101</v>
      </c>
      <c r="G70" s="2">
        <v>-400.11956521739103</v>
      </c>
      <c r="I70" s="3">
        <v>40</v>
      </c>
      <c r="J70" s="3">
        <v>0.73775354757310774</v>
      </c>
      <c r="K70" s="3">
        <v>-5.7753547573107689E-2</v>
      </c>
    </row>
    <row r="71" spans="1:11" x14ac:dyDescent="0.35">
      <c r="A71" s="2">
        <v>0.77600000000000002</v>
      </c>
      <c r="B71" s="2">
        <v>29.9</v>
      </c>
      <c r="C71" s="2">
        <v>54.431088000000003</v>
      </c>
      <c r="D71" s="2">
        <v>3648.71</v>
      </c>
      <c r="E71" s="2">
        <v>1.33478260869565</v>
      </c>
      <c r="F71" s="2">
        <v>0.50289592173911701</v>
      </c>
      <c r="G71" s="2">
        <v>1086.7204347826</v>
      </c>
      <c r="I71" s="3">
        <v>41</v>
      </c>
      <c r="J71" s="3">
        <v>0.78980650634129779</v>
      </c>
      <c r="K71" s="3">
        <v>-8.0806506341297824E-2</v>
      </c>
    </row>
    <row r="72" spans="1:11" x14ac:dyDescent="0.35">
      <c r="A72" s="2">
        <v>0.84299999999999997</v>
      </c>
      <c r="B72" s="2">
        <v>32</v>
      </c>
      <c r="C72" s="2">
        <v>68.265656199999995</v>
      </c>
      <c r="D72" s="2">
        <v>2524.2199999999998</v>
      </c>
      <c r="E72" s="2">
        <v>3.4347826086956501</v>
      </c>
      <c r="F72" s="2">
        <v>14.337464121739099</v>
      </c>
      <c r="G72" s="2">
        <v>-37.769565217392</v>
      </c>
      <c r="I72" s="3">
        <v>42</v>
      </c>
      <c r="J72" s="3">
        <v>0.71187650987805862</v>
      </c>
      <c r="K72" s="3">
        <v>3.7123490121941383E-2</v>
      </c>
    </row>
    <row r="73" spans="1:11" x14ac:dyDescent="0.35">
      <c r="A73" s="2">
        <v>0.84099999999999997</v>
      </c>
      <c r="B73" s="2">
        <v>23</v>
      </c>
      <c r="C73" s="2">
        <v>48.1941925</v>
      </c>
      <c r="D73" s="2">
        <v>3287.8</v>
      </c>
      <c r="E73" s="2">
        <v>-5.5652173913043397</v>
      </c>
      <c r="F73" s="2">
        <v>-5.7339995782608799</v>
      </c>
      <c r="G73" s="2">
        <v>725.81043478260801</v>
      </c>
      <c r="I73" s="3">
        <v>43</v>
      </c>
      <c r="J73" s="3">
        <v>0.63923860728764637</v>
      </c>
      <c r="K73" s="3">
        <v>-8.1238607287646314E-2</v>
      </c>
    </row>
    <row r="74" spans="1:11" x14ac:dyDescent="0.35">
      <c r="A74" s="2">
        <v>0.68700000000000006</v>
      </c>
      <c r="B74" s="2">
        <v>28.5</v>
      </c>
      <c r="C74" s="2">
        <v>46.379822900000001</v>
      </c>
      <c r="D74" s="2">
        <v>4215.59</v>
      </c>
      <c r="E74" s="2">
        <v>-6.5217391304347602E-2</v>
      </c>
      <c r="F74" s="2">
        <v>-7.5483691782608799</v>
      </c>
      <c r="G74" s="2">
        <v>1653.6004347825999</v>
      </c>
      <c r="I74" s="3">
        <v>44</v>
      </c>
      <c r="J74" s="3">
        <v>0.75991231474357779</v>
      </c>
      <c r="K74" s="3">
        <v>-7.2912314743577733E-2</v>
      </c>
    </row>
    <row r="75" spans="1:11" x14ac:dyDescent="0.35">
      <c r="A75" s="2">
        <v>0.67600000000000005</v>
      </c>
      <c r="B75" s="2">
        <v>26.4</v>
      </c>
      <c r="C75" s="2">
        <v>54.884680400000001</v>
      </c>
      <c r="D75" s="2">
        <v>1421.96</v>
      </c>
      <c r="E75" s="2">
        <v>-2.1652173913043402</v>
      </c>
      <c r="F75" s="2">
        <v>0.95648832173911502</v>
      </c>
      <c r="G75" s="2">
        <v>-1140.02956521739</v>
      </c>
      <c r="I75" s="3">
        <v>45</v>
      </c>
      <c r="J75" s="3">
        <v>0.76094738607682499</v>
      </c>
      <c r="K75" s="3">
        <v>-2.6947386076825008E-2</v>
      </c>
    </row>
    <row r="76" spans="1:11" x14ac:dyDescent="0.35">
      <c r="A76" s="2">
        <v>0.752</v>
      </c>
      <c r="B76" s="2">
        <v>33.9</v>
      </c>
      <c r="C76" s="2">
        <v>61.915362600000002</v>
      </c>
      <c r="D76" s="2">
        <v>1821.66</v>
      </c>
      <c r="E76" s="2">
        <v>5.33478260869565</v>
      </c>
      <c r="F76" s="2">
        <v>7.9871705217391096</v>
      </c>
      <c r="G76" s="2">
        <v>-740.32956521739095</v>
      </c>
      <c r="I76" s="3">
        <v>46</v>
      </c>
      <c r="J76" s="3">
        <v>0.73388540264090862</v>
      </c>
      <c r="K76" s="3">
        <v>-3.4885402640908669E-2</v>
      </c>
    </row>
    <row r="77" spans="1:11" x14ac:dyDescent="0.35">
      <c r="A77" s="2">
        <v>0.747</v>
      </c>
      <c r="B77" s="2">
        <v>29.4</v>
      </c>
      <c r="C77" s="2">
        <v>49.101377300000003</v>
      </c>
      <c r="D77" s="2">
        <v>2462.5100000000002</v>
      </c>
      <c r="E77" s="2">
        <v>0.83478260869565002</v>
      </c>
      <c r="F77" s="2">
        <v>-4.8268147782608803</v>
      </c>
      <c r="G77" s="2">
        <v>-99.479565217391595</v>
      </c>
      <c r="I77" s="3">
        <v>47</v>
      </c>
      <c r="J77" s="3">
        <v>0.78463736469718171</v>
      </c>
      <c r="K77" s="3">
        <v>3.0362635302818242E-2</v>
      </c>
    </row>
    <row r="78" spans="1:11" x14ac:dyDescent="0.35">
      <c r="A78" s="2">
        <v>0.73799999999999999</v>
      </c>
      <c r="B78" s="2">
        <v>29.4</v>
      </c>
      <c r="C78" s="2">
        <v>49.101377300000003</v>
      </c>
      <c r="D78" s="2">
        <v>2775.67</v>
      </c>
      <c r="E78" s="2">
        <v>0.83478260869565002</v>
      </c>
      <c r="F78" s="2">
        <v>-4.8268147782608803</v>
      </c>
      <c r="G78" s="2">
        <v>213.68043478260799</v>
      </c>
      <c r="I78" s="3">
        <v>48</v>
      </c>
      <c r="J78" s="3">
        <v>0.76032051668089395</v>
      </c>
      <c r="K78" s="3">
        <v>4.0679483319106091E-2</v>
      </c>
    </row>
    <row r="79" spans="1:11" x14ac:dyDescent="0.35">
      <c r="A79" s="2">
        <v>0.79400000000000004</v>
      </c>
      <c r="B79" s="2">
        <v>21</v>
      </c>
      <c r="C79" s="2">
        <v>33.565837600000002</v>
      </c>
      <c r="D79" s="2">
        <v>3006.89</v>
      </c>
      <c r="E79" s="2">
        <v>-7.5652173913043397</v>
      </c>
      <c r="F79" s="2">
        <v>-20.362354478260801</v>
      </c>
      <c r="G79" s="2">
        <v>444.90043478260799</v>
      </c>
      <c r="I79" s="3">
        <v>49</v>
      </c>
      <c r="J79" s="3">
        <v>0.7812320395118092</v>
      </c>
      <c r="K79" s="3">
        <v>3.3767960488190751E-2</v>
      </c>
    </row>
    <row r="80" spans="1:11" x14ac:dyDescent="0.35">
      <c r="A80" s="2">
        <v>0.72</v>
      </c>
      <c r="B80" s="2">
        <v>22.4</v>
      </c>
      <c r="C80" s="2">
        <v>42.8644818</v>
      </c>
      <c r="D80" s="2">
        <v>2008.19</v>
      </c>
      <c r="E80" s="2">
        <v>-6.1652173913043402</v>
      </c>
      <c r="F80" s="2">
        <v>-11.0637102782608</v>
      </c>
      <c r="G80" s="2">
        <v>-553.79956521739098</v>
      </c>
      <c r="I80" s="3">
        <v>50</v>
      </c>
      <c r="J80" s="3">
        <v>0.82586422554892258</v>
      </c>
      <c r="K80" s="3">
        <v>-8.0864225548922586E-2</v>
      </c>
    </row>
    <row r="81" spans="1:11" x14ac:dyDescent="0.35">
      <c r="A81" s="2">
        <v>0.83699999999999997</v>
      </c>
      <c r="B81" s="2">
        <v>25.3</v>
      </c>
      <c r="C81" s="2">
        <v>43.091278000000003</v>
      </c>
      <c r="D81" s="2">
        <v>2503.69</v>
      </c>
      <c r="E81" s="2">
        <v>-3.2652173913043399</v>
      </c>
      <c r="F81" s="2">
        <v>-10.836914078260801</v>
      </c>
      <c r="G81" s="2">
        <v>-58.299565217391702</v>
      </c>
      <c r="I81" s="3">
        <v>51</v>
      </c>
      <c r="J81" s="3">
        <v>0.80586275229699278</v>
      </c>
      <c r="K81" s="3">
        <v>3.0137247703007186E-2</v>
      </c>
    </row>
    <row r="82" spans="1:11" x14ac:dyDescent="0.35">
      <c r="A82" s="2">
        <v>0.73199999999999998</v>
      </c>
      <c r="B82" s="2">
        <v>20.2</v>
      </c>
      <c r="C82" s="2">
        <v>42.1840932</v>
      </c>
      <c r="D82" s="2">
        <v>2246.3200000000002</v>
      </c>
      <c r="E82" s="2">
        <v>-8.3652173913043395</v>
      </c>
      <c r="F82" s="2">
        <v>-11.7440988782608</v>
      </c>
      <c r="G82" s="2">
        <v>-315.66956521739098</v>
      </c>
      <c r="I82" s="3">
        <v>52</v>
      </c>
      <c r="J82" s="3">
        <v>0.75822436005634009</v>
      </c>
      <c r="K82" s="3">
        <v>3.7756399436599253E-3</v>
      </c>
    </row>
    <row r="83" spans="1:11" x14ac:dyDescent="0.35">
      <c r="A83" s="2">
        <v>0.73799999999999999</v>
      </c>
      <c r="B83" s="2">
        <v>22.5</v>
      </c>
      <c r="C83" s="2">
        <v>47.740600100000002</v>
      </c>
      <c r="D83" s="2">
        <v>1531.93</v>
      </c>
      <c r="E83" s="2">
        <v>-6.0652173913043397</v>
      </c>
      <c r="F83" s="2">
        <v>-6.1875919782608797</v>
      </c>
      <c r="G83" s="2">
        <v>-1030.0595652173899</v>
      </c>
      <c r="I83" s="3">
        <v>53</v>
      </c>
      <c r="J83" s="3">
        <v>0.9327112626277807</v>
      </c>
      <c r="K83" s="3">
        <v>-7.1711262627780714E-2</v>
      </c>
    </row>
    <row r="84" spans="1:11" x14ac:dyDescent="0.35">
      <c r="A84" s="2">
        <v>0.85599999999999998</v>
      </c>
      <c r="B84" s="2">
        <v>23.4</v>
      </c>
      <c r="C84" s="2">
        <v>44.452055199999997</v>
      </c>
      <c r="D84" s="2">
        <v>2002.41</v>
      </c>
      <c r="E84" s="2">
        <v>-5.1652173913043402</v>
      </c>
      <c r="F84" s="2">
        <v>-9.4761368782608795</v>
      </c>
      <c r="G84" s="2">
        <v>-559.57956521739095</v>
      </c>
      <c r="I84" s="3">
        <v>54</v>
      </c>
      <c r="J84" s="3">
        <v>0.88317151071836275</v>
      </c>
      <c r="K84" s="3">
        <v>0.13682848928163727</v>
      </c>
    </row>
    <row r="85" spans="1:11" x14ac:dyDescent="0.35">
      <c r="A85" s="2">
        <v>0.79300000000000004</v>
      </c>
      <c r="B85" s="2">
        <v>29.5</v>
      </c>
      <c r="C85" s="2">
        <v>43.544870400000001</v>
      </c>
      <c r="D85" s="2">
        <v>4080.04</v>
      </c>
      <c r="E85" s="2">
        <v>0.934782608695652</v>
      </c>
      <c r="F85" s="2">
        <v>-10.383321678260801</v>
      </c>
      <c r="G85" s="2">
        <v>1518.0504347826</v>
      </c>
      <c r="I85" s="3">
        <v>55</v>
      </c>
      <c r="J85" s="3">
        <v>0.98626046048399973</v>
      </c>
      <c r="K85" s="3">
        <v>-0.21026046048399971</v>
      </c>
    </row>
    <row r="86" spans="1:11" x14ac:dyDescent="0.35">
      <c r="A86" s="2">
        <v>0.71</v>
      </c>
      <c r="B86" s="2">
        <v>21.9</v>
      </c>
      <c r="C86" s="2">
        <v>42.5242875</v>
      </c>
      <c r="D86" s="2">
        <v>2413</v>
      </c>
      <c r="E86" s="2">
        <v>-6.6652173913043402</v>
      </c>
      <c r="F86" s="2">
        <v>-11.4039045782608</v>
      </c>
      <c r="G86" s="2">
        <v>-148.989565217391</v>
      </c>
      <c r="I86" s="3">
        <v>56</v>
      </c>
      <c r="J86" s="3">
        <v>0.99165241683186933</v>
      </c>
      <c r="K86" s="3">
        <v>1.6347583168130675E-2</v>
      </c>
    </row>
    <row r="87" spans="1:11" x14ac:dyDescent="0.35">
      <c r="A87" s="2">
        <v>0.77</v>
      </c>
      <c r="B87" s="2">
        <v>19.2</v>
      </c>
      <c r="C87" s="2">
        <v>40.823315999999998</v>
      </c>
      <c r="D87" s="2">
        <v>1721.39</v>
      </c>
      <c r="E87" s="2">
        <v>-9.3652173913043395</v>
      </c>
      <c r="F87" s="2">
        <v>-13.1048760782608</v>
      </c>
      <c r="G87" s="2">
        <v>-840.59956521739105</v>
      </c>
      <c r="I87" s="3">
        <v>57</v>
      </c>
      <c r="J87" s="3">
        <v>1.0217671053222261</v>
      </c>
      <c r="K87" s="3">
        <v>-1.1767105322226135E-2</v>
      </c>
    </row>
    <row r="88" spans="1:11" x14ac:dyDescent="0.35">
      <c r="A88" s="2">
        <v>0.74</v>
      </c>
      <c r="B88" s="2">
        <v>28.6</v>
      </c>
      <c r="C88" s="2">
        <v>47.740600100000002</v>
      </c>
      <c r="D88" s="2">
        <v>2226.92</v>
      </c>
      <c r="E88" s="2">
        <v>3.4782608695653701E-2</v>
      </c>
      <c r="F88" s="2">
        <v>-6.1875919782608797</v>
      </c>
      <c r="G88" s="2">
        <v>-335.06956521739102</v>
      </c>
      <c r="I88" s="3">
        <v>58</v>
      </c>
      <c r="J88" s="3">
        <v>0.78735006287301745</v>
      </c>
      <c r="K88" s="3">
        <v>9.7649937126982556E-2</v>
      </c>
    </row>
    <row r="89" spans="1:11" x14ac:dyDescent="0.35">
      <c r="A89" s="2">
        <v>0.73699999999999999</v>
      </c>
      <c r="B89" s="2">
        <v>23.4</v>
      </c>
      <c r="C89" s="2">
        <v>42.637685599999998</v>
      </c>
      <c r="D89" s="2">
        <v>2449.9699999999998</v>
      </c>
      <c r="E89" s="2">
        <v>-5.1652173913043402</v>
      </c>
      <c r="F89" s="2">
        <v>-11.2905064782608</v>
      </c>
      <c r="G89" s="2">
        <v>-112.019565217392</v>
      </c>
      <c r="I89" s="3">
        <v>59</v>
      </c>
      <c r="J89" s="3">
        <v>0.80437510436022985</v>
      </c>
      <c r="K89" s="3">
        <v>-3.3375104360229835E-2</v>
      </c>
    </row>
    <row r="90" spans="1:11" x14ac:dyDescent="0.35">
      <c r="A90" s="2">
        <v>0.63300000000000001</v>
      </c>
      <c r="B90" s="2">
        <v>23.2</v>
      </c>
      <c r="C90" s="2">
        <v>43.544870400000001</v>
      </c>
      <c r="D90" s="2">
        <v>1283.6600000000001</v>
      </c>
      <c r="E90" s="2">
        <v>-5.3652173913043404</v>
      </c>
      <c r="F90" s="2">
        <v>-10.383321678260801</v>
      </c>
      <c r="G90" s="2">
        <v>-1278.3295652173899</v>
      </c>
      <c r="I90" s="3">
        <v>60</v>
      </c>
      <c r="J90" s="3">
        <v>0.86767108960120831</v>
      </c>
      <c r="K90" s="3">
        <v>0.21332891039879165</v>
      </c>
    </row>
    <row r="91" spans="1:11" x14ac:dyDescent="0.35">
      <c r="A91" s="2">
        <v>0.621</v>
      </c>
      <c r="B91" s="2">
        <v>18.100000000000001</v>
      </c>
      <c r="C91" s="2">
        <v>45.35924</v>
      </c>
      <c r="D91" s="2">
        <v>2829.43</v>
      </c>
      <c r="E91" s="2">
        <v>-10.4652173913043</v>
      </c>
      <c r="F91" s="2">
        <v>-8.5689520782608799</v>
      </c>
      <c r="G91" s="2">
        <v>267.44043478260801</v>
      </c>
      <c r="I91" s="3">
        <v>61</v>
      </c>
      <c r="J91" s="3">
        <v>0.9862502303419719</v>
      </c>
      <c r="K91" s="3">
        <v>4.0749769658028012E-2</v>
      </c>
    </row>
    <row r="92" spans="1:11" x14ac:dyDescent="0.35">
      <c r="A92" s="2">
        <v>0.74399999999999999</v>
      </c>
      <c r="B92" s="2">
        <v>31.4</v>
      </c>
      <c r="C92" s="2">
        <v>43.998462799999999</v>
      </c>
      <c r="D92" s="2">
        <v>2922.46</v>
      </c>
      <c r="E92" s="2">
        <v>2.83478260869565</v>
      </c>
      <c r="F92" s="2">
        <v>-9.9297292782608793</v>
      </c>
      <c r="G92" s="2">
        <v>360.47043478260798</v>
      </c>
      <c r="I92" s="3">
        <v>62</v>
      </c>
      <c r="J92" s="3">
        <v>0.76516127740569218</v>
      </c>
      <c r="K92" s="3">
        <v>3.6838722594307871E-2</v>
      </c>
    </row>
    <row r="93" spans="1:11" x14ac:dyDescent="0.35">
      <c r="A93" s="2">
        <v>0.622</v>
      </c>
      <c r="B93" s="2">
        <v>22.9</v>
      </c>
      <c r="C93" s="2">
        <v>34.01943</v>
      </c>
      <c r="D93" s="2">
        <v>2560.61</v>
      </c>
      <c r="E93" s="2">
        <v>-5.6652173913043402</v>
      </c>
      <c r="F93" s="2">
        <v>-19.9087620782608</v>
      </c>
      <c r="G93" s="2">
        <v>-1.3795652173916999</v>
      </c>
      <c r="I93" s="3">
        <v>63</v>
      </c>
      <c r="J93" s="3">
        <v>0.78244465209747482</v>
      </c>
      <c r="K93" s="3">
        <v>5.5534790252520505E-4</v>
      </c>
    </row>
    <row r="94" spans="1:11" x14ac:dyDescent="0.35">
      <c r="A94" s="2">
        <v>0.73499999999999999</v>
      </c>
      <c r="B94" s="2">
        <v>25.6</v>
      </c>
      <c r="C94" s="2">
        <v>47.627201999999997</v>
      </c>
      <c r="D94" s="2">
        <v>2366.34</v>
      </c>
      <c r="E94" s="2">
        <v>-2.96521739130434</v>
      </c>
      <c r="F94" s="2">
        <v>-6.3009900782608801</v>
      </c>
      <c r="G94" s="2">
        <v>-195.649565217391</v>
      </c>
      <c r="I94" s="3">
        <v>64</v>
      </c>
      <c r="J94" s="3">
        <v>0.96689403363609505</v>
      </c>
      <c r="K94" s="3">
        <v>1.3105966363904931E-2</v>
      </c>
    </row>
    <row r="95" spans="1:11" x14ac:dyDescent="0.35">
      <c r="I95" s="3">
        <v>65</v>
      </c>
      <c r="J95" s="3">
        <v>0.81785642032923278</v>
      </c>
      <c r="K95" s="3">
        <v>3.0143579670767195E-2</v>
      </c>
    </row>
    <row r="96" spans="1:11" x14ac:dyDescent="0.35">
      <c r="I96" s="3">
        <v>66</v>
      </c>
      <c r="J96" s="3">
        <v>0.90087658020822003</v>
      </c>
      <c r="K96" s="3">
        <v>-5.1876580208220058E-2</v>
      </c>
    </row>
    <row r="97" spans="9:11" x14ac:dyDescent="0.35">
      <c r="I97" s="3">
        <v>67</v>
      </c>
      <c r="J97" s="3">
        <v>0.93335408822426402</v>
      </c>
      <c r="K97" s="3">
        <v>3.9645911775735954E-2</v>
      </c>
    </row>
    <row r="98" spans="9:11" x14ac:dyDescent="0.35">
      <c r="I98" s="3">
        <v>68</v>
      </c>
      <c r="J98" s="3">
        <v>0.87868222720308864</v>
      </c>
      <c r="K98" s="3">
        <v>-1.2682227203088647E-2</v>
      </c>
    </row>
    <row r="99" spans="9:11" x14ac:dyDescent="0.35">
      <c r="I99" s="3">
        <v>69</v>
      </c>
      <c r="J99" s="3">
        <v>0.82784275890732528</v>
      </c>
      <c r="K99" s="3">
        <v>-5.1842758907325259E-2</v>
      </c>
    </row>
    <row r="100" spans="9:11" x14ac:dyDescent="0.35">
      <c r="I100" s="3">
        <v>70</v>
      </c>
      <c r="J100" s="3">
        <v>0.87997970399675352</v>
      </c>
      <c r="K100" s="3">
        <v>-3.6979703996753543E-2</v>
      </c>
    </row>
    <row r="101" spans="9:11" x14ac:dyDescent="0.35">
      <c r="I101" s="3">
        <v>71</v>
      </c>
      <c r="J101" s="3">
        <v>0.81130940162501364</v>
      </c>
      <c r="K101" s="3">
        <v>2.9690598374986332E-2</v>
      </c>
    </row>
    <row r="102" spans="9:11" x14ac:dyDescent="0.35">
      <c r="I102" s="3">
        <v>72</v>
      </c>
      <c r="J102" s="3">
        <v>0.79612332114715767</v>
      </c>
      <c r="K102" s="3">
        <v>-0.10912332114715761</v>
      </c>
    </row>
    <row r="103" spans="9:11" x14ac:dyDescent="0.35">
      <c r="I103" s="3">
        <v>73</v>
      </c>
      <c r="J103" s="3">
        <v>0.79075622796791212</v>
      </c>
      <c r="K103" s="3">
        <v>-0.11475622796791207</v>
      </c>
    </row>
    <row r="104" spans="9:11" x14ac:dyDescent="0.35">
      <c r="I104" s="3">
        <v>74</v>
      </c>
      <c r="J104" s="3">
        <v>0.8105794799814563</v>
      </c>
      <c r="K104" s="3">
        <v>-5.8579479981456295E-2</v>
      </c>
    </row>
    <row r="105" spans="9:11" x14ac:dyDescent="0.35">
      <c r="I105" s="3">
        <v>75</v>
      </c>
      <c r="J105" s="3">
        <v>0.76455358815016838</v>
      </c>
      <c r="K105" s="3">
        <v>-1.7553588150168387E-2</v>
      </c>
    </row>
    <row r="106" spans="9:11" x14ac:dyDescent="0.35">
      <c r="I106" s="3">
        <v>76</v>
      </c>
      <c r="J106" s="3">
        <v>0.77261409520389923</v>
      </c>
      <c r="K106" s="3">
        <v>-3.4614095203899242E-2</v>
      </c>
    </row>
    <row r="107" spans="9:11" x14ac:dyDescent="0.35">
      <c r="I107" s="3">
        <v>77</v>
      </c>
      <c r="J107" s="3">
        <v>0.71726082568118832</v>
      </c>
      <c r="K107" s="3">
        <v>7.673917431881172E-2</v>
      </c>
    </row>
    <row r="108" spans="9:11" x14ac:dyDescent="0.35">
      <c r="I108" s="3">
        <v>78</v>
      </c>
      <c r="J108" s="3">
        <v>0.74610824137476728</v>
      </c>
      <c r="K108" s="3">
        <v>-2.6108241374767305E-2</v>
      </c>
    </row>
    <row r="109" spans="9:11" x14ac:dyDescent="0.35">
      <c r="I109" s="3">
        <v>79</v>
      </c>
      <c r="J109" s="3">
        <v>0.74608358698002319</v>
      </c>
      <c r="K109" s="3">
        <v>9.0916413019976772E-2</v>
      </c>
    </row>
    <row r="110" spans="9:11" x14ac:dyDescent="0.35">
      <c r="I110" s="3">
        <v>80</v>
      </c>
      <c r="J110" s="3">
        <v>0.7585724381614033</v>
      </c>
      <c r="K110" s="3">
        <v>-2.6572438161403311E-2</v>
      </c>
    </row>
    <row r="111" spans="9:11" x14ac:dyDescent="0.35">
      <c r="I111" s="3">
        <v>81</v>
      </c>
      <c r="J111" s="3">
        <v>0.76557883193532927</v>
      </c>
      <c r="K111" s="3">
        <v>-2.7578831935329284E-2</v>
      </c>
    </row>
    <row r="112" spans="9:11" x14ac:dyDescent="0.35">
      <c r="I112" s="3">
        <v>82</v>
      </c>
      <c r="J112" s="3">
        <v>0.75152703582020286</v>
      </c>
      <c r="K112" s="3">
        <v>0.10447296417979712</v>
      </c>
    </row>
    <row r="113" spans="9:11" x14ac:dyDescent="0.35">
      <c r="I113" s="3">
        <v>83</v>
      </c>
      <c r="J113" s="3">
        <v>0.76897779317210935</v>
      </c>
      <c r="K113" s="3">
        <v>2.4022206827890691E-2</v>
      </c>
    </row>
    <row r="114" spans="9:11" x14ac:dyDescent="0.35">
      <c r="I114" s="3">
        <v>84</v>
      </c>
      <c r="J114" s="3">
        <v>0.7567413155717323</v>
      </c>
      <c r="K114" s="3">
        <v>-4.6741315571732334E-2</v>
      </c>
    </row>
    <row r="115" spans="9:11" x14ac:dyDescent="0.35">
      <c r="I115" s="3">
        <v>85</v>
      </c>
      <c r="J115" s="3">
        <v>0.74099223414543092</v>
      </c>
      <c r="K115" s="3">
        <v>2.9007765854569101E-2</v>
      </c>
    </row>
    <row r="116" spans="9:11" x14ac:dyDescent="0.35">
      <c r="I116" s="3">
        <v>86</v>
      </c>
      <c r="J116" s="3">
        <v>0.75343615218394833</v>
      </c>
      <c r="K116" s="3">
        <v>-1.3436152183948336E-2</v>
      </c>
    </row>
    <row r="117" spans="9:11" x14ac:dyDescent="0.35">
      <c r="I117" s="3">
        <v>87</v>
      </c>
      <c r="J117" s="3">
        <v>0.75105750943738914</v>
      </c>
      <c r="K117" s="3">
        <v>-1.4057509437389148E-2</v>
      </c>
    </row>
    <row r="118" spans="9:11" x14ac:dyDescent="0.35">
      <c r="I118" s="3">
        <v>88</v>
      </c>
      <c r="J118" s="3">
        <v>0.72801687652173619</v>
      </c>
      <c r="K118" s="3">
        <v>-9.5016876521736182E-2</v>
      </c>
    </row>
    <row r="119" spans="9:11" x14ac:dyDescent="0.35">
      <c r="I119" s="3">
        <v>89</v>
      </c>
      <c r="J119" s="3">
        <v>0.80490130446061603</v>
      </c>
      <c r="K119" s="3">
        <v>-0.18390130446061603</v>
      </c>
    </row>
    <row r="120" spans="9:11" x14ac:dyDescent="0.35">
      <c r="I120" s="3">
        <v>90</v>
      </c>
      <c r="J120" s="3">
        <v>0.73282590355998511</v>
      </c>
      <c r="K120" s="3">
        <v>1.117409644001488E-2</v>
      </c>
    </row>
    <row r="121" spans="9:11" x14ac:dyDescent="0.35">
      <c r="I121" s="3">
        <v>91</v>
      </c>
      <c r="J121" s="3">
        <v>0.69941727259773523</v>
      </c>
      <c r="K121" s="3">
        <v>-7.7417272597735232E-2</v>
      </c>
    </row>
    <row r="122" spans="9:11" ht="15" thickBot="1" x14ac:dyDescent="0.4">
      <c r="I122" s="4">
        <v>92</v>
      </c>
      <c r="J122" s="4">
        <v>0.77104483011770086</v>
      </c>
      <c r="K122" s="4">
        <v>-3.6044830117700877E-2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5"/>
  <sheetViews>
    <sheetView topLeftCell="A2" workbookViewId="0">
      <selection activeCell="F6" sqref="F6"/>
    </sheetView>
  </sheetViews>
  <sheetFormatPr defaultRowHeight="14.5" x14ac:dyDescent="0.35"/>
  <cols>
    <col min="1" max="1" width="12.1796875" bestFit="1" customWidth="1"/>
    <col min="2" max="2" width="4.90625" bestFit="1" customWidth="1"/>
    <col min="3" max="3" width="7.81640625" bestFit="1" customWidth="1"/>
  </cols>
  <sheetData>
    <row r="1" spans="1:7" x14ac:dyDescent="0.35">
      <c r="A1" s="1" t="s">
        <v>0</v>
      </c>
      <c r="B1" s="1" t="s">
        <v>1</v>
      </c>
      <c r="C1" s="1" t="s">
        <v>3</v>
      </c>
    </row>
    <row r="2" spans="1:7" x14ac:dyDescent="0.35">
      <c r="A2" s="2">
        <v>0.93400000000000005</v>
      </c>
      <c r="B2" s="2">
        <v>25.3</v>
      </c>
      <c r="C2" s="2">
        <v>3508.44</v>
      </c>
    </row>
    <row r="3" spans="1:7" x14ac:dyDescent="0.35">
      <c r="A3" s="2">
        <v>0.88800000000000001</v>
      </c>
      <c r="B3" s="2">
        <v>29.3</v>
      </c>
      <c r="C3" s="2">
        <v>2773.54</v>
      </c>
      <c r="E3" t="s">
        <v>39</v>
      </c>
      <c r="F3">
        <f>1/(1-G14)</f>
        <v>1.0005077423281894</v>
      </c>
    </row>
    <row r="4" spans="1:7" x14ac:dyDescent="0.35">
      <c r="A4" s="2">
        <v>0.93300000000000005</v>
      </c>
      <c r="B4" s="2">
        <v>37.700000000000003</v>
      </c>
      <c r="C4" s="2">
        <v>1738.97</v>
      </c>
    </row>
    <row r="5" spans="1:7" x14ac:dyDescent="0.35">
      <c r="A5" s="2">
        <v>0.75700000000000001</v>
      </c>
      <c r="B5" s="2">
        <v>32.799999999999997</v>
      </c>
      <c r="C5" s="2">
        <v>1665.29</v>
      </c>
    </row>
    <row r="6" spans="1:7" x14ac:dyDescent="0.35">
      <c r="A6" s="2">
        <v>1.0309999999999999</v>
      </c>
      <c r="B6" s="2">
        <v>24.6</v>
      </c>
      <c r="C6" s="2">
        <v>3982.95</v>
      </c>
    </row>
    <row r="7" spans="1:7" x14ac:dyDescent="0.35">
      <c r="A7" s="2">
        <v>0.88300000000000001</v>
      </c>
      <c r="B7" s="2">
        <v>26.5</v>
      </c>
      <c r="C7" s="2">
        <v>2985.74</v>
      </c>
    </row>
    <row r="8" spans="1:7" x14ac:dyDescent="0.35">
      <c r="A8" s="2">
        <v>0.83699999999999997</v>
      </c>
      <c r="B8" s="2">
        <v>21.2</v>
      </c>
      <c r="C8" s="2">
        <v>3002.38</v>
      </c>
    </row>
    <row r="9" spans="1:7" x14ac:dyDescent="0.35">
      <c r="A9" s="2">
        <v>0.91200000000000003</v>
      </c>
      <c r="B9" s="2">
        <v>28.4</v>
      </c>
      <c r="C9" s="2">
        <v>3232.98</v>
      </c>
    </row>
    <row r="10" spans="1:7" x14ac:dyDescent="0.35">
      <c r="A10" s="2">
        <v>0.85299999999999998</v>
      </c>
      <c r="B10" s="2">
        <v>24</v>
      </c>
      <c r="C10" s="2">
        <v>2823.68</v>
      </c>
      <c r="F10" t="s">
        <v>11</v>
      </c>
    </row>
    <row r="11" spans="1:7" ht="15" thickBot="1" x14ac:dyDescent="0.4">
      <c r="A11" s="2">
        <v>0.82499999999999996</v>
      </c>
      <c r="B11" s="2">
        <v>28.7</v>
      </c>
      <c r="C11" s="2">
        <v>2414.12</v>
      </c>
    </row>
    <row r="12" spans="1:7" x14ac:dyDescent="0.35">
      <c r="A12" s="2">
        <v>0.77200000000000002</v>
      </c>
      <c r="B12" s="2">
        <v>37.4</v>
      </c>
      <c r="C12" s="2">
        <v>2110.59</v>
      </c>
      <c r="F12" s="6" t="s">
        <v>12</v>
      </c>
      <c r="G12" s="6"/>
    </row>
    <row r="13" spans="1:7" x14ac:dyDescent="0.35">
      <c r="A13" s="2">
        <v>1.0149999999999999</v>
      </c>
      <c r="B13" s="2">
        <v>30.7</v>
      </c>
      <c r="C13" s="2">
        <v>3100.52</v>
      </c>
      <c r="F13" s="3" t="s">
        <v>13</v>
      </c>
      <c r="G13" s="3">
        <v>2.2527420108576959E-2</v>
      </c>
    </row>
    <row r="14" spans="1:7" x14ac:dyDescent="0.35">
      <c r="A14" s="2">
        <v>0.96299999999999997</v>
      </c>
      <c r="B14" s="2">
        <v>36.700000000000003</v>
      </c>
      <c r="C14" s="2">
        <v>1573.55</v>
      </c>
      <c r="F14" s="3" t="s">
        <v>14</v>
      </c>
      <c r="G14" s="3">
        <v>5.0748465674831762E-4</v>
      </c>
    </row>
    <row r="15" spans="1:7" x14ac:dyDescent="0.35">
      <c r="A15" s="2">
        <v>0.72899999999999998</v>
      </c>
      <c r="B15" s="2">
        <v>28.2</v>
      </c>
      <c r="C15" s="2">
        <v>2814.91</v>
      </c>
      <c r="F15" s="3" t="s">
        <v>15</v>
      </c>
      <c r="G15" s="3">
        <v>-1.0597987735954479E-2</v>
      </c>
    </row>
    <row r="16" spans="1:7" x14ac:dyDescent="0.35">
      <c r="A16" s="2">
        <v>0.73799999999999999</v>
      </c>
      <c r="B16" s="2">
        <v>26.4</v>
      </c>
      <c r="C16" s="2">
        <v>1254.29</v>
      </c>
      <c r="F16" s="3" t="s">
        <v>16</v>
      </c>
      <c r="G16" s="3">
        <v>7.026167581773084</v>
      </c>
    </row>
    <row r="17" spans="1:14" ht="15" thickBot="1" x14ac:dyDescent="0.4">
      <c r="A17" s="2">
        <v>0.89400000000000002</v>
      </c>
      <c r="B17" s="2">
        <v>37.1</v>
      </c>
      <c r="C17" s="2">
        <v>4096.58</v>
      </c>
      <c r="F17" s="4" t="s">
        <v>17</v>
      </c>
      <c r="G17" s="4">
        <v>92</v>
      </c>
    </row>
    <row r="18" spans="1:14" x14ac:dyDescent="0.35">
      <c r="A18" s="2">
        <v>0.86299999999999999</v>
      </c>
      <c r="B18" s="2">
        <v>31.1</v>
      </c>
      <c r="C18" s="2">
        <v>2116.94</v>
      </c>
    </row>
    <row r="19" spans="1:14" ht="15" thickBot="1" x14ac:dyDescent="0.4">
      <c r="A19" s="2">
        <v>0.82699999999999996</v>
      </c>
      <c r="B19" s="2">
        <v>43.1</v>
      </c>
      <c r="C19" s="2">
        <v>1591.77</v>
      </c>
      <c r="F19" t="s">
        <v>18</v>
      </c>
    </row>
    <row r="20" spans="1:14" x14ac:dyDescent="0.35">
      <c r="A20" s="2">
        <v>0.85</v>
      </c>
      <c r="B20" s="2">
        <v>34.1</v>
      </c>
      <c r="C20" s="2">
        <v>4157.72</v>
      </c>
      <c r="F20" s="5"/>
      <c r="G20" s="5" t="s">
        <v>23</v>
      </c>
      <c r="H20" s="5" t="s">
        <v>24</v>
      </c>
      <c r="I20" s="5" t="s">
        <v>25</v>
      </c>
      <c r="J20" s="5" t="s">
        <v>26</v>
      </c>
      <c r="K20" s="5" t="s">
        <v>27</v>
      </c>
    </row>
    <row r="21" spans="1:14" x14ac:dyDescent="0.35">
      <c r="A21" s="2">
        <v>0.83899999999999997</v>
      </c>
      <c r="B21" s="2">
        <v>26.7</v>
      </c>
      <c r="C21" s="2">
        <v>2534.71</v>
      </c>
      <c r="F21" s="3" t="s">
        <v>19</v>
      </c>
      <c r="G21" s="3">
        <v>1</v>
      </c>
      <c r="H21" s="3">
        <v>2.2559158078602195</v>
      </c>
      <c r="I21" s="3">
        <v>2.2559158078602195</v>
      </c>
      <c r="J21" s="3">
        <v>4.5696809537050985E-2</v>
      </c>
      <c r="K21" s="3">
        <v>0.83121142487952393</v>
      </c>
    </row>
    <row r="22" spans="1:14" x14ac:dyDescent="0.35">
      <c r="A22" s="2">
        <v>0.79500000000000004</v>
      </c>
      <c r="B22" s="2">
        <v>30.9</v>
      </c>
      <c r="C22" s="2">
        <v>5853.51</v>
      </c>
      <c r="F22" s="3" t="s">
        <v>20</v>
      </c>
      <c r="G22" s="3">
        <v>90</v>
      </c>
      <c r="H22" s="3">
        <v>4443.0327798443132</v>
      </c>
      <c r="I22" s="3">
        <v>49.367030887159032</v>
      </c>
      <c r="J22" s="3"/>
      <c r="K22" s="3"/>
    </row>
    <row r="23" spans="1:14" ht="15" thickBot="1" x14ac:dyDescent="0.4">
      <c r="A23" s="2">
        <v>0.73499999999999999</v>
      </c>
      <c r="B23" s="2">
        <v>30</v>
      </c>
      <c r="C23" s="2">
        <v>3230.57</v>
      </c>
      <c r="F23" s="4" t="s">
        <v>21</v>
      </c>
      <c r="G23" s="4">
        <v>91</v>
      </c>
      <c r="H23" s="4">
        <v>4445.2886956521734</v>
      </c>
      <c r="I23" s="4"/>
      <c r="J23" s="4"/>
      <c r="K23" s="4"/>
    </row>
    <row r="24" spans="1:14" ht="15" thickBot="1" x14ac:dyDescent="0.4">
      <c r="A24" s="2">
        <v>0.85899999999999999</v>
      </c>
      <c r="B24" s="2">
        <v>22.1</v>
      </c>
      <c r="C24" s="2">
        <v>2780.89</v>
      </c>
    </row>
    <row r="25" spans="1:14" x14ac:dyDescent="0.35">
      <c r="A25" s="2">
        <v>0.76300000000000001</v>
      </c>
      <c r="B25" s="2">
        <v>24.4</v>
      </c>
      <c r="C25" s="2">
        <v>2145.35</v>
      </c>
      <c r="F25" s="5"/>
      <c r="G25" s="5" t="s">
        <v>28</v>
      </c>
      <c r="H25" s="5" t="s">
        <v>16</v>
      </c>
      <c r="I25" s="5" t="s">
        <v>29</v>
      </c>
      <c r="J25" s="5" t="s">
        <v>30</v>
      </c>
      <c r="K25" s="5" t="s">
        <v>31</v>
      </c>
      <c r="L25" s="5" t="s">
        <v>32</v>
      </c>
      <c r="M25" s="5" t="s">
        <v>33</v>
      </c>
      <c r="N25" s="5" t="s">
        <v>34</v>
      </c>
    </row>
    <row r="26" spans="1:14" x14ac:dyDescent="0.35">
      <c r="A26" s="2">
        <v>0.82099999999999995</v>
      </c>
      <c r="B26" s="2">
        <v>22.5</v>
      </c>
      <c r="C26" s="2">
        <v>1349.81</v>
      </c>
      <c r="F26" s="3" t="s">
        <v>22</v>
      </c>
      <c r="G26" s="3">
        <v>28.952168374442682</v>
      </c>
      <c r="H26" s="3">
        <v>1.9527462190622875</v>
      </c>
      <c r="I26" s="3">
        <v>14.826385575256968</v>
      </c>
      <c r="J26" s="3">
        <v>6.8722788986811392E-26</v>
      </c>
      <c r="K26" s="3">
        <v>25.072697176576085</v>
      </c>
      <c r="L26" s="3">
        <v>32.831639572309278</v>
      </c>
      <c r="M26" s="3">
        <v>25.072697176576085</v>
      </c>
      <c r="N26" s="3">
        <v>32.831639572309278</v>
      </c>
    </row>
    <row r="27" spans="1:14" ht="15" thickBot="1" x14ac:dyDescent="0.4">
      <c r="A27" s="2">
        <v>0.70399999999999996</v>
      </c>
      <c r="B27" s="2">
        <v>24.9</v>
      </c>
      <c r="C27" s="2">
        <v>1819.44</v>
      </c>
      <c r="F27" s="4" t="s">
        <v>3</v>
      </c>
      <c r="G27" s="4">
        <v>-1.510353470567316E-4</v>
      </c>
      <c r="H27" s="4">
        <v>7.0653821711657509E-4</v>
      </c>
      <c r="I27" s="4">
        <v>-0.2137681209561684</v>
      </c>
      <c r="J27" s="4">
        <v>0.83121142487937827</v>
      </c>
      <c r="K27" s="4">
        <v>-1.5546968350364653E-3</v>
      </c>
      <c r="L27" s="4">
        <v>1.2526261409230022E-3</v>
      </c>
      <c r="M27" s="4">
        <v>-1.5546968350364653E-3</v>
      </c>
      <c r="N27" s="4">
        <v>1.2526261409230022E-3</v>
      </c>
    </row>
    <row r="28" spans="1:14" x14ac:dyDescent="0.35">
      <c r="A28" s="2">
        <v>0.74199999999999999</v>
      </c>
      <c r="B28" s="2">
        <v>18.2</v>
      </c>
      <c r="C28" s="2">
        <v>2569.71</v>
      </c>
    </row>
    <row r="29" spans="1:14" x14ac:dyDescent="0.35">
      <c r="A29" s="2">
        <v>0.76200000000000001</v>
      </c>
      <c r="B29" s="2">
        <v>27.3</v>
      </c>
      <c r="C29" s="2">
        <v>1945.33</v>
      </c>
    </row>
    <row r="30" spans="1:14" x14ac:dyDescent="0.35">
      <c r="A30" s="2">
        <v>0.73099999999999998</v>
      </c>
      <c r="B30" s="2">
        <v>25.9</v>
      </c>
      <c r="C30" s="2">
        <v>1722.13</v>
      </c>
    </row>
    <row r="31" spans="1:14" x14ac:dyDescent="0.35">
      <c r="A31" s="2">
        <v>0.8</v>
      </c>
      <c r="B31" s="2">
        <v>28.3</v>
      </c>
      <c r="C31" s="2">
        <v>1580.64</v>
      </c>
      <c r="F31" t="s">
        <v>35</v>
      </c>
    </row>
    <row r="32" spans="1:14" ht="15" thickBot="1" x14ac:dyDescent="0.4">
      <c r="A32" s="2">
        <v>0.79800000000000004</v>
      </c>
      <c r="B32" s="2">
        <v>18.7</v>
      </c>
      <c r="C32" s="2">
        <v>1809.41</v>
      </c>
    </row>
    <row r="33" spans="1:8" x14ac:dyDescent="0.35">
      <c r="A33" s="2">
        <v>0.78900000000000003</v>
      </c>
      <c r="B33" s="2">
        <v>22.4</v>
      </c>
      <c r="C33" s="2">
        <v>2815.98</v>
      </c>
      <c r="F33" s="5" t="s">
        <v>36</v>
      </c>
      <c r="G33" s="5" t="s">
        <v>40</v>
      </c>
      <c r="H33" s="5" t="s">
        <v>38</v>
      </c>
    </row>
    <row r="34" spans="1:8" x14ac:dyDescent="0.35">
      <c r="A34" s="2">
        <v>0.95499999999999996</v>
      </c>
      <c r="B34" s="2">
        <v>23.6</v>
      </c>
      <c r="C34" s="2">
        <v>3503.26</v>
      </c>
      <c r="F34" s="3">
        <v>1</v>
      </c>
      <c r="G34" s="3">
        <v>28.422269921414962</v>
      </c>
      <c r="H34" s="3">
        <v>-3.1222699214149614</v>
      </c>
    </row>
    <row r="35" spans="1:8" x14ac:dyDescent="0.35">
      <c r="A35" s="2">
        <v>0.78200000000000003</v>
      </c>
      <c r="B35" s="2">
        <v>26.8</v>
      </c>
      <c r="C35" s="2">
        <v>3381.07</v>
      </c>
      <c r="F35" s="3">
        <v>2</v>
      </c>
      <c r="G35" s="3">
        <v>28.533265797966955</v>
      </c>
      <c r="H35" s="3">
        <v>0.76673420203304588</v>
      </c>
    </row>
    <row r="36" spans="1:8" x14ac:dyDescent="0.35">
      <c r="A36" s="2">
        <v>0.68100000000000005</v>
      </c>
      <c r="B36" s="2">
        <v>17.8</v>
      </c>
      <c r="C36" s="2">
        <v>5153.57</v>
      </c>
      <c r="F36" s="3">
        <v>3</v>
      </c>
      <c r="G36" s="3">
        <v>28.689522436971437</v>
      </c>
      <c r="H36" s="3">
        <v>9.0104775630285658</v>
      </c>
    </row>
    <row r="37" spans="1:8" x14ac:dyDescent="0.35">
      <c r="A37" s="2">
        <v>0.85</v>
      </c>
      <c r="B37" s="2">
        <v>27.4</v>
      </c>
      <c r="C37" s="2">
        <v>2446.4</v>
      </c>
      <c r="F37" s="3">
        <v>4</v>
      </c>
      <c r="G37" s="3">
        <v>28.700650721342576</v>
      </c>
      <c r="H37" s="3">
        <v>4.0993492786574208</v>
      </c>
    </row>
    <row r="38" spans="1:8" x14ac:dyDescent="0.35">
      <c r="A38" s="2">
        <v>0.67</v>
      </c>
      <c r="B38" s="2">
        <v>16.8</v>
      </c>
      <c r="C38" s="2">
        <v>2031.51</v>
      </c>
      <c r="F38" s="3">
        <v>5</v>
      </c>
      <c r="G38" s="3">
        <v>28.350602138883072</v>
      </c>
      <c r="H38" s="3">
        <v>-3.750602138883071</v>
      </c>
    </row>
    <row r="39" spans="1:8" x14ac:dyDescent="0.35">
      <c r="A39" s="2">
        <v>0.64500000000000002</v>
      </c>
      <c r="B39" s="2">
        <v>26.1</v>
      </c>
      <c r="C39" s="2">
        <v>1742.94</v>
      </c>
      <c r="F39" s="3">
        <v>6</v>
      </c>
      <c r="G39" s="3">
        <v>28.501216097321517</v>
      </c>
      <c r="H39" s="3">
        <v>-2.0012160973215174</v>
      </c>
    </row>
    <row r="40" spans="1:8" x14ac:dyDescent="0.35">
      <c r="A40" s="2">
        <v>0.69</v>
      </c>
      <c r="B40" s="2">
        <v>20.8</v>
      </c>
      <c r="C40" s="2">
        <v>1665.29</v>
      </c>
      <c r="F40" s="3">
        <v>7</v>
      </c>
      <c r="G40" s="3">
        <v>28.498702869146491</v>
      </c>
      <c r="H40" s="3">
        <v>-7.2987028691464921</v>
      </c>
    </row>
    <row r="41" spans="1:8" x14ac:dyDescent="0.35">
      <c r="A41" s="2">
        <v>0.68</v>
      </c>
      <c r="B41" s="2">
        <v>22.7</v>
      </c>
      <c r="C41" s="2">
        <v>2730.81</v>
      </c>
      <c r="F41" s="3">
        <v>8</v>
      </c>
      <c r="G41" s="3">
        <v>28.463874118115211</v>
      </c>
      <c r="H41" s="3">
        <v>-6.3874118115212042E-2</v>
      </c>
    </row>
    <row r="42" spans="1:8" x14ac:dyDescent="0.35">
      <c r="A42" s="2">
        <v>0.70899999999999996</v>
      </c>
      <c r="B42" s="2">
        <v>20.2</v>
      </c>
      <c r="C42" s="2">
        <v>3576.25</v>
      </c>
      <c r="F42" s="3">
        <v>9</v>
      </c>
      <c r="G42" s="3">
        <v>28.525692885665531</v>
      </c>
      <c r="H42" s="3">
        <v>-4.5256928856655314</v>
      </c>
    </row>
    <row r="43" spans="1:8" x14ac:dyDescent="0.35">
      <c r="A43" s="2">
        <v>0.749</v>
      </c>
      <c r="B43" s="2">
        <v>20.3</v>
      </c>
      <c r="C43" s="2">
        <v>1499.31</v>
      </c>
      <c r="F43" s="3">
        <v>10</v>
      </c>
      <c r="G43" s="3">
        <v>28.587550922406084</v>
      </c>
      <c r="H43" s="3">
        <v>0.11244907759391509</v>
      </c>
    </row>
    <row r="44" spans="1:8" x14ac:dyDescent="0.35">
      <c r="A44" s="2">
        <v>0.55800000000000005</v>
      </c>
      <c r="B44" s="2">
        <v>31.9</v>
      </c>
      <c r="C44" s="2">
        <v>2060.48</v>
      </c>
      <c r="F44" s="3">
        <v>11</v>
      </c>
      <c r="G44" s="3">
        <v>28.633394681298213</v>
      </c>
      <c r="H44" s="3">
        <v>8.7666053187017852</v>
      </c>
    </row>
    <row r="45" spans="1:8" x14ac:dyDescent="0.35">
      <c r="A45" s="2">
        <v>0.68700000000000006</v>
      </c>
      <c r="B45" s="2">
        <v>22.9</v>
      </c>
      <c r="C45" s="2">
        <v>4998.25</v>
      </c>
      <c r="F45" s="3">
        <v>12</v>
      </c>
      <c r="G45" s="3">
        <v>28.483880260186343</v>
      </c>
      <c r="H45" s="3">
        <v>2.2161197398136565</v>
      </c>
    </row>
    <row r="46" spans="1:8" x14ac:dyDescent="0.35">
      <c r="A46" s="2">
        <v>0.73399999999999999</v>
      </c>
      <c r="B46" s="2">
        <v>25.3</v>
      </c>
      <c r="C46" s="2">
        <v>1450.86</v>
      </c>
      <c r="F46" s="3">
        <v>13</v>
      </c>
      <c r="G46" s="3">
        <v>28.714506704081561</v>
      </c>
      <c r="H46" s="3">
        <v>7.9854932959184417</v>
      </c>
    </row>
    <row r="47" spans="1:8" x14ac:dyDescent="0.35">
      <c r="A47" s="2">
        <v>0.69899999999999995</v>
      </c>
      <c r="B47" s="2">
        <v>17.3</v>
      </c>
      <c r="C47" s="2">
        <v>1547.67</v>
      </c>
      <c r="F47" s="3">
        <v>14</v>
      </c>
      <c r="G47" s="3">
        <v>28.527017465659217</v>
      </c>
      <c r="H47" s="3">
        <v>-0.32701746565921752</v>
      </c>
    </row>
    <row r="48" spans="1:8" x14ac:dyDescent="0.35">
      <c r="A48" s="2">
        <v>0.81499999999999995</v>
      </c>
      <c r="B48" s="2">
        <v>41</v>
      </c>
      <c r="C48" s="2">
        <v>1880.67</v>
      </c>
      <c r="F48" s="3">
        <v>15</v>
      </c>
      <c r="G48" s="3">
        <v>28.762726248982894</v>
      </c>
      <c r="H48" s="3">
        <v>-2.3627262489828951</v>
      </c>
    </row>
    <row r="49" spans="1:8" x14ac:dyDescent="0.35">
      <c r="A49" s="2">
        <v>0.80100000000000005</v>
      </c>
      <c r="B49" s="2">
        <v>25.8</v>
      </c>
      <c r="C49" s="2">
        <v>1405.69</v>
      </c>
      <c r="F49" s="3">
        <v>16</v>
      </c>
      <c r="G49" s="3">
        <v>28.333439992397015</v>
      </c>
      <c r="H49" s="3">
        <v>8.7665600076029868</v>
      </c>
    </row>
    <row r="50" spans="1:8" x14ac:dyDescent="0.35">
      <c r="A50" s="2">
        <v>0.81499999999999995</v>
      </c>
      <c r="B50" s="2">
        <v>36.6</v>
      </c>
      <c r="C50" s="2">
        <v>2013.06</v>
      </c>
      <c r="F50" s="3">
        <v>17</v>
      </c>
      <c r="G50" s="3">
        <v>28.632435606844403</v>
      </c>
      <c r="H50" s="3">
        <v>2.4675643931555982</v>
      </c>
    </row>
    <row r="51" spans="1:8" x14ac:dyDescent="0.35">
      <c r="A51" s="2">
        <v>0.745</v>
      </c>
      <c r="B51" s="2">
        <v>27.8</v>
      </c>
      <c r="C51" s="2">
        <v>2558.81</v>
      </c>
      <c r="F51" s="3">
        <v>18</v>
      </c>
      <c r="G51" s="3">
        <v>28.711754840058187</v>
      </c>
      <c r="H51" s="3">
        <v>14.388245159941814</v>
      </c>
    </row>
    <row r="52" spans="1:8" x14ac:dyDescent="0.35">
      <c r="A52" s="2">
        <v>0.83599999999999997</v>
      </c>
      <c r="B52" s="2">
        <v>39.4</v>
      </c>
      <c r="C52" s="2">
        <v>2748.62</v>
      </c>
      <c r="F52" s="3">
        <v>19</v>
      </c>
      <c r="G52" s="3">
        <v>28.324205691277967</v>
      </c>
      <c r="H52" s="3">
        <v>5.775794308722034</v>
      </c>
    </row>
    <row r="53" spans="1:8" x14ac:dyDescent="0.35">
      <c r="A53" s="2">
        <v>0.76200000000000001</v>
      </c>
      <c r="B53" s="2">
        <v>36.4</v>
      </c>
      <c r="C53" s="2">
        <v>2187.21</v>
      </c>
      <c r="F53" s="3">
        <v>20</v>
      </c>
      <c r="G53" s="3">
        <v>28.569337569904512</v>
      </c>
      <c r="H53" s="3">
        <v>-1.8693375699045127</v>
      </c>
    </row>
    <row r="54" spans="1:8" x14ac:dyDescent="0.35">
      <c r="A54" s="2">
        <v>0.86099999999999999</v>
      </c>
      <c r="B54" s="2">
        <v>46.8</v>
      </c>
      <c r="C54" s="2">
        <v>824.25</v>
      </c>
      <c r="F54" s="3">
        <v>21</v>
      </c>
      <c r="G54" s="3">
        <v>28.068081460092632</v>
      </c>
      <c r="H54" s="3">
        <v>2.8319185399073667</v>
      </c>
    </row>
    <row r="55" spans="1:8" x14ac:dyDescent="0.35">
      <c r="A55" s="2">
        <v>1.02</v>
      </c>
      <c r="B55" s="2">
        <v>40.5</v>
      </c>
      <c r="C55" s="2">
        <v>2701.94</v>
      </c>
      <c r="F55" s="3">
        <v>22</v>
      </c>
      <c r="G55" s="3">
        <v>28.464238113301615</v>
      </c>
      <c r="H55" s="3">
        <v>1.5357618866983849</v>
      </c>
    </row>
    <row r="56" spans="1:8" x14ac:dyDescent="0.35">
      <c r="A56" s="2">
        <v>0.77600000000000002</v>
      </c>
      <c r="B56" s="2">
        <v>43</v>
      </c>
      <c r="C56" s="2">
        <v>1595.62</v>
      </c>
      <c r="F56" s="3">
        <v>23</v>
      </c>
      <c r="G56" s="3">
        <v>28.532155688166089</v>
      </c>
      <c r="H56" s="3">
        <v>-6.4321556881660875</v>
      </c>
    </row>
    <row r="57" spans="1:8" x14ac:dyDescent="0.35">
      <c r="A57" s="2">
        <v>1.008</v>
      </c>
      <c r="B57" s="2">
        <v>39.5</v>
      </c>
      <c r="C57" s="2">
        <v>7191.08</v>
      </c>
      <c r="F57" s="3">
        <v>24</v>
      </c>
      <c r="G57" s="3">
        <v>28.628144692634521</v>
      </c>
      <c r="H57" s="3">
        <v>-4.2281446926345225</v>
      </c>
    </row>
    <row r="58" spans="1:8" x14ac:dyDescent="0.35">
      <c r="A58" s="2">
        <v>1.01</v>
      </c>
      <c r="B58" s="2">
        <v>39.4</v>
      </c>
      <c r="C58" s="2">
        <v>1704.27</v>
      </c>
      <c r="F58" s="3">
        <v>25</v>
      </c>
      <c r="G58" s="3">
        <v>28.748299352632035</v>
      </c>
      <c r="H58" s="3">
        <v>-6.248299352632035</v>
      </c>
    </row>
    <row r="59" spans="1:8" x14ac:dyDescent="0.35">
      <c r="A59" s="2">
        <v>0.88500000000000001</v>
      </c>
      <c r="B59" s="2">
        <v>24.8</v>
      </c>
      <c r="C59" s="2">
        <v>1827.86</v>
      </c>
      <c r="F59" s="3">
        <v>26</v>
      </c>
      <c r="G59" s="3">
        <v>28.677368622593782</v>
      </c>
      <c r="H59" s="3">
        <v>-3.7773686225937837</v>
      </c>
    </row>
    <row r="60" spans="1:8" x14ac:dyDescent="0.35">
      <c r="A60" s="2">
        <v>0.77100000000000002</v>
      </c>
      <c r="B60" s="2">
        <v>35</v>
      </c>
      <c r="C60" s="2">
        <v>3246.64</v>
      </c>
      <c r="F60" s="3">
        <v>27</v>
      </c>
      <c r="G60" s="3">
        <v>28.564051332757529</v>
      </c>
      <c r="H60" s="3">
        <v>-10.36405133275753</v>
      </c>
    </row>
    <row r="61" spans="1:8" x14ac:dyDescent="0.35">
      <c r="A61" s="2">
        <v>1.081</v>
      </c>
      <c r="B61" s="2">
        <v>25.3</v>
      </c>
      <c r="C61" s="2">
        <v>3035.29</v>
      </c>
      <c r="F61" s="3">
        <v>28</v>
      </c>
      <c r="G61" s="3">
        <v>28.658354782752809</v>
      </c>
      <c r="H61" s="3">
        <v>-1.3583547827528086</v>
      </c>
    </row>
    <row r="62" spans="1:8" x14ac:dyDescent="0.35">
      <c r="A62" s="2">
        <v>1.0269999999999999</v>
      </c>
      <c r="B62" s="2">
        <v>42.5</v>
      </c>
      <c r="C62" s="2">
        <v>2198.29</v>
      </c>
      <c r="F62" s="3">
        <v>29</v>
      </c>
      <c r="G62" s="3">
        <v>28.692065872215874</v>
      </c>
      <c r="H62" s="3">
        <v>-2.7920658722158755</v>
      </c>
    </row>
    <row r="63" spans="1:8" x14ac:dyDescent="0.35">
      <c r="A63" s="2">
        <v>0.80200000000000005</v>
      </c>
      <c r="B63" s="2">
        <v>27.8</v>
      </c>
      <c r="C63" s="2">
        <v>2209.1999999999998</v>
      </c>
      <c r="F63" s="3">
        <v>30</v>
      </c>
      <c r="G63" s="3">
        <v>28.713435863470931</v>
      </c>
      <c r="H63" s="3">
        <v>-0.41343586347093009</v>
      </c>
    </row>
    <row r="64" spans="1:8" x14ac:dyDescent="0.35">
      <c r="A64" s="2">
        <v>0.78300000000000003</v>
      </c>
      <c r="B64" s="2">
        <v>35.799999999999997</v>
      </c>
      <c r="C64" s="2">
        <v>3188.11</v>
      </c>
      <c r="F64" s="3">
        <v>31</v>
      </c>
      <c r="G64" s="3">
        <v>28.678883507124763</v>
      </c>
      <c r="H64" s="3">
        <v>-9.9788835071247632</v>
      </c>
    </row>
    <row r="65" spans="1:8" x14ac:dyDescent="0.35">
      <c r="A65" s="2">
        <v>0.98</v>
      </c>
      <c r="B65" s="2">
        <v>39.200000000000003</v>
      </c>
      <c r="C65" s="2">
        <v>1280.8900000000001</v>
      </c>
      <c r="F65" s="3">
        <v>32</v>
      </c>
      <c r="G65" s="3">
        <v>28.526855857837866</v>
      </c>
      <c r="H65" s="3">
        <v>-6.1268558578378673</v>
      </c>
    </row>
    <row r="66" spans="1:8" x14ac:dyDescent="0.35">
      <c r="A66" s="2">
        <v>0.84799999999999998</v>
      </c>
      <c r="B66" s="2">
        <v>38.299999999999997</v>
      </c>
      <c r="C66" s="2">
        <v>2771.29</v>
      </c>
      <c r="F66" s="3">
        <v>33</v>
      </c>
      <c r="G66" s="3">
        <v>28.423052284512718</v>
      </c>
      <c r="H66" s="3">
        <v>-4.8230522845127162</v>
      </c>
    </row>
    <row r="67" spans="1:8" x14ac:dyDescent="0.35">
      <c r="A67" s="2">
        <v>0.84899999999999998</v>
      </c>
      <c r="B67" s="2">
        <v>34.1</v>
      </c>
      <c r="C67" s="2">
        <v>3795.98</v>
      </c>
      <c r="F67" s="3">
        <v>34</v>
      </c>
      <c r="G67" s="3">
        <v>28.441507293569579</v>
      </c>
      <c r="H67" s="3">
        <v>-1.6415072935695783</v>
      </c>
    </row>
    <row r="68" spans="1:8" x14ac:dyDescent="0.35">
      <c r="A68" s="2">
        <v>0.97299999999999998</v>
      </c>
      <c r="B68" s="2">
        <v>39.9</v>
      </c>
      <c r="C68" s="2">
        <v>1974.92</v>
      </c>
      <c r="F68" s="3">
        <v>35</v>
      </c>
      <c r="G68" s="3">
        <v>28.173797140911521</v>
      </c>
      <c r="H68" s="3">
        <v>-10.37379714091152</v>
      </c>
    </row>
    <row r="69" spans="1:8" x14ac:dyDescent="0.35">
      <c r="A69" s="2">
        <v>0.86599999999999999</v>
      </c>
      <c r="B69" s="2">
        <v>32.5</v>
      </c>
      <c r="C69" s="2">
        <v>2161.87</v>
      </c>
      <c r="F69" s="3">
        <v>36</v>
      </c>
      <c r="G69" s="3">
        <v>28.582675501403095</v>
      </c>
      <c r="H69" s="3">
        <v>-1.1826755014030965</v>
      </c>
    </row>
    <row r="70" spans="1:8" x14ac:dyDescent="0.35">
      <c r="A70" s="2">
        <v>0.77600000000000002</v>
      </c>
      <c r="B70" s="2">
        <v>29.9</v>
      </c>
      <c r="C70" s="2">
        <v>3648.71</v>
      </c>
      <c r="F70" s="3">
        <v>37</v>
      </c>
      <c r="G70" s="3">
        <v>28.645338556543461</v>
      </c>
      <c r="H70" s="3">
        <v>-11.84533855654346</v>
      </c>
    </row>
    <row r="71" spans="1:8" x14ac:dyDescent="0.35">
      <c r="A71" s="2">
        <v>0.84299999999999997</v>
      </c>
      <c r="B71" s="2">
        <v>32</v>
      </c>
      <c r="C71" s="2">
        <v>2524.2199999999998</v>
      </c>
      <c r="F71" s="3">
        <v>38</v>
      </c>
      <c r="G71" s="3">
        <v>28.688922826643623</v>
      </c>
      <c r="H71" s="3">
        <v>-2.5889228266436213</v>
      </c>
    </row>
    <row r="72" spans="1:8" x14ac:dyDescent="0.35">
      <c r="A72" s="2">
        <v>0.84099999999999997</v>
      </c>
      <c r="B72" s="2">
        <v>23</v>
      </c>
      <c r="C72" s="2">
        <v>3287.8</v>
      </c>
      <c r="F72" s="3">
        <v>39</v>
      </c>
      <c r="G72" s="3">
        <v>28.700650721342576</v>
      </c>
      <c r="H72" s="3">
        <v>-7.9006507213425756</v>
      </c>
    </row>
    <row r="73" spans="1:8" x14ac:dyDescent="0.35">
      <c r="A73" s="2">
        <v>0.68700000000000006</v>
      </c>
      <c r="B73" s="2">
        <v>28.5</v>
      </c>
      <c r="C73" s="2">
        <v>4215.59</v>
      </c>
      <c r="F73" s="3">
        <v>40</v>
      </c>
      <c r="G73" s="3">
        <v>28.539719538346688</v>
      </c>
      <c r="H73" s="3">
        <v>-5.8397195383466887</v>
      </c>
    </row>
    <row r="74" spans="1:8" x14ac:dyDescent="0.35">
      <c r="A74" s="2">
        <v>0.67600000000000005</v>
      </c>
      <c r="B74" s="2">
        <v>26.4</v>
      </c>
      <c r="C74" s="2">
        <v>1421.96</v>
      </c>
      <c r="F74" s="3">
        <v>41</v>
      </c>
      <c r="G74" s="3">
        <v>28.412028214531045</v>
      </c>
      <c r="H74" s="3">
        <v>-8.2120282145310455</v>
      </c>
    </row>
    <row r="75" spans="1:8" x14ac:dyDescent="0.35">
      <c r="A75" s="2">
        <v>0.752</v>
      </c>
      <c r="B75" s="2">
        <v>33.9</v>
      </c>
      <c r="C75" s="2">
        <v>1821.66</v>
      </c>
      <c r="F75" s="3">
        <v>42</v>
      </c>
      <c r="G75" s="3">
        <v>28.725719568247055</v>
      </c>
      <c r="H75" s="3">
        <v>-8.4257195682470538</v>
      </c>
    </row>
    <row r="76" spans="1:8" x14ac:dyDescent="0.35">
      <c r="A76" s="2">
        <v>0.747</v>
      </c>
      <c r="B76" s="2">
        <v>29.4</v>
      </c>
      <c r="C76" s="2">
        <v>2462.5100000000002</v>
      </c>
      <c r="F76" s="3">
        <v>43</v>
      </c>
      <c r="G76" s="3">
        <v>28.640963062539228</v>
      </c>
      <c r="H76" s="3">
        <v>3.2590369374607704</v>
      </c>
    </row>
    <row r="77" spans="1:8" x14ac:dyDescent="0.35">
      <c r="A77" s="2">
        <v>0.73799999999999999</v>
      </c>
      <c r="B77" s="2">
        <v>29.4</v>
      </c>
      <c r="C77" s="2">
        <v>2775.67</v>
      </c>
      <c r="F77" s="3">
        <v>44</v>
      </c>
      <c r="G77" s="3">
        <v>28.197255951016373</v>
      </c>
      <c r="H77" s="3">
        <v>-5.2972559510163748</v>
      </c>
    </row>
    <row r="78" spans="1:8" x14ac:dyDescent="0.35">
      <c r="A78" s="2">
        <v>0.79400000000000004</v>
      </c>
      <c r="B78" s="2">
        <v>21</v>
      </c>
      <c r="C78" s="2">
        <v>3006.89</v>
      </c>
      <c r="F78" s="3">
        <v>45</v>
      </c>
      <c r="G78" s="3">
        <v>28.733037230811952</v>
      </c>
      <c r="H78" s="3">
        <v>-3.4330372308119514</v>
      </c>
    </row>
    <row r="79" spans="1:8" x14ac:dyDescent="0.35">
      <c r="A79" s="2">
        <v>0.72</v>
      </c>
      <c r="B79" s="2">
        <v>22.4</v>
      </c>
      <c r="C79" s="2">
        <v>2008.19</v>
      </c>
      <c r="F79" s="3">
        <v>46</v>
      </c>
      <c r="G79" s="3">
        <v>28.71841549886339</v>
      </c>
      <c r="H79" s="3">
        <v>-11.418415498863389</v>
      </c>
    </row>
    <row r="80" spans="1:8" x14ac:dyDescent="0.35">
      <c r="A80" s="2">
        <v>0.83699999999999997</v>
      </c>
      <c r="B80" s="2">
        <v>25.3</v>
      </c>
      <c r="C80" s="2">
        <v>2503.69</v>
      </c>
      <c r="F80" s="3">
        <v>47</v>
      </c>
      <c r="G80" s="3">
        <v>28.668120728293498</v>
      </c>
      <c r="H80" s="3">
        <v>12.331879271706502</v>
      </c>
    </row>
    <row r="81" spans="1:8" x14ac:dyDescent="0.35">
      <c r="A81" s="2">
        <v>0.73199999999999998</v>
      </c>
      <c r="B81" s="2">
        <v>20.2</v>
      </c>
      <c r="C81" s="2">
        <v>2246.3200000000002</v>
      </c>
      <c r="F81" s="3">
        <v>48</v>
      </c>
      <c r="G81" s="3">
        <v>28.739859497438506</v>
      </c>
      <c r="H81" s="3">
        <v>-2.9398594974385048</v>
      </c>
    </row>
    <row r="82" spans="1:8" x14ac:dyDescent="0.35">
      <c r="A82" s="2">
        <v>0.73799999999999999</v>
      </c>
      <c r="B82" s="2">
        <v>22.5</v>
      </c>
      <c r="C82" s="2">
        <v>1531.93</v>
      </c>
      <c r="F82" s="3">
        <v>49</v>
      </c>
      <c r="G82" s="3">
        <v>28.648125158696658</v>
      </c>
      <c r="H82" s="3">
        <v>7.9518748413033435</v>
      </c>
    </row>
    <row r="83" spans="1:8" x14ac:dyDescent="0.35">
      <c r="A83" s="2">
        <v>0.85599999999999998</v>
      </c>
      <c r="B83" s="2">
        <v>23.4</v>
      </c>
      <c r="C83" s="2">
        <v>2002.41</v>
      </c>
      <c r="F83" s="3">
        <v>50</v>
      </c>
      <c r="G83" s="3">
        <v>28.565697618040446</v>
      </c>
      <c r="H83" s="3">
        <v>-0.76569761804044489</v>
      </c>
    </row>
    <row r="84" spans="1:8" x14ac:dyDescent="0.35">
      <c r="A84" s="2">
        <v>0.79300000000000004</v>
      </c>
      <c r="B84" s="2">
        <v>29.5</v>
      </c>
      <c r="C84" s="2">
        <v>4080.04</v>
      </c>
      <c r="F84" s="3">
        <v>51</v>
      </c>
      <c r="G84" s="3">
        <v>28.537029598815607</v>
      </c>
      <c r="H84" s="3">
        <v>10.862970401184391</v>
      </c>
    </row>
    <row r="85" spans="1:8" x14ac:dyDescent="0.35">
      <c r="A85" s="2">
        <v>0.71</v>
      </c>
      <c r="B85" s="2">
        <v>21.9</v>
      </c>
      <c r="C85" s="2">
        <v>2413</v>
      </c>
      <c r="F85" s="3">
        <v>52</v>
      </c>
      <c r="G85" s="3">
        <v>28.621822353006728</v>
      </c>
      <c r="H85" s="3">
        <v>7.7781776469932709</v>
      </c>
    </row>
    <row r="86" spans="1:8" x14ac:dyDescent="0.35">
      <c r="A86" s="2">
        <v>0.77</v>
      </c>
      <c r="B86" s="2">
        <v>19.2</v>
      </c>
      <c r="C86" s="2">
        <v>1721.39</v>
      </c>
      <c r="F86" s="3">
        <v>53</v>
      </c>
      <c r="G86" s="3">
        <v>28.827677489631171</v>
      </c>
      <c r="H86" s="3">
        <v>17.972322510368826</v>
      </c>
    </row>
    <row r="87" spans="1:8" x14ac:dyDescent="0.35">
      <c r="A87" s="2">
        <v>0.74</v>
      </c>
      <c r="B87" s="2">
        <v>28.6</v>
      </c>
      <c r="C87" s="2">
        <v>2226.92</v>
      </c>
      <c r="F87" s="3">
        <v>54</v>
      </c>
      <c r="G87" s="3">
        <v>28.544079928816217</v>
      </c>
      <c r="H87" s="3">
        <v>11.955920071183783</v>
      </c>
    </row>
    <row r="88" spans="1:8" x14ac:dyDescent="0.35">
      <c r="A88" s="2">
        <v>0.73699999999999999</v>
      </c>
      <c r="B88" s="2">
        <v>23.4</v>
      </c>
      <c r="C88" s="2">
        <v>2449.9699999999998</v>
      </c>
      <c r="F88" s="3">
        <v>55</v>
      </c>
      <c r="G88" s="3">
        <v>28.711173353972018</v>
      </c>
      <c r="H88" s="3">
        <v>14.288826646027982</v>
      </c>
    </row>
    <row r="89" spans="1:8" x14ac:dyDescent="0.35">
      <c r="A89" s="2">
        <v>0.63300000000000001</v>
      </c>
      <c r="B89" s="2">
        <v>23.2</v>
      </c>
      <c r="C89" s="2">
        <v>1283.6600000000001</v>
      </c>
      <c r="F89" s="3">
        <v>56</v>
      </c>
      <c r="G89" s="3">
        <v>27.866061110929959</v>
      </c>
      <c r="H89" s="3">
        <v>11.633938889070041</v>
      </c>
    </row>
    <row r="90" spans="1:8" x14ac:dyDescent="0.35">
      <c r="A90" s="2">
        <v>0.621</v>
      </c>
      <c r="B90" s="2">
        <v>18.100000000000001</v>
      </c>
      <c r="C90" s="2">
        <v>2829.43</v>
      </c>
      <c r="F90" s="3">
        <v>57</v>
      </c>
      <c r="G90" s="3">
        <v>28.694763363514305</v>
      </c>
      <c r="H90" s="3">
        <v>10.705236636485694</v>
      </c>
    </row>
    <row r="91" spans="1:8" x14ac:dyDescent="0.35">
      <c r="A91" s="2">
        <v>0.74399999999999999</v>
      </c>
      <c r="B91" s="2">
        <v>31.4</v>
      </c>
      <c r="C91" s="2">
        <v>2922.46</v>
      </c>
      <c r="F91" s="3">
        <v>58</v>
      </c>
      <c r="G91" s="3">
        <v>28.676096904971565</v>
      </c>
      <c r="H91" s="3">
        <v>-3.8760969049715648</v>
      </c>
    </row>
    <row r="92" spans="1:8" x14ac:dyDescent="0.35">
      <c r="A92" s="2">
        <v>0.622</v>
      </c>
      <c r="B92" s="2">
        <v>22.9</v>
      </c>
      <c r="C92" s="2">
        <v>2560.61</v>
      </c>
      <c r="F92" s="3">
        <v>59</v>
      </c>
      <c r="G92" s="3">
        <v>28.461810975274414</v>
      </c>
      <c r="H92" s="3">
        <v>6.5381890247255861</v>
      </c>
    </row>
    <row r="93" spans="1:8" x14ac:dyDescent="0.35">
      <c r="A93" s="2">
        <v>0.73499999999999999</v>
      </c>
      <c r="B93" s="2">
        <v>25.6</v>
      </c>
      <c r="C93" s="2">
        <v>2366.34</v>
      </c>
      <c r="F93" s="3">
        <v>60</v>
      </c>
      <c r="G93" s="3">
        <v>28.493732295874853</v>
      </c>
      <c r="H93" s="3">
        <v>-3.1937322958748524</v>
      </c>
    </row>
    <row r="94" spans="1:8" x14ac:dyDescent="0.35">
      <c r="F94" s="3">
        <v>61</v>
      </c>
      <c r="G94" s="3">
        <v>28.620148881361338</v>
      </c>
      <c r="H94" s="3">
        <v>13.879851118638662</v>
      </c>
    </row>
    <row r="95" spans="1:8" x14ac:dyDescent="0.35">
      <c r="F95" s="3">
        <v>62</v>
      </c>
      <c r="G95" s="3">
        <v>28.618501085724951</v>
      </c>
      <c r="H95" s="3">
        <v>-0.81850108572495017</v>
      </c>
    </row>
    <row r="96" spans="1:8" x14ac:dyDescent="0.35">
      <c r="F96" s="3">
        <v>63</v>
      </c>
      <c r="G96" s="3">
        <v>28.470651074137646</v>
      </c>
      <c r="H96" s="3">
        <v>7.3293489258623516</v>
      </c>
    </row>
    <row r="97" spans="6:8" x14ac:dyDescent="0.35">
      <c r="F97" s="3">
        <v>64</v>
      </c>
      <c r="G97" s="3">
        <v>28.758708708751186</v>
      </c>
      <c r="H97" s="3">
        <v>10.441291291248817</v>
      </c>
    </row>
    <row r="98" spans="6:8" x14ac:dyDescent="0.35">
      <c r="F98" s="3">
        <v>65</v>
      </c>
      <c r="G98" s="3">
        <v>28.533605627497831</v>
      </c>
      <c r="H98" s="3">
        <v>9.766394372502166</v>
      </c>
    </row>
    <row r="99" spans="6:8" x14ac:dyDescent="0.35">
      <c r="F99" s="3">
        <v>66</v>
      </c>
      <c r="G99" s="3">
        <v>28.378841217722268</v>
      </c>
      <c r="H99" s="3">
        <v>5.7211587822777332</v>
      </c>
    </row>
    <row r="100" spans="6:8" x14ac:dyDescent="0.35">
      <c r="F100" s="3">
        <v>67</v>
      </c>
      <c r="G100" s="3">
        <v>28.653885646833402</v>
      </c>
      <c r="H100" s="3">
        <v>11.246114353166597</v>
      </c>
    </row>
    <row r="101" spans="6:8" x14ac:dyDescent="0.35">
      <c r="F101" s="3">
        <v>68</v>
      </c>
      <c r="G101" s="3">
        <v>28.625649588701144</v>
      </c>
      <c r="H101" s="3">
        <v>3.874350411298856</v>
      </c>
    </row>
    <row r="102" spans="6:8" x14ac:dyDescent="0.35">
      <c r="F102" s="3">
        <v>69</v>
      </c>
      <c r="G102" s="3">
        <v>28.401084193283314</v>
      </c>
      <c r="H102" s="3">
        <v>1.4989158067166848</v>
      </c>
    </row>
    <row r="103" spans="6:8" x14ac:dyDescent="0.35">
      <c r="F103" s="3">
        <v>70</v>
      </c>
      <c r="G103" s="3">
        <v>28.570921930695139</v>
      </c>
      <c r="H103" s="3">
        <v>3.429078069304861</v>
      </c>
    </row>
    <row r="104" spans="6:8" x14ac:dyDescent="0.35">
      <c r="F104" s="3">
        <v>71</v>
      </c>
      <c r="G104" s="3">
        <v>28.455594360389558</v>
      </c>
      <c r="H104" s="3">
        <v>-5.4555943603895578</v>
      </c>
    </row>
    <row r="105" spans="6:8" x14ac:dyDescent="0.35">
      <c r="F105" s="3">
        <v>72</v>
      </c>
      <c r="G105" s="3">
        <v>28.315465275743794</v>
      </c>
      <c r="H105" s="3">
        <v>0.18453472425620632</v>
      </c>
    </row>
    <row r="106" spans="6:8" x14ac:dyDescent="0.35">
      <c r="F106" s="3">
        <v>73</v>
      </c>
      <c r="G106" s="3">
        <v>28.737402152341893</v>
      </c>
      <c r="H106" s="3">
        <v>-2.3374021523418946</v>
      </c>
    </row>
    <row r="107" spans="6:8" x14ac:dyDescent="0.35">
      <c r="F107" s="3">
        <v>74</v>
      </c>
      <c r="G107" s="3">
        <v>28.677033324123315</v>
      </c>
      <c r="H107" s="3">
        <v>5.222966675876684</v>
      </c>
    </row>
    <row r="108" spans="6:8" x14ac:dyDescent="0.35">
      <c r="F108" s="3">
        <v>75</v>
      </c>
      <c r="G108" s="3">
        <v>28.580242321962011</v>
      </c>
      <c r="H108" s="3">
        <v>0.8197576780379876</v>
      </c>
    </row>
    <row r="109" spans="6:8" x14ac:dyDescent="0.35">
      <c r="F109" s="3">
        <v>76</v>
      </c>
      <c r="G109" s="3">
        <v>28.532944092677724</v>
      </c>
      <c r="H109" s="3">
        <v>0.86705590732227478</v>
      </c>
    </row>
    <row r="110" spans="6:8" x14ac:dyDescent="0.35">
      <c r="F110" s="3">
        <v>77</v>
      </c>
      <c r="G110" s="3">
        <v>28.498021699731265</v>
      </c>
      <c r="H110" s="3">
        <v>-7.4980216997312645</v>
      </c>
    </row>
    <row r="111" spans="6:8" x14ac:dyDescent="0.35">
      <c r="F111" s="3">
        <v>78</v>
      </c>
      <c r="G111" s="3">
        <v>28.648860700836824</v>
      </c>
      <c r="H111" s="3">
        <v>-6.2488607008368255</v>
      </c>
    </row>
    <row r="112" spans="6:8" x14ac:dyDescent="0.35">
      <c r="F112" s="3">
        <v>79</v>
      </c>
      <c r="G112" s="3">
        <v>28.574022686370213</v>
      </c>
      <c r="H112" s="3">
        <v>-3.2740226863702127</v>
      </c>
    </row>
    <row r="113" spans="6:8" x14ac:dyDescent="0.35">
      <c r="F113" s="3">
        <v>80</v>
      </c>
      <c r="G113" s="3">
        <v>28.612894653642204</v>
      </c>
      <c r="H113" s="3">
        <v>-8.4128946536422049</v>
      </c>
    </row>
    <row r="114" spans="6:8" x14ac:dyDescent="0.35">
      <c r="F114" s="3">
        <v>81</v>
      </c>
      <c r="G114" s="3">
        <v>28.720792795226064</v>
      </c>
      <c r="H114" s="3">
        <v>-6.220792795226064</v>
      </c>
    </row>
    <row r="115" spans="6:8" x14ac:dyDescent="0.35">
      <c r="F115" s="3">
        <v>82</v>
      </c>
      <c r="G115" s="3">
        <v>28.649733685142813</v>
      </c>
      <c r="H115" s="3">
        <v>-5.2497336851428145</v>
      </c>
    </row>
    <row r="116" spans="6:8" x14ac:dyDescent="0.35">
      <c r="F116" s="3">
        <v>83</v>
      </c>
      <c r="G116" s="3">
        <v>28.335938117037333</v>
      </c>
      <c r="H116" s="3">
        <v>1.1640618829626668</v>
      </c>
    </row>
    <row r="117" spans="6:8" x14ac:dyDescent="0.35">
      <c r="F117" s="3">
        <v>84</v>
      </c>
      <c r="G117" s="3">
        <v>28.587720081994789</v>
      </c>
      <c r="H117" s="3">
        <v>-6.6877200819947902</v>
      </c>
    </row>
    <row r="118" spans="6:8" x14ac:dyDescent="0.35">
      <c r="F118" s="3">
        <v>85</v>
      </c>
      <c r="G118" s="3">
        <v>28.692177638372694</v>
      </c>
      <c r="H118" s="3">
        <v>-9.492177638372695</v>
      </c>
    </row>
    <row r="119" spans="6:8" x14ac:dyDescent="0.35">
      <c r="F119" s="3">
        <v>86</v>
      </c>
      <c r="G119" s="3">
        <v>28.615824739375103</v>
      </c>
      <c r="H119" s="3">
        <v>-1.5824739375101871E-2</v>
      </c>
    </row>
    <row r="120" spans="6:8" x14ac:dyDescent="0.35">
      <c r="F120" s="3">
        <v>87</v>
      </c>
      <c r="G120" s="3">
        <v>28.5821363052141</v>
      </c>
      <c r="H120" s="3">
        <v>-5.182136305214101</v>
      </c>
    </row>
    <row r="121" spans="6:8" x14ac:dyDescent="0.35">
      <c r="F121" s="3">
        <v>88</v>
      </c>
      <c r="G121" s="3">
        <v>28.758290340839839</v>
      </c>
      <c r="H121" s="3">
        <v>-5.5582903408398394</v>
      </c>
    </row>
    <row r="122" spans="6:8" x14ac:dyDescent="0.35">
      <c r="F122" s="3">
        <v>89</v>
      </c>
      <c r="G122" s="3">
        <v>28.524824432419955</v>
      </c>
      <c r="H122" s="3">
        <v>-10.424824432419953</v>
      </c>
    </row>
    <row r="123" spans="6:8" x14ac:dyDescent="0.35">
      <c r="F123" s="3">
        <v>90</v>
      </c>
      <c r="G123" s="3">
        <v>28.510773614083266</v>
      </c>
      <c r="H123" s="3">
        <v>2.8892263859167322</v>
      </c>
    </row>
    <row r="124" spans="6:8" x14ac:dyDescent="0.35">
      <c r="F124" s="3">
        <v>91</v>
      </c>
      <c r="G124" s="3">
        <v>28.565425754415745</v>
      </c>
      <c r="H124" s="3">
        <v>-5.6654257544157467</v>
      </c>
    </row>
    <row r="125" spans="6:8" ht="15" thickBot="1" x14ac:dyDescent="0.4">
      <c r="F125" s="4">
        <v>92</v>
      </c>
      <c r="G125" s="4">
        <v>28.594767391288457</v>
      </c>
      <c r="H125" s="4">
        <v>-2.9947673912884554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2"/>
  <sheetViews>
    <sheetView tabSelected="1" workbookViewId="0">
      <selection activeCell="A2" sqref="A2"/>
    </sheetView>
  </sheetViews>
  <sheetFormatPr defaultRowHeight="14.5" x14ac:dyDescent="0.35"/>
  <cols>
    <col min="1" max="1" width="12.1796875" bestFit="1" customWidth="1"/>
    <col min="2" max="2" width="4.90625" bestFit="1" customWidth="1"/>
    <col min="3" max="3" width="10.81640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</row>
    <row r="2" spans="1:6" x14ac:dyDescent="0.35">
      <c r="A2" s="2">
        <v>0.93400000000000005</v>
      </c>
      <c r="B2" s="2">
        <v>25.3</v>
      </c>
      <c r="C2" s="2">
        <v>52.163125999999998</v>
      </c>
    </row>
    <row r="3" spans="1:6" x14ac:dyDescent="0.35">
      <c r="A3" s="2">
        <v>0.88800000000000001</v>
      </c>
      <c r="B3" s="2">
        <v>29.3</v>
      </c>
      <c r="C3" s="2">
        <v>61.801964499999997</v>
      </c>
    </row>
    <row r="4" spans="1:6" x14ac:dyDescent="0.35">
      <c r="A4" s="2">
        <v>0.93300000000000005</v>
      </c>
      <c r="B4" s="2">
        <v>37.700000000000003</v>
      </c>
      <c r="C4" s="2">
        <v>93.440034400000002</v>
      </c>
      <c r="E4" t="s">
        <v>39</v>
      </c>
      <c r="F4">
        <f>1/(1-F11)</f>
        <v>3.1591278308481434</v>
      </c>
    </row>
    <row r="5" spans="1:6" x14ac:dyDescent="0.35">
      <c r="A5" s="2">
        <v>0.75700000000000001</v>
      </c>
      <c r="B5" s="2">
        <v>32.799999999999997</v>
      </c>
      <c r="C5" s="2">
        <v>59.8741968</v>
      </c>
    </row>
    <row r="6" spans="1:6" x14ac:dyDescent="0.35">
      <c r="A6" s="2">
        <v>1.0309999999999999</v>
      </c>
      <c r="B6" s="2">
        <v>24.6</v>
      </c>
      <c r="C6" s="2">
        <v>50.348756399999999</v>
      </c>
    </row>
    <row r="7" spans="1:6" x14ac:dyDescent="0.35">
      <c r="A7" s="2">
        <v>0.88300000000000001</v>
      </c>
      <c r="B7" s="2">
        <v>26.5</v>
      </c>
      <c r="C7" s="2">
        <v>57.606234800000003</v>
      </c>
      <c r="E7" t="s">
        <v>11</v>
      </c>
    </row>
    <row r="8" spans="1:6" ht="15" thickBot="1" x14ac:dyDescent="0.4">
      <c r="A8" s="2">
        <v>0.83699999999999997</v>
      </c>
      <c r="B8" s="2">
        <v>21.2</v>
      </c>
      <c r="C8" s="2">
        <v>51.7095336</v>
      </c>
    </row>
    <row r="9" spans="1:6" x14ac:dyDescent="0.35">
      <c r="A9" s="2">
        <v>0.91200000000000003</v>
      </c>
      <c r="B9" s="2">
        <v>28.4</v>
      </c>
      <c r="C9" s="2">
        <v>54.884680400000001</v>
      </c>
      <c r="E9" s="6" t="s">
        <v>12</v>
      </c>
      <c r="F9" s="6"/>
    </row>
    <row r="10" spans="1:6" x14ac:dyDescent="0.35">
      <c r="A10" s="2">
        <v>0.85299999999999998</v>
      </c>
      <c r="B10" s="2">
        <v>24</v>
      </c>
      <c r="C10" s="2">
        <v>53.977495599999997</v>
      </c>
      <c r="E10" s="3" t="s">
        <v>13</v>
      </c>
      <c r="F10" s="3">
        <v>0.8267145438392387</v>
      </c>
    </row>
    <row r="11" spans="1:6" x14ac:dyDescent="0.35">
      <c r="A11" s="2">
        <v>0.82499999999999996</v>
      </c>
      <c r="B11" s="2">
        <v>28.7</v>
      </c>
      <c r="C11" s="2">
        <v>53.523903199999999</v>
      </c>
      <c r="E11" s="3" t="s">
        <v>14</v>
      </c>
      <c r="F11" s="3">
        <v>0.68345693699532062</v>
      </c>
    </row>
    <row r="12" spans="1:6" x14ac:dyDescent="0.35">
      <c r="A12" s="2">
        <v>0.77200000000000002</v>
      </c>
      <c r="B12" s="2">
        <v>37.4</v>
      </c>
      <c r="C12" s="2">
        <v>56.925846200000002</v>
      </c>
      <c r="E12" s="3" t="s">
        <v>15</v>
      </c>
      <c r="F12" s="3">
        <v>0.6799397918508242</v>
      </c>
    </row>
    <row r="13" spans="1:6" x14ac:dyDescent="0.35">
      <c r="A13" s="2">
        <v>1.0149999999999999</v>
      </c>
      <c r="B13" s="2">
        <v>30.7</v>
      </c>
      <c r="C13" s="2">
        <v>63.616334100000003</v>
      </c>
      <c r="E13" s="3" t="s">
        <v>16</v>
      </c>
      <c r="F13" s="3">
        <v>3.9540770796480369</v>
      </c>
    </row>
    <row r="14" spans="1:6" ht="15" thickBot="1" x14ac:dyDescent="0.4">
      <c r="A14" s="2">
        <v>0.96299999999999997</v>
      </c>
      <c r="B14" s="2">
        <v>36.700000000000003</v>
      </c>
      <c r="C14" s="2">
        <v>75.069542200000001</v>
      </c>
      <c r="E14" s="4" t="s">
        <v>17</v>
      </c>
      <c r="F14" s="4">
        <v>92</v>
      </c>
    </row>
    <row r="15" spans="1:6" x14ac:dyDescent="0.35">
      <c r="A15" s="2">
        <v>0.72899999999999998</v>
      </c>
      <c r="B15" s="2">
        <v>28.2</v>
      </c>
      <c r="C15" s="2">
        <v>48.761183000000003</v>
      </c>
    </row>
    <row r="16" spans="1:6" ht="15" thickBot="1" x14ac:dyDescent="0.4">
      <c r="A16" s="2">
        <v>0.73799999999999999</v>
      </c>
      <c r="B16" s="2">
        <v>26.4</v>
      </c>
      <c r="C16" s="2">
        <v>48.420988700000002</v>
      </c>
      <c r="E16" t="s">
        <v>18</v>
      </c>
    </row>
    <row r="17" spans="1:13" x14ac:dyDescent="0.35">
      <c r="A17" s="2">
        <v>0.89400000000000002</v>
      </c>
      <c r="B17" s="2">
        <v>37.1</v>
      </c>
      <c r="C17" s="2">
        <v>72.688182100000006</v>
      </c>
      <c r="E17" s="5"/>
      <c r="F17" s="5" t="s">
        <v>23</v>
      </c>
      <c r="G17" s="5" t="s">
        <v>24</v>
      </c>
      <c r="H17" s="5" t="s">
        <v>25</v>
      </c>
      <c r="I17" s="5" t="s">
        <v>26</v>
      </c>
      <c r="J17" s="5" t="s">
        <v>27</v>
      </c>
    </row>
    <row r="18" spans="1:13" x14ac:dyDescent="0.35">
      <c r="A18" s="2">
        <v>0.86299999999999999</v>
      </c>
      <c r="B18" s="2">
        <v>31.1</v>
      </c>
      <c r="C18" s="2">
        <v>54.431088000000003</v>
      </c>
      <c r="E18" s="3" t="s">
        <v>19</v>
      </c>
      <c r="F18" s="3">
        <v>1</v>
      </c>
      <c r="G18" s="3">
        <v>3038.1633959903584</v>
      </c>
      <c r="H18" s="3">
        <v>3038.1633959903584</v>
      </c>
      <c r="I18" s="3">
        <v>194.32150477633286</v>
      </c>
      <c r="J18" s="3">
        <v>3.3386643342361667E-24</v>
      </c>
    </row>
    <row r="19" spans="1:13" x14ac:dyDescent="0.35">
      <c r="A19" s="2">
        <v>0.82699999999999996</v>
      </c>
      <c r="B19" s="2">
        <v>43.1</v>
      </c>
      <c r="C19" s="2">
        <v>78.471485200000004</v>
      </c>
      <c r="E19" s="3" t="s">
        <v>20</v>
      </c>
      <c r="F19" s="3">
        <v>90</v>
      </c>
      <c r="G19" s="3">
        <v>1407.1252996618152</v>
      </c>
      <c r="H19" s="3">
        <v>15.634725551797947</v>
      </c>
      <c r="I19" s="3"/>
      <c r="J19" s="3"/>
    </row>
    <row r="20" spans="1:13" ht="15" thickBot="1" x14ac:dyDescent="0.4">
      <c r="A20" s="2">
        <v>0.85</v>
      </c>
      <c r="B20" s="2">
        <v>34.1</v>
      </c>
      <c r="C20" s="2">
        <v>58.513419599999999</v>
      </c>
      <c r="E20" s="4" t="s">
        <v>21</v>
      </c>
      <c r="F20" s="4">
        <v>91</v>
      </c>
      <c r="G20" s="4">
        <v>4445.2886956521734</v>
      </c>
      <c r="H20" s="4"/>
      <c r="I20" s="4"/>
      <c r="J20" s="4"/>
    </row>
    <row r="21" spans="1:13" ht="15" thickBot="1" x14ac:dyDescent="0.4">
      <c r="A21" s="2">
        <v>0.83899999999999997</v>
      </c>
      <c r="B21" s="2">
        <v>26.7</v>
      </c>
      <c r="C21" s="2">
        <v>49.554969700000001</v>
      </c>
    </row>
    <row r="22" spans="1:13" x14ac:dyDescent="0.35">
      <c r="A22" s="2">
        <v>0.79500000000000004</v>
      </c>
      <c r="B22" s="2">
        <v>30.9</v>
      </c>
      <c r="C22" s="2">
        <v>57.719632900000001</v>
      </c>
      <c r="E22" s="5"/>
      <c r="F22" s="5" t="s">
        <v>28</v>
      </c>
      <c r="G22" s="5" t="s">
        <v>16</v>
      </c>
      <c r="H22" s="5" t="s">
        <v>29</v>
      </c>
      <c r="I22" s="5" t="s">
        <v>30</v>
      </c>
      <c r="J22" s="5" t="s">
        <v>31</v>
      </c>
      <c r="K22" s="5" t="s">
        <v>32</v>
      </c>
      <c r="L22" s="5" t="s">
        <v>33</v>
      </c>
      <c r="M22" s="5" t="s">
        <v>34</v>
      </c>
    </row>
    <row r="23" spans="1:13" x14ac:dyDescent="0.35">
      <c r="A23" s="2">
        <v>0.73499999999999999</v>
      </c>
      <c r="B23" s="2">
        <v>30</v>
      </c>
      <c r="C23" s="2">
        <v>46.720017200000001</v>
      </c>
      <c r="E23" s="3" t="s">
        <v>22</v>
      </c>
      <c r="F23" s="3">
        <v>7.9297972520220306</v>
      </c>
      <c r="G23" s="3">
        <v>1.5366399989074502</v>
      </c>
      <c r="H23" s="3">
        <v>5.1604782236959279</v>
      </c>
      <c r="I23" s="3">
        <v>1.458691487659877E-6</v>
      </c>
      <c r="J23" s="3">
        <v>4.8769936879655269</v>
      </c>
      <c r="K23" s="3">
        <v>10.982600816078534</v>
      </c>
      <c r="L23" s="3">
        <v>4.8769936879655269</v>
      </c>
      <c r="M23" s="3">
        <v>10.982600816078534</v>
      </c>
    </row>
    <row r="24" spans="1:13" ht="15" thickBot="1" x14ac:dyDescent="0.4">
      <c r="A24" s="2">
        <v>0.85899999999999999</v>
      </c>
      <c r="B24" s="2">
        <v>22.1</v>
      </c>
      <c r="C24" s="2">
        <v>46.720017200000001</v>
      </c>
      <c r="E24" s="4" t="s">
        <v>2</v>
      </c>
      <c r="F24" s="4">
        <v>0.38264624390404345</v>
      </c>
      <c r="G24" s="4">
        <v>2.7449663328036385E-2</v>
      </c>
      <c r="H24" s="4">
        <v>13.939924848302907</v>
      </c>
      <c r="I24" s="4">
        <v>3.3386643342361909E-24</v>
      </c>
      <c r="J24" s="4">
        <v>0.32811269661934361</v>
      </c>
      <c r="K24" s="4">
        <v>0.43717979118874328</v>
      </c>
      <c r="L24" s="4">
        <v>0.32811269661934361</v>
      </c>
      <c r="M24" s="4">
        <v>0.43717979118874328</v>
      </c>
    </row>
    <row r="25" spans="1:13" x14ac:dyDescent="0.35">
      <c r="A25" s="2">
        <v>0.76300000000000001</v>
      </c>
      <c r="B25" s="2">
        <v>24.4</v>
      </c>
      <c r="C25" s="2">
        <v>48.307590599999997</v>
      </c>
    </row>
    <row r="26" spans="1:13" x14ac:dyDescent="0.35">
      <c r="A26" s="2">
        <v>0.82099999999999995</v>
      </c>
      <c r="B26" s="2">
        <v>22.5</v>
      </c>
      <c r="C26" s="2">
        <v>49.441571600000003</v>
      </c>
    </row>
    <row r="27" spans="1:13" x14ac:dyDescent="0.35">
      <c r="A27" s="2">
        <v>0.70399999999999996</v>
      </c>
      <c r="B27" s="2">
        <v>24.9</v>
      </c>
      <c r="C27" s="2">
        <v>45.35924</v>
      </c>
    </row>
    <row r="28" spans="1:13" x14ac:dyDescent="0.35">
      <c r="A28" s="2">
        <v>0.74199999999999999</v>
      </c>
      <c r="B28" s="2">
        <v>18.2</v>
      </c>
      <c r="C28" s="2">
        <v>44.111860900000003</v>
      </c>
      <c r="E28" t="s">
        <v>35</v>
      </c>
    </row>
    <row r="29" spans="1:13" ht="15" thickBot="1" x14ac:dyDescent="0.4">
      <c r="A29" s="2">
        <v>0.76200000000000001</v>
      </c>
      <c r="B29" s="2">
        <v>27.3</v>
      </c>
      <c r="C29" s="2">
        <v>43.544870400000001</v>
      </c>
    </row>
    <row r="30" spans="1:13" x14ac:dyDescent="0.35">
      <c r="A30" s="2">
        <v>0.73099999999999998</v>
      </c>
      <c r="B30" s="2">
        <v>25.9</v>
      </c>
      <c r="C30" s="2">
        <v>40.142927399999998</v>
      </c>
      <c r="E30" s="5" t="s">
        <v>36</v>
      </c>
      <c r="F30" s="5" t="s">
        <v>40</v>
      </c>
      <c r="G30" s="5" t="s">
        <v>38</v>
      </c>
    </row>
    <row r="31" spans="1:13" x14ac:dyDescent="0.35">
      <c r="A31" s="2">
        <v>0.8</v>
      </c>
      <c r="B31" s="2">
        <v>28.3</v>
      </c>
      <c r="C31" s="2">
        <v>46.720017200000001</v>
      </c>
      <c r="E31" s="3">
        <v>1</v>
      </c>
      <c r="F31" s="3">
        <v>27.889821486215379</v>
      </c>
      <c r="G31" s="3">
        <v>-2.5898214862153779</v>
      </c>
    </row>
    <row r="32" spans="1:13" x14ac:dyDescent="0.35">
      <c r="A32" s="2">
        <v>0.79800000000000004</v>
      </c>
      <c r="B32" s="2">
        <v>18.7</v>
      </c>
      <c r="C32" s="2">
        <v>44.452055199999997</v>
      </c>
      <c r="E32" s="3">
        <v>2</v>
      </c>
      <c r="F32" s="3">
        <v>31.578086833838064</v>
      </c>
      <c r="G32" s="3">
        <v>-2.2780868338380635</v>
      </c>
    </row>
    <row r="33" spans="1:7" x14ac:dyDescent="0.35">
      <c r="A33" s="2">
        <v>0.78900000000000003</v>
      </c>
      <c r="B33" s="2">
        <v>22.4</v>
      </c>
      <c r="C33" s="2">
        <v>45.35924</v>
      </c>
      <c r="E33" s="3">
        <v>3</v>
      </c>
      <c r="F33" s="3">
        <v>43.684275445446644</v>
      </c>
      <c r="G33" s="3">
        <v>-5.9842754454466416</v>
      </c>
    </row>
    <row r="34" spans="1:7" x14ac:dyDescent="0.35">
      <c r="A34" s="2">
        <v>0.95499999999999996</v>
      </c>
      <c r="B34" s="2">
        <v>23.6</v>
      </c>
      <c r="C34" s="2">
        <v>43.091278000000003</v>
      </c>
      <c r="E34" s="3">
        <v>4</v>
      </c>
      <c r="F34" s="3">
        <v>30.840433764313527</v>
      </c>
      <c r="G34" s="3">
        <v>1.95956623568647</v>
      </c>
    </row>
    <row r="35" spans="1:7" x14ac:dyDescent="0.35">
      <c r="A35" s="2">
        <v>0.78200000000000003</v>
      </c>
      <c r="B35" s="2">
        <v>26.8</v>
      </c>
      <c r="C35" s="2">
        <v>52.163125999999998</v>
      </c>
      <c r="E35" s="3">
        <v>5</v>
      </c>
      <c r="F35" s="3">
        <v>27.195559773721698</v>
      </c>
      <c r="G35" s="3">
        <v>-2.5955597737216962</v>
      </c>
    </row>
    <row r="36" spans="1:7" x14ac:dyDescent="0.35">
      <c r="A36" s="2">
        <v>0.68100000000000005</v>
      </c>
      <c r="B36" s="2">
        <v>17.8</v>
      </c>
      <c r="C36" s="2">
        <v>34.586420500000003</v>
      </c>
      <c r="E36" s="3">
        <v>6</v>
      </c>
      <c r="F36" s="3">
        <v>29.972606623696429</v>
      </c>
      <c r="G36" s="3">
        <v>-3.4726066236964286</v>
      </c>
    </row>
    <row r="37" spans="1:7" x14ac:dyDescent="0.35">
      <c r="A37" s="2">
        <v>0.85</v>
      </c>
      <c r="B37" s="2">
        <v>27.4</v>
      </c>
      <c r="C37" s="2">
        <v>56.69905</v>
      </c>
      <c r="E37" s="3">
        <v>7</v>
      </c>
      <c r="F37" s="3">
        <v>27.716256058091961</v>
      </c>
      <c r="G37" s="3">
        <v>-6.5162560580919617</v>
      </c>
    </row>
    <row r="38" spans="1:7" x14ac:dyDescent="0.35">
      <c r="A38" s="2">
        <v>0.67</v>
      </c>
      <c r="B38" s="2">
        <v>16.8</v>
      </c>
      <c r="C38" s="2">
        <v>34.926614800000003</v>
      </c>
      <c r="E38" s="3">
        <v>8</v>
      </c>
      <c r="F38" s="3">
        <v>28.931214054955905</v>
      </c>
      <c r="G38" s="3">
        <v>-0.53121405495590679</v>
      </c>
    </row>
    <row r="39" spans="1:7" x14ac:dyDescent="0.35">
      <c r="A39" s="2">
        <v>0.64500000000000002</v>
      </c>
      <c r="B39" s="2">
        <v>26.1</v>
      </c>
      <c r="C39" s="2">
        <v>35.380207200000001</v>
      </c>
      <c r="E39" s="3">
        <v>9</v>
      </c>
      <c r="F39" s="3">
        <v>28.584083198709063</v>
      </c>
      <c r="G39" s="3">
        <v>-4.5840831987090631</v>
      </c>
    </row>
    <row r="40" spans="1:7" x14ac:dyDescent="0.35">
      <c r="A40" s="2">
        <v>0.69</v>
      </c>
      <c r="B40" s="2">
        <v>20.8</v>
      </c>
      <c r="C40" s="2">
        <v>37.648169199999998</v>
      </c>
      <c r="E40" s="3">
        <v>10</v>
      </c>
      <c r="F40" s="3">
        <v>28.410517770585642</v>
      </c>
      <c r="G40" s="3">
        <v>0.28948222941435731</v>
      </c>
    </row>
    <row r="41" spans="1:7" x14ac:dyDescent="0.35">
      <c r="A41" s="2">
        <v>0.68</v>
      </c>
      <c r="B41" s="2">
        <v>22.7</v>
      </c>
      <c r="C41" s="2">
        <v>39.008946399999999</v>
      </c>
      <c r="E41" s="3">
        <v>11</v>
      </c>
      <c r="F41" s="3">
        <v>29.712258481511295</v>
      </c>
      <c r="G41" s="3">
        <v>7.6877415184887035</v>
      </c>
    </row>
    <row r="42" spans="1:7" x14ac:dyDescent="0.35">
      <c r="A42" s="2">
        <v>0.70899999999999996</v>
      </c>
      <c r="B42" s="2">
        <v>20.2</v>
      </c>
      <c r="C42" s="2">
        <v>41.730500800000002</v>
      </c>
      <c r="E42" s="3">
        <v>12</v>
      </c>
      <c r="F42" s="3">
        <v>32.272348546331749</v>
      </c>
      <c r="G42" s="3">
        <v>-1.5723485463317495</v>
      </c>
    </row>
    <row r="43" spans="1:7" x14ac:dyDescent="0.35">
      <c r="A43" s="2">
        <v>0.749</v>
      </c>
      <c r="B43" s="2">
        <v>20.3</v>
      </c>
      <c r="C43" s="2">
        <v>38.101761600000003</v>
      </c>
      <c r="E43" s="3">
        <v>13</v>
      </c>
      <c r="F43" s="3">
        <v>36.654875606448115</v>
      </c>
      <c r="G43" s="3">
        <v>4.5124393551887465E-2</v>
      </c>
    </row>
    <row r="44" spans="1:7" x14ac:dyDescent="0.35">
      <c r="A44" s="2">
        <v>0.55800000000000005</v>
      </c>
      <c r="B44" s="2">
        <v>31.9</v>
      </c>
      <c r="C44" s="2">
        <v>33.565837600000002</v>
      </c>
      <c r="E44" s="3">
        <v>14</v>
      </c>
      <c r="F44" s="3">
        <v>26.588080775289729</v>
      </c>
      <c r="G44" s="3">
        <v>1.6119192247102703</v>
      </c>
    </row>
    <row r="45" spans="1:7" x14ac:dyDescent="0.35">
      <c r="A45" s="2">
        <v>0.68700000000000006</v>
      </c>
      <c r="B45" s="2">
        <v>22.9</v>
      </c>
      <c r="C45" s="2">
        <v>33.6792357</v>
      </c>
      <c r="E45" s="3">
        <v>15</v>
      </c>
      <c r="F45" s="3">
        <v>26.457906704197164</v>
      </c>
      <c r="G45" s="3">
        <v>-5.7906704197165482E-2</v>
      </c>
    </row>
    <row r="46" spans="1:7" x14ac:dyDescent="0.35">
      <c r="A46" s="2">
        <v>0.73399999999999999</v>
      </c>
      <c r="B46" s="2">
        <v>25.3</v>
      </c>
      <c r="C46" s="2">
        <v>49.441571600000003</v>
      </c>
      <c r="E46" s="3">
        <v>16</v>
      </c>
      <c r="F46" s="3">
        <v>35.743657108800157</v>
      </c>
      <c r="G46" s="3">
        <v>1.3563428911998443</v>
      </c>
    </row>
    <row r="47" spans="1:7" x14ac:dyDescent="0.35">
      <c r="A47" s="2">
        <v>0.69899999999999995</v>
      </c>
      <c r="B47" s="2">
        <v>17.3</v>
      </c>
      <c r="C47" s="2">
        <v>39.008946399999999</v>
      </c>
      <c r="E47" s="3">
        <v>17</v>
      </c>
      <c r="F47" s="3">
        <v>28.757648626832484</v>
      </c>
      <c r="G47" s="3">
        <v>2.3423513731675172</v>
      </c>
    </row>
    <row r="48" spans="1:7" x14ac:dyDescent="0.35">
      <c r="A48" s="2">
        <v>0.81499999999999995</v>
      </c>
      <c r="B48" s="2">
        <v>41</v>
      </c>
      <c r="C48" s="2">
        <v>63.0493436</v>
      </c>
      <c r="E48" s="3">
        <v>18</v>
      </c>
      <c r="F48" s="3">
        <v>37.956616317373772</v>
      </c>
      <c r="G48" s="3">
        <v>5.1433836826262294</v>
      </c>
    </row>
    <row r="49" spans="1:7" x14ac:dyDescent="0.35">
      <c r="A49" s="2">
        <v>0.80100000000000005</v>
      </c>
      <c r="B49" s="2">
        <v>25.8</v>
      </c>
      <c r="C49" s="2">
        <v>49.895164000000001</v>
      </c>
      <c r="E49" s="3">
        <v>19</v>
      </c>
      <c r="F49" s="3">
        <v>30.319737479943267</v>
      </c>
      <c r="G49" s="3">
        <v>3.7802625200567341</v>
      </c>
    </row>
    <row r="50" spans="1:7" x14ac:dyDescent="0.35">
      <c r="A50" s="2">
        <v>0.81499999999999995</v>
      </c>
      <c r="B50" s="2">
        <v>36.6</v>
      </c>
      <c r="C50" s="2">
        <v>58.740215800000001</v>
      </c>
      <c r="E50" s="3">
        <v>20</v>
      </c>
      <c r="F50" s="3">
        <v>26.891820274505715</v>
      </c>
      <c r="G50" s="3">
        <v>-0.19182027450571582</v>
      </c>
    </row>
    <row r="51" spans="1:7" x14ac:dyDescent="0.35">
      <c r="A51" s="2">
        <v>0.745</v>
      </c>
      <c r="B51" s="2">
        <v>27.8</v>
      </c>
      <c r="C51" s="2">
        <v>56.812448099999997</v>
      </c>
      <c r="E51" s="3">
        <v>21</v>
      </c>
      <c r="F51" s="3">
        <v>30.015997980727281</v>
      </c>
      <c r="G51" s="3">
        <v>0.88400201927271738</v>
      </c>
    </row>
    <row r="52" spans="1:7" x14ac:dyDescent="0.35">
      <c r="A52" s="2">
        <v>0.83599999999999997</v>
      </c>
      <c r="B52" s="2">
        <v>39.4</v>
      </c>
      <c r="C52" s="2">
        <v>61.688566399999999</v>
      </c>
      <c r="E52" s="3">
        <v>22</v>
      </c>
      <c r="F52" s="3">
        <v>25.807036348734336</v>
      </c>
      <c r="G52" s="3">
        <v>4.1929636512656643</v>
      </c>
    </row>
    <row r="53" spans="1:7" x14ac:dyDescent="0.35">
      <c r="A53" s="2">
        <v>0.76200000000000001</v>
      </c>
      <c r="B53" s="2">
        <v>36.4</v>
      </c>
      <c r="C53" s="2">
        <v>54.431088000000003</v>
      </c>
      <c r="E53" s="3">
        <v>23</v>
      </c>
      <c r="F53" s="3">
        <v>25.807036348734336</v>
      </c>
      <c r="G53" s="3">
        <v>-3.7070363487343343</v>
      </c>
    </row>
    <row r="54" spans="1:7" x14ac:dyDescent="0.35">
      <c r="A54" s="2">
        <v>0.86099999999999999</v>
      </c>
      <c r="B54" s="2">
        <v>46.8</v>
      </c>
      <c r="C54" s="2">
        <v>93.893626800000007</v>
      </c>
      <c r="E54" s="3">
        <v>24</v>
      </c>
      <c r="F54" s="3">
        <v>26.414515347166308</v>
      </c>
      <c r="G54" s="3">
        <v>-2.0145153471663093</v>
      </c>
    </row>
    <row r="55" spans="1:7" x14ac:dyDescent="0.35">
      <c r="A55" s="2">
        <v>1.02</v>
      </c>
      <c r="B55" s="2">
        <v>40.5</v>
      </c>
      <c r="C55" s="2">
        <v>74.3891536</v>
      </c>
      <c r="E55" s="3">
        <v>25</v>
      </c>
      <c r="F55" s="3">
        <v>26.848428917474859</v>
      </c>
      <c r="G55" s="3">
        <v>-4.3484289174748589</v>
      </c>
    </row>
    <row r="56" spans="1:7" x14ac:dyDescent="0.35">
      <c r="A56" s="2">
        <v>0.77600000000000002</v>
      </c>
      <c r="B56" s="2">
        <v>43</v>
      </c>
      <c r="C56" s="2">
        <v>96.161588800000004</v>
      </c>
      <c r="E56" s="3">
        <v>26</v>
      </c>
      <c r="F56" s="3">
        <v>25.286340064364076</v>
      </c>
      <c r="G56" s="3">
        <v>-0.38634006436407731</v>
      </c>
    </row>
    <row r="57" spans="1:7" x14ac:dyDescent="0.35">
      <c r="A57" s="2">
        <v>1.008</v>
      </c>
      <c r="B57" s="2">
        <v>39.5</v>
      </c>
      <c r="C57" s="2">
        <v>72.574783999999994</v>
      </c>
      <c r="E57" s="3">
        <v>27</v>
      </c>
      <c r="F57" s="3">
        <v>24.809035137024669</v>
      </c>
      <c r="G57" s="3">
        <v>-6.6090351370246694</v>
      </c>
    </row>
    <row r="58" spans="1:7" x14ac:dyDescent="0.35">
      <c r="A58" s="2">
        <v>1.01</v>
      </c>
      <c r="B58" s="2">
        <v>39.4</v>
      </c>
      <c r="C58" s="2">
        <v>98.429550800000001</v>
      </c>
      <c r="E58" s="3">
        <v>28</v>
      </c>
      <c r="F58" s="3">
        <v>24.592078351870391</v>
      </c>
      <c r="G58" s="3">
        <v>2.7079216481296093</v>
      </c>
    </row>
    <row r="59" spans="1:7" x14ac:dyDescent="0.35">
      <c r="A59" s="2">
        <v>0.88500000000000001</v>
      </c>
      <c r="B59" s="2">
        <v>24.8</v>
      </c>
      <c r="C59" s="2">
        <v>51.596135500000003</v>
      </c>
      <c r="E59" s="3">
        <v>29</v>
      </c>
      <c r="F59" s="3">
        <v>23.290337640944738</v>
      </c>
      <c r="G59" s="3">
        <v>2.6096623590552603</v>
      </c>
    </row>
    <row r="60" spans="1:7" x14ac:dyDescent="0.35">
      <c r="A60" s="2">
        <v>0.77100000000000002</v>
      </c>
      <c r="B60" s="2">
        <v>35</v>
      </c>
      <c r="C60" s="2">
        <v>56.245457600000002</v>
      </c>
      <c r="E60" s="3">
        <v>30</v>
      </c>
      <c r="F60" s="3">
        <v>25.807036348734336</v>
      </c>
      <c r="G60" s="3">
        <v>2.492963651265665</v>
      </c>
    </row>
    <row r="61" spans="1:7" x14ac:dyDescent="0.35">
      <c r="A61" s="2">
        <v>1.081</v>
      </c>
      <c r="B61" s="2">
        <v>25.3</v>
      </c>
      <c r="C61" s="2">
        <v>59.420604400000002</v>
      </c>
      <c r="E61" s="3">
        <v>31</v>
      </c>
      <c r="F61" s="3">
        <v>24.939209208117234</v>
      </c>
      <c r="G61" s="3">
        <v>-6.2392092081172343</v>
      </c>
    </row>
    <row r="62" spans="1:7" x14ac:dyDescent="0.35">
      <c r="A62" s="2">
        <v>1.0269999999999999</v>
      </c>
      <c r="B62" s="2">
        <v>42.5</v>
      </c>
      <c r="C62" s="2">
        <v>93.440034400000002</v>
      </c>
      <c r="E62" s="3">
        <v>32</v>
      </c>
      <c r="F62" s="3">
        <v>25.286340064364076</v>
      </c>
      <c r="G62" s="3">
        <v>-2.8863400643640773</v>
      </c>
    </row>
    <row r="63" spans="1:7" x14ac:dyDescent="0.35">
      <c r="A63" s="2">
        <v>0.80200000000000005</v>
      </c>
      <c r="B63" s="2">
        <v>27.8</v>
      </c>
      <c r="C63" s="2">
        <v>48.987979199999998</v>
      </c>
      <c r="E63" s="3">
        <v>33</v>
      </c>
      <c r="F63" s="3">
        <v>24.418512923746974</v>
      </c>
      <c r="G63" s="3">
        <v>-0.81851292374697238</v>
      </c>
    </row>
    <row r="64" spans="1:7" x14ac:dyDescent="0.35">
      <c r="A64" s="2">
        <v>0.78300000000000003</v>
      </c>
      <c r="B64" s="2">
        <v>35.799999999999997</v>
      </c>
      <c r="C64" s="2">
        <v>53.750698999999997</v>
      </c>
      <c r="E64" s="3">
        <v>34</v>
      </c>
      <c r="F64" s="3">
        <v>27.889821486215379</v>
      </c>
      <c r="G64" s="3">
        <v>-1.0898214862153779</v>
      </c>
    </row>
    <row r="65" spans="1:7" x14ac:dyDescent="0.35">
      <c r="A65" s="2">
        <v>0.98</v>
      </c>
      <c r="B65" s="2">
        <v>39.200000000000003</v>
      </c>
      <c r="C65" s="2">
        <v>91.625664799999996</v>
      </c>
      <c r="E65" s="3">
        <v>35</v>
      </c>
      <c r="F65" s="3">
        <v>21.164161146432839</v>
      </c>
      <c r="G65" s="3">
        <v>-3.3641611464328385</v>
      </c>
    </row>
    <row r="66" spans="1:7" x14ac:dyDescent="0.35">
      <c r="A66" s="2">
        <v>0.84799999999999998</v>
      </c>
      <c r="B66" s="2">
        <v>38.299999999999997</v>
      </c>
      <c r="C66" s="2">
        <v>62.595751200000002</v>
      </c>
      <c r="E66" s="3">
        <v>36</v>
      </c>
      <c r="F66" s="3">
        <v>29.625475767449586</v>
      </c>
      <c r="G66" s="3">
        <v>-2.2254757674495877</v>
      </c>
    </row>
    <row r="67" spans="1:7" x14ac:dyDescent="0.35">
      <c r="A67" s="2">
        <v>0.84899999999999998</v>
      </c>
      <c r="B67" s="2">
        <v>34.1</v>
      </c>
      <c r="C67" s="2">
        <v>68.03886</v>
      </c>
      <c r="E67" s="3">
        <v>37</v>
      </c>
      <c r="F67" s="3">
        <v>21.294335217525408</v>
      </c>
      <c r="G67" s="3">
        <v>-4.494335217525407</v>
      </c>
    </row>
    <row r="68" spans="1:7" x14ac:dyDescent="0.35">
      <c r="A68" s="2">
        <v>0.97299999999999998</v>
      </c>
      <c r="B68" s="2">
        <v>39.9</v>
      </c>
      <c r="C68" s="2">
        <v>84.368186399999999</v>
      </c>
      <c r="E68" s="3">
        <v>38</v>
      </c>
      <c r="F68" s="3">
        <v>21.467900645648825</v>
      </c>
      <c r="G68" s="3">
        <v>4.6320993543511761</v>
      </c>
    </row>
    <row r="69" spans="1:7" x14ac:dyDescent="0.35">
      <c r="A69" s="2">
        <v>0.86599999999999999</v>
      </c>
      <c r="B69" s="2">
        <v>32.5</v>
      </c>
      <c r="C69" s="2">
        <v>69.853229999999996</v>
      </c>
      <c r="E69" s="3">
        <v>39</v>
      </c>
      <c r="F69" s="3">
        <v>22.335727786265927</v>
      </c>
      <c r="G69" s="3">
        <v>-1.5357277862659267</v>
      </c>
    </row>
    <row r="70" spans="1:7" x14ac:dyDescent="0.35">
      <c r="A70" s="2">
        <v>0.77600000000000002</v>
      </c>
      <c r="B70" s="2">
        <v>29.9</v>
      </c>
      <c r="C70" s="2">
        <v>54.431088000000003</v>
      </c>
      <c r="E70" s="3">
        <v>40</v>
      </c>
      <c r="F70" s="3">
        <v>22.856424070636187</v>
      </c>
      <c r="G70" s="3">
        <v>-0.15642407063618791</v>
      </c>
    </row>
    <row r="71" spans="1:7" x14ac:dyDescent="0.35">
      <c r="A71" s="2">
        <v>0.84299999999999997</v>
      </c>
      <c r="B71" s="2">
        <v>32</v>
      </c>
      <c r="C71" s="2">
        <v>68.265656199999995</v>
      </c>
      <c r="E71" s="3">
        <v>41</v>
      </c>
      <c r="F71" s="3">
        <v>23.897816639376714</v>
      </c>
      <c r="G71" s="3">
        <v>-3.6978166393767147</v>
      </c>
    </row>
    <row r="72" spans="1:7" x14ac:dyDescent="0.35">
      <c r="A72" s="2">
        <v>0.84099999999999997</v>
      </c>
      <c r="B72" s="2">
        <v>23</v>
      </c>
      <c r="C72" s="2">
        <v>48.1941925</v>
      </c>
      <c r="E72" s="3">
        <v>42</v>
      </c>
      <c r="F72" s="3">
        <v>22.509293214389348</v>
      </c>
      <c r="G72" s="3">
        <v>-2.2092932143893478</v>
      </c>
    </row>
    <row r="73" spans="1:7" x14ac:dyDescent="0.35">
      <c r="A73" s="2">
        <v>0.68700000000000006</v>
      </c>
      <c r="B73" s="2">
        <v>28.5</v>
      </c>
      <c r="C73" s="2">
        <v>46.379822900000001</v>
      </c>
      <c r="E73" s="3">
        <v>43</v>
      </c>
      <c r="F73" s="3">
        <v>20.773638933155144</v>
      </c>
      <c r="G73" s="3">
        <v>11.126361066844854</v>
      </c>
    </row>
    <row r="74" spans="1:7" x14ac:dyDescent="0.35">
      <c r="A74" s="2">
        <v>0.67600000000000005</v>
      </c>
      <c r="B74" s="2">
        <v>26.4</v>
      </c>
      <c r="C74" s="2">
        <v>54.884680400000001</v>
      </c>
      <c r="E74" s="3">
        <v>44</v>
      </c>
      <c r="F74" s="3">
        <v>20.817030290185997</v>
      </c>
      <c r="G74" s="3">
        <v>2.0829697098140016</v>
      </c>
    </row>
    <row r="75" spans="1:7" x14ac:dyDescent="0.35">
      <c r="A75" s="2">
        <v>0.752</v>
      </c>
      <c r="B75" s="2">
        <v>33.9</v>
      </c>
      <c r="C75" s="2">
        <v>61.915362600000002</v>
      </c>
      <c r="E75" s="3">
        <v>45</v>
      </c>
      <c r="F75" s="3">
        <v>26.848428917474859</v>
      </c>
      <c r="G75" s="3">
        <v>-1.5484289174748582</v>
      </c>
    </row>
    <row r="76" spans="1:7" x14ac:dyDescent="0.35">
      <c r="A76" s="2">
        <v>0.747</v>
      </c>
      <c r="B76" s="2">
        <v>29.4</v>
      </c>
      <c r="C76" s="2">
        <v>49.101377300000003</v>
      </c>
      <c r="E76" s="3">
        <v>46</v>
      </c>
      <c r="F76" s="3">
        <v>22.856424070636187</v>
      </c>
      <c r="G76" s="3">
        <v>-5.5564240706361865</v>
      </c>
    </row>
    <row r="77" spans="1:7" x14ac:dyDescent="0.35">
      <c r="A77" s="2">
        <v>0.73799999999999999</v>
      </c>
      <c r="B77" s="2">
        <v>29.4</v>
      </c>
      <c r="C77" s="2">
        <v>49.101377300000003</v>
      </c>
      <c r="E77" s="3">
        <v>47</v>
      </c>
      <c r="F77" s="3">
        <v>32.055391761177475</v>
      </c>
      <c r="G77" s="3">
        <v>8.944608238822525</v>
      </c>
    </row>
    <row r="78" spans="1:7" x14ac:dyDescent="0.35">
      <c r="A78" s="2">
        <v>0.79400000000000004</v>
      </c>
      <c r="B78" s="2">
        <v>21</v>
      </c>
      <c r="C78" s="2">
        <v>33.565837600000002</v>
      </c>
      <c r="E78" s="3">
        <v>48</v>
      </c>
      <c r="F78" s="3">
        <v>27.02199434559828</v>
      </c>
      <c r="G78" s="3">
        <v>-1.2219943455982794</v>
      </c>
    </row>
    <row r="79" spans="1:7" x14ac:dyDescent="0.35">
      <c r="A79" s="2">
        <v>0.72</v>
      </c>
      <c r="B79" s="2">
        <v>22.4</v>
      </c>
      <c r="C79" s="2">
        <v>42.8644818</v>
      </c>
      <c r="E79" s="3">
        <v>49</v>
      </c>
      <c r="F79" s="3">
        <v>30.406520194004976</v>
      </c>
      <c r="G79" s="3">
        <v>6.1934798059950253</v>
      </c>
    </row>
    <row r="80" spans="1:7" x14ac:dyDescent="0.35">
      <c r="A80" s="2">
        <v>0.83699999999999997</v>
      </c>
      <c r="B80" s="2">
        <v>25.3</v>
      </c>
      <c r="C80" s="2">
        <v>43.091278000000003</v>
      </c>
      <c r="E80" s="3">
        <v>50</v>
      </c>
      <c r="F80" s="3">
        <v>29.668867124480439</v>
      </c>
      <c r="G80" s="3">
        <v>-1.8688671244804382</v>
      </c>
    </row>
    <row r="81" spans="1:7" x14ac:dyDescent="0.35">
      <c r="A81" s="2">
        <v>0.73199999999999998</v>
      </c>
      <c r="B81" s="2">
        <v>20.2</v>
      </c>
      <c r="C81" s="2">
        <v>42.1840932</v>
      </c>
      <c r="E81" s="3">
        <v>51</v>
      </c>
      <c r="F81" s="3">
        <v>31.534695476807208</v>
      </c>
      <c r="G81" s="3">
        <v>7.8653045231927905</v>
      </c>
    </row>
    <row r="82" spans="1:7" x14ac:dyDescent="0.35">
      <c r="A82" s="2">
        <v>0.73799999999999999</v>
      </c>
      <c r="B82" s="2">
        <v>22.5</v>
      </c>
      <c r="C82" s="2">
        <v>47.740600100000002</v>
      </c>
      <c r="E82" s="3">
        <v>52</v>
      </c>
      <c r="F82" s="3">
        <v>28.757648626832484</v>
      </c>
      <c r="G82" s="3">
        <v>7.6423513731675143</v>
      </c>
    </row>
    <row r="83" spans="1:7" x14ac:dyDescent="0.35">
      <c r="A83" s="2">
        <v>0.85599999999999998</v>
      </c>
      <c r="B83" s="2">
        <v>23.4</v>
      </c>
      <c r="C83" s="2">
        <v>44.452055199999997</v>
      </c>
      <c r="E83" s="3">
        <v>53</v>
      </c>
      <c r="F83" s="3">
        <v>43.857840873570069</v>
      </c>
      <c r="G83" s="3">
        <v>2.9421591264299281</v>
      </c>
    </row>
    <row r="84" spans="1:7" x14ac:dyDescent="0.35">
      <c r="A84" s="2">
        <v>0.79300000000000004</v>
      </c>
      <c r="B84" s="2">
        <v>29.5</v>
      </c>
      <c r="C84" s="2">
        <v>43.544870400000001</v>
      </c>
      <c r="E84" s="3">
        <v>54</v>
      </c>
      <c r="F84" s="3">
        <v>36.394527464262978</v>
      </c>
      <c r="G84" s="3">
        <v>4.1054725357370216</v>
      </c>
    </row>
    <row r="85" spans="1:7" x14ac:dyDescent="0.35">
      <c r="A85" s="2">
        <v>0.71</v>
      </c>
      <c r="B85" s="2">
        <v>21.9</v>
      </c>
      <c r="C85" s="2">
        <v>42.5242875</v>
      </c>
      <c r="E85" s="3">
        <v>55</v>
      </c>
      <c r="F85" s="3">
        <v>44.725668014187164</v>
      </c>
      <c r="G85" s="3">
        <v>-1.7256680141871641</v>
      </c>
    </row>
    <row r="86" spans="1:7" x14ac:dyDescent="0.35">
      <c r="A86" s="2">
        <v>0.77</v>
      </c>
      <c r="B86" s="2">
        <v>19.2</v>
      </c>
      <c r="C86" s="2">
        <v>40.823315999999998</v>
      </c>
      <c r="E86" s="3">
        <v>56</v>
      </c>
      <c r="F86" s="3">
        <v>35.700265751769294</v>
      </c>
      <c r="G86" s="3">
        <v>3.7997342482307062</v>
      </c>
    </row>
    <row r="87" spans="1:7" x14ac:dyDescent="0.35">
      <c r="A87" s="2">
        <v>0.74</v>
      </c>
      <c r="B87" s="2">
        <v>28.6</v>
      </c>
      <c r="C87" s="2">
        <v>47.740600100000002</v>
      </c>
      <c r="E87" s="3">
        <v>57</v>
      </c>
      <c r="F87" s="3">
        <v>45.593495154804259</v>
      </c>
      <c r="G87" s="3">
        <v>-6.1934951548042605</v>
      </c>
    </row>
    <row r="88" spans="1:7" x14ac:dyDescent="0.35">
      <c r="A88" s="2">
        <v>0.73699999999999999</v>
      </c>
      <c r="B88" s="2">
        <v>23.4</v>
      </c>
      <c r="C88" s="2">
        <v>42.637685599999998</v>
      </c>
      <c r="E88" s="3">
        <v>58</v>
      </c>
      <c r="F88" s="3">
        <v>27.672864701061105</v>
      </c>
      <c r="G88" s="3">
        <v>-2.8728647010611041</v>
      </c>
    </row>
    <row r="89" spans="1:7" x14ac:dyDescent="0.35">
      <c r="A89" s="2">
        <v>0.63300000000000001</v>
      </c>
      <c r="B89" s="2">
        <v>23.2</v>
      </c>
      <c r="C89" s="2">
        <v>43.544870400000001</v>
      </c>
      <c r="E89" s="3">
        <v>59</v>
      </c>
      <c r="F89" s="3">
        <v>29.451910339326165</v>
      </c>
      <c r="G89" s="3">
        <v>5.5480896606738348</v>
      </c>
    </row>
    <row r="90" spans="1:7" x14ac:dyDescent="0.35">
      <c r="A90" s="2">
        <v>0.621</v>
      </c>
      <c r="B90" s="2">
        <v>18.100000000000001</v>
      </c>
      <c r="C90" s="2">
        <v>45.35924</v>
      </c>
      <c r="E90" s="3">
        <v>60</v>
      </c>
      <c r="F90" s="3">
        <v>30.66686833619011</v>
      </c>
      <c r="G90" s="3">
        <v>-5.3668683361901088</v>
      </c>
    </row>
    <row r="91" spans="1:7" x14ac:dyDescent="0.35">
      <c r="A91" s="2">
        <v>0.74399999999999999</v>
      </c>
      <c r="B91" s="2">
        <v>31.4</v>
      </c>
      <c r="C91" s="2">
        <v>43.998462799999999</v>
      </c>
      <c r="E91" s="3">
        <v>61</v>
      </c>
      <c r="F91" s="3">
        <v>43.684275445446644</v>
      </c>
      <c r="G91" s="3">
        <v>-1.1842754454466444</v>
      </c>
    </row>
    <row r="92" spans="1:7" x14ac:dyDescent="0.35">
      <c r="A92" s="2">
        <v>0.622</v>
      </c>
      <c r="B92" s="2">
        <v>22.9</v>
      </c>
      <c r="C92" s="2">
        <v>34.01943</v>
      </c>
      <c r="E92" s="3">
        <v>62</v>
      </c>
      <c r="F92" s="3">
        <v>26.674863489351438</v>
      </c>
      <c r="G92" s="3">
        <v>1.1251365106485629</v>
      </c>
    </row>
    <row r="93" spans="1:7" x14ac:dyDescent="0.35">
      <c r="A93" s="2">
        <v>0.73499999999999999</v>
      </c>
      <c r="B93" s="2">
        <v>25.6</v>
      </c>
      <c r="C93" s="2">
        <v>47.627201999999997</v>
      </c>
      <c r="E93" s="3">
        <v>63</v>
      </c>
      <c r="F93" s="3">
        <v>28.497300331588853</v>
      </c>
      <c r="G93" s="3">
        <v>7.3026996684111438</v>
      </c>
    </row>
    <row r="94" spans="1:7" x14ac:dyDescent="0.35">
      <c r="E94" s="3">
        <v>64</v>
      </c>
      <c r="F94" s="3">
        <v>42.99001373295296</v>
      </c>
      <c r="G94" s="3">
        <v>-3.7900137329529571</v>
      </c>
    </row>
    <row r="95" spans="1:7" x14ac:dyDescent="0.35">
      <c r="E95" s="3">
        <v>65</v>
      </c>
      <c r="F95" s="3">
        <v>31.88182633305405</v>
      </c>
      <c r="G95" s="3">
        <v>6.4181736669459468</v>
      </c>
    </row>
    <row r="96" spans="1:7" x14ac:dyDescent="0.35">
      <c r="E96" s="3">
        <v>66</v>
      </c>
      <c r="F96" s="3">
        <v>33.964611470535097</v>
      </c>
      <c r="G96" s="3">
        <v>0.13538852946490465</v>
      </c>
    </row>
    <row r="97" spans="5:7" x14ac:dyDescent="0.35">
      <c r="E97" s="3">
        <v>67</v>
      </c>
      <c r="F97" s="3">
        <v>40.212966882978236</v>
      </c>
      <c r="G97" s="3">
        <v>-0.31296688297823749</v>
      </c>
    </row>
    <row r="98" spans="5:7" x14ac:dyDescent="0.35">
      <c r="E98" s="3">
        <v>68</v>
      </c>
      <c r="F98" s="3">
        <v>34.658873336087275</v>
      </c>
      <c r="G98" s="3">
        <v>-2.1588733360872752</v>
      </c>
    </row>
    <row r="99" spans="5:7" x14ac:dyDescent="0.35">
      <c r="E99" s="3">
        <v>69</v>
      </c>
      <c r="F99" s="3">
        <v>28.757648626832484</v>
      </c>
      <c r="G99" s="3">
        <v>1.1423513731675143</v>
      </c>
    </row>
    <row r="100" spans="5:7" x14ac:dyDescent="0.35">
      <c r="E100" s="3">
        <v>70</v>
      </c>
      <c r="F100" s="3">
        <v>34.051394184596802</v>
      </c>
      <c r="G100" s="3">
        <v>-2.051394184596802</v>
      </c>
    </row>
    <row r="101" spans="5:7" x14ac:dyDescent="0.35">
      <c r="E101" s="3">
        <v>71</v>
      </c>
      <c r="F101" s="3">
        <v>26.371123990135452</v>
      </c>
      <c r="G101" s="3">
        <v>-3.3711239901354517</v>
      </c>
    </row>
    <row r="102" spans="5:7" x14ac:dyDescent="0.35">
      <c r="E102" s="3">
        <v>72</v>
      </c>
      <c r="F102" s="3">
        <v>25.676862277641771</v>
      </c>
      <c r="G102" s="3">
        <v>2.8231377223582292</v>
      </c>
    </row>
    <row r="103" spans="5:7" x14ac:dyDescent="0.35">
      <c r="E103" s="3">
        <v>73</v>
      </c>
      <c r="F103" s="3">
        <v>28.931214054955905</v>
      </c>
      <c r="G103" s="3">
        <v>-2.5312140549559068</v>
      </c>
    </row>
    <row r="104" spans="5:7" x14ac:dyDescent="0.35">
      <c r="E104" s="3">
        <v>74</v>
      </c>
      <c r="F104" s="3">
        <v>31.62147819086892</v>
      </c>
      <c r="G104" s="3">
        <v>2.2785218091310782</v>
      </c>
    </row>
    <row r="105" spans="5:7" x14ac:dyDescent="0.35">
      <c r="E105" s="3">
        <v>75</v>
      </c>
      <c r="F105" s="3">
        <v>26.718254846382294</v>
      </c>
      <c r="G105" s="3">
        <v>2.6817451536177046</v>
      </c>
    </row>
    <row r="106" spans="5:7" x14ac:dyDescent="0.35">
      <c r="E106" s="3">
        <v>76</v>
      </c>
      <c r="F106" s="3">
        <v>26.718254846382294</v>
      </c>
      <c r="G106" s="3">
        <v>2.6817451536177046</v>
      </c>
    </row>
    <row r="107" spans="5:7" x14ac:dyDescent="0.35">
      <c r="E107" s="3">
        <v>77</v>
      </c>
      <c r="F107" s="3">
        <v>20.773638933155144</v>
      </c>
      <c r="G107" s="3">
        <v>0.22636106684485569</v>
      </c>
    </row>
    <row r="108" spans="5:7" x14ac:dyDescent="0.35">
      <c r="E108" s="3">
        <v>78</v>
      </c>
      <c r="F108" s="3">
        <v>24.331730209685261</v>
      </c>
      <c r="G108" s="3">
        <v>-1.9317302096852629</v>
      </c>
    </row>
    <row r="109" spans="5:7" x14ac:dyDescent="0.35">
      <c r="E109" s="3">
        <v>79</v>
      </c>
      <c r="F109" s="3">
        <v>24.418512923746974</v>
      </c>
      <c r="G109" s="3">
        <v>0.88148707625302691</v>
      </c>
    </row>
    <row r="110" spans="5:7" x14ac:dyDescent="0.35">
      <c r="E110" s="3">
        <v>80</v>
      </c>
      <c r="F110" s="3">
        <v>24.071382067500132</v>
      </c>
      <c r="G110" s="3">
        <v>-3.8713820675001323</v>
      </c>
    </row>
    <row r="111" spans="5:7" x14ac:dyDescent="0.35">
      <c r="E111" s="3">
        <v>81</v>
      </c>
      <c r="F111" s="3">
        <v>26.197558562012031</v>
      </c>
      <c r="G111" s="3">
        <v>-3.6975585620120306</v>
      </c>
    </row>
    <row r="112" spans="5:7" x14ac:dyDescent="0.35">
      <c r="E112" s="3">
        <v>82</v>
      </c>
      <c r="F112" s="3">
        <v>24.939209208117234</v>
      </c>
      <c r="G112" s="3">
        <v>-1.5392092081172351</v>
      </c>
    </row>
    <row r="113" spans="5:7" x14ac:dyDescent="0.35">
      <c r="E113" s="3">
        <v>83</v>
      </c>
      <c r="F113" s="3">
        <v>24.592078351870391</v>
      </c>
      <c r="G113" s="3">
        <v>4.9079216481296086</v>
      </c>
    </row>
    <row r="114" spans="5:7" x14ac:dyDescent="0.35">
      <c r="E114" s="3">
        <v>84</v>
      </c>
      <c r="F114" s="3">
        <v>24.201556138592696</v>
      </c>
      <c r="G114" s="3">
        <v>-2.3015561385926979</v>
      </c>
    </row>
    <row r="115" spans="5:7" x14ac:dyDescent="0.35">
      <c r="E115" s="3">
        <v>85</v>
      </c>
      <c r="F115" s="3">
        <v>23.550685783129872</v>
      </c>
      <c r="G115" s="3">
        <v>-4.3506857831298724</v>
      </c>
    </row>
    <row r="116" spans="5:7" x14ac:dyDescent="0.35">
      <c r="E116" s="3">
        <v>86</v>
      </c>
      <c r="F116" s="3">
        <v>26.197558562012031</v>
      </c>
      <c r="G116" s="3">
        <v>2.4024414379879708</v>
      </c>
    </row>
    <row r="117" spans="5:7" x14ac:dyDescent="0.35">
      <c r="E117" s="3">
        <v>87</v>
      </c>
      <c r="F117" s="3">
        <v>24.244947495623549</v>
      </c>
      <c r="G117" s="3">
        <v>-0.84494749562355054</v>
      </c>
    </row>
    <row r="118" spans="5:7" x14ac:dyDescent="0.35">
      <c r="E118" s="3">
        <v>88</v>
      </c>
      <c r="F118" s="3">
        <v>24.592078351870391</v>
      </c>
      <c r="G118" s="3">
        <v>-1.3920783518703921</v>
      </c>
    </row>
    <row r="119" spans="5:7" x14ac:dyDescent="0.35">
      <c r="E119" s="3">
        <v>89</v>
      </c>
      <c r="F119" s="3">
        <v>25.286340064364076</v>
      </c>
      <c r="G119" s="3">
        <v>-7.1863400643640745</v>
      </c>
    </row>
    <row r="120" spans="5:7" x14ac:dyDescent="0.35">
      <c r="E120" s="3">
        <v>90</v>
      </c>
      <c r="F120" s="3">
        <v>24.765643779993813</v>
      </c>
      <c r="G120" s="3">
        <v>6.6343562200061861</v>
      </c>
    </row>
    <row r="121" spans="5:7" x14ac:dyDescent="0.35">
      <c r="E121" s="3">
        <v>91</v>
      </c>
      <c r="F121" s="3">
        <v>20.947204361278565</v>
      </c>
      <c r="G121" s="3">
        <v>1.9527956387214331</v>
      </c>
    </row>
    <row r="122" spans="5:7" ht="15" thickBot="1" x14ac:dyDescent="0.4">
      <c r="E122" s="4">
        <v>92</v>
      </c>
      <c r="F122" s="4">
        <v>26.154167204981174</v>
      </c>
      <c r="G122" s="4">
        <v>-0.554167204981173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5"/>
  <sheetViews>
    <sheetView workbookViewId="0">
      <selection activeCell="F5" sqref="F5"/>
    </sheetView>
  </sheetViews>
  <sheetFormatPr defaultRowHeight="14.5" x14ac:dyDescent="0.35"/>
  <cols>
    <col min="1" max="1" width="12.1796875" bestFit="1" customWidth="1"/>
    <col min="2" max="2" width="10.81640625" bestFit="1" customWidth="1"/>
    <col min="3" max="3" width="7.81640625" bestFit="1" customWidth="1"/>
  </cols>
  <sheetData>
    <row r="1" spans="1:7" x14ac:dyDescent="0.35">
      <c r="A1" s="1" t="s">
        <v>0</v>
      </c>
      <c r="B1" s="1" t="s">
        <v>2</v>
      </c>
      <c r="C1" s="1" t="s">
        <v>3</v>
      </c>
    </row>
    <row r="2" spans="1:7" x14ac:dyDescent="0.35">
      <c r="A2" s="2">
        <v>0.93400000000000005</v>
      </c>
      <c r="B2" s="2">
        <v>52.163125999999998</v>
      </c>
      <c r="C2" s="2">
        <v>3508.44</v>
      </c>
    </row>
    <row r="3" spans="1:7" x14ac:dyDescent="0.35">
      <c r="A3" s="2">
        <v>0.88800000000000001</v>
      </c>
      <c r="B3" s="2">
        <v>61.801964499999997</v>
      </c>
      <c r="C3" s="2">
        <v>2773.54</v>
      </c>
    </row>
    <row r="4" spans="1:7" x14ac:dyDescent="0.35">
      <c r="A4" s="2">
        <v>0.93300000000000005</v>
      </c>
      <c r="B4" s="2">
        <v>93.440034400000002</v>
      </c>
      <c r="C4" s="2">
        <v>1738.97</v>
      </c>
      <c r="E4" t="s">
        <v>39</v>
      </c>
      <c r="F4">
        <f>1/(1-G14)</f>
        <v>1.0117283499151444</v>
      </c>
    </row>
    <row r="5" spans="1:7" x14ac:dyDescent="0.35">
      <c r="A5" s="2">
        <v>0.75700000000000001</v>
      </c>
      <c r="B5" s="2">
        <v>59.8741968</v>
      </c>
      <c r="C5" s="2">
        <v>1665.29</v>
      </c>
    </row>
    <row r="6" spans="1:7" x14ac:dyDescent="0.35">
      <c r="A6" s="2">
        <v>1.0309999999999999</v>
      </c>
      <c r="B6" s="2">
        <v>50.348756399999999</v>
      </c>
      <c r="C6" s="2">
        <v>3982.95</v>
      </c>
    </row>
    <row r="7" spans="1:7" x14ac:dyDescent="0.35">
      <c r="A7" s="2">
        <v>0.88300000000000001</v>
      </c>
      <c r="B7" s="2">
        <v>57.606234800000003</v>
      </c>
      <c r="C7" s="2">
        <v>2985.74</v>
      </c>
    </row>
    <row r="8" spans="1:7" x14ac:dyDescent="0.35">
      <c r="A8" s="2">
        <v>0.83699999999999997</v>
      </c>
      <c r="B8" s="2">
        <v>51.7095336</v>
      </c>
      <c r="C8" s="2">
        <v>3002.38</v>
      </c>
    </row>
    <row r="9" spans="1:7" x14ac:dyDescent="0.35">
      <c r="A9" s="2">
        <v>0.91200000000000003</v>
      </c>
      <c r="B9" s="2">
        <v>54.884680400000001</v>
      </c>
      <c r="C9" s="2">
        <v>3232.98</v>
      </c>
    </row>
    <row r="10" spans="1:7" x14ac:dyDescent="0.35">
      <c r="A10" s="2">
        <v>0.85299999999999998</v>
      </c>
      <c r="B10" s="2">
        <v>53.977495599999997</v>
      </c>
      <c r="C10" s="2">
        <v>2823.68</v>
      </c>
      <c r="F10" t="s">
        <v>11</v>
      </c>
    </row>
    <row r="11" spans="1:7" ht="15" thickBot="1" x14ac:dyDescent="0.4">
      <c r="A11" s="2">
        <v>0.82499999999999996</v>
      </c>
      <c r="B11" s="2">
        <v>53.523903199999999</v>
      </c>
      <c r="C11" s="2">
        <v>2414.12</v>
      </c>
    </row>
    <row r="12" spans="1:7" x14ac:dyDescent="0.35">
      <c r="A12" s="2">
        <v>0.77200000000000002</v>
      </c>
      <c r="B12" s="2">
        <v>56.925846200000002</v>
      </c>
      <c r="C12" s="2">
        <v>2110.59</v>
      </c>
      <c r="F12" s="6" t="s">
        <v>12</v>
      </c>
      <c r="G12" s="6"/>
    </row>
    <row r="13" spans="1:7" x14ac:dyDescent="0.35">
      <c r="A13" s="2">
        <v>1.0149999999999999</v>
      </c>
      <c r="B13" s="2">
        <v>63.616334100000003</v>
      </c>
      <c r="C13" s="2">
        <v>3100.52</v>
      </c>
      <c r="F13" s="3" t="s">
        <v>13</v>
      </c>
      <c r="G13" s="3">
        <v>0.10766796322625838</v>
      </c>
    </row>
    <row r="14" spans="1:7" x14ac:dyDescent="0.35">
      <c r="A14" s="2">
        <v>0.96299999999999997</v>
      </c>
      <c r="B14" s="2">
        <v>75.069542200000001</v>
      </c>
      <c r="C14" s="2">
        <v>1573.55</v>
      </c>
      <c r="F14" s="3" t="s">
        <v>14</v>
      </c>
      <c r="G14" s="3">
        <v>1.1592390305290927E-2</v>
      </c>
    </row>
    <row r="15" spans="1:7" x14ac:dyDescent="0.35">
      <c r="A15" s="2">
        <v>0.72899999999999998</v>
      </c>
      <c r="B15" s="2">
        <v>48.761183000000003</v>
      </c>
      <c r="C15" s="2">
        <v>2814.91</v>
      </c>
      <c r="F15" s="3" t="s">
        <v>15</v>
      </c>
      <c r="G15" s="3">
        <v>6.1008353090527111E-4</v>
      </c>
    </row>
    <row r="16" spans="1:7" x14ac:dyDescent="0.35">
      <c r="A16" s="2">
        <v>0.73799999999999999</v>
      </c>
      <c r="B16" s="2">
        <v>48.420988700000002</v>
      </c>
      <c r="C16" s="2">
        <v>1254.29</v>
      </c>
      <c r="F16" s="3" t="s">
        <v>16</v>
      </c>
      <c r="G16" s="3">
        <v>15.095756933600564</v>
      </c>
    </row>
    <row r="17" spans="1:14" ht="15" thickBot="1" x14ac:dyDescent="0.4">
      <c r="A17" s="2">
        <v>0.89400000000000002</v>
      </c>
      <c r="B17" s="2">
        <v>72.688182100000006</v>
      </c>
      <c r="C17" s="2">
        <v>4096.58</v>
      </c>
      <c r="F17" s="4" t="s">
        <v>17</v>
      </c>
      <c r="G17" s="4">
        <v>92</v>
      </c>
    </row>
    <row r="18" spans="1:14" x14ac:dyDescent="0.35">
      <c r="A18" s="2">
        <v>0.86299999999999999</v>
      </c>
      <c r="B18" s="2">
        <v>54.431088000000003</v>
      </c>
      <c r="C18" s="2">
        <v>2116.94</v>
      </c>
    </row>
    <row r="19" spans="1:14" ht="15" thickBot="1" x14ac:dyDescent="0.4">
      <c r="A19" s="2">
        <v>0.82699999999999996</v>
      </c>
      <c r="B19" s="2">
        <v>78.471485200000004</v>
      </c>
      <c r="C19" s="2">
        <v>1591.77</v>
      </c>
      <c r="F19" t="s">
        <v>18</v>
      </c>
    </row>
    <row r="20" spans="1:14" x14ac:dyDescent="0.35">
      <c r="A20" s="2">
        <v>0.85</v>
      </c>
      <c r="B20" s="2">
        <v>58.513419599999999</v>
      </c>
      <c r="C20" s="2">
        <v>4157.72</v>
      </c>
      <c r="F20" s="5"/>
      <c r="G20" s="5" t="s">
        <v>23</v>
      </c>
      <c r="H20" s="5" t="s">
        <v>24</v>
      </c>
      <c r="I20" s="5" t="s">
        <v>25</v>
      </c>
      <c r="J20" s="5" t="s">
        <v>26</v>
      </c>
      <c r="K20" s="5" t="s">
        <v>27</v>
      </c>
    </row>
    <row r="21" spans="1:14" x14ac:dyDescent="0.35">
      <c r="A21" s="2">
        <v>0.83899999999999997</v>
      </c>
      <c r="B21" s="2">
        <v>49.554969700000001</v>
      </c>
      <c r="C21" s="2">
        <v>2534.71</v>
      </c>
      <c r="F21" s="3" t="s">
        <v>19</v>
      </c>
      <c r="G21" s="3">
        <v>1</v>
      </c>
      <c r="H21" s="3">
        <v>240.54105577030714</v>
      </c>
      <c r="I21" s="3">
        <v>240.54105577030714</v>
      </c>
      <c r="J21" s="3">
        <v>1.0555514923629874</v>
      </c>
      <c r="K21" s="3">
        <v>0.30698535227727958</v>
      </c>
    </row>
    <row r="22" spans="1:14" x14ac:dyDescent="0.35">
      <c r="A22" s="2">
        <v>0.79500000000000004</v>
      </c>
      <c r="B22" s="2">
        <v>57.719632900000001</v>
      </c>
      <c r="C22" s="2">
        <v>5853.51</v>
      </c>
      <c r="F22" s="3" t="s">
        <v>20</v>
      </c>
      <c r="G22" s="3">
        <v>90</v>
      </c>
      <c r="H22" s="3">
        <v>20509.368965851452</v>
      </c>
      <c r="I22" s="3">
        <v>227.88187739834947</v>
      </c>
      <c r="J22" s="3"/>
      <c r="K22" s="3"/>
    </row>
    <row r="23" spans="1:14" ht="15" thickBot="1" x14ac:dyDescent="0.4">
      <c r="A23" s="2">
        <v>0.73499999999999999</v>
      </c>
      <c r="B23" s="2">
        <v>46.720017200000001</v>
      </c>
      <c r="C23" s="2">
        <v>3230.57</v>
      </c>
      <c r="F23" s="4" t="s">
        <v>21</v>
      </c>
      <c r="G23" s="4">
        <v>91</v>
      </c>
      <c r="H23" s="4">
        <v>20749.910021621759</v>
      </c>
      <c r="I23" s="4"/>
      <c r="J23" s="4"/>
      <c r="K23" s="4"/>
    </row>
    <row r="24" spans="1:14" ht="15" thickBot="1" x14ac:dyDescent="0.4">
      <c r="A24" s="2">
        <v>0.85899999999999999</v>
      </c>
      <c r="B24" s="2">
        <v>46.720017200000001</v>
      </c>
      <c r="C24" s="2">
        <v>2780.89</v>
      </c>
    </row>
    <row r="25" spans="1:14" x14ac:dyDescent="0.35">
      <c r="A25" s="2">
        <v>0.76300000000000001</v>
      </c>
      <c r="B25" s="2">
        <v>48.307590599999997</v>
      </c>
      <c r="C25" s="2">
        <v>2145.35</v>
      </c>
      <c r="F25" s="5"/>
      <c r="G25" s="5" t="s">
        <v>28</v>
      </c>
      <c r="H25" s="5" t="s">
        <v>16</v>
      </c>
      <c r="I25" s="5" t="s">
        <v>29</v>
      </c>
      <c r="J25" s="5" t="s">
        <v>30</v>
      </c>
      <c r="K25" s="5" t="s">
        <v>31</v>
      </c>
      <c r="L25" s="5" t="s">
        <v>32</v>
      </c>
      <c r="M25" s="5" t="s">
        <v>33</v>
      </c>
      <c r="N25" s="5" t="s">
        <v>34</v>
      </c>
    </row>
    <row r="26" spans="1:14" x14ac:dyDescent="0.35">
      <c r="A26" s="2">
        <v>0.82099999999999995</v>
      </c>
      <c r="B26" s="2">
        <v>49.441571600000003</v>
      </c>
      <c r="C26" s="2">
        <v>1349.81</v>
      </c>
      <c r="F26" s="3" t="s">
        <v>22</v>
      </c>
      <c r="G26" s="3">
        <v>57.923857516526311</v>
      </c>
      <c r="H26" s="3">
        <v>4.1954852247536145</v>
      </c>
      <c r="I26" s="3">
        <v>13.806235611264242</v>
      </c>
      <c r="J26" s="3">
        <v>6.0465970302298525E-24</v>
      </c>
      <c r="K26" s="3">
        <v>49.588793834609461</v>
      </c>
      <c r="L26" s="3">
        <v>66.258921198443161</v>
      </c>
      <c r="M26" s="3">
        <v>49.588793834609461</v>
      </c>
      <c r="N26" s="3">
        <v>66.258921198443161</v>
      </c>
    </row>
    <row r="27" spans="1:14" ht="15" thickBot="1" x14ac:dyDescent="0.4">
      <c r="A27" s="2">
        <v>0.70399999999999996</v>
      </c>
      <c r="B27" s="2">
        <v>45.35924</v>
      </c>
      <c r="C27" s="2">
        <v>1819.44</v>
      </c>
      <c r="F27" s="4" t="s">
        <v>3</v>
      </c>
      <c r="G27" s="4">
        <v>-1.5595947354790968E-3</v>
      </c>
      <c r="H27" s="4">
        <v>1.5180009679188115E-3</v>
      </c>
      <c r="I27" s="4">
        <v>-1.0274003564156553</v>
      </c>
      <c r="J27" s="4">
        <v>0.30698535227727497</v>
      </c>
      <c r="K27" s="4">
        <v>-4.575368611207083E-3</v>
      </c>
      <c r="L27" s="4">
        <v>1.4561791402488897E-3</v>
      </c>
      <c r="M27" s="4">
        <v>-4.575368611207083E-3</v>
      </c>
      <c r="N27" s="4">
        <v>1.4561791402488897E-3</v>
      </c>
    </row>
    <row r="28" spans="1:14" x14ac:dyDescent="0.35">
      <c r="A28" s="2">
        <v>0.74199999999999999</v>
      </c>
      <c r="B28" s="2">
        <v>44.111860900000003</v>
      </c>
      <c r="C28" s="2">
        <v>2569.71</v>
      </c>
    </row>
    <row r="29" spans="1:14" x14ac:dyDescent="0.35">
      <c r="A29" s="2">
        <v>0.76200000000000001</v>
      </c>
      <c r="B29" s="2">
        <v>43.544870400000001</v>
      </c>
      <c r="C29" s="2">
        <v>1945.33</v>
      </c>
    </row>
    <row r="30" spans="1:14" x14ac:dyDescent="0.35">
      <c r="A30" s="2">
        <v>0.73099999999999998</v>
      </c>
      <c r="B30" s="2">
        <v>40.142927399999998</v>
      </c>
      <c r="C30" s="2">
        <v>1722.13</v>
      </c>
    </row>
    <row r="31" spans="1:14" x14ac:dyDescent="0.35">
      <c r="A31" s="2">
        <v>0.8</v>
      </c>
      <c r="B31" s="2">
        <v>46.720017200000001</v>
      </c>
      <c r="C31" s="2">
        <v>1580.64</v>
      </c>
      <c r="F31" t="s">
        <v>35</v>
      </c>
    </row>
    <row r="32" spans="1:14" ht="15" thickBot="1" x14ac:dyDescent="0.4">
      <c r="A32" s="2">
        <v>0.79800000000000004</v>
      </c>
      <c r="B32" s="2">
        <v>44.452055199999997</v>
      </c>
      <c r="C32" s="2">
        <v>1809.41</v>
      </c>
    </row>
    <row r="33" spans="1:8" x14ac:dyDescent="0.35">
      <c r="A33" s="2">
        <v>0.78900000000000003</v>
      </c>
      <c r="B33" s="2">
        <v>45.35924</v>
      </c>
      <c r="C33" s="2">
        <v>2815.98</v>
      </c>
      <c r="F33" s="5" t="s">
        <v>36</v>
      </c>
      <c r="G33" s="5" t="s">
        <v>42</v>
      </c>
      <c r="H33" s="5" t="s">
        <v>38</v>
      </c>
    </row>
    <row r="34" spans="1:8" x14ac:dyDescent="0.35">
      <c r="A34" s="2">
        <v>0.95499999999999996</v>
      </c>
      <c r="B34" s="2">
        <v>43.091278000000003</v>
      </c>
      <c r="C34" s="2">
        <v>3503.26</v>
      </c>
      <c r="F34" s="3">
        <v>1</v>
      </c>
      <c r="G34" s="3">
        <v>52.452112962782032</v>
      </c>
      <c r="H34" s="3">
        <v>-0.28898696278203317</v>
      </c>
    </row>
    <row r="35" spans="1:8" x14ac:dyDescent="0.35">
      <c r="A35" s="2">
        <v>0.78200000000000003</v>
      </c>
      <c r="B35" s="2">
        <v>52.163125999999998</v>
      </c>
      <c r="C35" s="2">
        <v>3381.07</v>
      </c>
      <c r="F35" s="3">
        <v>2</v>
      </c>
      <c r="G35" s="3">
        <v>53.59825913388562</v>
      </c>
      <c r="H35" s="3">
        <v>8.2037053661143773</v>
      </c>
    </row>
    <row r="36" spans="1:8" x14ac:dyDescent="0.35">
      <c r="A36" s="2">
        <v>0.68100000000000005</v>
      </c>
      <c r="B36" s="2">
        <v>34.586420500000003</v>
      </c>
      <c r="C36" s="2">
        <v>5153.57</v>
      </c>
      <c r="F36" s="3">
        <v>3</v>
      </c>
      <c r="G36" s="3">
        <v>55.211769059370226</v>
      </c>
      <c r="H36" s="3">
        <v>38.228265340629775</v>
      </c>
    </row>
    <row r="37" spans="1:8" x14ac:dyDescent="0.35">
      <c r="A37" s="2">
        <v>0.85</v>
      </c>
      <c r="B37" s="2">
        <v>56.69905</v>
      </c>
      <c r="C37" s="2">
        <v>2446.4</v>
      </c>
      <c r="F37" s="3">
        <v>4</v>
      </c>
      <c r="G37" s="3">
        <v>55.326679999480326</v>
      </c>
      <c r="H37" s="3">
        <v>4.5475168005196736</v>
      </c>
    </row>
    <row r="38" spans="1:8" x14ac:dyDescent="0.35">
      <c r="A38" s="2">
        <v>0.67</v>
      </c>
      <c r="B38" s="2">
        <v>34.926614800000003</v>
      </c>
      <c r="C38" s="2">
        <v>2031.51</v>
      </c>
      <c r="F38" s="3">
        <v>5</v>
      </c>
      <c r="G38" s="3">
        <v>51.712069664849842</v>
      </c>
      <c r="H38" s="3">
        <v>-1.3633132648498432</v>
      </c>
    </row>
    <row r="39" spans="1:8" x14ac:dyDescent="0.35">
      <c r="A39" s="2">
        <v>0.64500000000000002</v>
      </c>
      <c r="B39" s="2">
        <v>35.380207200000001</v>
      </c>
      <c r="C39" s="2">
        <v>1742.94</v>
      </c>
      <c r="F39" s="3">
        <v>6</v>
      </c>
      <c r="G39" s="3">
        <v>53.267313131016955</v>
      </c>
      <c r="H39" s="3">
        <v>4.3389216689830477</v>
      </c>
    </row>
    <row r="40" spans="1:8" x14ac:dyDescent="0.35">
      <c r="A40" s="2">
        <v>0.69</v>
      </c>
      <c r="B40" s="2">
        <v>37.648169199999998</v>
      </c>
      <c r="C40" s="2">
        <v>1665.29</v>
      </c>
      <c r="F40" s="3">
        <v>7</v>
      </c>
      <c r="G40" s="3">
        <v>53.241361474618579</v>
      </c>
      <c r="H40" s="3">
        <v>-1.5318278746185783</v>
      </c>
    </row>
    <row r="41" spans="1:8" x14ac:dyDescent="0.35">
      <c r="A41" s="2">
        <v>0.68</v>
      </c>
      <c r="B41" s="2">
        <v>39.008946399999999</v>
      </c>
      <c r="C41" s="2">
        <v>2730.81</v>
      </c>
      <c r="F41" s="3">
        <v>8</v>
      </c>
      <c r="G41" s="3">
        <v>52.881718928617104</v>
      </c>
      <c r="H41" s="3">
        <v>2.0029614713828963</v>
      </c>
    </row>
    <row r="42" spans="1:8" x14ac:dyDescent="0.35">
      <c r="A42" s="2">
        <v>0.70899999999999996</v>
      </c>
      <c r="B42" s="2">
        <v>41.730500800000002</v>
      </c>
      <c r="C42" s="2">
        <v>3576.25</v>
      </c>
      <c r="F42" s="3">
        <v>9</v>
      </c>
      <c r="G42" s="3">
        <v>53.520061053848693</v>
      </c>
      <c r="H42" s="3">
        <v>0.45743454615130474</v>
      </c>
    </row>
    <row r="43" spans="1:8" x14ac:dyDescent="0.35">
      <c r="A43" s="2">
        <v>0.749</v>
      </c>
      <c r="B43" s="2">
        <v>38.101761600000003</v>
      </c>
      <c r="C43" s="2">
        <v>1499.31</v>
      </c>
      <c r="F43" s="3">
        <v>10</v>
      </c>
      <c r="G43" s="3">
        <v>54.158808673711512</v>
      </c>
      <c r="H43" s="3">
        <v>-0.63490547371151251</v>
      </c>
    </row>
    <row r="44" spans="1:8" x14ac:dyDescent="0.35">
      <c r="A44" s="2">
        <v>0.55800000000000005</v>
      </c>
      <c r="B44" s="2">
        <v>33.565837600000002</v>
      </c>
      <c r="C44" s="2">
        <v>2060.48</v>
      </c>
      <c r="F44" s="3">
        <v>11</v>
      </c>
      <c r="G44" s="3">
        <v>54.632192463771482</v>
      </c>
      <c r="H44" s="3">
        <v>2.2936537362285208</v>
      </c>
    </row>
    <row r="45" spans="1:8" x14ac:dyDescent="0.35">
      <c r="A45" s="2">
        <v>0.68700000000000006</v>
      </c>
      <c r="B45" s="2">
        <v>33.6792357</v>
      </c>
      <c r="C45" s="2">
        <v>4998.25</v>
      </c>
      <c r="F45" s="3">
        <v>12</v>
      </c>
      <c r="G45" s="3">
        <v>53.088302847278662</v>
      </c>
      <c r="H45" s="3">
        <v>10.528031252721341</v>
      </c>
    </row>
    <row r="46" spans="1:8" x14ac:dyDescent="0.35">
      <c r="A46" s="2">
        <v>0.73399999999999999</v>
      </c>
      <c r="B46" s="2">
        <v>49.441571600000003</v>
      </c>
      <c r="C46" s="2">
        <v>1450.86</v>
      </c>
      <c r="F46" s="3">
        <v>13</v>
      </c>
      <c r="G46" s="3">
        <v>55.469757220513181</v>
      </c>
      <c r="H46" s="3">
        <v>19.59978497948682</v>
      </c>
    </row>
    <row r="47" spans="1:8" x14ac:dyDescent="0.35">
      <c r="A47" s="2">
        <v>0.69899999999999995</v>
      </c>
      <c r="B47" s="2">
        <v>39.008946399999999</v>
      </c>
      <c r="C47" s="2">
        <v>1547.67</v>
      </c>
      <c r="F47" s="3">
        <v>14</v>
      </c>
      <c r="G47" s="3">
        <v>53.53373869967885</v>
      </c>
      <c r="H47" s="3">
        <v>-4.772555699678847</v>
      </c>
    </row>
    <row r="48" spans="1:8" x14ac:dyDescent="0.35">
      <c r="A48" s="2">
        <v>0.81499999999999995</v>
      </c>
      <c r="B48" s="2">
        <v>63.0493436</v>
      </c>
      <c r="C48" s="2">
        <v>1880.67</v>
      </c>
      <c r="F48" s="3">
        <v>15</v>
      </c>
      <c r="G48" s="3">
        <v>55.967673435762237</v>
      </c>
      <c r="H48" s="3">
        <v>-7.5466847357622342</v>
      </c>
    </row>
    <row r="49" spans="1:8" x14ac:dyDescent="0.35">
      <c r="A49" s="2">
        <v>0.80100000000000005</v>
      </c>
      <c r="B49" s="2">
        <v>49.895164000000001</v>
      </c>
      <c r="C49" s="2">
        <v>1405.69</v>
      </c>
      <c r="F49" s="3">
        <v>16</v>
      </c>
      <c r="G49" s="3">
        <v>51.534852915057357</v>
      </c>
      <c r="H49" s="3">
        <v>21.153329184942649</v>
      </c>
    </row>
    <row r="50" spans="1:8" x14ac:dyDescent="0.35">
      <c r="A50" s="2">
        <v>0.81499999999999995</v>
      </c>
      <c r="B50" s="2">
        <v>58.740215800000001</v>
      </c>
      <c r="C50" s="2">
        <v>2013.06</v>
      </c>
      <c r="F50" s="3">
        <v>17</v>
      </c>
      <c r="G50" s="3">
        <v>54.622289037201192</v>
      </c>
      <c r="H50" s="3">
        <v>-0.19120103720118919</v>
      </c>
    </row>
    <row r="51" spans="1:8" x14ac:dyDescent="0.35">
      <c r="A51" s="2">
        <v>0.745</v>
      </c>
      <c r="B51" s="2">
        <v>56.812448099999997</v>
      </c>
      <c r="C51" s="2">
        <v>2558.81</v>
      </c>
      <c r="F51" s="3">
        <v>18</v>
      </c>
      <c r="G51" s="3">
        <v>55.441341404432748</v>
      </c>
      <c r="H51" s="3">
        <v>23.030143795567255</v>
      </c>
    </row>
    <row r="52" spans="1:8" x14ac:dyDescent="0.35">
      <c r="A52" s="2">
        <v>0.83599999999999997</v>
      </c>
      <c r="B52" s="2">
        <v>61.688566399999999</v>
      </c>
      <c r="C52" s="2">
        <v>2748.62</v>
      </c>
      <c r="F52" s="3">
        <v>19</v>
      </c>
      <c r="G52" s="3">
        <v>51.439499292930158</v>
      </c>
      <c r="H52" s="3">
        <v>7.0739203070698409</v>
      </c>
    </row>
    <row r="53" spans="1:8" x14ac:dyDescent="0.35">
      <c r="A53" s="2">
        <v>0.76200000000000001</v>
      </c>
      <c r="B53" s="2">
        <v>54.431088000000003</v>
      </c>
      <c r="C53" s="2">
        <v>2187.21</v>
      </c>
      <c r="F53" s="3">
        <v>20</v>
      </c>
      <c r="G53" s="3">
        <v>53.97073714456009</v>
      </c>
      <c r="H53" s="3">
        <v>-4.415767444560089</v>
      </c>
    </row>
    <row r="54" spans="1:8" x14ac:dyDescent="0.35">
      <c r="A54" s="2">
        <v>0.86099999999999999</v>
      </c>
      <c r="B54" s="2">
        <v>93.893626800000007</v>
      </c>
      <c r="C54" s="2">
        <v>824.25</v>
      </c>
      <c r="F54" s="3">
        <v>21</v>
      </c>
      <c r="G54" s="3">
        <v>48.794754136452063</v>
      </c>
      <c r="H54" s="3">
        <v>8.9248787635479374</v>
      </c>
    </row>
    <row r="55" spans="1:8" x14ac:dyDescent="0.35">
      <c r="A55" s="2">
        <v>1.02</v>
      </c>
      <c r="B55" s="2">
        <v>74.3891536</v>
      </c>
      <c r="C55" s="2">
        <v>2701.94</v>
      </c>
      <c r="F55" s="3">
        <v>22</v>
      </c>
      <c r="G55" s="3">
        <v>52.885477551929604</v>
      </c>
      <c r="H55" s="3">
        <v>-6.1654603519296032</v>
      </c>
    </row>
    <row r="56" spans="1:8" x14ac:dyDescent="0.35">
      <c r="A56" s="2">
        <v>0.77600000000000002</v>
      </c>
      <c r="B56" s="2">
        <v>96.161588800000004</v>
      </c>
      <c r="C56" s="2">
        <v>1595.62</v>
      </c>
      <c r="F56" s="3">
        <v>23</v>
      </c>
      <c r="G56" s="3">
        <v>53.586796112579847</v>
      </c>
      <c r="H56" s="3">
        <v>-6.8667789125798464</v>
      </c>
    </row>
    <row r="57" spans="1:8" x14ac:dyDescent="0.35">
      <c r="A57" s="2">
        <v>1.008</v>
      </c>
      <c r="B57" s="2">
        <v>72.574783999999994</v>
      </c>
      <c r="C57" s="2">
        <v>7191.08</v>
      </c>
      <c r="F57" s="3">
        <v>24</v>
      </c>
      <c r="G57" s="3">
        <v>54.577980950766232</v>
      </c>
      <c r="H57" s="3">
        <v>-6.2703903507662346</v>
      </c>
    </row>
    <row r="58" spans="1:8" x14ac:dyDescent="0.35">
      <c r="A58" s="2">
        <v>1.01</v>
      </c>
      <c r="B58" s="2">
        <v>98.429550800000001</v>
      </c>
      <c r="C58" s="2">
        <v>1704.27</v>
      </c>
      <c r="F58" s="3">
        <v>25</v>
      </c>
      <c r="G58" s="3">
        <v>55.818700946629271</v>
      </c>
      <c r="H58" s="3">
        <v>-6.3771293466292676</v>
      </c>
    </row>
    <row r="59" spans="1:8" x14ac:dyDescent="0.35">
      <c r="A59" s="2">
        <v>0.88500000000000001</v>
      </c>
      <c r="B59" s="2">
        <v>51.596135500000003</v>
      </c>
      <c r="C59" s="2">
        <v>1827.86</v>
      </c>
      <c r="F59" s="3">
        <v>26</v>
      </c>
      <c r="G59" s="3">
        <v>55.086268471006221</v>
      </c>
      <c r="H59" s="3">
        <v>-9.7270284710062214</v>
      </c>
    </row>
    <row r="60" spans="1:8" x14ac:dyDescent="0.35">
      <c r="A60" s="2">
        <v>0.77100000000000002</v>
      </c>
      <c r="B60" s="2">
        <v>56.245457600000002</v>
      </c>
      <c r="C60" s="2">
        <v>3246.64</v>
      </c>
      <c r="F60" s="3">
        <v>27</v>
      </c>
      <c r="G60" s="3">
        <v>53.916151328818323</v>
      </c>
      <c r="H60" s="3">
        <v>-9.8042904288183195</v>
      </c>
    </row>
    <row r="61" spans="1:8" x14ac:dyDescent="0.35">
      <c r="A61" s="2">
        <v>1.081</v>
      </c>
      <c r="B61" s="2">
        <v>59.420604400000002</v>
      </c>
      <c r="C61" s="2">
        <v>3035.29</v>
      </c>
      <c r="F61" s="3">
        <v>28</v>
      </c>
      <c r="G61" s="3">
        <v>54.889931089756757</v>
      </c>
      <c r="H61" s="3">
        <v>-11.345060689756757</v>
      </c>
    </row>
    <row r="62" spans="1:8" x14ac:dyDescent="0.35">
      <c r="A62" s="2">
        <v>1.0269999999999999</v>
      </c>
      <c r="B62" s="2">
        <v>93.440034400000002</v>
      </c>
      <c r="C62" s="2">
        <v>2198.29</v>
      </c>
      <c r="F62" s="3">
        <v>29</v>
      </c>
      <c r="G62" s="3">
        <v>55.238032634715694</v>
      </c>
      <c r="H62" s="3">
        <v>-15.095105234715696</v>
      </c>
    </row>
    <row r="63" spans="1:8" x14ac:dyDescent="0.35">
      <c r="A63" s="2">
        <v>0.80200000000000005</v>
      </c>
      <c r="B63" s="2">
        <v>48.987979199999998</v>
      </c>
      <c r="C63" s="2">
        <v>2209.1999999999998</v>
      </c>
      <c r="F63" s="3">
        <v>30</v>
      </c>
      <c r="G63" s="3">
        <v>55.458699693838632</v>
      </c>
      <c r="H63" s="3">
        <v>-8.7386824938386312</v>
      </c>
    </row>
    <row r="64" spans="1:8" x14ac:dyDescent="0.35">
      <c r="A64" s="2">
        <v>0.78300000000000003</v>
      </c>
      <c r="B64" s="2">
        <v>53.750698999999997</v>
      </c>
      <c r="C64" s="2">
        <v>3188.11</v>
      </c>
      <c r="F64" s="3">
        <v>31</v>
      </c>
      <c r="G64" s="3">
        <v>55.101911206203077</v>
      </c>
      <c r="H64" s="3">
        <v>-10.64985600620308</v>
      </c>
    </row>
    <row r="65" spans="1:8" x14ac:dyDescent="0.35">
      <c r="A65" s="2">
        <v>0.98</v>
      </c>
      <c r="B65" s="2">
        <v>91.625664799999996</v>
      </c>
      <c r="C65" s="2">
        <v>1280.8900000000001</v>
      </c>
      <c r="F65" s="3">
        <v>32</v>
      </c>
      <c r="G65" s="3">
        <v>53.532069933311888</v>
      </c>
      <c r="H65" s="3">
        <v>-8.1728299333118883</v>
      </c>
    </row>
    <row r="66" spans="1:8" x14ac:dyDescent="0.35">
      <c r="A66" s="2">
        <v>0.84799999999999998</v>
      </c>
      <c r="B66" s="2">
        <v>62.595751200000002</v>
      </c>
      <c r="C66" s="2">
        <v>2771.29</v>
      </c>
      <c r="F66" s="3">
        <v>33</v>
      </c>
      <c r="G66" s="3">
        <v>52.460191663511807</v>
      </c>
      <c r="H66" s="3">
        <v>-9.3689136635118047</v>
      </c>
    </row>
    <row r="67" spans="1:8" x14ac:dyDescent="0.35">
      <c r="A67" s="2">
        <v>0.84899999999999998</v>
      </c>
      <c r="B67" s="2">
        <v>68.03886</v>
      </c>
      <c r="C67" s="2">
        <v>3795.98</v>
      </c>
      <c r="F67" s="3">
        <v>34</v>
      </c>
      <c r="G67" s="3">
        <v>52.650758544239999</v>
      </c>
      <c r="H67" s="3">
        <v>-0.48763254424000024</v>
      </c>
    </row>
    <row r="68" spans="1:8" x14ac:dyDescent="0.35">
      <c r="A68" s="2">
        <v>0.97299999999999998</v>
      </c>
      <c r="B68" s="2">
        <v>84.368186399999999</v>
      </c>
      <c r="C68" s="2">
        <v>1974.92</v>
      </c>
      <c r="F68" s="3">
        <v>35</v>
      </c>
      <c r="G68" s="3">
        <v>49.886376875603304</v>
      </c>
      <c r="H68" s="3">
        <v>-15.299956375603301</v>
      </c>
    </row>
    <row r="69" spans="1:8" x14ac:dyDescent="0.35">
      <c r="A69" s="2">
        <v>0.86599999999999999</v>
      </c>
      <c r="B69" s="2">
        <v>69.853229999999996</v>
      </c>
      <c r="C69" s="2">
        <v>2161.87</v>
      </c>
      <c r="F69" s="3">
        <v>36</v>
      </c>
      <c r="G69" s="3">
        <v>54.108464955650248</v>
      </c>
      <c r="H69" s="3">
        <v>2.5905850443497513</v>
      </c>
    </row>
    <row r="70" spans="1:8" x14ac:dyDescent="0.35">
      <c r="A70" s="2">
        <v>0.77600000000000002</v>
      </c>
      <c r="B70" s="2">
        <v>54.431088000000003</v>
      </c>
      <c r="C70" s="2">
        <v>3648.71</v>
      </c>
      <c r="F70" s="3">
        <v>37</v>
      </c>
      <c r="G70" s="3">
        <v>54.755525215453169</v>
      </c>
      <c r="H70" s="3">
        <v>-19.828910415453166</v>
      </c>
    </row>
    <row r="71" spans="1:8" x14ac:dyDescent="0.35">
      <c r="A71" s="2">
        <v>0.84299999999999997</v>
      </c>
      <c r="B71" s="2">
        <v>68.265656199999995</v>
      </c>
      <c r="C71" s="2">
        <v>2524.2199999999998</v>
      </c>
      <c r="F71" s="3">
        <v>38</v>
      </c>
      <c r="G71" s="3">
        <v>55.205577468270377</v>
      </c>
      <c r="H71" s="3">
        <v>-19.825370268270376</v>
      </c>
    </row>
    <row r="72" spans="1:8" x14ac:dyDescent="0.35">
      <c r="A72" s="2">
        <v>0.84099999999999997</v>
      </c>
      <c r="B72" s="2">
        <v>48.1941925</v>
      </c>
      <c r="C72" s="2">
        <v>3287.8</v>
      </c>
      <c r="F72" s="3">
        <v>39</v>
      </c>
      <c r="G72" s="3">
        <v>55.326679999480326</v>
      </c>
      <c r="H72" s="3">
        <v>-17.678510799480328</v>
      </c>
    </row>
    <row r="73" spans="1:8" x14ac:dyDescent="0.35">
      <c r="A73" s="2">
        <v>0.68700000000000006</v>
      </c>
      <c r="B73" s="2">
        <v>46.379822900000001</v>
      </c>
      <c r="C73" s="2">
        <v>4215.59</v>
      </c>
      <c r="F73" s="3">
        <v>40</v>
      </c>
      <c r="G73" s="3">
        <v>53.664900616932641</v>
      </c>
      <c r="H73" s="3">
        <v>-14.655954216932642</v>
      </c>
    </row>
    <row r="74" spans="1:8" x14ac:dyDescent="0.35">
      <c r="A74" s="2">
        <v>0.67600000000000005</v>
      </c>
      <c r="B74" s="2">
        <v>54.884680400000001</v>
      </c>
      <c r="C74" s="2">
        <v>1421.96</v>
      </c>
      <c r="F74" s="3">
        <v>41</v>
      </c>
      <c r="G74" s="3">
        <v>52.346356843769193</v>
      </c>
      <c r="H74" s="3">
        <v>-10.615856043769192</v>
      </c>
    </row>
    <row r="75" spans="1:8" x14ac:dyDescent="0.35">
      <c r="A75" s="2">
        <v>0.752</v>
      </c>
      <c r="B75" s="2">
        <v>61.915362600000002</v>
      </c>
      <c r="C75" s="2">
        <v>1821.66</v>
      </c>
      <c r="F75" s="3">
        <v>42</v>
      </c>
      <c r="G75" s="3">
        <v>55.585541533675148</v>
      </c>
      <c r="H75" s="3">
        <v>-17.483779933675144</v>
      </c>
    </row>
    <row r="76" spans="1:8" x14ac:dyDescent="0.35">
      <c r="A76" s="2">
        <v>0.747</v>
      </c>
      <c r="B76" s="2">
        <v>49.101377300000003</v>
      </c>
      <c r="C76" s="2">
        <v>2462.5100000000002</v>
      </c>
      <c r="F76" s="3">
        <v>43</v>
      </c>
      <c r="G76" s="3">
        <v>54.710343755966342</v>
      </c>
      <c r="H76" s="3">
        <v>-21.14450615596634</v>
      </c>
    </row>
    <row r="77" spans="1:8" x14ac:dyDescent="0.35">
      <c r="A77" s="2">
        <v>0.73799999999999999</v>
      </c>
      <c r="B77" s="2">
        <v>49.101377300000003</v>
      </c>
      <c r="C77" s="2">
        <v>2775.67</v>
      </c>
      <c r="F77" s="3">
        <v>44</v>
      </c>
      <c r="G77" s="3">
        <v>50.128613129917916</v>
      </c>
      <c r="H77" s="3">
        <v>-16.449377429917917</v>
      </c>
    </row>
    <row r="78" spans="1:8" x14ac:dyDescent="0.35">
      <c r="A78" s="2">
        <v>0.79400000000000004</v>
      </c>
      <c r="B78" s="2">
        <v>33.565837600000002</v>
      </c>
      <c r="C78" s="2">
        <v>3006.89</v>
      </c>
      <c r="F78" s="3">
        <v>45</v>
      </c>
      <c r="G78" s="3">
        <v>55.661103898609106</v>
      </c>
      <c r="H78" s="3">
        <v>-6.2195322986091028</v>
      </c>
    </row>
    <row r="79" spans="1:8" x14ac:dyDescent="0.35">
      <c r="A79" s="2">
        <v>0.72</v>
      </c>
      <c r="B79" s="2">
        <v>42.8644818</v>
      </c>
      <c r="C79" s="2">
        <v>2008.19</v>
      </c>
      <c r="F79" s="3">
        <v>46</v>
      </c>
      <c r="G79" s="3">
        <v>55.510119532267375</v>
      </c>
      <c r="H79" s="3">
        <v>-16.501173132267375</v>
      </c>
    </row>
    <row r="80" spans="1:8" x14ac:dyDescent="0.35">
      <c r="A80" s="2">
        <v>0.83699999999999997</v>
      </c>
      <c r="B80" s="2">
        <v>43.091278000000003</v>
      </c>
      <c r="C80" s="2">
        <v>2503.69</v>
      </c>
      <c r="F80" s="3">
        <v>47</v>
      </c>
      <c r="G80" s="3">
        <v>54.990774485352837</v>
      </c>
      <c r="H80" s="3">
        <v>8.0585691146471632</v>
      </c>
    </row>
    <row r="81" spans="1:8" x14ac:dyDescent="0.35">
      <c r="A81" s="2">
        <v>0.73199999999999998</v>
      </c>
      <c r="B81" s="2">
        <v>42.1840932</v>
      </c>
      <c r="C81" s="2">
        <v>2246.3200000000002</v>
      </c>
      <c r="F81" s="3">
        <v>48</v>
      </c>
      <c r="G81" s="3">
        <v>55.731550792810701</v>
      </c>
      <c r="H81" s="3">
        <v>-5.8363867928106998</v>
      </c>
    </row>
    <row r="82" spans="1:8" x14ac:dyDescent="0.35">
      <c r="A82" s="2">
        <v>0.73799999999999999</v>
      </c>
      <c r="B82" s="2">
        <v>47.740600100000002</v>
      </c>
      <c r="C82" s="2">
        <v>1531.93</v>
      </c>
      <c r="F82" s="3">
        <v>49</v>
      </c>
      <c r="G82" s="3">
        <v>54.784299738322758</v>
      </c>
      <c r="H82" s="3">
        <v>3.9559160616772431</v>
      </c>
    </row>
    <row r="83" spans="1:8" x14ac:dyDescent="0.35">
      <c r="A83" s="2">
        <v>0.85599999999999998</v>
      </c>
      <c r="B83" s="2">
        <v>44.452055199999997</v>
      </c>
      <c r="C83" s="2">
        <v>2002.41</v>
      </c>
      <c r="F83" s="3">
        <v>50</v>
      </c>
      <c r="G83" s="3">
        <v>53.933150911435042</v>
      </c>
      <c r="H83" s="3">
        <v>2.879297188564955</v>
      </c>
    </row>
    <row r="84" spans="1:8" x14ac:dyDescent="0.35">
      <c r="A84" s="2">
        <v>0.79300000000000004</v>
      </c>
      <c r="B84" s="2">
        <v>43.544870400000001</v>
      </c>
      <c r="C84" s="2">
        <v>4080.04</v>
      </c>
      <c r="F84" s="3">
        <v>51</v>
      </c>
      <c r="G84" s="3">
        <v>53.637124234693758</v>
      </c>
      <c r="H84" s="3">
        <v>8.0514421653062413</v>
      </c>
    </row>
    <row r="85" spans="1:8" x14ac:dyDescent="0.35">
      <c r="A85" s="2">
        <v>0.71</v>
      </c>
      <c r="B85" s="2">
        <v>42.5242875</v>
      </c>
      <c r="C85" s="2">
        <v>2413</v>
      </c>
      <c r="F85" s="3">
        <v>52</v>
      </c>
      <c r="G85" s="3">
        <v>54.512696315139074</v>
      </c>
      <c r="H85" s="3">
        <v>-8.1608315139071408E-2</v>
      </c>
    </row>
    <row r="86" spans="1:8" x14ac:dyDescent="0.35">
      <c r="A86" s="2">
        <v>0.77</v>
      </c>
      <c r="B86" s="2">
        <v>40.823315999999998</v>
      </c>
      <c r="C86" s="2">
        <v>1721.39</v>
      </c>
      <c r="F86" s="3">
        <v>53</v>
      </c>
      <c r="G86" s="3">
        <v>56.638361555807663</v>
      </c>
      <c r="H86" s="3">
        <v>37.255265244192344</v>
      </c>
    </row>
    <row r="87" spans="1:8" x14ac:dyDescent="0.35">
      <c r="A87" s="2">
        <v>0.74</v>
      </c>
      <c r="B87" s="2">
        <v>47.740600100000002</v>
      </c>
      <c r="C87" s="2">
        <v>2226.92</v>
      </c>
      <c r="F87" s="3">
        <v>54</v>
      </c>
      <c r="G87" s="3">
        <v>53.709926116945923</v>
      </c>
      <c r="H87" s="3">
        <v>20.679227483054078</v>
      </c>
    </row>
    <row r="88" spans="1:8" x14ac:dyDescent="0.35">
      <c r="A88" s="2">
        <v>0.73699999999999999</v>
      </c>
      <c r="B88" s="2">
        <v>42.637685599999998</v>
      </c>
      <c r="C88" s="2">
        <v>2449.9699999999998</v>
      </c>
      <c r="F88" s="3">
        <v>55</v>
      </c>
      <c r="G88" s="3">
        <v>55.435336964701158</v>
      </c>
      <c r="H88" s="3">
        <v>40.726251835298847</v>
      </c>
    </row>
    <row r="89" spans="1:8" x14ac:dyDescent="0.35">
      <c r="A89" s="2">
        <v>0.63300000000000001</v>
      </c>
      <c r="B89" s="2">
        <v>43.544870400000001</v>
      </c>
      <c r="C89" s="2">
        <v>1283.6600000000001</v>
      </c>
      <c r="F89" s="3">
        <v>56</v>
      </c>
      <c r="G89" s="3">
        <v>46.708687006117287</v>
      </c>
      <c r="H89" s="3">
        <v>25.866096993882707</v>
      </c>
    </row>
    <row r="90" spans="1:8" x14ac:dyDescent="0.35">
      <c r="A90" s="2">
        <v>0.621</v>
      </c>
      <c r="B90" s="2">
        <v>45.35924</v>
      </c>
      <c r="C90" s="2">
        <v>2829.43</v>
      </c>
      <c r="F90" s="3">
        <v>57</v>
      </c>
      <c r="G90" s="3">
        <v>55.26588699669135</v>
      </c>
      <c r="H90" s="3">
        <v>43.163663803308651</v>
      </c>
    </row>
    <row r="91" spans="1:8" x14ac:dyDescent="0.35">
      <c r="A91" s="2">
        <v>0.74399999999999999</v>
      </c>
      <c r="B91" s="2">
        <v>43.998462799999999</v>
      </c>
      <c r="C91" s="2">
        <v>2922.46</v>
      </c>
      <c r="F91" s="3">
        <v>58</v>
      </c>
      <c r="G91" s="3">
        <v>55.073136683333487</v>
      </c>
      <c r="H91" s="3">
        <v>-3.4770011833334848</v>
      </c>
    </row>
    <row r="92" spans="1:8" x14ac:dyDescent="0.35">
      <c r="A92" s="2">
        <v>0.622</v>
      </c>
      <c r="B92" s="2">
        <v>34.01943</v>
      </c>
      <c r="C92" s="2">
        <v>2560.61</v>
      </c>
      <c r="F92" s="3">
        <v>59</v>
      </c>
      <c r="G92" s="3">
        <v>52.860414864530455</v>
      </c>
      <c r="H92" s="3">
        <v>3.3850427354695469</v>
      </c>
    </row>
    <row r="93" spans="1:8" x14ac:dyDescent="0.35">
      <c r="A93" s="2">
        <v>0.73499999999999999</v>
      </c>
      <c r="B93" s="2">
        <v>47.627201999999997</v>
      </c>
      <c r="C93" s="2">
        <v>2366.34</v>
      </c>
      <c r="F93" s="3">
        <v>60</v>
      </c>
      <c r="G93" s="3">
        <v>53.190035211873962</v>
      </c>
      <c r="H93" s="3">
        <v>6.2305691881260401</v>
      </c>
    </row>
    <row r="94" spans="1:8" x14ac:dyDescent="0.35">
      <c r="F94" s="3">
        <v>61</v>
      </c>
      <c r="G94" s="3">
        <v>54.49541600546997</v>
      </c>
      <c r="H94" s="3">
        <v>38.944618394530032</v>
      </c>
    </row>
    <row r="95" spans="1:8" x14ac:dyDescent="0.35">
      <c r="F95" s="3">
        <v>62</v>
      </c>
      <c r="G95" s="3">
        <v>54.47840082690589</v>
      </c>
      <c r="H95" s="3">
        <v>-5.4904216269058921</v>
      </c>
    </row>
    <row r="96" spans="1:8" x14ac:dyDescent="0.35">
      <c r="F96" s="3">
        <v>63</v>
      </c>
      <c r="G96" s="3">
        <v>52.951697944398049</v>
      </c>
      <c r="H96" s="3">
        <v>0.79900105560194845</v>
      </c>
    </row>
    <row r="97" spans="6:8" x14ac:dyDescent="0.35">
      <c r="F97" s="3">
        <v>64</v>
      </c>
      <c r="G97" s="3">
        <v>55.92618821579849</v>
      </c>
      <c r="H97" s="3">
        <v>35.699476584201506</v>
      </c>
    </row>
    <row r="98" spans="6:8" x14ac:dyDescent="0.35">
      <c r="F98" s="3">
        <v>65</v>
      </c>
      <c r="G98" s="3">
        <v>53.601768222040448</v>
      </c>
      <c r="H98" s="3">
        <v>8.9939829779595541</v>
      </c>
    </row>
    <row r="99" spans="6:8" x14ac:dyDescent="0.35">
      <c r="F99" s="3">
        <v>66</v>
      </c>
      <c r="G99" s="3">
        <v>52.003667092542372</v>
      </c>
      <c r="H99" s="3">
        <v>16.035192907457628</v>
      </c>
    </row>
    <row r="100" spans="6:8" x14ac:dyDescent="0.35">
      <c r="F100" s="3">
        <v>67</v>
      </c>
      <c r="G100" s="3">
        <v>54.843782681533931</v>
      </c>
      <c r="H100" s="3">
        <v>29.524403718466068</v>
      </c>
    </row>
    <row r="101" spans="6:8" x14ac:dyDescent="0.35">
      <c r="F101" s="3">
        <v>68</v>
      </c>
      <c r="G101" s="3">
        <v>54.552216445736114</v>
      </c>
      <c r="H101" s="3">
        <v>15.301013554263882</v>
      </c>
    </row>
    <row r="102" spans="6:8" x14ac:dyDescent="0.35">
      <c r="F102" s="3">
        <v>69</v>
      </c>
      <c r="G102" s="3">
        <v>52.233348609236373</v>
      </c>
      <c r="H102" s="3">
        <v>2.1977393907636298</v>
      </c>
    </row>
    <row r="103" spans="6:8" x14ac:dyDescent="0.35">
      <c r="F103" s="3">
        <v>70</v>
      </c>
      <c r="G103" s="3">
        <v>53.987097293335268</v>
      </c>
      <c r="H103" s="3">
        <v>14.278558906664728</v>
      </c>
    </row>
    <row r="104" spans="6:8" x14ac:dyDescent="0.35">
      <c r="F104" s="3">
        <v>71</v>
      </c>
      <c r="G104" s="3">
        <v>52.796221945218136</v>
      </c>
      <c r="H104" s="3">
        <v>-4.6020294452181361</v>
      </c>
    </row>
    <row r="105" spans="6:8" x14ac:dyDescent="0.35">
      <c r="F105" s="3">
        <v>72</v>
      </c>
      <c r="G105" s="3">
        <v>51.349245545587983</v>
      </c>
      <c r="H105" s="3">
        <v>-4.9694226455879829</v>
      </c>
    </row>
    <row r="106" spans="6:8" x14ac:dyDescent="0.35">
      <c r="F106" s="3">
        <v>73</v>
      </c>
      <c r="G106" s="3">
        <v>55.706176186464454</v>
      </c>
      <c r="H106" s="3">
        <v>-0.8214957864644532</v>
      </c>
    </row>
    <row r="107" spans="6:8" x14ac:dyDescent="0.35">
      <c r="F107" s="3">
        <v>74</v>
      </c>
      <c r="G107" s="3">
        <v>55.082806170693459</v>
      </c>
      <c r="H107" s="3">
        <v>6.8325564293065426</v>
      </c>
    </row>
    <row r="108" spans="6:8" x14ac:dyDescent="0.35">
      <c r="F108" s="3">
        <v>75</v>
      </c>
      <c r="G108" s="3">
        <v>54.08333988446168</v>
      </c>
      <c r="H108" s="3">
        <v>-4.9819625844616766</v>
      </c>
    </row>
    <row r="109" spans="6:8" x14ac:dyDescent="0.35">
      <c r="F109" s="3">
        <v>76</v>
      </c>
      <c r="G109" s="3">
        <v>53.59493719709905</v>
      </c>
      <c r="H109" s="3">
        <v>-4.4935598970990469</v>
      </c>
    </row>
    <row r="110" spans="6:8" x14ac:dyDescent="0.35">
      <c r="F110" s="3">
        <v>77</v>
      </c>
      <c r="G110" s="3">
        <v>53.234327702361568</v>
      </c>
      <c r="H110" s="3">
        <v>-19.668490102361567</v>
      </c>
    </row>
    <row r="111" spans="6:8" x14ac:dyDescent="0.35">
      <c r="F111" s="3">
        <v>78</v>
      </c>
      <c r="G111" s="3">
        <v>54.791894964684545</v>
      </c>
      <c r="H111" s="3">
        <v>-11.927413164684545</v>
      </c>
    </row>
    <row r="112" spans="6:8" x14ac:dyDescent="0.35">
      <c r="F112" s="3">
        <v>79</v>
      </c>
      <c r="G112" s="3">
        <v>54.019115773254654</v>
      </c>
      <c r="H112" s="3">
        <v>-10.927837773254652</v>
      </c>
    </row>
    <row r="113" spans="6:8" x14ac:dyDescent="0.35">
      <c r="F113" s="3">
        <v>80</v>
      </c>
      <c r="G113" s="3">
        <v>54.420508670324907</v>
      </c>
      <c r="H113" s="3">
        <v>-12.236415470324907</v>
      </c>
    </row>
    <row r="114" spans="6:8" x14ac:dyDescent="0.35">
      <c r="F114" s="3">
        <v>81</v>
      </c>
      <c r="G114" s="3">
        <v>55.534667553403821</v>
      </c>
      <c r="H114" s="3">
        <v>-7.7940674534038195</v>
      </c>
    </row>
    <row r="115" spans="6:8" x14ac:dyDescent="0.35">
      <c r="F115" s="3">
        <v>82</v>
      </c>
      <c r="G115" s="3">
        <v>54.800909422255614</v>
      </c>
      <c r="H115" s="3">
        <v>-10.348854222255618</v>
      </c>
    </row>
    <row r="116" spans="6:8" x14ac:dyDescent="0.35">
      <c r="F116" s="3">
        <v>83</v>
      </c>
      <c r="G116" s="3">
        <v>51.560648611982174</v>
      </c>
      <c r="H116" s="3">
        <v>-8.0157782119821732</v>
      </c>
    </row>
    <row r="117" spans="6:8" x14ac:dyDescent="0.35">
      <c r="F117" s="3">
        <v>84</v>
      </c>
      <c r="G117" s="3">
        <v>54.160555419815253</v>
      </c>
      <c r="H117" s="3">
        <v>-11.636267919815253</v>
      </c>
    </row>
    <row r="118" spans="6:8" x14ac:dyDescent="0.35">
      <c r="F118" s="3">
        <v>85</v>
      </c>
      <c r="G118" s="3">
        <v>55.239186734819953</v>
      </c>
      <c r="H118" s="3">
        <v>-14.415870734819954</v>
      </c>
    </row>
    <row r="119" spans="6:8" x14ac:dyDescent="0.35">
      <c r="F119" s="3">
        <v>86</v>
      </c>
      <c r="G119" s="3">
        <v>54.450764808193199</v>
      </c>
      <c r="H119" s="3">
        <v>-6.7101647081931972</v>
      </c>
    </row>
    <row r="120" spans="6:8" x14ac:dyDescent="0.35">
      <c r="F120" s="3">
        <v>87</v>
      </c>
      <c r="G120" s="3">
        <v>54.102897202444588</v>
      </c>
      <c r="H120" s="3">
        <v>-11.46521160244459</v>
      </c>
    </row>
    <row r="121" spans="6:8" x14ac:dyDescent="0.35">
      <c r="F121" s="3">
        <v>88</v>
      </c>
      <c r="G121" s="3">
        <v>55.921868138381214</v>
      </c>
      <c r="H121" s="3">
        <v>-12.376997738381213</v>
      </c>
    </row>
    <row r="122" spans="6:8" x14ac:dyDescent="0.35">
      <c r="F122" s="3">
        <v>89</v>
      </c>
      <c r="G122" s="3">
        <v>53.51109338411969</v>
      </c>
      <c r="H122" s="3">
        <v>-8.1518533841196898</v>
      </c>
    </row>
    <row r="123" spans="6:8" x14ac:dyDescent="0.35">
      <c r="F123" s="3">
        <v>90</v>
      </c>
      <c r="G123" s="3">
        <v>53.36600428587807</v>
      </c>
      <c r="H123" s="3">
        <v>-9.3675414858780712</v>
      </c>
    </row>
    <row r="124" spans="6:8" x14ac:dyDescent="0.35">
      <c r="F124" s="3">
        <v>91</v>
      </c>
      <c r="G124" s="3">
        <v>53.930343640911182</v>
      </c>
      <c r="H124" s="3">
        <v>-19.910913640911183</v>
      </c>
    </row>
    <row r="125" spans="6:8" ht="15" thickBot="1" x14ac:dyDescent="0.4">
      <c r="F125" s="4">
        <v>92</v>
      </c>
      <c r="G125" s="4">
        <v>54.233326110172705</v>
      </c>
      <c r="H125" s="4">
        <v>-6.6061241101727077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7"/>
  <sheetViews>
    <sheetView workbookViewId="0">
      <selection activeCell="H19" sqref="H19"/>
    </sheetView>
  </sheetViews>
  <sheetFormatPr defaultRowHeight="14.5" x14ac:dyDescent="0.35"/>
  <cols>
    <col min="1" max="1" width="12.1796875" bestFit="1" customWidth="1"/>
    <col min="2" max="4" width="12.453125" bestFit="1" customWidth="1"/>
  </cols>
  <sheetData>
    <row r="1" spans="1:16" x14ac:dyDescent="0.35">
      <c r="A1" s="1" t="s">
        <v>0</v>
      </c>
      <c r="B1" s="1" t="s">
        <v>4</v>
      </c>
      <c r="C1" s="1" t="s">
        <v>5</v>
      </c>
      <c r="D1" s="1" t="s">
        <v>6</v>
      </c>
    </row>
    <row r="2" spans="1:16" ht="15" thickBot="1" x14ac:dyDescent="0.4">
      <c r="A2" s="2">
        <v>0.93400000000000005</v>
      </c>
      <c r="B2" s="2">
        <v>-3.2652173913043399</v>
      </c>
      <c r="C2" s="2">
        <v>-1.76506607826088</v>
      </c>
      <c r="D2" s="2">
        <v>946.450434782608</v>
      </c>
    </row>
    <row r="3" spans="1:16" x14ac:dyDescent="0.35">
      <c r="A3" s="2">
        <v>0.88800000000000001</v>
      </c>
      <c r="B3" s="2">
        <v>0.73478260869565304</v>
      </c>
      <c r="C3" s="2">
        <v>7.8737724217391101</v>
      </c>
      <c r="D3" s="2">
        <v>211.55043478260799</v>
      </c>
      <c r="F3" s="5"/>
      <c r="G3" s="5" t="s">
        <v>0</v>
      </c>
      <c r="H3" s="5" t="s">
        <v>4</v>
      </c>
      <c r="I3" s="5" t="s">
        <v>5</v>
      </c>
      <c r="J3" s="5" t="s">
        <v>6</v>
      </c>
    </row>
    <row r="4" spans="1:16" x14ac:dyDescent="0.35">
      <c r="A4" s="2">
        <v>0.93300000000000005</v>
      </c>
      <c r="B4" s="2">
        <v>9.1347826086956498</v>
      </c>
      <c r="C4" s="2">
        <v>39.511842321739103</v>
      </c>
      <c r="D4" s="2">
        <v>-823.019565217391</v>
      </c>
      <c r="F4" s="3" t="s">
        <v>0</v>
      </c>
      <c r="G4" s="3">
        <v>1</v>
      </c>
      <c r="H4" s="3"/>
      <c r="I4" s="3"/>
      <c r="J4" s="3"/>
      <c r="M4" t="s">
        <v>41</v>
      </c>
    </row>
    <row r="5" spans="1:16" x14ac:dyDescent="0.35">
      <c r="A5" s="2">
        <v>0.75700000000000001</v>
      </c>
      <c r="B5" s="2">
        <v>4.2347826086956397</v>
      </c>
      <c r="C5" s="2">
        <v>5.9460047217391097</v>
      </c>
      <c r="D5" s="2">
        <v>-896.69956521739095</v>
      </c>
      <c r="F5" s="3" t="s">
        <v>4</v>
      </c>
      <c r="G5" s="3">
        <v>0.4555841811619124</v>
      </c>
      <c r="H5" s="3">
        <v>1</v>
      </c>
      <c r="I5" s="3"/>
      <c r="J5" s="3"/>
    </row>
    <row r="6" spans="1:16" x14ac:dyDescent="0.35">
      <c r="A6" s="2">
        <v>1.0309999999999999</v>
      </c>
      <c r="B6" s="2">
        <v>-3.96521739130434</v>
      </c>
      <c r="C6" s="2">
        <v>-3.57943567826088</v>
      </c>
      <c r="D6" s="2">
        <v>1420.9604347826</v>
      </c>
      <c r="F6" s="3" t="s">
        <v>5</v>
      </c>
      <c r="G6" s="3">
        <v>0.65679290233797338</v>
      </c>
      <c r="H6" s="3">
        <v>0.82671454383923859</v>
      </c>
      <c r="I6" s="3">
        <v>1</v>
      </c>
      <c r="J6" s="3"/>
      <c r="O6">
        <f>H6^2</f>
        <v>0.6834569369953204</v>
      </c>
    </row>
    <row r="7" spans="1:16" ht="15" thickBot="1" x14ac:dyDescent="0.4">
      <c r="A7" s="2">
        <v>0.88300000000000001</v>
      </c>
      <c r="B7" s="2">
        <v>-2.0652173913043401</v>
      </c>
      <c r="C7" s="2">
        <v>3.6780427217391098</v>
      </c>
      <c r="D7" s="2">
        <v>423.75043478260699</v>
      </c>
      <c r="F7" s="4" t="s">
        <v>6</v>
      </c>
      <c r="G7" s="4">
        <v>0.1618181456860637</v>
      </c>
      <c r="H7" s="4">
        <v>-2.2527420108596659E-2</v>
      </c>
      <c r="I7" s="4">
        <v>-0.10766796322626018</v>
      </c>
      <c r="J7" s="4">
        <v>1</v>
      </c>
      <c r="O7">
        <f>H7^2</f>
        <v>5.0748465674920514E-4</v>
      </c>
      <c r="P7">
        <f>I7^2</f>
        <v>1.1592390305291316E-2</v>
      </c>
    </row>
    <row r="8" spans="1:16" x14ac:dyDescent="0.35">
      <c r="A8" s="2">
        <v>0.83699999999999997</v>
      </c>
      <c r="B8" s="2">
        <v>-7.3652173913043404</v>
      </c>
      <c r="C8" s="2">
        <v>-2.2186584782608798</v>
      </c>
      <c r="D8" s="2">
        <v>440.390434782608</v>
      </c>
    </row>
    <row r="9" spans="1:16" x14ac:dyDescent="0.35">
      <c r="A9" s="2">
        <v>0.91200000000000003</v>
      </c>
      <c r="B9" s="2">
        <v>-0.16521739130434901</v>
      </c>
      <c r="C9" s="2">
        <v>0.95648832173911502</v>
      </c>
      <c r="D9" s="2">
        <v>670.99043478260796</v>
      </c>
    </row>
    <row r="10" spans="1:16" x14ac:dyDescent="0.35">
      <c r="A10" s="2">
        <v>0.85299999999999998</v>
      </c>
      <c r="B10" s="2">
        <v>-4.5652173913043397</v>
      </c>
      <c r="C10" s="2">
        <v>4.9303521739112399E-2</v>
      </c>
      <c r="D10" s="2">
        <v>261.69043478260801</v>
      </c>
      <c r="F10" t="s">
        <v>11</v>
      </c>
    </row>
    <row r="11" spans="1:16" ht="15" thickBot="1" x14ac:dyDescent="0.4">
      <c r="A11" s="2">
        <v>0.82499999999999996</v>
      </c>
      <c r="B11" s="2">
        <v>0.13478260869565101</v>
      </c>
      <c r="C11" s="2">
        <v>-0.404288878260885</v>
      </c>
      <c r="D11" s="2">
        <v>-147.869565217391</v>
      </c>
      <c r="M11" t="s">
        <v>39</v>
      </c>
      <c r="O11">
        <f>1/(1-O6)</f>
        <v>3.1591278308481412</v>
      </c>
    </row>
    <row r="12" spans="1:16" x14ac:dyDescent="0.35">
      <c r="A12" s="2">
        <v>0.77200000000000002</v>
      </c>
      <c r="B12" s="2">
        <v>8.8347826086956491</v>
      </c>
      <c r="C12" s="2">
        <v>2.9976541217391102</v>
      </c>
      <c r="D12" s="2">
        <v>-451.399565217391</v>
      </c>
      <c r="F12" s="6" t="s">
        <v>12</v>
      </c>
      <c r="G12" s="6"/>
      <c r="O12">
        <f>1/(1-O7)</f>
        <v>1.0005077423281903</v>
      </c>
      <c r="P12">
        <f>1/(1-P7)</f>
        <v>1.0117283499151448</v>
      </c>
    </row>
    <row r="13" spans="1:16" x14ac:dyDescent="0.35">
      <c r="A13" s="2">
        <v>1.0149999999999999</v>
      </c>
      <c r="B13" s="2">
        <v>2.1347826086956498</v>
      </c>
      <c r="C13" s="2">
        <v>9.6881420217391092</v>
      </c>
      <c r="D13" s="2">
        <v>538.53043478260804</v>
      </c>
      <c r="F13" s="3" t="s">
        <v>13</v>
      </c>
      <c r="G13" s="3">
        <v>0.7211815802137167</v>
      </c>
    </row>
    <row r="14" spans="1:16" x14ac:dyDescent="0.35">
      <c r="A14" s="2">
        <v>0.96299999999999997</v>
      </c>
      <c r="B14" s="2">
        <v>8.1347826086956498</v>
      </c>
      <c r="C14" s="2">
        <v>21.141350121739102</v>
      </c>
      <c r="D14" s="2">
        <v>-988.43956521739096</v>
      </c>
      <c r="F14" s="3" t="s">
        <v>14</v>
      </c>
      <c r="G14" s="3">
        <v>0.52010287163955349</v>
      </c>
    </row>
    <row r="15" spans="1:16" x14ac:dyDescent="0.35">
      <c r="A15" s="2">
        <v>0.72899999999999998</v>
      </c>
      <c r="B15" s="2">
        <v>-0.36521739130434799</v>
      </c>
      <c r="C15" s="2">
        <v>-5.1670090782608797</v>
      </c>
      <c r="D15" s="2">
        <v>252.920434782608</v>
      </c>
      <c r="F15" s="3" t="s">
        <v>15</v>
      </c>
      <c r="G15" s="3">
        <v>0.50374274226362914</v>
      </c>
    </row>
    <row r="16" spans="1:16" x14ac:dyDescent="0.35">
      <c r="A16" s="2">
        <v>0.73799999999999999</v>
      </c>
      <c r="B16" s="2">
        <v>-2.1652173913043402</v>
      </c>
      <c r="C16" s="2">
        <v>-5.50720337826088</v>
      </c>
      <c r="D16" s="2">
        <v>-1307.69956521739</v>
      </c>
      <c r="F16" s="3" t="s">
        <v>16</v>
      </c>
      <c r="G16" s="3">
        <v>7.3415252345050835E-2</v>
      </c>
    </row>
    <row r="17" spans="1:14" ht="15" thickBot="1" x14ac:dyDescent="0.4">
      <c r="A17" s="2">
        <v>0.89400000000000002</v>
      </c>
      <c r="B17" s="2">
        <v>8.5347826086956502</v>
      </c>
      <c r="C17" s="2">
        <v>18.7599900217391</v>
      </c>
      <c r="D17" s="2">
        <v>1534.5904347825999</v>
      </c>
      <c r="F17" s="4" t="s">
        <v>17</v>
      </c>
      <c r="G17" s="4">
        <v>92</v>
      </c>
    </row>
    <row r="18" spans="1:14" x14ac:dyDescent="0.35">
      <c r="A18" s="2">
        <v>0.86299999999999999</v>
      </c>
      <c r="B18" s="2">
        <v>2.5347826086956502</v>
      </c>
      <c r="C18" s="2">
        <v>0.50289592173911701</v>
      </c>
      <c r="D18" s="2">
        <v>-445.04956521739098</v>
      </c>
    </row>
    <row r="19" spans="1:14" ht="15" thickBot="1" x14ac:dyDescent="0.4">
      <c r="A19" s="2">
        <v>0.82699999999999996</v>
      </c>
      <c r="B19" s="2">
        <v>14.5347826086956</v>
      </c>
      <c r="C19" s="2">
        <v>24.543293121739101</v>
      </c>
      <c r="D19" s="2">
        <v>-970.21956521739105</v>
      </c>
      <c r="F19" t="s">
        <v>18</v>
      </c>
    </row>
    <row r="20" spans="1:14" x14ac:dyDescent="0.35">
      <c r="A20" s="2">
        <v>0.85</v>
      </c>
      <c r="B20" s="2">
        <v>5.5347826086956502</v>
      </c>
      <c r="C20" s="2">
        <v>4.5852275217391103</v>
      </c>
      <c r="D20" s="2">
        <v>1595.7304347826</v>
      </c>
      <c r="F20" s="5"/>
      <c r="G20" s="5" t="s">
        <v>23</v>
      </c>
      <c r="H20" s="5" t="s">
        <v>24</v>
      </c>
      <c r="I20" s="5" t="s">
        <v>25</v>
      </c>
      <c r="J20" s="5" t="s">
        <v>26</v>
      </c>
      <c r="K20" s="5" t="s">
        <v>27</v>
      </c>
    </row>
    <row r="21" spans="1:14" x14ac:dyDescent="0.35">
      <c r="A21" s="2">
        <v>0.83899999999999997</v>
      </c>
      <c r="B21" s="2">
        <v>-1.8652173913043399</v>
      </c>
      <c r="C21" s="2">
        <v>-4.3732223782608797</v>
      </c>
      <c r="D21" s="2">
        <v>-27.279565217391699</v>
      </c>
      <c r="F21" s="3" t="s">
        <v>19</v>
      </c>
      <c r="G21" s="3">
        <v>3</v>
      </c>
      <c r="H21" s="3">
        <v>0.514039348416509</v>
      </c>
      <c r="I21" s="3">
        <v>0.17134644947216968</v>
      </c>
      <c r="J21" s="3">
        <v>31.790877669032426</v>
      </c>
      <c r="K21" s="3">
        <v>5.1381299268380644E-14</v>
      </c>
    </row>
    <row r="22" spans="1:14" x14ac:dyDescent="0.35">
      <c r="A22" s="2">
        <v>0.79500000000000004</v>
      </c>
      <c r="B22" s="2">
        <v>2.33478260869565</v>
      </c>
      <c r="C22" s="2">
        <v>3.7914408217391098</v>
      </c>
      <c r="D22" s="2">
        <v>3291.5204347826002</v>
      </c>
      <c r="F22" s="3" t="s">
        <v>20</v>
      </c>
      <c r="G22" s="3">
        <v>88</v>
      </c>
      <c r="H22" s="3">
        <v>0.47430233636609931</v>
      </c>
      <c r="I22" s="3">
        <v>5.3897992768874919E-3</v>
      </c>
      <c r="J22" s="3"/>
      <c r="K22" s="3"/>
    </row>
    <row r="23" spans="1:14" ht="15" thickBot="1" x14ac:dyDescent="0.4">
      <c r="A23" s="2">
        <v>0.73499999999999999</v>
      </c>
      <c r="B23" s="2">
        <v>1.4347826086956501</v>
      </c>
      <c r="C23" s="2">
        <v>-7.2081748782608797</v>
      </c>
      <c r="D23" s="2">
        <v>668.58043478260799</v>
      </c>
      <c r="F23" s="4" t="s">
        <v>21</v>
      </c>
      <c r="G23" s="4">
        <v>91</v>
      </c>
      <c r="H23" s="4">
        <v>0.98834168478260831</v>
      </c>
      <c r="I23" s="4"/>
      <c r="J23" s="4"/>
      <c r="K23" s="4"/>
    </row>
    <row r="24" spans="1:14" ht="15" thickBot="1" x14ac:dyDescent="0.4">
      <c r="A24" s="2">
        <v>0.85899999999999999</v>
      </c>
      <c r="B24" s="2">
        <v>-6.46521739130434</v>
      </c>
      <c r="C24" s="2">
        <v>-7.2081748782608797</v>
      </c>
      <c r="D24" s="2">
        <v>218.90043478260799</v>
      </c>
    </row>
    <row r="25" spans="1:14" x14ac:dyDescent="0.35">
      <c r="A25" s="2">
        <v>0.76300000000000001</v>
      </c>
      <c r="B25" s="2">
        <v>-4.1652173913043402</v>
      </c>
      <c r="C25" s="2">
        <v>-5.6206014782608804</v>
      </c>
      <c r="D25" s="2">
        <v>-416.63956521739101</v>
      </c>
      <c r="F25" s="5"/>
      <c r="G25" s="5" t="s">
        <v>28</v>
      </c>
      <c r="H25" s="5" t="s">
        <v>16</v>
      </c>
      <c r="I25" s="5" t="s">
        <v>29</v>
      </c>
      <c r="J25" s="5" t="s">
        <v>30</v>
      </c>
      <c r="K25" s="5" t="s">
        <v>31</v>
      </c>
      <c r="L25" s="5" t="s">
        <v>32</v>
      </c>
      <c r="M25" s="5" t="s">
        <v>33</v>
      </c>
      <c r="N25" s="5" t="s">
        <v>34</v>
      </c>
    </row>
    <row r="26" spans="1:14" x14ac:dyDescent="0.35">
      <c r="A26" s="2">
        <v>0.82099999999999995</v>
      </c>
      <c r="B26" s="2">
        <v>-6.0652173913043397</v>
      </c>
      <c r="C26" s="2">
        <v>-4.4866204782608801</v>
      </c>
      <c r="D26" s="2">
        <v>-1212.1795652173901</v>
      </c>
      <c r="F26" s="3" t="s">
        <v>22</v>
      </c>
      <c r="G26" s="3">
        <v>0.80311956521739114</v>
      </c>
      <c r="H26" s="3">
        <v>7.6540691627902798E-3</v>
      </c>
      <c r="I26" s="3">
        <v>104.92713720457355</v>
      </c>
      <c r="J26" s="3">
        <v>3.1414813129270493E-94</v>
      </c>
      <c r="K26" s="3">
        <v>0.78790871114546124</v>
      </c>
      <c r="L26" s="3">
        <v>0.81833041928932104</v>
      </c>
      <c r="M26" s="3">
        <v>0.78790871114546124</v>
      </c>
      <c r="N26" s="3">
        <v>0.81833041928932104</v>
      </c>
    </row>
    <row r="27" spans="1:14" x14ac:dyDescent="0.35">
      <c r="A27" s="2">
        <v>0.70399999999999996</v>
      </c>
      <c r="B27" s="2">
        <v>-3.6652173913043402</v>
      </c>
      <c r="C27" s="2">
        <v>-8.5689520782608799</v>
      </c>
      <c r="D27" s="2">
        <v>-742.54956521739098</v>
      </c>
      <c r="F27" s="3" t="s">
        <v>4</v>
      </c>
      <c r="G27" s="3">
        <v>-4.9231490047589024E-3</v>
      </c>
      <c r="H27" s="3">
        <v>1.9711036599130535E-3</v>
      </c>
      <c r="I27" s="3">
        <v>-2.4976611351713816</v>
      </c>
      <c r="J27" s="3">
        <v>1.4361396509944243E-2</v>
      </c>
      <c r="K27" s="3">
        <v>-8.8403033306357435E-3</v>
      </c>
      <c r="L27" s="3">
        <v>-1.0059946788820613E-3</v>
      </c>
      <c r="M27" s="3">
        <v>-8.8403033306357435E-3</v>
      </c>
      <c r="N27" s="3">
        <v>-1.0059946788820613E-3</v>
      </c>
    </row>
    <row r="28" spans="1:14" x14ac:dyDescent="0.35">
      <c r="A28" s="2">
        <v>0.74199999999999999</v>
      </c>
      <c r="B28" s="2">
        <v>-10.3652173913043</v>
      </c>
      <c r="C28" s="2">
        <v>-9.8163311782608798</v>
      </c>
      <c r="D28" s="2">
        <v>7.7204347826081996</v>
      </c>
      <c r="F28" s="3" t="s">
        <v>5</v>
      </c>
      <c r="G28" s="3">
        <v>6.6080197490283174E-3</v>
      </c>
      <c r="H28" s="3">
        <v>9.1743028829307518E-4</v>
      </c>
      <c r="I28" s="3">
        <v>7.2027486266262999</v>
      </c>
      <c r="J28" s="3">
        <v>1.9056849195513716E-10</v>
      </c>
      <c r="K28" s="3">
        <v>4.7848198354143489E-3</v>
      </c>
      <c r="L28" s="3">
        <v>8.4312196626422867E-3</v>
      </c>
      <c r="M28" s="3">
        <v>4.7848198354143489E-3</v>
      </c>
      <c r="N28" s="3">
        <v>8.4312196626422867E-3</v>
      </c>
    </row>
    <row r="29" spans="1:14" ht="15" thickBot="1" x14ac:dyDescent="0.4">
      <c r="A29" s="2">
        <v>0.76200000000000001</v>
      </c>
      <c r="B29" s="2">
        <v>-1.2652173913043401</v>
      </c>
      <c r="C29" s="2">
        <v>-10.383321678260801</v>
      </c>
      <c r="D29" s="2">
        <v>-616.65956521739099</v>
      </c>
      <c r="F29" s="4" t="s">
        <v>6</v>
      </c>
      <c r="G29" s="4">
        <v>2.5739261252174102E-5</v>
      </c>
      <c r="H29" s="4">
        <v>7.4786802267353992E-6</v>
      </c>
      <c r="I29" s="4">
        <v>3.4416849593540957</v>
      </c>
      <c r="J29" s="4">
        <v>8.865344779556138E-4</v>
      </c>
      <c r="K29" s="4">
        <v>1.087695583526955E-5</v>
      </c>
      <c r="L29" s="4">
        <v>4.0601566669078652E-5</v>
      </c>
      <c r="M29" s="4">
        <v>1.087695583526955E-5</v>
      </c>
      <c r="N29" s="4">
        <v>4.0601566669078652E-5</v>
      </c>
    </row>
    <row r="30" spans="1:14" x14ac:dyDescent="0.35">
      <c r="A30" s="2">
        <v>0.73099999999999998</v>
      </c>
      <c r="B30" s="2">
        <v>-2.6652173913043402</v>
      </c>
      <c r="C30" s="2">
        <v>-13.7852646782608</v>
      </c>
      <c r="D30" s="2">
        <v>-839.85956521739104</v>
      </c>
    </row>
    <row r="31" spans="1:14" x14ac:dyDescent="0.35">
      <c r="A31" s="2">
        <v>0.8</v>
      </c>
      <c r="B31" s="2">
        <v>-0.26521739130434602</v>
      </c>
      <c r="C31" s="2">
        <v>-7.2081748782608797</v>
      </c>
      <c r="D31" s="2">
        <v>-981.34956521739105</v>
      </c>
    </row>
    <row r="32" spans="1:14" x14ac:dyDescent="0.35">
      <c r="A32" s="2">
        <v>0.79800000000000004</v>
      </c>
      <c r="B32" s="2">
        <v>-9.8652173913043395</v>
      </c>
      <c r="C32" s="2">
        <v>-9.4761368782608795</v>
      </c>
      <c r="D32" s="2">
        <v>-752.57956521739095</v>
      </c>
    </row>
    <row r="33" spans="1:8" x14ac:dyDescent="0.35">
      <c r="A33" s="2">
        <v>0.78900000000000003</v>
      </c>
      <c r="B33" s="2">
        <v>-6.1652173913043402</v>
      </c>
      <c r="C33" s="2">
        <v>-8.5689520782608799</v>
      </c>
      <c r="D33" s="2">
        <v>253.99043478260799</v>
      </c>
      <c r="F33" t="s">
        <v>35</v>
      </c>
    </row>
    <row r="34" spans="1:8" ht="15" thickBot="1" x14ac:dyDescent="0.4">
      <c r="A34" s="2">
        <v>0.95499999999999996</v>
      </c>
      <c r="B34" s="2">
        <v>-4.96521739130434</v>
      </c>
      <c r="C34" s="2">
        <v>-10.836914078260801</v>
      </c>
      <c r="D34" s="2">
        <v>941.27043478260805</v>
      </c>
    </row>
    <row r="35" spans="1:8" x14ac:dyDescent="0.35">
      <c r="A35" s="2">
        <v>0.78200000000000003</v>
      </c>
      <c r="B35" s="2">
        <v>-1.7652173913043401</v>
      </c>
      <c r="C35" s="2">
        <v>-1.76506607826088</v>
      </c>
      <c r="D35" s="2">
        <v>819.08043478260799</v>
      </c>
      <c r="F35" s="5" t="s">
        <v>36</v>
      </c>
      <c r="G35" s="5" t="s">
        <v>37</v>
      </c>
      <c r="H35" s="5" t="s">
        <v>38</v>
      </c>
    </row>
    <row r="36" spans="1:8" x14ac:dyDescent="0.35">
      <c r="A36" s="2">
        <v>0.68100000000000005</v>
      </c>
      <c r="B36" s="2">
        <v>-10.765217391304301</v>
      </c>
      <c r="C36" s="2">
        <v>-19.341771578260801</v>
      </c>
      <c r="D36" s="2">
        <v>2591.5804347826002</v>
      </c>
      <c r="F36" s="3">
        <v>1</v>
      </c>
      <c r="G36" s="3">
        <v>0.831892060467328</v>
      </c>
      <c r="H36" s="3">
        <v>0.10210793953267205</v>
      </c>
    </row>
    <row r="37" spans="1:8" x14ac:dyDescent="0.35">
      <c r="A37" s="2">
        <v>0.85</v>
      </c>
      <c r="B37" s="2">
        <v>-1.16521739130434</v>
      </c>
      <c r="C37" s="2">
        <v>2.7708579217391098</v>
      </c>
      <c r="D37" s="2">
        <v>-115.589565217391</v>
      </c>
      <c r="F37" s="3">
        <v>2</v>
      </c>
      <c r="G37" s="3">
        <v>0.85697731651976417</v>
      </c>
      <c r="H37" s="3">
        <v>3.1022683480235846E-2</v>
      </c>
    </row>
    <row r="38" spans="1:8" x14ac:dyDescent="0.35">
      <c r="A38" s="2">
        <v>0.67</v>
      </c>
      <c r="B38" s="2">
        <v>-11.765217391304301</v>
      </c>
      <c r="C38" s="2">
        <v>-19.0015772782608</v>
      </c>
      <c r="D38" s="2">
        <v>-530.47956521739104</v>
      </c>
      <c r="F38" s="3">
        <v>3</v>
      </c>
      <c r="G38" s="3">
        <v>0.99805878808646609</v>
      </c>
      <c r="H38" s="3">
        <v>-6.5058788086466035E-2</v>
      </c>
    </row>
    <row r="39" spans="1:8" x14ac:dyDescent="0.35">
      <c r="A39" s="2">
        <v>0.64500000000000002</v>
      </c>
      <c r="B39" s="2">
        <v>-2.46521739130434</v>
      </c>
      <c r="C39" s="2">
        <v>-18.547984878260799</v>
      </c>
      <c r="D39" s="2">
        <v>-819.04956521739098</v>
      </c>
      <c r="F39" s="3">
        <v>4</v>
      </c>
      <c r="G39" s="3">
        <v>0.79848203168724718</v>
      </c>
      <c r="H39" s="3">
        <v>-4.1482031687247178E-2</v>
      </c>
    </row>
    <row r="40" spans="1:8" x14ac:dyDescent="0.35">
      <c r="A40" s="2">
        <v>0.69</v>
      </c>
      <c r="B40" s="2">
        <v>-7.7652173913043399</v>
      </c>
      <c r="C40" s="2">
        <v>-16.280022878260802</v>
      </c>
      <c r="D40" s="2">
        <v>-896.69956521739095</v>
      </c>
      <c r="F40" s="3">
        <v>5</v>
      </c>
      <c r="G40" s="3">
        <v>0.83556241147859167</v>
      </c>
      <c r="H40" s="3">
        <v>0.19543758852140825</v>
      </c>
    </row>
    <row r="41" spans="1:8" x14ac:dyDescent="0.35">
      <c r="A41" s="2">
        <v>0.68</v>
      </c>
      <c r="B41" s="2">
        <v>-5.8652173913043404</v>
      </c>
      <c r="C41" s="2">
        <v>-14.919245678260801</v>
      </c>
      <c r="D41" s="2">
        <v>168.820434782608</v>
      </c>
      <c r="F41" s="3">
        <v>6</v>
      </c>
      <c r="G41" s="3">
        <v>0.84849854025161564</v>
      </c>
      <c r="H41" s="3">
        <v>3.4501459748384367E-2</v>
      </c>
    </row>
    <row r="42" spans="1:8" x14ac:dyDescent="0.35">
      <c r="A42" s="2">
        <v>0.70899999999999996</v>
      </c>
      <c r="B42" s="2">
        <v>-8.3652173913043395</v>
      </c>
      <c r="C42" s="2">
        <v>-12.1976912782608</v>
      </c>
      <c r="D42" s="2">
        <v>1014.2604347826</v>
      </c>
      <c r="F42" s="3">
        <v>7</v>
      </c>
      <c r="G42" s="3">
        <v>0.83605401330035523</v>
      </c>
      <c r="H42" s="3">
        <v>9.459866996447408E-4</v>
      </c>
    </row>
    <row r="43" spans="1:8" x14ac:dyDescent="0.35">
      <c r="A43" s="2">
        <v>0.749</v>
      </c>
      <c r="B43" s="2">
        <v>-8.2652173913043399</v>
      </c>
      <c r="C43" s="2">
        <v>-15.8264304782608</v>
      </c>
      <c r="D43" s="2">
        <v>-1062.6795652173901</v>
      </c>
      <c r="F43" s="3">
        <v>8</v>
      </c>
      <c r="G43" s="3">
        <v>0.82752424687130655</v>
      </c>
      <c r="H43" s="3">
        <v>8.4475753128693487E-2</v>
      </c>
    </row>
    <row r="44" spans="1:8" x14ac:dyDescent="0.35">
      <c r="A44" s="2">
        <v>0.55800000000000005</v>
      </c>
      <c r="B44" s="2">
        <v>3.33478260869565</v>
      </c>
      <c r="C44" s="2">
        <v>-20.362354478260801</v>
      </c>
      <c r="D44" s="2">
        <v>-501.50956521739101</v>
      </c>
      <c r="F44" s="3">
        <v>9</v>
      </c>
      <c r="G44" s="3">
        <v>0.83265632778731236</v>
      </c>
      <c r="H44" s="3">
        <v>2.0343672212687625E-2</v>
      </c>
    </row>
    <row r="45" spans="1:8" x14ac:dyDescent="0.35">
      <c r="A45" s="2">
        <v>0.68700000000000006</v>
      </c>
      <c r="B45" s="2">
        <v>-5.6652173913043402</v>
      </c>
      <c r="C45" s="2">
        <v>-20.2489563782608</v>
      </c>
      <c r="D45" s="2">
        <v>2436.2604347826</v>
      </c>
      <c r="F45" s="3">
        <v>10</v>
      </c>
      <c r="G45" s="3">
        <v>0.7959784080892961</v>
      </c>
      <c r="H45" s="3">
        <v>2.9021591910703859E-2</v>
      </c>
    </row>
    <row r="46" spans="1:8" x14ac:dyDescent="0.35">
      <c r="A46" s="2">
        <v>0.73399999999999999</v>
      </c>
      <c r="B46" s="2">
        <v>-3.2652173913043399</v>
      </c>
      <c r="C46" s="2">
        <v>-4.4866204782608801</v>
      </c>
      <c r="D46" s="2">
        <v>-1111.1295652173901</v>
      </c>
      <c r="F46" s="3">
        <v>11</v>
      </c>
      <c r="G46" s="3">
        <v>0.76781448030908983</v>
      </c>
      <c r="H46" s="3">
        <v>4.1855196909101888E-3</v>
      </c>
    </row>
    <row r="47" spans="1:8" x14ac:dyDescent="0.35">
      <c r="A47" s="2">
        <v>0.69899999999999995</v>
      </c>
      <c r="B47" s="2">
        <v>-11.265217391304301</v>
      </c>
      <c r="C47" s="2">
        <v>-14.919245678260801</v>
      </c>
      <c r="D47" s="2">
        <v>-1014.31956521739</v>
      </c>
      <c r="F47" s="3">
        <v>12</v>
      </c>
      <c r="G47" s="3">
        <v>0.87049052170617414</v>
      </c>
      <c r="H47" s="3">
        <v>0.14450947829382577</v>
      </c>
    </row>
    <row r="48" spans="1:8" x14ac:dyDescent="0.35">
      <c r="A48" s="2">
        <v>0.81499999999999995</v>
      </c>
      <c r="B48" s="2">
        <v>12.434782608695601</v>
      </c>
      <c r="C48" s="2">
        <v>9.1211515217391099</v>
      </c>
      <c r="D48" s="2">
        <v>-681.31956521739096</v>
      </c>
      <c r="F48" s="3">
        <v>13</v>
      </c>
      <c r="G48" s="3">
        <v>0.87733157323791955</v>
      </c>
      <c r="H48" s="3">
        <v>8.5668426762080419E-2</v>
      </c>
    </row>
    <row r="49" spans="1:8" x14ac:dyDescent="0.35">
      <c r="A49" s="2">
        <v>0.80100000000000005</v>
      </c>
      <c r="B49" s="2">
        <v>-2.7652173913043399</v>
      </c>
      <c r="C49" s="2">
        <v>-4.0330280782608803</v>
      </c>
      <c r="D49" s="2">
        <v>-1156.29956521739</v>
      </c>
      <c r="F49" s="3">
        <v>14</v>
      </c>
      <c r="G49" s="3">
        <v>0.77728387196823834</v>
      </c>
      <c r="H49" s="3">
        <v>-4.8283871968238357E-2</v>
      </c>
    </row>
    <row r="50" spans="1:8" x14ac:dyDescent="0.35">
      <c r="A50" s="2">
        <v>0.81499999999999995</v>
      </c>
      <c r="B50" s="2">
        <v>8.0347826086956502</v>
      </c>
      <c r="C50" s="2">
        <v>4.8120237217391102</v>
      </c>
      <c r="D50" s="2">
        <v>-548.92956521739097</v>
      </c>
      <c r="F50" s="3">
        <v>15</v>
      </c>
      <c r="G50" s="3">
        <v>0.74372832362852948</v>
      </c>
      <c r="H50" s="3">
        <v>-5.7283236285294858E-3</v>
      </c>
    </row>
    <row r="51" spans="1:8" x14ac:dyDescent="0.35">
      <c r="A51" s="2">
        <v>0.745</v>
      </c>
      <c r="B51" s="2">
        <v>-0.76521739130434696</v>
      </c>
      <c r="C51" s="2">
        <v>2.8842560217391102</v>
      </c>
      <c r="D51" s="2">
        <v>-3.1795652173918798</v>
      </c>
      <c r="F51" s="3">
        <v>16</v>
      </c>
      <c r="G51" s="3">
        <v>0.92456716738274047</v>
      </c>
      <c r="H51" s="3">
        <v>-3.0567167382740457E-2</v>
      </c>
    </row>
    <row r="52" spans="1:8" x14ac:dyDescent="0.35">
      <c r="A52" s="2">
        <v>0.83599999999999997</v>
      </c>
      <c r="B52" s="2">
        <v>10.834782608695599</v>
      </c>
      <c r="C52" s="2">
        <v>7.7603743217391097</v>
      </c>
      <c r="D52" s="2">
        <v>186.63043478260801</v>
      </c>
      <c r="F52" s="3">
        <v>17</v>
      </c>
      <c r="G52" s="3">
        <v>0.78250835189337198</v>
      </c>
      <c r="H52" s="3">
        <v>8.0491648106628011E-2</v>
      </c>
    </row>
    <row r="53" spans="1:8" x14ac:dyDescent="0.35">
      <c r="A53" s="2">
        <v>0.76200000000000001</v>
      </c>
      <c r="B53" s="2">
        <v>7.83478260869565</v>
      </c>
      <c r="C53" s="2">
        <v>0.50289592173911701</v>
      </c>
      <c r="D53" s="2">
        <v>-374.779565217391</v>
      </c>
      <c r="F53" s="3">
        <v>18</v>
      </c>
      <c r="G53" s="3">
        <v>0.868772495476546</v>
      </c>
      <c r="H53" s="3">
        <v>-4.1772495476546045E-2</v>
      </c>
    </row>
    <row r="54" spans="1:8" x14ac:dyDescent="0.35">
      <c r="A54" s="2">
        <v>0.86099999999999999</v>
      </c>
      <c r="B54" s="2">
        <v>18.2347826086956</v>
      </c>
      <c r="C54" s="2">
        <v>39.965434721739101</v>
      </c>
      <c r="D54" s="2">
        <v>-1737.73956521739</v>
      </c>
      <c r="F54" s="3">
        <v>19</v>
      </c>
      <c r="G54" s="3">
        <v>0.84724320229218919</v>
      </c>
      <c r="H54" s="3">
        <v>2.7567977078107875E-3</v>
      </c>
    </row>
    <row r="55" spans="1:8" x14ac:dyDescent="0.35">
      <c r="A55" s="2">
        <v>1.02</v>
      </c>
      <c r="B55" s="2">
        <v>11.934782608695601</v>
      </c>
      <c r="C55" s="2">
        <v>20.460961521739101</v>
      </c>
      <c r="D55" s="2">
        <v>139.950434782608</v>
      </c>
      <c r="F55" s="3">
        <v>20</v>
      </c>
      <c r="G55" s="3">
        <v>0.78270181266263339</v>
      </c>
      <c r="H55" s="3">
        <v>5.6298187337366579E-2</v>
      </c>
    </row>
    <row r="56" spans="1:8" x14ac:dyDescent="0.35">
      <c r="A56" s="2">
        <v>0.77600000000000002</v>
      </c>
      <c r="B56" s="2">
        <v>14.434782608695601</v>
      </c>
      <c r="C56" s="2">
        <v>42.233396721739098</v>
      </c>
      <c r="D56" s="2">
        <v>-966.36956521739103</v>
      </c>
      <c r="F56" s="3">
        <v>21</v>
      </c>
      <c r="G56" s="3">
        <v>0.90140030275612604</v>
      </c>
      <c r="H56" s="3">
        <v>-0.106400302756126</v>
      </c>
    </row>
    <row r="57" spans="1:8" x14ac:dyDescent="0.35">
      <c r="A57" s="2">
        <v>1.008</v>
      </c>
      <c r="B57" s="2">
        <v>10.934782608695601</v>
      </c>
      <c r="C57" s="2">
        <v>18.646591921739098</v>
      </c>
      <c r="D57" s="2">
        <v>4629.0904347825999</v>
      </c>
      <c r="F57" s="3">
        <v>22</v>
      </c>
      <c r="G57" s="3">
        <v>0.76563292117430992</v>
      </c>
      <c r="H57" s="3">
        <v>-3.0632921174309935E-2</v>
      </c>
    </row>
    <row r="58" spans="1:8" x14ac:dyDescent="0.35">
      <c r="A58" s="2">
        <v>1.01</v>
      </c>
      <c r="B58" s="2">
        <v>10.834782608695599</v>
      </c>
      <c r="C58" s="2">
        <v>44.501358721739102</v>
      </c>
      <c r="D58" s="2">
        <v>-857.71956521739105</v>
      </c>
      <c r="F58" s="3">
        <v>23</v>
      </c>
      <c r="G58" s="3">
        <v>0.79295136731202753</v>
      </c>
      <c r="H58" s="3">
        <v>6.6048632687972453E-2</v>
      </c>
    </row>
    <row r="59" spans="1:8" x14ac:dyDescent="0.35">
      <c r="A59" s="2">
        <v>0.88500000000000001</v>
      </c>
      <c r="B59" s="2">
        <v>-3.7652173913043399</v>
      </c>
      <c r="C59" s="2">
        <v>-2.3320565782608802</v>
      </c>
      <c r="D59" s="2">
        <v>-734.12956521739102</v>
      </c>
      <c r="F59" s="3">
        <v>24</v>
      </c>
      <c r="G59" s="3">
        <v>0.77576051088510722</v>
      </c>
      <c r="H59" s="3">
        <v>-1.2760510885107212E-2</v>
      </c>
    </row>
    <row r="60" spans="1:8" x14ac:dyDescent="0.35">
      <c r="A60" s="2">
        <v>0.77100000000000002</v>
      </c>
      <c r="B60" s="2">
        <v>6.4347826086956497</v>
      </c>
      <c r="C60" s="2">
        <v>2.31726552173911</v>
      </c>
      <c r="D60" s="2">
        <v>684.65043478260804</v>
      </c>
      <c r="F60" s="3">
        <v>25</v>
      </c>
      <c r="G60" s="3">
        <v>0.77213125094061763</v>
      </c>
      <c r="H60" s="3">
        <v>4.8868749059382321E-2</v>
      </c>
    </row>
    <row r="61" spans="1:8" x14ac:dyDescent="0.35">
      <c r="A61" s="2">
        <v>1.081</v>
      </c>
      <c r="B61" s="2">
        <v>-3.2652173913043399</v>
      </c>
      <c r="C61" s="2">
        <v>5.4924123217391099</v>
      </c>
      <c r="D61" s="2">
        <v>473.30043478260802</v>
      </c>
      <c r="F61" s="3">
        <v>26</v>
      </c>
      <c r="G61" s="3">
        <v>0.7454274947561722</v>
      </c>
      <c r="H61" s="3">
        <v>-4.1427494756172245E-2</v>
      </c>
    </row>
    <row r="62" spans="1:8" x14ac:dyDescent="0.35">
      <c r="A62" s="2">
        <v>1.0269999999999999</v>
      </c>
      <c r="B62" s="2">
        <v>13.934782608695601</v>
      </c>
      <c r="C62" s="2">
        <v>39.511842321739103</v>
      </c>
      <c r="D62" s="2">
        <v>-363.69956521739101</v>
      </c>
      <c r="F62" s="3">
        <v>27</v>
      </c>
      <c r="G62" s="3">
        <v>0.78948128290040021</v>
      </c>
      <c r="H62" s="3">
        <v>-4.7481282900400212E-2</v>
      </c>
    </row>
    <row r="63" spans="1:8" x14ac:dyDescent="0.35">
      <c r="A63" s="2">
        <v>0.80200000000000005</v>
      </c>
      <c r="B63" s="2">
        <v>-0.76521739130434696</v>
      </c>
      <c r="C63" s="2">
        <v>-4.9402128782608798</v>
      </c>
      <c r="D63" s="2">
        <v>-352.78956521739201</v>
      </c>
      <c r="F63" s="3">
        <v>28</v>
      </c>
      <c r="G63" s="3">
        <v>0.72486286259495103</v>
      </c>
      <c r="H63" s="3">
        <v>3.7137137405048981E-2</v>
      </c>
    </row>
    <row r="64" spans="1:8" x14ac:dyDescent="0.35">
      <c r="A64" s="2">
        <v>0.78300000000000003</v>
      </c>
      <c r="B64" s="2">
        <v>7.2347826086956397</v>
      </c>
      <c r="C64" s="2">
        <v>-0.17749307826088701</v>
      </c>
      <c r="D64" s="2">
        <v>626.12043478260796</v>
      </c>
      <c r="F64" s="3">
        <v>29</v>
      </c>
      <c r="G64" s="3">
        <v>0.70353016156105963</v>
      </c>
      <c r="H64" s="3">
        <v>2.7469838438940353E-2</v>
      </c>
    </row>
    <row r="65" spans="1:8" x14ac:dyDescent="0.35">
      <c r="A65" s="2">
        <v>0.98</v>
      </c>
      <c r="B65" s="2">
        <v>10.6347826086956</v>
      </c>
      <c r="C65" s="2">
        <v>37.697472721739103</v>
      </c>
      <c r="D65" s="2">
        <v>-1281.0995652173899</v>
      </c>
      <c r="F65" s="3">
        <v>30</v>
      </c>
      <c r="G65" s="3">
        <v>0.73153429516460033</v>
      </c>
      <c r="H65" s="3">
        <v>6.846570483539971E-2</v>
      </c>
    </row>
    <row r="66" spans="1:8" x14ac:dyDescent="0.35">
      <c r="A66" s="2">
        <v>0.84799999999999998</v>
      </c>
      <c r="B66" s="2">
        <v>9.7347826086956495</v>
      </c>
      <c r="C66" s="2">
        <v>8.6675591217391101</v>
      </c>
      <c r="D66" s="2">
        <v>209.30043478260799</v>
      </c>
      <c r="F66" s="3">
        <v>31</v>
      </c>
      <c r="G66" s="3">
        <v>0.76969815872089986</v>
      </c>
      <c r="H66" s="3">
        <v>2.8301841279100182E-2</v>
      </c>
    </row>
    <row r="67" spans="1:8" x14ac:dyDescent="0.35">
      <c r="A67" s="2">
        <v>0.84899999999999998</v>
      </c>
      <c r="B67" s="2">
        <v>5.5347826086956502</v>
      </c>
      <c r="C67" s="2">
        <v>14.1106679217391</v>
      </c>
      <c r="D67" s="2">
        <v>1233.9904347826</v>
      </c>
      <c r="F67" s="3">
        <v>32</v>
      </c>
      <c r="G67" s="3">
        <v>0.78338557067631109</v>
      </c>
      <c r="H67" s="3">
        <v>5.6144293236889409E-3</v>
      </c>
    </row>
    <row r="68" spans="1:8" x14ac:dyDescent="0.35">
      <c r="A68" s="2">
        <v>0.97299999999999998</v>
      </c>
      <c r="B68" s="2">
        <v>11.334782608695599</v>
      </c>
      <c r="C68" s="2">
        <v>30.4399943217391</v>
      </c>
      <c r="D68" s="2">
        <v>-587.06956521739096</v>
      </c>
      <c r="F68" s="3">
        <v>33</v>
      </c>
      <c r="G68" s="3">
        <v>0.78018113365794939</v>
      </c>
      <c r="H68" s="3">
        <v>0.17481886634205057</v>
      </c>
    </row>
    <row r="69" spans="1:8" x14ac:dyDescent="0.35">
      <c r="A69" s="2">
        <v>0.86599999999999999</v>
      </c>
      <c r="B69" s="2">
        <v>3.9347826086956501</v>
      </c>
      <c r="C69" s="2">
        <v>15.925037921739101</v>
      </c>
      <c r="D69" s="2">
        <v>-400.11956521739103</v>
      </c>
      <c r="F69" s="3">
        <v>34</v>
      </c>
      <c r="G69" s="3">
        <v>0.82122892725450036</v>
      </c>
      <c r="H69" s="3">
        <v>-3.9228927254500334E-2</v>
      </c>
    </row>
    <row r="70" spans="1:8" x14ac:dyDescent="0.35">
      <c r="A70" s="2">
        <v>0.77600000000000002</v>
      </c>
      <c r="B70" s="2">
        <v>1.33478260869565</v>
      </c>
      <c r="C70" s="2">
        <v>0.50289592173911701</v>
      </c>
      <c r="D70" s="2">
        <v>1086.7204347826</v>
      </c>
      <c r="F70" s="3">
        <v>35</v>
      </c>
      <c r="G70" s="3">
        <v>0.79501289179995438</v>
      </c>
      <c r="H70" s="3">
        <v>-0.11401289179995433</v>
      </c>
    </row>
    <row r="71" spans="1:8" x14ac:dyDescent="0.35">
      <c r="A71" s="2">
        <v>0.84299999999999997</v>
      </c>
      <c r="B71" s="2">
        <v>3.4347826086956501</v>
      </c>
      <c r="C71" s="2">
        <v>14.337464121739099</v>
      </c>
      <c r="D71" s="2">
        <v>-37.769565217392</v>
      </c>
      <c r="F71" s="3">
        <v>36</v>
      </c>
      <c r="G71" s="3">
        <v>0.82419079790916683</v>
      </c>
      <c r="H71" s="3">
        <v>2.580920209083315E-2</v>
      </c>
    </row>
    <row r="72" spans="1:8" x14ac:dyDescent="0.35">
      <c r="A72" s="2">
        <v>0.84099999999999997</v>
      </c>
      <c r="B72" s="2">
        <v>-5.5652173913043397</v>
      </c>
      <c r="C72" s="2">
        <v>-5.7339995782608799</v>
      </c>
      <c r="D72" s="2">
        <v>725.81043478260801</v>
      </c>
      <c r="F72" s="3">
        <v>37</v>
      </c>
      <c r="G72" s="3">
        <v>0.72182453347265774</v>
      </c>
      <c r="H72" s="3">
        <v>-5.1824533472657697E-2</v>
      </c>
    </row>
    <row r="73" spans="1:8" x14ac:dyDescent="0.35">
      <c r="A73" s="2">
        <v>0.68700000000000006</v>
      </c>
      <c r="B73" s="2">
        <v>-6.5217391304347602E-2</v>
      </c>
      <c r="C73" s="2">
        <v>-7.5483691782608799</v>
      </c>
      <c r="D73" s="2">
        <v>1653.6004347825999</v>
      </c>
      <c r="F73" s="3">
        <v>38</v>
      </c>
      <c r="G73" s="3">
        <v>0.67160901664606953</v>
      </c>
      <c r="H73" s="3">
        <v>-2.6609016646069517E-2</v>
      </c>
    </row>
    <row r="74" spans="1:8" x14ac:dyDescent="0.35">
      <c r="A74" s="2">
        <v>0.67600000000000005</v>
      </c>
      <c r="B74" s="2">
        <v>-2.1652173913043402</v>
      </c>
      <c r="C74" s="2">
        <v>0.95648832173911502</v>
      </c>
      <c r="D74" s="2">
        <v>-1140.02956521739</v>
      </c>
      <c r="F74" s="3">
        <v>39</v>
      </c>
      <c r="G74" s="3">
        <v>0.71068979042110603</v>
      </c>
      <c r="H74" s="3">
        <v>-2.068979042110608E-2</v>
      </c>
    </row>
    <row r="75" spans="1:8" x14ac:dyDescent="0.35">
      <c r="A75" s="2">
        <v>0.752</v>
      </c>
      <c r="B75" s="2">
        <v>5.33478260869565</v>
      </c>
      <c r="C75" s="2">
        <v>7.9871705217391096</v>
      </c>
      <c r="D75" s="2">
        <v>-740.32956521739095</v>
      </c>
      <c r="F75" s="3">
        <v>40</v>
      </c>
      <c r="G75" s="3">
        <v>0.73775354757310818</v>
      </c>
      <c r="H75" s="3">
        <v>-5.7753547573108133E-2</v>
      </c>
    </row>
    <row r="76" spans="1:8" x14ac:dyDescent="0.35">
      <c r="A76" s="2">
        <v>0.747</v>
      </c>
      <c r="B76" s="2">
        <v>0.83478260869565002</v>
      </c>
      <c r="C76" s="2">
        <v>-4.8268147782608803</v>
      </c>
      <c r="D76" s="2">
        <v>-99.479565217391595</v>
      </c>
      <c r="F76" s="3">
        <v>41</v>
      </c>
      <c r="G76" s="3">
        <v>0.78980650634129812</v>
      </c>
      <c r="H76" s="3">
        <v>-8.0806506341298157E-2</v>
      </c>
    </row>
    <row r="77" spans="1:8" x14ac:dyDescent="0.35">
      <c r="A77" s="2">
        <v>0.73799999999999999</v>
      </c>
      <c r="B77" s="2">
        <v>0.83478260869565002</v>
      </c>
      <c r="C77" s="2">
        <v>-4.8268147782608803</v>
      </c>
      <c r="D77" s="2">
        <v>213.68043478260799</v>
      </c>
      <c r="F77" s="3">
        <v>42</v>
      </c>
      <c r="G77" s="3">
        <v>0.71187650987805884</v>
      </c>
      <c r="H77" s="3">
        <v>3.7123490121941161E-2</v>
      </c>
    </row>
    <row r="78" spans="1:8" x14ac:dyDescent="0.35">
      <c r="A78" s="2">
        <v>0.79400000000000004</v>
      </c>
      <c r="B78" s="2">
        <v>-7.5652173913043397</v>
      </c>
      <c r="C78" s="2">
        <v>-20.362354478260801</v>
      </c>
      <c r="D78" s="2">
        <v>444.90043478260799</v>
      </c>
      <c r="F78" s="3">
        <v>43</v>
      </c>
      <c r="G78" s="3">
        <v>0.63923860728764659</v>
      </c>
      <c r="H78" s="3">
        <v>-8.1238607287646536E-2</v>
      </c>
    </row>
    <row r="79" spans="1:8" x14ac:dyDescent="0.35">
      <c r="A79" s="2">
        <v>0.72</v>
      </c>
      <c r="B79" s="2">
        <v>-6.1652173913043402</v>
      </c>
      <c r="C79" s="2">
        <v>-11.0637102782608</v>
      </c>
      <c r="D79" s="2">
        <v>-553.79956521739098</v>
      </c>
      <c r="F79" s="3">
        <v>44</v>
      </c>
      <c r="G79" s="3">
        <v>0.75991231474357823</v>
      </c>
      <c r="H79" s="3">
        <v>-7.2912314743578177E-2</v>
      </c>
    </row>
    <row r="80" spans="1:8" x14ac:dyDescent="0.35">
      <c r="A80" s="2">
        <v>0.83699999999999997</v>
      </c>
      <c r="B80" s="2">
        <v>-3.2652173913043399</v>
      </c>
      <c r="C80" s="2">
        <v>-10.836914078260801</v>
      </c>
      <c r="D80" s="2">
        <v>-58.299565217391702</v>
      </c>
      <c r="F80" s="3">
        <v>45</v>
      </c>
      <c r="G80" s="3">
        <v>0.76094738607682477</v>
      </c>
      <c r="H80" s="3">
        <v>-2.6947386076824786E-2</v>
      </c>
    </row>
    <row r="81" spans="1:8" x14ac:dyDescent="0.35">
      <c r="A81" s="2">
        <v>0.73199999999999998</v>
      </c>
      <c r="B81" s="2">
        <v>-8.3652173913043395</v>
      </c>
      <c r="C81" s="2">
        <v>-11.7440988782608</v>
      </c>
      <c r="D81" s="2">
        <v>-315.66956521739098</v>
      </c>
      <c r="F81" s="3">
        <v>46</v>
      </c>
      <c r="G81" s="3">
        <v>0.73388540264090885</v>
      </c>
      <c r="H81" s="3">
        <v>-3.4885402640908891E-2</v>
      </c>
    </row>
    <row r="82" spans="1:8" x14ac:dyDescent="0.35">
      <c r="A82" s="2">
        <v>0.73799999999999999</v>
      </c>
      <c r="B82" s="2">
        <v>-6.0652173913043397</v>
      </c>
      <c r="C82" s="2">
        <v>-6.1875919782608797</v>
      </c>
      <c r="D82" s="2">
        <v>-1030.0595652173899</v>
      </c>
      <c r="F82" s="3">
        <v>47</v>
      </c>
      <c r="G82" s="3">
        <v>0.78463736469718171</v>
      </c>
      <c r="H82" s="3">
        <v>3.0362635302818242E-2</v>
      </c>
    </row>
    <row r="83" spans="1:8" x14ac:dyDescent="0.35">
      <c r="A83" s="2">
        <v>0.85599999999999998</v>
      </c>
      <c r="B83" s="2">
        <v>-5.1652173913043402</v>
      </c>
      <c r="C83" s="2">
        <v>-9.4761368782608795</v>
      </c>
      <c r="D83" s="2">
        <v>-559.57956521739095</v>
      </c>
      <c r="F83" s="3">
        <v>48</v>
      </c>
      <c r="G83" s="3">
        <v>0.76032051668089384</v>
      </c>
      <c r="H83" s="3">
        <v>4.0679483319106202E-2</v>
      </c>
    </row>
    <row r="84" spans="1:8" x14ac:dyDescent="0.35">
      <c r="A84" s="2">
        <v>0.79300000000000004</v>
      </c>
      <c r="B84" s="2">
        <v>0.934782608695652</v>
      </c>
      <c r="C84" s="2">
        <v>-10.383321678260801</v>
      </c>
      <c r="D84" s="2">
        <v>1518.0504347826</v>
      </c>
      <c r="F84" s="3">
        <v>49</v>
      </c>
      <c r="G84" s="3">
        <v>0.78123203951180908</v>
      </c>
      <c r="H84" s="3">
        <v>3.3767960488190862E-2</v>
      </c>
    </row>
    <row r="85" spans="1:8" x14ac:dyDescent="0.35">
      <c r="A85" s="2">
        <v>0.71</v>
      </c>
      <c r="B85" s="2">
        <v>-6.6652173913043402</v>
      </c>
      <c r="C85" s="2">
        <v>-11.4039045782608</v>
      </c>
      <c r="D85" s="2">
        <v>-148.989565217391</v>
      </c>
      <c r="F85" s="3">
        <v>50</v>
      </c>
      <c r="G85" s="3">
        <v>0.82586422554892247</v>
      </c>
      <c r="H85" s="3">
        <v>-8.0864225548922475E-2</v>
      </c>
    </row>
    <row r="86" spans="1:8" x14ac:dyDescent="0.35">
      <c r="A86" s="2">
        <v>0.77</v>
      </c>
      <c r="B86" s="2">
        <v>-9.3652173913043395</v>
      </c>
      <c r="C86" s="2">
        <v>-13.1048760782608</v>
      </c>
      <c r="D86" s="2">
        <v>-840.59956521739105</v>
      </c>
      <c r="F86" s="3">
        <v>51</v>
      </c>
      <c r="G86" s="3">
        <v>0.805862752296993</v>
      </c>
      <c r="H86" s="3">
        <v>3.0137247703006964E-2</v>
      </c>
    </row>
    <row r="87" spans="1:8" x14ac:dyDescent="0.35">
      <c r="A87" s="2">
        <v>0.74</v>
      </c>
      <c r="B87" s="2">
        <v>3.4782608695653701E-2</v>
      </c>
      <c r="C87" s="2">
        <v>-6.1875919782608797</v>
      </c>
      <c r="D87" s="2">
        <v>-335.06956521739102</v>
      </c>
      <c r="F87" s="3">
        <v>52</v>
      </c>
      <c r="G87" s="3">
        <v>0.75822436005634009</v>
      </c>
      <c r="H87" s="3">
        <v>3.7756399436599253E-3</v>
      </c>
    </row>
    <row r="88" spans="1:8" x14ac:dyDescent="0.35">
      <c r="A88" s="2">
        <v>0.73699999999999999</v>
      </c>
      <c r="B88" s="2">
        <v>-5.1652173913043402</v>
      </c>
      <c r="C88" s="2">
        <v>-11.2905064782608</v>
      </c>
      <c r="D88" s="2">
        <v>-112.019565217392</v>
      </c>
      <c r="F88" s="3">
        <v>53</v>
      </c>
      <c r="G88" s="3">
        <v>0.93271126262778059</v>
      </c>
      <c r="H88" s="3">
        <v>-7.1711262627780603E-2</v>
      </c>
    </row>
    <row r="89" spans="1:8" x14ac:dyDescent="0.35">
      <c r="A89" s="2">
        <v>0.63300000000000001</v>
      </c>
      <c r="B89" s="2">
        <v>-5.3652173913043404</v>
      </c>
      <c r="C89" s="2">
        <v>-10.383321678260801</v>
      </c>
      <c r="D89" s="2">
        <v>-1278.3295652173899</v>
      </c>
      <c r="F89" s="3">
        <v>54</v>
      </c>
      <c r="G89" s="3">
        <v>0.88317151071836297</v>
      </c>
      <c r="H89" s="3">
        <v>0.13682848928163704</v>
      </c>
    </row>
    <row r="90" spans="1:8" x14ac:dyDescent="0.35">
      <c r="A90" s="2">
        <v>0.621</v>
      </c>
      <c r="B90" s="2">
        <v>-10.4652173913043</v>
      </c>
      <c r="C90" s="2">
        <v>-8.5689520782608799</v>
      </c>
      <c r="D90" s="2">
        <v>267.44043478260801</v>
      </c>
      <c r="F90" s="3">
        <v>55</v>
      </c>
      <c r="G90" s="3">
        <v>0.98626046048399973</v>
      </c>
      <c r="H90" s="3">
        <v>-0.21026046048399971</v>
      </c>
    </row>
    <row r="91" spans="1:8" x14ac:dyDescent="0.35">
      <c r="A91" s="2">
        <v>0.74399999999999999</v>
      </c>
      <c r="B91" s="2">
        <v>2.83478260869565</v>
      </c>
      <c r="C91" s="2">
        <v>-9.9297292782608793</v>
      </c>
      <c r="D91" s="2">
        <v>360.47043478260798</v>
      </c>
      <c r="F91" s="3">
        <v>56</v>
      </c>
      <c r="G91" s="3">
        <v>0.99165241683186989</v>
      </c>
      <c r="H91" s="3">
        <v>1.634758316813012E-2</v>
      </c>
    </row>
    <row r="92" spans="1:8" x14ac:dyDescent="0.35">
      <c r="A92" s="2">
        <v>0.622</v>
      </c>
      <c r="B92" s="2">
        <v>-5.6652173913043402</v>
      </c>
      <c r="C92" s="2">
        <v>-19.9087620782608</v>
      </c>
      <c r="D92" s="2">
        <v>-1.3795652173916999</v>
      </c>
      <c r="F92" s="3">
        <v>57</v>
      </c>
      <c r="G92" s="3">
        <v>1.0217671053222261</v>
      </c>
      <c r="H92" s="3">
        <v>-1.1767105322226135E-2</v>
      </c>
    </row>
    <row r="93" spans="1:8" x14ac:dyDescent="0.35">
      <c r="A93" s="2">
        <v>0.73499999999999999</v>
      </c>
      <c r="B93" s="2">
        <v>-2.96521739130434</v>
      </c>
      <c r="C93" s="2">
        <v>-6.3009900782608801</v>
      </c>
      <c r="D93" s="2">
        <v>-195.649565217391</v>
      </c>
      <c r="F93" s="3">
        <v>58</v>
      </c>
      <c r="G93" s="3">
        <v>0.78735006287301723</v>
      </c>
      <c r="H93" s="3">
        <v>9.7649937126982778E-2</v>
      </c>
    </row>
    <row r="94" spans="1:8" x14ac:dyDescent="0.35">
      <c r="F94" s="3">
        <v>59</v>
      </c>
      <c r="G94" s="3">
        <v>0.80437510436022974</v>
      </c>
      <c r="H94" s="3">
        <v>-3.3375104360229724E-2</v>
      </c>
    </row>
    <row r="95" spans="1:8" x14ac:dyDescent="0.35">
      <c r="F95" s="3">
        <v>60</v>
      </c>
      <c r="G95" s="3">
        <v>0.8676710896012082</v>
      </c>
      <c r="H95" s="3">
        <v>0.21332891039879176</v>
      </c>
    </row>
    <row r="96" spans="1:8" x14ac:dyDescent="0.35">
      <c r="F96" s="3">
        <v>61</v>
      </c>
      <c r="G96" s="3">
        <v>0.98625023034197201</v>
      </c>
      <c r="H96" s="3">
        <v>4.0749769658027901E-2</v>
      </c>
    </row>
    <row r="97" spans="6:8" x14ac:dyDescent="0.35">
      <c r="F97" s="3">
        <v>62</v>
      </c>
      <c r="G97" s="3">
        <v>0.76516127740569218</v>
      </c>
      <c r="H97" s="3">
        <v>3.6838722594307871E-2</v>
      </c>
    </row>
    <row r="98" spans="6:8" x14ac:dyDescent="0.35">
      <c r="F98" s="3">
        <v>63</v>
      </c>
      <c r="G98" s="3">
        <v>0.78244465209747471</v>
      </c>
      <c r="H98" s="3">
        <v>5.5534790252531607E-4</v>
      </c>
    </row>
    <row r="99" spans="6:8" x14ac:dyDescent="0.35">
      <c r="F99" s="3">
        <v>64</v>
      </c>
      <c r="G99" s="3">
        <v>0.96689403363609538</v>
      </c>
      <c r="H99" s="3">
        <v>1.3105966363904598E-2</v>
      </c>
    </row>
    <row r="100" spans="6:8" x14ac:dyDescent="0.35">
      <c r="F100" s="3">
        <v>65</v>
      </c>
      <c r="G100" s="3">
        <v>0.81785642032923267</v>
      </c>
      <c r="H100" s="3">
        <v>3.0143579670767306E-2</v>
      </c>
    </row>
    <row r="101" spans="6:8" x14ac:dyDescent="0.35">
      <c r="F101" s="3">
        <v>66</v>
      </c>
      <c r="G101" s="3">
        <v>0.90087658020821981</v>
      </c>
      <c r="H101" s="3">
        <v>-5.1876580208219836E-2</v>
      </c>
    </row>
    <row r="102" spans="6:8" x14ac:dyDescent="0.35">
      <c r="F102" s="3">
        <v>67</v>
      </c>
      <c r="G102" s="3">
        <v>0.93335408822426402</v>
      </c>
      <c r="H102" s="3">
        <v>3.9645911775735954E-2</v>
      </c>
    </row>
    <row r="103" spans="6:8" x14ac:dyDescent="0.35">
      <c r="F103" s="3">
        <v>68</v>
      </c>
      <c r="G103" s="3">
        <v>0.87868222720308875</v>
      </c>
      <c r="H103" s="3">
        <v>-1.2682227203088758E-2</v>
      </c>
    </row>
    <row r="104" spans="6:8" x14ac:dyDescent="0.35">
      <c r="F104" s="3">
        <v>69</v>
      </c>
      <c r="G104" s="3">
        <v>0.82784275890732517</v>
      </c>
      <c r="H104" s="3">
        <v>-5.1842758907325148E-2</v>
      </c>
    </row>
    <row r="105" spans="6:8" x14ac:dyDescent="0.35">
      <c r="F105" s="3">
        <v>70</v>
      </c>
      <c r="G105" s="3">
        <v>0.87997970399675329</v>
      </c>
      <c r="H105" s="3">
        <v>-3.6979703996753321E-2</v>
      </c>
    </row>
    <row r="106" spans="6:8" x14ac:dyDescent="0.35">
      <c r="F106" s="3">
        <v>71</v>
      </c>
      <c r="G106" s="3">
        <v>0.81130940162501375</v>
      </c>
      <c r="H106" s="3">
        <v>2.9690598374986221E-2</v>
      </c>
    </row>
    <row r="107" spans="6:8" x14ac:dyDescent="0.35">
      <c r="F107" s="3">
        <v>72</v>
      </c>
      <c r="G107" s="3">
        <v>0.79612332114715756</v>
      </c>
      <c r="H107" s="3">
        <v>-0.1091233211471575</v>
      </c>
    </row>
    <row r="108" spans="6:8" x14ac:dyDescent="0.35">
      <c r="F108" s="3">
        <v>73</v>
      </c>
      <c r="G108" s="3">
        <v>0.79075622796791201</v>
      </c>
      <c r="H108" s="3">
        <v>-0.11475622796791196</v>
      </c>
    </row>
    <row r="109" spans="6:8" x14ac:dyDescent="0.35">
      <c r="F109" s="3">
        <v>74</v>
      </c>
      <c r="G109" s="3">
        <v>0.81057947998145607</v>
      </c>
      <c r="H109" s="3">
        <v>-5.8579479981456073E-2</v>
      </c>
    </row>
    <row r="110" spans="6:8" x14ac:dyDescent="0.35">
      <c r="F110" s="3">
        <v>75</v>
      </c>
      <c r="G110" s="3">
        <v>0.76455358815016838</v>
      </c>
      <c r="H110" s="3">
        <v>-1.7553588150168387E-2</v>
      </c>
    </row>
    <row r="111" spans="6:8" x14ac:dyDescent="0.35">
      <c r="F111" s="3">
        <v>76</v>
      </c>
      <c r="G111" s="3">
        <v>0.77261409520389923</v>
      </c>
      <c r="H111" s="3">
        <v>-3.4614095203899242E-2</v>
      </c>
    </row>
    <row r="112" spans="6:8" x14ac:dyDescent="0.35">
      <c r="F112" s="3">
        <v>77</v>
      </c>
      <c r="G112" s="3">
        <v>0.71726082568118854</v>
      </c>
      <c r="H112" s="3">
        <v>7.6739174318811498E-2</v>
      </c>
    </row>
    <row r="113" spans="6:8" x14ac:dyDescent="0.35">
      <c r="F113" s="3">
        <v>78</v>
      </c>
      <c r="G113" s="3">
        <v>0.74610824137476761</v>
      </c>
      <c r="H113" s="3">
        <v>-2.6108241374767638E-2</v>
      </c>
    </row>
    <row r="114" spans="6:8" x14ac:dyDescent="0.35">
      <c r="F114" s="3">
        <v>79</v>
      </c>
      <c r="G114" s="3">
        <v>0.74608358698002353</v>
      </c>
      <c r="H114" s="3">
        <v>9.0916413019976439E-2</v>
      </c>
    </row>
    <row r="115" spans="6:8" x14ac:dyDescent="0.35">
      <c r="F115" s="3">
        <v>80</v>
      </c>
      <c r="G115" s="3">
        <v>0.75857243816140363</v>
      </c>
      <c r="H115" s="3">
        <v>-2.6572438161403644E-2</v>
      </c>
    </row>
    <row r="116" spans="6:8" x14ac:dyDescent="0.35">
      <c r="F116" s="3">
        <v>81</v>
      </c>
      <c r="G116" s="3">
        <v>0.76557883193532916</v>
      </c>
      <c r="H116" s="3">
        <v>-2.7578831935329173E-2</v>
      </c>
    </row>
    <row r="117" spans="6:8" x14ac:dyDescent="0.35">
      <c r="F117" s="3">
        <v>82</v>
      </c>
      <c r="G117" s="3">
        <v>0.75152703582020275</v>
      </c>
      <c r="H117" s="3">
        <v>0.10447296417979723</v>
      </c>
    </row>
    <row r="118" spans="6:8" x14ac:dyDescent="0.35">
      <c r="F118" s="3">
        <v>83</v>
      </c>
      <c r="G118" s="3">
        <v>0.76897779317210979</v>
      </c>
      <c r="H118" s="3">
        <v>2.4022206827890247E-2</v>
      </c>
    </row>
    <row r="119" spans="6:8" x14ac:dyDescent="0.35">
      <c r="F119" s="3">
        <v>84</v>
      </c>
      <c r="G119" s="3">
        <v>0.75674131557173285</v>
      </c>
      <c r="H119" s="3">
        <v>-4.6741315571732889E-2</v>
      </c>
    </row>
    <row r="120" spans="6:8" x14ac:dyDescent="0.35">
      <c r="F120" s="3">
        <v>85</v>
      </c>
      <c r="G120" s="3">
        <v>0.74099223414543136</v>
      </c>
      <c r="H120" s="3">
        <v>2.9007765854568657E-2</v>
      </c>
    </row>
    <row r="121" spans="6:8" x14ac:dyDescent="0.35">
      <c r="F121" s="3">
        <v>86</v>
      </c>
      <c r="G121" s="3">
        <v>0.75343615218394833</v>
      </c>
      <c r="H121" s="3">
        <v>-1.3436152183948336E-2</v>
      </c>
    </row>
    <row r="122" spans="6:8" x14ac:dyDescent="0.35">
      <c r="F122" s="3">
        <v>87</v>
      </c>
      <c r="G122" s="3">
        <v>0.75105750943738958</v>
      </c>
      <c r="H122" s="3">
        <v>-1.4057509437389593E-2</v>
      </c>
    </row>
    <row r="123" spans="6:8" x14ac:dyDescent="0.35">
      <c r="F123" s="3">
        <v>88</v>
      </c>
      <c r="G123" s="3">
        <v>0.72801687652173641</v>
      </c>
      <c r="H123" s="3">
        <v>-9.5016876521736404E-2</v>
      </c>
    </row>
    <row r="124" spans="6:8" x14ac:dyDescent="0.35">
      <c r="F124" s="3">
        <v>89</v>
      </c>
      <c r="G124" s="3">
        <v>0.80490130446061581</v>
      </c>
      <c r="H124" s="3">
        <v>-0.18390130446061581</v>
      </c>
    </row>
    <row r="125" spans="6:8" x14ac:dyDescent="0.35">
      <c r="F125" s="3">
        <v>90</v>
      </c>
      <c r="G125" s="3">
        <v>0.73282590355998511</v>
      </c>
      <c r="H125" s="3">
        <v>1.117409644001488E-2</v>
      </c>
    </row>
    <row r="126" spans="6:8" x14ac:dyDescent="0.35">
      <c r="F126" s="3">
        <v>91</v>
      </c>
      <c r="G126" s="3">
        <v>0.69941727259773567</v>
      </c>
      <c r="H126" s="3">
        <v>-7.7417272597735676E-2</v>
      </c>
    </row>
    <row r="127" spans="6:8" ht="15" thickBot="1" x14ac:dyDescent="0.4">
      <c r="F127" s="4">
        <v>92</v>
      </c>
      <c r="G127" s="4">
        <v>0.77104483011770075</v>
      </c>
      <c r="H127" s="4">
        <v>-3.6044830117700766E-2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MulticollinearityExample</vt:lpstr>
      <vt:lpstr>VIF X1,X3</vt:lpstr>
      <vt:lpstr>VIF X1,X2</vt:lpstr>
      <vt:lpstr>VIF X2,X3</vt:lpstr>
      <vt:lpstr>Centering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Rutvik Vagadia</dc:creator>
  <cp:lastModifiedBy>Rutvik</cp:lastModifiedBy>
  <dcterms:modified xsi:type="dcterms:W3CDTF">2022-01-13T04:21:37Z</dcterms:modified>
</cp:coreProperties>
</file>