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 sem 4\Econ lab\"/>
    </mc:Choice>
  </mc:AlternateContent>
  <xr:revisionPtr revIDLastSave="0" documentId="13_ncr:1000001_{AF0C0AD3-8294-9F44-8A41-1CCEBF60FF22}" xr6:coauthVersionLast="47" xr6:coauthVersionMax="47" xr10:uidLastSave="{00000000-0000-0000-0000-000000000000}"/>
  <bookViews>
    <workbookView xWindow="-108" yWindow="-108" windowWidth="23256" windowHeight="12456" firstSheet="2" activeTab="5" xr2:uid="{435BFFFE-3771-40C9-958D-E01692359909}"/>
  </bookViews>
  <sheets>
    <sheet name="MRA" sheetId="1" r:id="rId1"/>
    <sheet name="Without X1" sheetId="2" r:id="rId2"/>
    <sheet name="Without X2" sheetId="3" r:id="rId3"/>
    <sheet name="Without X5" sheetId="4" r:id="rId4"/>
    <sheet name="All summary" sheetId="5" r:id="rId5"/>
    <sheet name="VIFs" sheetId="6" r:id="rId6"/>
    <sheet name="Without X1 and X5" sheetId="7" r:id="rId7"/>
    <sheet name="Without X1, X2 and X5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7" i="6" l="1"/>
  <c r="J26" i="6"/>
  <c r="P17" i="6"/>
  <c r="I26" i="6"/>
  <c r="P15" i="6"/>
  <c r="I24" i="6"/>
  <c r="P14" i="6"/>
  <c r="I23" i="6"/>
  <c r="R17" i="6"/>
  <c r="K26" i="6"/>
  <c r="S17" i="6"/>
  <c r="L26" i="6"/>
  <c r="T17" i="6"/>
  <c r="Q16" i="6"/>
  <c r="J25" i="6"/>
  <c r="R16" i="6"/>
  <c r="K25" i="6"/>
  <c r="S16" i="6"/>
  <c r="Q15" i="6"/>
  <c r="J24" i="6"/>
  <c r="R15" i="6"/>
  <c r="Q14" i="6"/>
  <c r="P16" i="6"/>
  <c r="I25" i="6"/>
  <c r="P13" i="6"/>
</calcChain>
</file>

<file path=xl/sharedStrings.xml><?xml version="1.0" encoding="utf-8"?>
<sst xmlns="http://schemas.openxmlformats.org/spreadsheetml/2006/main" count="352" uniqueCount="49">
  <si>
    <t>Observation</t>
  </si>
  <si>
    <t>Y</t>
  </si>
  <si>
    <t>X1</t>
  </si>
  <si>
    <t>X2</t>
  </si>
  <si>
    <t>X3</t>
  </si>
  <si>
    <t>X4</t>
  </si>
  <si>
    <t>X5</t>
  </si>
  <si>
    <t>Correlation Matrix</t>
  </si>
  <si>
    <t>Data from 1(1).pdf (pdf page - 385)</t>
  </si>
  <si>
    <t>Multiple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</si>
  <si>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</si>
  <si>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</si>
  <si>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</si>
  <si>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</si>
  <si>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</si>
  <si>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</si>
  <si>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</si>
  <si>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</si>
  <si>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</si>
  <si>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</si>
  <si>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</si>
  <si>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</si>
  <si>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</si>
  <si>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</si>
  <si>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</si>
  <si>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</si>
  <si>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</si>
  <si>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</si>
  <si>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</si>
  <si>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</si>
  <si>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</si>
  <si>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</si>
  <si>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</si>
  <si>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</si>
  <si>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</si>
  <si>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</si>
  <si>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</si>
  <si>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Observed Y</t>
  </si>
  <si>
    <t>Without X1</t>
  </si>
  <si>
    <t>Without X2</t>
  </si>
  <si>
    <t>Without X5</t>
  </si>
  <si>
    <t xml:space="preserve"> </t>
  </si>
  <si>
    <t>Data :</t>
  </si>
  <si>
    <t>Square of Correlations</t>
  </si>
  <si>
    <r>
      <t>VIFs = 1/(1-R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</si>
  <si>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 xml:space="preserve">But for regression model with one predictor we know that R2 is same as square of correlation coeff between response and predictor. </t>
  </si>
  <si>
    <r>
      <t>VIFs can be computed by 1/(1-R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) , Where R2 is R2 in regression model between one one predictors. Like X1 ~ X1 etc. </t>
    </r>
  </si>
  <si>
    <t>Without X1 and X5</t>
  </si>
  <si>
    <t>Without X1,X2 and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</si>
</sst>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0" fontId="0" fillId="0" borderId="4" xfId="0" applyBorder="1"/>
    <xf numFmtId="3" fontId="0" fillId="0" borderId="5" xfId="0" applyNumberFormat="1" applyBorder="1"/>
    <xf numFmtId="0" fontId="0" fillId="0" borderId="6" xfId="0" applyBorder="1"/>
    <xf numFmtId="3" fontId="0" fillId="0" borderId="7" xfId="0" applyNumberFormat="1" applyBorder="1"/>
    <xf numFmtId="0" fontId="0" fillId="0" borderId="7" xfId="0" applyBorder="1"/>
    <xf numFmtId="3" fontId="0" fillId="0" borderId="8" xfId="0" applyNumberFormat="1" applyBorder="1"/>
    <xf numFmtId="0" fontId="0" fillId="0" borderId="9" xfId="0" applyBorder="1"/>
    <xf numFmtId="3" fontId="0" fillId="0" borderId="10" xfId="0" applyNumberFormat="1" applyBorder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2" fillId="0" borderId="2" xfId="0" applyFont="1" applyFill="1" applyBorder="1" applyAlignment="1">
      <alignment horizontal="centerContinuous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2" fillId="0" borderId="0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MRA!$L$42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MRA!$L$43:$L$89</c:f>
              <c:numCache>
                <c:formatCode>General</c:formatCode>
                <c:ptCount val="47"/>
                <c:pt idx="0">
                  <c:v>309.95917212365021</c:v>
                </c:pt>
                <c:pt idx="1">
                  <c:v>563.09174317051657</c:v>
                </c:pt>
                <c:pt idx="2">
                  <c:v>808.60718499987706</c:v>
                </c:pt>
                <c:pt idx="3">
                  <c:v>-10.149626764352433</c:v>
                </c:pt>
                <c:pt idx="4">
                  <c:v>-319.04942864335317</c:v>
                </c:pt>
                <c:pt idx="5">
                  <c:v>-528.59790052918834</c:v>
                </c:pt>
                <c:pt idx="6">
                  <c:v>-695.8425091249519</c:v>
                </c:pt>
                <c:pt idx="7">
                  <c:v>-534.27909609758353</c:v>
                </c:pt>
                <c:pt idx="8">
                  <c:v>-104.61185201170156</c:v>
                </c:pt>
                <c:pt idx="9">
                  <c:v>-292.30994303991611</c:v>
                </c:pt>
                <c:pt idx="10">
                  <c:v>-29.427317096298793</c:v>
                </c:pt>
                <c:pt idx="11">
                  <c:v>187.29068183814525</c:v>
                </c:pt>
                <c:pt idx="12">
                  <c:v>-253.93732608320715</c:v>
                </c:pt>
                <c:pt idx="13">
                  <c:v>-14.288160397816682</c:v>
                </c:pt>
                <c:pt idx="14">
                  <c:v>-85.802105038354057</c:v>
                </c:pt>
                <c:pt idx="15">
                  <c:v>68.432690098066814</c:v>
                </c:pt>
                <c:pt idx="16">
                  <c:v>247.47189345907827</c:v>
                </c:pt>
                <c:pt idx="17">
                  <c:v>85.451642975982395</c:v>
                </c:pt>
                <c:pt idx="18">
                  <c:v>319.33460877567995</c:v>
                </c:pt>
                <c:pt idx="19">
                  <c:v>721.59789380209986</c:v>
                </c:pt>
                <c:pt idx="20">
                  <c:v>631.71584209463617</c:v>
                </c:pt>
                <c:pt idx="21">
                  <c:v>198.29491251108993</c:v>
                </c:pt>
                <c:pt idx="22">
                  <c:v>-545.35913303874258</c:v>
                </c:pt>
                <c:pt idx="23">
                  <c:v>-404.37076224350312</c:v>
                </c:pt>
                <c:pt idx="24">
                  <c:v>-711.47027599914873</c:v>
                </c:pt>
                <c:pt idx="25">
                  <c:v>-1051.4813545709767</c:v>
                </c:pt>
                <c:pt idx="26">
                  <c:v>-723.20763716174406</c:v>
                </c:pt>
                <c:pt idx="27">
                  <c:v>159.40660085178388</c:v>
                </c:pt>
                <c:pt idx="28">
                  <c:v>305.17840770987095</c:v>
                </c:pt>
                <c:pt idx="29">
                  <c:v>349.0037336392561</c:v>
                </c:pt>
                <c:pt idx="30">
                  <c:v>1035.5611262496095</c:v>
                </c:pt>
                <c:pt idx="31">
                  <c:v>1514.2051664849423</c:v>
                </c:pt>
                <c:pt idx="32">
                  <c:v>512.70562813295692</c:v>
                </c:pt>
                <c:pt idx="33">
                  <c:v>958.71212729108811</c:v>
                </c:pt>
                <c:pt idx="34">
                  <c:v>-146.35495562825236</c:v>
                </c:pt>
                <c:pt idx="35">
                  <c:v>-251.68230422837951</c:v>
                </c:pt>
                <c:pt idx="36">
                  <c:v>-991.25069642892049</c:v>
                </c:pt>
                <c:pt idx="37">
                  <c:v>-1117.6254435629526</c:v>
                </c:pt>
                <c:pt idx="38">
                  <c:v>-523.29146002040943</c:v>
                </c:pt>
                <c:pt idx="39">
                  <c:v>-831.30154086480616</c:v>
                </c:pt>
                <c:pt idx="40">
                  <c:v>-700.01267342353822</c:v>
                </c:pt>
                <c:pt idx="41">
                  <c:v>923.48371538720676</c:v>
                </c:pt>
                <c:pt idx="42">
                  <c:v>506.33942191716051</c:v>
                </c:pt>
                <c:pt idx="43">
                  <c:v>503.93494974417263</c:v>
                </c:pt>
                <c:pt idx="44">
                  <c:v>668.23358190600993</c:v>
                </c:pt>
                <c:pt idx="45">
                  <c:v>-303.59779935289407</c:v>
                </c:pt>
                <c:pt idx="46">
                  <c:v>-408.71142381074606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01-451F-A0B1-FC8B25E8A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7265632"/>
        <c:axId val="637268128"/>
      </c:barChart>
      <c:lineChart>
        <c:grouping val="standard"/>
        <c:varyColors val="0"/>
        <c:ser>
          <c:idx val="0"/>
          <c:order val="0"/>
          <c:tx>
            <c:strRef>
              <c:f>MRA!$J$42</c:f>
              <c:strCache>
                <c:ptCount val="1"/>
                <c:pt idx="0">
                  <c:v>Observed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MRA!$J$43:$J$89</c:f>
              <c:numCache>
                <c:formatCode>General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1-451F-A0B1-FC8B25E8AFEE}"/>
            </c:ext>
          </c:extLst>
        </c:ser>
        <c:ser>
          <c:idx val="1"/>
          <c:order val="1"/>
          <c:tx>
            <c:strRef>
              <c:f>MRA!$K$42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MRA!$K$43:$K$89</c:f>
              <c:numCache>
                <c:formatCode>General</c:formatCode>
                <c:ptCount val="47"/>
                <c:pt idx="0">
                  <c:v>64320.04082787635</c:v>
                </c:pt>
                <c:pt idx="1">
                  <c:v>65214.908256829483</c:v>
                </c:pt>
                <c:pt idx="2">
                  <c:v>64937.392815000123</c:v>
                </c:pt>
                <c:pt idx="3">
                  <c:v>66712.149626764352</c:v>
                </c:pt>
                <c:pt idx="4">
                  <c:v>68081.049428643353</c:v>
                </c:pt>
                <c:pt idx="5">
                  <c:v>69833.597900529188</c:v>
                </c:pt>
                <c:pt idx="6">
                  <c:v>71783.842509124952</c:v>
                </c:pt>
                <c:pt idx="7">
                  <c:v>73429.279096097584</c:v>
                </c:pt>
                <c:pt idx="8">
                  <c:v>74476.611852011702</c:v>
                </c:pt>
                <c:pt idx="9">
                  <c:v>76212.309943039916</c:v>
                </c:pt>
                <c:pt idx="10">
                  <c:v>77931.427317096299</c:v>
                </c:pt>
                <c:pt idx="11">
                  <c:v>78490.709318161855</c:v>
                </c:pt>
                <c:pt idx="12">
                  <c:v>79620.937326083207</c:v>
                </c:pt>
                <c:pt idx="13">
                  <c:v>82167.288160397817</c:v>
                </c:pt>
                <c:pt idx="14">
                  <c:v>85149.802105038354</c:v>
                </c:pt>
                <c:pt idx="15">
                  <c:v>86725.567309901933</c:v>
                </c:pt>
                <c:pt idx="16">
                  <c:v>85598.528106540922</c:v>
                </c:pt>
                <c:pt idx="17">
                  <c:v>88666.548357024018</c:v>
                </c:pt>
                <c:pt idx="18">
                  <c:v>91697.66539122432</c:v>
                </c:pt>
                <c:pt idx="19">
                  <c:v>95326.4021061979</c:v>
                </c:pt>
                <c:pt idx="20">
                  <c:v>98192.284157905364</c:v>
                </c:pt>
                <c:pt idx="21">
                  <c:v>99104.70508748891</c:v>
                </c:pt>
                <c:pt idx="22">
                  <c:v>100942.35913303874</c:v>
                </c:pt>
                <c:pt idx="23">
                  <c:v>99930.370762243503</c:v>
                </c:pt>
                <c:pt idx="24">
                  <c:v>101545.47027599915</c:v>
                </c:pt>
                <c:pt idx="25">
                  <c:v>106056.48135457098</c:v>
                </c:pt>
                <c:pt idx="26">
                  <c:v>107873.20763716174</c:v>
                </c:pt>
                <c:pt idx="27">
                  <c:v>109437.59339914822</c:v>
                </c:pt>
                <c:pt idx="28">
                  <c:v>112134.82159229013</c:v>
                </c:pt>
                <c:pt idx="29">
                  <c:v>114618.99626636074</c:v>
                </c:pt>
                <c:pt idx="30">
                  <c:v>116306.43887375039</c:v>
                </c:pt>
                <c:pt idx="31">
                  <c:v>117278.79483351506</c:v>
                </c:pt>
                <c:pt idx="32">
                  <c:v>117205.29437186704</c:v>
                </c:pt>
                <c:pt idx="33">
                  <c:v>117533.28787270891</c:v>
                </c:pt>
                <c:pt idx="34">
                  <c:v>120405.35495562825</c:v>
                </c:pt>
                <c:pt idx="35">
                  <c:v>123311.68230422838</c:v>
                </c:pt>
                <c:pt idx="36">
                  <c:v>125891.25069642892</c:v>
                </c:pt>
                <c:pt idx="37">
                  <c:v>127825.62544356295</c:v>
                </c:pt>
                <c:pt idx="38">
                  <c:v>130081.29146002041</c:v>
                </c:pt>
                <c:pt idx="39">
                  <c:v>132294.30154086481</c:v>
                </c:pt>
                <c:pt idx="40">
                  <c:v>134188.01267342354</c:v>
                </c:pt>
                <c:pt idx="41">
                  <c:v>135967.51628461279</c:v>
                </c:pt>
                <c:pt idx="42">
                  <c:v>136426.66057808284</c:v>
                </c:pt>
                <c:pt idx="43">
                  <c:v>135981.06505025583</c:v>
                </c:pt>
                <c:pt idx="44">
                  <c:v>137067.76641809399</c:v>
                </c:pt>
                <c:pt idx="45">
                  <c:v>139555.59779935289</c:v>
                </c:pt>
                <c:pt idx="46">
                  <c:v>142138.71142381075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1-451F-A0B1-FC8B25E8A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525248"/>
        <c:axId val="487524000"/>
      </c:lineChart>
      <c:catAx>
        <c:axId val="48752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4000"/>
        <c:crosses val="autoZero"/>
        <c:auto val="1"/>
        <c:lblAlgn val="ctr"/>
        <c:lblOffset val="100"/>
        <c:noMultiLvlLbl val="0"/>
      </c:catAx>
      <c:valAx>
        <c:axId val="48752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25248"/>
        <c:crosses val="autoZero"/>
        <c:crossBetween val="between"/>
      </c:valAx>
      <c:valAx>
        <c:axId val="637268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65632"/>
        <c:crosses val="max"/>
        <c:crossBetween val="between"/>
      </c:valAx>
      <c:catAx>
        <c:axId val="637265632"/>
        <c:scaling>
          <c:orientation val="minMax"/>
        </c:scaling>
        <c:delete val="1"/>
        <c:axPos val="b"/>
        <c:majorTickMark val="out"/>
        <c:minorTickMark val="none"/>
        <c:tickLblPos val="nextTo"/>
        <c:crossAx val="637268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'Without X1'!$L$30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'Without X1'!$L$31:$L$77</c:f>
              <c:numCache>
                <c:formatCode>General</c:formatCode>
                <c:ptCount val="47"/>
                <c:pt idx="0">
                  <c:v>1996.0622517506708</c:v>
                </c:pt>
                <c:pt idx="1">
                  <c:v>2011.4553724138241</c:v>
                </c:pt>
                <c:pt idx="2">
                  <c:v>1586.959803494683</c:v>
                </c:pt>
                <c:pt idx="3">
                  <c:v>857.12238759131287</c:v>
                </c:pt>
                <c:pt idx="4">
                  <c:v>119.18027682189131</c:v>
                </c:pt>
                <c:pt idx="5">
                  <c:v>-271.34570607249043</c:v>
                </c:pt>
                <c:pt idx="6">
                  <c:v>-525.59676341034356</c:v>
                </c:pt>
                <c:pt idx="7">
                  <c:v>-515.56911903092987</c:v>
                </c:pt>
                <c:pt idx="8">
                  <c:v>-470.6867929167056</c:v>
                </c:pt>
                <c:pt idx="9">
                  <c:v>-758.90176610538037</c:v>
                </c:pt>
                <c:pt idx="10">
                  <c:v>-558.92337387916632</c:v>
                </c:pt>
                <c:pt idx="11">
                  <c:v>-886.6805185762496</c:v>
                </c:pt>
                <c:pt idx="12">
                  <c:v>-1755.7941192491853</c:v>
                </c:pt>
                <c:pt idx="13">
                  <c:v>-1493.5808922826691</c:v>
                </c:pt>
                <c:pt idx="14">
                  <c:v>-1365.1012625925359</c:v>
                </c:pt>
                <c:pt idx="15">
                  <c:v>-1224.9889482714934</c:v>
                </c:pt>
                <c:pt idx="16">
                  <c:v>-1961.4545953017077</c:v>
                </c:pt>
                <c:pt idx="17">
                  <c:v>-1843.0947744843725</c:v>
                </c:pt>
                <c:pt idx="18">
                  <c:v>-1309.687251484429</c:v>
                </c:pt>
                <c:pt idx="19">
                  <c:v>-332.38349784226739</c:v>
                </c:pt>
                <c:pt idx="20">
                  <c:v>67.250755599539843</c:v>
                </c:pt>
                <c:pt idx="21">
                  <c:v>-363.6240597950673</c:v>
                </c:pt>
                <c:pt idx="22">
                  <c:v>-529.69405828195158</c:v>
                </c:pt>
                <c:pt idx="23">
                  <c:v>-902.68652229607687</c:v>
                </c:pt>
                <c:pt idx="24">
                  <c:v>-1088.5308242769679</c:v>
                </c:pt>
                <c:pt idx="25">
                  <c:v>-333.72164471427095</c:v>
                </c:pt>
                <c:pt idx="26">
                  <c:v>128.8776134516811</c:v>
                </c:pt>
                <c:pt idx="27">
                  <c:v>918.33512991809403</c:v>
                </c:pt>
                <c:pt idx="28">
                  <c:v>1422.5582576067682</c:v>
                </c:pt>
                <c:pt idx="29">
                  <c:v>1932.898490408028</c:v>
                </c:pt>
                <c:pt idx="30">
                  <c:v>2953.3299700672942</c:v>
                </c:pt>
                <c:pt idx="31">
                  <c:v>3532.6713339123526</c:v>
                </c:pt>
                <c:pt idx="32">
                  <c:v>2119.200819710939</c:v>
                </c:pt>
                <c:pt idx="33">
                  <c:v>1990.3772666592267</c:v>
                </c:pt>
                <c:pt idx="34">
                  <c:v>1179.0589732803055</c:v>
                </c:pt>
                <c:pt idx="35">
                  <c:v>1313.8274312975846</c:v>
                </c:pt>
                <c:pt idx="36">
                  <c:v>707.00023696025892</c:v>
                </c:pt>
                <c:pt idx="37">
                  <c:v>318.1621035427379</c:v>
                </c:pt>
                <c:pt idx="38">
                  <c:v>637.24302346183686</c:v>
                </c:pt>
                <c:pt idx="39">
                  <c:v>-48.887050985038513</c:v>
                </c:pt>
                <c:pt idx="40">
                  <c:v>-394.54625479681999</c:v>
                </c:pt>
                <c:pt idx="41">
                  <c:v>906.36894788229256</c:v>
                </c:pt>
                <c:pt idx="42">
                  <c:v>-101.31670552468859</c:v>
                </c:pt>
                <c:pt idx="43">
                  <c:v>-1158.1162525957916</c:v>
                </c:pt>
                <c:pt idx="44">
                  <c:v>-1529.6613393425359</c:v>
                </c:pt>
                <c:pt idx="45">
                  <c:v>-2505.7761119559873</c:v>
                </c:pt>
                <c:pt idx="46">
                  <c:v>-2467.5902397664613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F-4B6C-9768-8FF0CA67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5533360"/>
        <c:axId val="645530032"/>
      </c:barChart>
      <c:lineChart>
        <c:grouping val="standard"/>
        <c:varyColors val="0"/>
        <c:ser>
          <c:idx val="0"/>
          <c:order val="0"/>
          <c:tx>
            <c:strRef>
              <c:f>'Without X1'!$J$30</c:f>
              <c:strCache>
                <c:ptCount val="1"/>
                <c:pt idx="0">
                  <c:v>Observed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'Without X1'!$J$31:$J$77</c:f>
              <c:numCache>
                <c:formatCode>General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F-4B6C-9768-8FF0CA6710E6}"/>
            </c:ext>
          </c:extLst>
        </c:ser>
        <c:ser>
          <c:idx val="1"/>
          <c:order val="1"/>
          <c:tx>
            <c:strRef>
              <c:f>'Without X1'!$K$30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'Without X1'!$K$31:$K$77</c:f>
              <c:numCache>
                <c:formatCode>General</c:formatCode>
                <c:ptCount val="47"/>
                <c:pt idx="0">
                  <c:v>62633.937748249329</c:v>
                </c:pt>
                <c:pt idx="1">
                  <c:v>63766.544627586176</c:v>
                </c:pt>
                <c:pt idx="2">
                  <c:v>64159.040196505317</c:v>
                </c:pt>
                <c:pt idx="3">
                  <c:v>65844.877612408687</c:v>
                </c:pt>
                <c:pt idx="4">
                  <c:v>67642.819723178109</c:v>
                </c:pt>
                <c:pt idx="5">
                  <c:v>69576.34570607249</c:v>
                </c:pt>
                <c:pt idx="6">
                  <c:v>71613.596763410344</c:v>
                </c:pt>
                <c:pt idx="7">
                  <c:v>73410.56911903093</c:v>
                </c:pt>
                <c:pt idx="8">
                  <c:v>74842.686792916706</c:v>
                </c:pt>
                <c:pt idx="9">
                  <c:v>76678.90176610538</c:v>
                </c:pt>
                <c:pt idx="10">
                  <c:v>78460.923373879166</c:v>
                </c:pt>
                <c:pt idx="11">
                  <c:v>79564.68051857625</c:v>
                </c:pt>
                <c:pt idx="12">
                  <c:v>81122.794119249185</c:v>
                </c:pt>
                <c:pt idx="13">
                  <c:v>83646.580892282669</c:v>
                </c:pt>
                <c:pt idx="14">
                  <c:v>86429.101262592536</c:v>
                </c:pt>
                <c:pt idx="15">
                  <c:v>88018.988948271493</c:v>
                </c:pt>
                <c:pt idx="16">
                  <c:v>87807.454595301708</c:v>
                </c:pt>
                <c:pt idx="17">
                  <c:v>90595.094774484372</c:v>
                </c:pt>
                <c:pt idx="18">
                  <c:v>93326.687251484429</c:v>
                </c:pt>
                <c:pt idx="19">
                  <c:v>96380.383497842267</c:v>
                </c:pt>
                <c:pt idx="20">
                  <c:v>98756.74924440046</c:v>
                </c:pt>
                <c:pt idx="21">
                  <c:v>99666.624059795067</c:v>
                </c:pt>
                <c:pt idx="22">
                  <c:v>100926.69405828195</c:v>
                </c:pt>
                <c:pt idx="23">
                  <c:v>100428.68652229608</c:v>
                </c:pt>
                <c:pt idx="24">
                  <c:v>101922.53082427697</c:v>
                </c:pt>
                <c:pt idx="25">
                  <c:v>105338.72164471427</c:v>
                </c:pt>
                <c:pt idx="26">
                  <c:v>107021.12238654832</c:v>
                </c:pt>
                <c:pt idx="27">
                  <c:v>108678.66487008191</c:v>
                </c:pt>
                <c:pt idx="28">
                  <c:v>111017.44174239323</c:v>
                </c:pt>
                <c:pt idx="29">
                  <c:v>113035.10150959197</c:v>
                </c:pt>
                <c:pt idx="30">
                  <c:v>114388.67002993271</c:v>
                </c:pt>
                <c:pt idx="31">
                  <c:v>115260.32866608765</c:v>
                </c:pt>
                <c:pt idx="32">
                  <c:v>115598.79918028906</c:v>
                </c:pt>
                <c:pt idx="33">
                  <c:v>116501.62273334077</c:v>
                </c:pt>
                <c:pt idx="34">
                  <c:v>119079.94102671969</c:v>
                </c:pt>
                <c:pt idx="35">
                  <c:v>121746.17256870242</c:v>
                </c:pt>
                <c:pt idx="36">
                  <c:v>124192.99976303974</c:v>
                </c:pt>
                <c:pt idx="37">
                  <c:v>126389.83789645726</c:v>
                </c:pt>
                <c:pt idx="38">
                  <c:v>128920.75697653816</c:v>
                </c:pt>
                <c:pt idx="39">
                  <c:v>131511.88705098504</c:v>
                </c:pt>
                <c:pt idx="40">
                  <c:v>133882.54625479682</c:v>
                </c:pt>
                <c:pt idx="41">
                  <c:v>135984.63105211771</c:v>
                </c:pt>
                <c:pt idx="42">
                  <c:v>137034.31670552469</c:v>
                </c:pt>
                <c:pt idx="43">
                  <c:v>137643.11625259579</c:v>
                </c:pt>
                <c:pt idx="44">
                  <c:v>139265.66133934254</c:v>
                </c:pt>
                <c:pt idx="45">
                  <c:v>141757.77611195599</c:v>
                </c:pt>
                <c:pt idx="46">
                  <c:v>144197.59023976646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F-4B6C-9768-8FF0CA67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532528"/>
        <c:axId val="645531696"/>
      </c:lineChart>
      <c:catAx>
        <c:axId val="64553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31696"/>
        <c:crosses val="autoZero"/>
        <c:auto val="1"/>
        <c:lblAlgn val="ctr"/>
        <c:lblOffset val="100"/>
        <c:noMultiLvlLbl val="0"/>
      </c:catAx>
      <c:valAx>
        <c:axId val="6455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32528"/>
        <c:crosses val="autoZero"/>
        <c:crossBetween val="between"/>
      </c:valAx>
      <c:valAx>
        <c:axId val="645530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533360"/>
        <c:crosses val="max"/>
        <c:crossBetween val="between"/>
      </c:valAx>
      <c:catAx>
        <c:axId val="64553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645530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'Without X2'!$K$30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'Without X2'!$K$31:$K$77</c:f>
              <c:numCache>
                <c:formatCode>General</c:formatCode>
                <c:ptCount val="47"/>
                <c:pt idx="0">
                  <c:v>-109.8129232810752</c:v>
                </c:pt>
                <c:pt idx="1">
                  <c:v>167.10088418849045</c:v>
                </c:pt>
                <c:pt idx="2">
                  <c:v>-115.32272048774757</c:v>
                </c:pt>
                <c:pt idx="3">
                  <c:v>-669.4320851516386</c:v>
                </c:pt>
                <c:pt idx="4">
                  <c:v>-937.4226573958731</c:v>
                </c:pt>
                <c:pt idx="5">
                  <c:v>-936.73430499984534</c:v>
                </c:pt>
                <c:pt idx="6">
                  <c:v>-799.89289002533769</c:v>
                </c:pt>
                <c:pt idx="7">
                  <c:v>-672.98587562027387</c:v>
                </c:pt>
                <c:pt idx="8">
                  <c:v>-511.61167556275905</c:v>
                </c:pt>
                <c:pt idx="9">
                  <c:v>-591.40388821407396</c:v>
                </c:pt>
                <c:pt idx="10">
                  <c:v>-174.27668757439824</c:v>
                </c:pt>
                <c:pt idx="11">
                  <c:v>-219.95744609479152</c:v>
                </c:pt>
                <c:pt idx="12">
                  <c:v>-717.15048839776136</c:v>
                </c:pt>
                <c:pt idx="13">
                  <c:v>50.075158736493904</c:v>
                </c:pt>
                <c:pt idx="14">
                  <c:v>518.23869312056922</c:v>
                </c:pt>
                <c:pt idx="15">
                  <c:v>616.78123038064223</c:v>
                </c:pt>
                <c:pt idx="16">
                  <c:v>-469.4644205848017</c:v>
                </c:pt>
                <c:pt idx="17">
                  <c:v>-152.88446504338935</c:v>
                </c:pt>
                <c:pt idx="18">
                  <c:v>497.10604291169147</c:v>
                </c:pt>
                <c:pt idx="19">
                  <c:v>1530.0177650999976</c:v>
                </c:pt>
                <c:pt idx="20">
                  <c:v>1744.3965592734021</c:v>
                </c:pt>
                <c:pt idx="21">
                  <c:v>804.48243688579532</c:v>
                </c:pt>
                <c:pt idx="22">
                  <c:v>-35.466626505338354</c:v>
                </c:pt>
                <c:pt idx="23">
                  <c:v>-979.38626983623544</c:v>
                </c:pt>
                <c:pt idx="24">
                  <c:v>-1320.0453449512133</c:v>
                </c:pt>
                <c:pt idx="25">
                  <c:v>-524.06512124442088</c:v>
                </c:pt>
                <c:pt idx="26">
                  <c:v>-118.50403927793377</c:v>
                </c:pt>
                <c:pt idx="27">
                  <c:v>742.39837270900898</c:v>
                </c:pt>
                <c:pt idx="28">
                  <c:v>1308.540468645966</c:v>
                </c:pt>
                <c:pt idx="29">
                  <c:v>1700.0815392922086</c:v>
                </c:pt>
                <c:pt idx="30">
                  <c:v>2416.7494208922144</c:v>
                </c:pt>
                <c:pt idx="31">
                  <c:v>2641.9354442197073</c:v>
                </c:pt>
                <c:pt idx="32">
                  <c:v>939.87017810817633</c:v>
                </c:pt>
                <c:pt idx="33">
                  <c:v>784.78987274660903</c:v>
                </c:pt>
                <c:pt idx="34">
                  <c:v>176.00230099604232</c:v>
                </c:pt>
                <c:pt idx="35">
                  <c:v>468.30579073345871</c:v>
                </c:pt>
                <c:pt idx="36">
                  <c:v>27.780031990303542</c:v>
                </c:pt>
                <c:pt idx="37">
                  <c:v>-204.28371641304693</c:v>
                </c:pt>
                <c:pt idx="38">
                  <c:v>329.62226715139695</c:v>
                </c:pt>
                <c:pt idx="39">
                  <c:v>-24.380007100146031</c:v>
                </c:pt>
                <c:pt idx="40">
                  <c:v>-151.59205107620801</c:v>
                </c:pt>
                <c:pt idx="41">
                  <c:v>1140.5755255397817</c:v>
                </c:pt>
                <c:pt idx="42">
                  <c:v>14.29616302534123</c:v>
                </c:pt>
                <c:pt idx="43">
                  <c:v>-1096.6154440932442</c:v>
                </c:pt>
                <c:pt idx="44">
                  <c:v>-1525.30910339611</c:v>
                </c:pt>
                <c:pt idx="45">
                  <c:v>-2669.7921920372464</c:v>
                </c:pt>
                <c:pt idx="46">
                  <c:v>-2891.3537022823584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C-442A-BB6D-84C94608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440368"/>
        <c:axId val="632429552"/>
      </c:barChart>
      <c:lineChart>
        <c:grouping val="standard"/>
        <c:varyColors val="0"/>
        <c:ser>
          <c:idx val="0"/>
          <c:order val="0"/>
          <c:tx>
            <c:strRef>
              <c:f>'Without X2'!$I$30</c:f>
              <c:strCache>
                <c:ptCount val="1"/>
                <c:pt idx="0">
                  <c:v>Observed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'Without X2'!$I$31:$I$77</c:f>
              <c:numCache>
                <c:formatCode>General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C-442A-BB6D-84C946081830}"/>
            </c:ext>
          </c:extLst>
        </c:ser>
        <c:ser>
          <c:idx val="1"/>
          <c:order val="1"/>
          <c:tx>
            <c:strRef>
              <c:f>'Without X2'!$J$30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'Without X2'!$J$31:$J$77</c:f>
              <c:numCache>
                <c:formatCode>General</c:formatCode>
                <c:ptCount val="47"/>
                <c:pt idx="0">
                  <c:v>64739.812923281075</c:v>
                </c:pt>
                <c:pt idx="1">
                  <c:v>65610.89911581151</c:v>
                </c:pt>
                <c:pt idx="2">
                  <c:v>65861.322720487748</c:v>
                </c:pt>
                <c:pt idx="3">
                  <c:v>67371.432085151639</c:v>
                </c:pt>
                <c:pt idx="4">
                  <c:v>68699.422657395873</c:v>
                </c:pt>
                <c:pt idx="5">
                  <c:v>70241.734304999845</c:v>
                </c:pt>
                <c:pt idx="6">
                  <c:v>71887.892890025338</c:v>
                </c:pt>
                <c:pt idx="7">
                  <c:v>73567.985875620274</c:v>
                </c:pt>
                <c:pt idx="8">
                  <c:v>74883.611675562759</c:v>
                </c:pt>
                <c:pt idx="9">
                  <c:v>76511.403888214074</c:v>
                </c:pt>
                <c:pt idx="10">
                  <c:v>78076.276687574398</c:v>
                </c:pt>
                <c:pt idx="11">
                  <c:v>78897.957446094792</c:v>
                </c:pt>
                <c:pt idx="12">
                  <c:v>80084.150488397761</c:v>
                </c:pt>
                <c:pt idx="13">
                  <c:v>82102.924841263506</c:v>
                </c:pt>
                <c:pt idx="14">
                  <c:v>84545.761306879431</c:v>
                </c:pt>
                <c:pt idx="15">
                  <c:v>86177.218769619358</c:v>
                </c:pt>
                <c:pt idx="16">
                  <c:v>86315.464420584802</c:v>
                </c:pt>
                <c:pt idx="17">
                  <c:v>88904.884465043389</c:v>
                </c:pt>
                <c:pt idx="18">
                  <c:v>91519.893957088309</c:v>
                </c:pt>
                <c:pt idx="19">
                  <c:v>94517.982234900002</c:v>
                </c:pt>
                <c:pt idx="20">
                  <c:v>97079.603440726598</c:v>
                </c:pt>
                <c:pt idx="21">
                  <c:v>98498.517563114205</c:v>
                </c:pt>
                <c:pt idx="22">
                  <c:v>100432.46662650534</c:v>
                </c:pt>
                <c:pt idx="23">
                  <c:v>100505.38626983624</c:v>
                </c:pt>
                <c:pt idx="24">
                  <c:v>102154.04534495121</c:v>
                </c:pt>
                <c:pt idx="25">
                  <c:v>105529.06512124442</c:v>
                </c:pt>
                <c:pt idx="26">
                  <c:v>107268.50403927793</c:v>
                </c:pt>
                <c:pt idx="27">
                  <c:v>108854.60162729099</c:v>
                </c:pt>
                <c:pt idx="28">
                  <c:v>111131.45953135403</c:v>
                </c:pt>
                <c:pt idx="29">
                  <c:v>113267.91846070779</c:v>
                </c:pt>
                <c:pt idx="30">
                  <c:v>114925.25057910779</c:v>
                </c:pt>
                <c:pt idx="31">
                  <c:v>116151.06455578029</c:v>
                </c:pt>
                <c:pt idx="32">
                  <c:v>116778.12982189182</c:v>
                </c:pt>
                <c:pt idx="33">
                  <c:v>117707.21012725339</c:v>
                </c:pt>
                <c:pt idx="34">
                  <c:v>120082.99769900396</c:v>
                </c:pt>
                <c:pt idx="35">
                  <c:v>122591.69420926654</c:v>
                </c:pt>
                <c:pt idx="36">
                  <c:v>124872.2199680097</c:v>
                </c:pt>
                <c:pt idx="37">
                  <c:v>126912.28371641305</c:v>
                </c:pt>
                <c:pt idx="38">
                  <c:v>129228.3777328486</c:v>
                </c:pt>
                <c:pt idx="39">
                  <c:v>131487.38000710015</c:v>
                </c:pt>
                <c:pt idx="40">
                  <c:v>133639.59205107621</c:v>
                </c:pt>
                <c:pt idx="41">
                  <c:v>135750.42447446022</c:v>
                </c:pt>
                <c:pt idx="42">
                  <c:v>136918.70383697466</c:v>
                </c:pt>
                <c:pt idx="43">
                  <c:v>137581.61544409324</c:v>
                </c:pt>
                <c:pt idx="44">
                  <c:v>139261.30910339611</c:v>
                </c:pt>
                <c:pt idx="45">
                  <c:v>141921.79219203725</c:v>
                </c:pt>
                <c:pt idx="46">
                  <c:v>144621.35370228236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C-442A-BB6D-84C94608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184736"/>
        <c:axId val="497195968"/>
      </c:lineChart>
      <c:catAx>
        <c:axId val="49718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95968"/>
        <c:crosses val="autoZero"/>
        <c:auto val="1"/>
        <c:lblAlgn val="ctr"/>
        <c:lblOffset val="100"/>
        <c:noMultiLvlLbl val="0"/>
      </c:catAx>
      <c:valAx>
        <c:axId val="4971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84736"/>
        <c:crosses val="autoZero"/>
        <c:crossBetween val="between"/>
      </c:valAx>
      <c:valAx>
        <c:axId val="632429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440368"/>
        <c:crosses val="max"/>
        <c:crossBetween val="between"/>
      </c:valAx>
      <c:catAx>
        <c:axId val="632440368"/>
        <c:scaling>
          <c:orientation val="minMax"/>
        </c:scaling>
        <c:delete val="1"/>
        <c:axPos val="b"/>
        <c:majorTickMark val="out"/>
        <c:minorTickMark val="none"/>
        <c:tickLblPos val="nextTo"/>
        <c:crossAx val="63242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'Without X1 and X5'!$K$29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'Without X1 and X5'!$K$30:$K$76</c:f>
              <c:numCache>
                <c:formatCode>General</c:formatCode>
                <c:ptCount val="47"/>
                <c:pt idx="0">
                  <c:v>-9336.0238617930881</c:v>
                </c:pt>
                <c:pt idx="1">
                  <c:v>-8583.2324776564055</c:v>
                </c:pt>
                <c:pt idx="2">
                  <c:v>-10390.697702581703</c:v>
                </c:pt>
                <c:pt idx="3">
                  <c:v>-7688.4013149958482</c:v>
                </c:pt>
                <c:pt idx="4">
                  <c:v>-7261.1926529467019</c:v>
                </c:pt>
                <c:pt idx="5">
                  <c:v>-5403.8307460129727</c:v>
                </c:pt>
                <c:pt idx="6">
                  <c:v>-3108.5147553423012</c:v>
                </c:pt>
                <c:pt idx="7">
                  <c:v>-139.0395536392607</c:v>
                </c:pt>
                <c:pt idx="8">
                  <c:v>1325.4151462236478</c:v>
                </c:pt>
                <c:pt idx="9">
                  <c:v>2872.6146319399122</c:v>
                </c:pt>
                <c:pt idx="10">
                  <c:v>4358.9160304011748</c:v>
                </c:pt>
                <c:pt idx="11">
                  <c:v>1824.503222156156</c:v>
                </c:pt>
                <c:pt idx="12">
                  <c:v>-388.11388450548111</c:v>
                </c:pt>
                <c:pt idx="13">
                  <c:v>1522.8284619005281</c:v>
                </c:pt>
                <c:pt idx="14">
                  <c:v>4468.6659342551138</c:v>
                </c:pt>
                <c:pt idx="15">
                  <c:v>3771.5469767405884</c:v>
                </c:pt>
                <c:pt idx="16">
                  <c:v>-3649.8702883735095</c:v>
                </c:pt>
                <c:pt idx="17">
                  <c:v>-818.710315422024</c:v>
                </c:pt>
                <c:pt idx="18">
                  <c:v>2082.4773370466137</c:v>
                </c:pt>
                <c:pt idx="19">
                  <c:v>6183.2289870848035</c:v>
                </c:pt>
                <c:pt idx="20">
                  <c:v>7461.3767677280994</c:v>
                </c:pt>
                <c:pt idx="21">
                  <c:v>3612.0044737569842</c:v>
                </c:pt>
                <c:pt idx="22">
                  <c:v>1545.6102001107938</c:v>
                </c:pt>
                <c:pt idx="23">
                  <c:v>-4899.7941867795453</c:v>
                </c:pt>
                <c:pt idx="24">
                  <c:v>-5251.7760731274029</c:v>
                </c:pt>
                <c:pt idx="25">
                  <c:v>1115.6837990320928</c:v>
                </c:pt>
                <c:pt idx="26">
                  <c:v>2162.4906145179702</c:v>
                </c:pt>
                <c:pt idx="27">
                  <c:v>3443.5224081939377</c:v>
                </c:pt>
                <c:pt idx="28">
                  <c:v>6376.5009413734078</c:v>
                </c:pt>
                <c:pt idx="29">
                  <c:v>8220.9905672281748</c:v>
                </c:pt>
                <c:pt idx="30">
                  <c:v>8740.7807339457067</c:v>
                </c:pt>
                <c:pt idx="31">
                  <c:v>7216.0363699652517</c:v>
                </c:pt>
                <c:pt idx="32">
                  <c:v>1788.7835412468121</c:v>
                </c:pt>
                <c:pt idx="33">
                  <c:v>-1591.794502600882</c:v>
                </c:pt>
                <c:pt idx="34">
                  <c:v>-577.51092142237758</c:v>
                </c:pt>
                <c:pt idx="35">
                  <c:v>1689.1824498706846</c:v>
                </c:pt>
                <c:pt idx="36">
                  <c:v>2692.4961958490458</c:v>
                </c:pt>
                <c:pt idx="37">
                  <c:v>2350.4840074554231</c:v>
                </c:pt>
                <c:pt idx="38">
                  <c:v>3381.8017513286468</c:v>
                </c:pt>
                <c:pt idx="39">
                  <c:v>3858.309491285996</c:v>
                </c:pt>
                <c:pt idx="40">
                  <c:v>3451.8902494931099</c:v>
                </c:pt>
                <c:pt idx="41">
                  <c:v>4116.477087105508</c:v>
                </c:pt>
                <c:pt idx="42">
                  <c:v>117.08280262898188</c:v>
                </c:pt>
                <c:pt idx="43">
                  <c:v>-5387.97499393826</c:v>
                </c:pt>
                <c:pt idx="44">
                  <c:v>-7892.0299524556031</c:v>
                </c:pt>
                <c:pt idx="45">
                  <c:v>-9365.3285943006049</c:v>
                </c:pt>
                <c:pt idx="46">
                  <c:v>-10017.864401971397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2-4AC2-B12B-523D8EF9E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764751"/>
        <c:axId val="1180765999"/>
      </c:barChart>
      <c:lineChart>
        <c:grouping val="standard"/>
        <c:varyColors val="0"/>
        <c:ser>
          <c:idx val="0"/>
          <c:order val="0"/>
          <c:tx>
            <c:strRef>
              <c:f>'Without X1 and X5'!$I$29</c:f>
              <c:strCache>
                <c:ptCount val="1"/>
                <c:pt idx="0">
                  <c:v>Observed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'Without X1 and X5'!$I$30:$I$76</c:f>
              <c:numCache>
                <c:formatCode>General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2-4AC2-B12B-523D8EF9E2C5}"/>
            </c:ext>
          </c:extLst>
        </c:ser>
        <c:ser>
          <c:idx val="1"/>
          <c:order val="1"/>
          <c:tx>
            <c:strRef>
              <c:f>'Without X1 and X5'!$J$29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'Without X1 and X5'!$J$30:$J$76</c:f>
              <c:numCache>
                <c:formatCode>General</c:formatCode>
                <c:ptCount val="47"/>
                <c:pt idx="0">
                  <c:v>73966.023861793088</c:v>
                </c:pt>
                <c:pt idx="1">
                  <c:v>74361.232477656406</c:v>
                </c:pt>
                <c:pt idx="2">
                  <c:v>76136.697702581703</c:v>
                </c:pt>
                <c:pt idx="3">
                  <c:v>74390.401314995848</c:v>
                </c:pt>
                <c:pt idx="4">
                  <c:v>75023.192652946702</c:v>
                </c:pt>
                <c:pt idx="5">
                  <c:v>74708.830746012973</c:v>
                </c:pt>
                <c:pt idx="6">
                  <c:v>74196.514755342301</c:v>
                </c:pt>
                <c:pt idx="7">
                  <c:v>73034.039553639261</c:v>
                </c:pt>
                <c:pt idx="8">
                  <c:v>73046.584853776352</c:v>
                </c:pt>
                <c:pt idx="9">
                  <c:v>73047.385368060088</c:v>
                </c:pt>
                <c:pt idx="10">
                  <c:v>73543.083969598825</c:v>
                </c:pt>
                <c:pt idx="11">
                  <c:v>76853.496777843844</c:v>
                </c:pt>
                <c:pt idx="12">
                  <c:v>79755.113884505481</c:v>
                </c:pt>
                <c:pt idx="13">
                  <c:v>80630.171538099472</c:v>
                </c:pt>
                <c:pt idx="14">
                  <c:v>80595.334065744886</c:v>
                </c:pt>
                <c:pt idx="15">
                  <c:v>83022.453023259412</c:v>
                </c:pt>
                <c:pt idx="16">
                  <c:v>89495.87028837351</c:v>
                </c:pt>
                <c:pt idx="17">
                  <c:v>89570.710315422024</c:v>
                </c:pt>
                <c:pt idx="18">
                  <c:v>89934.522662953386</c:v>
                </c:pt>
                <c:pt idx="19">
                  <c:v>89864.771012915196</c:v>
                </c:pt>
                <c:pt idx="20">
                  <c:v>91362.623232271901</c:v>
                </c:pt>
                <c:pt idx="21">
                  <c:v>95690.995526243016</c:v>
                </c:pt>
                <c:pt idx="22">
                  <c:v>98851.389799889206</c:v>
                </c:pt>
                <c:pt idx="23">
                  <c:v>104425.79418677955</c:v>
                </c:pt>
                <c:pt idx="24">
                  <c:v>106085.7760731274</c:v>
                </c:pt>
                <c:pt idx="25">
                  <c:v>103889.31620096791</c:v>
                </c:pt>
                <c:pt idx="26">
                  <c:v>104987.50938548203</c:v>
                </c:pt>
                <c:pt idx="27">
                  <c:v>106153.47759180606</c:v>
                </c:pt>
                <c:pt idx="28">
                  <c:v>106063.49905862659</c:v>
                </c:pt>
                <c:pt idx="29">
                  <c:v>106747.00943277183</c:v>
                </c:pt>
                <c:pt idx="30">
                  <c:v>108601.21926605429</c:v>
                </c:pt>
                <c:pt idx="31">
                  <c:v>111576.96363003475</c:v>
                </c:pt>
                <c:pt idx="32">
                  <c:v>115929.21645875319</c:v>
                </c:pt>
                <c:pt idx="33">
                  <c:v>120083.79450260088</c:v>
                </c:pt>
                <c:pt idx="34">
                  <c:v>120836.51092142238</c:v>
                </c:pt>
                <c:pt idx="35">
                  <c:v>121370.81755012932</c:v>
                </c:pt>
                <c:pt idx="36">
                  <c:v>122207.50380415095</c:v>
                </c:pt>
                <c:pt idx="37">
                  <c:v>124357.51599254458</c:v>
                </c:pt>
                <c:pt idx="38">
                  <c:v>126176.19824867135</c:v>
                </c:pt>
                <c:pt idx="39">
                  <c:v>127604.690508714</c:v>
                </c:pt>
                <c:pt idx="40">
                  <c:v>130036.10975050689</c:v>
                </c:pt>
                <c:pt idx="41">
                  <c:v>132774.52291289449</c:v>
                </c:pt>
                <c:pt idx="42">
                  <c:v>136815.91719737102</c:v>
                </c:pt>
                <c:pt idx="43">
                  <c:v>141872.97499393826</c:v>
                </c:pt>
                <c:pt idx="44">
                  <c:v>145628.0299524556</c:v>
                </c:pt>
                <c:pt idx="45">
                  <c:v>148617.3285943006</c:v>
                </c:pt>
                <c:pt idx="46">
                  <c:v>151747.8644019714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2-4AC2-B12B-523D8EF9E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322975"/>
        <c:axId val="1032339615"/>
      </c:lineChart>
      <c:catAx>
        <c:axId val="1032322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39615"/>
        <c:crosses val="autoZero"/>
        <c:auto val="1"/>
        <c:lblAlgn val="ctr"/>
        <c:lblOffset val="100"/>
        <c:noMultiLvlLbl val="0"/>
      </c:catAx>
      <c:valAx>
        <c:axId val="103233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22975"/>
        <c:crosses val="autoZero"/>
        <c:crossBetween val="between"/>
      </c:valAx>
      <c:valAx>
        <c:axId val="11807659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64751"/>
        <c:crosses val="max"/>
        <c:crossBetween val="between"/>
      </c:valAx>
      <c:catAx>
        <c:axId val="1180764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180765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'Without X1, X2 and X5'!$K$28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'Without X1, X2 and X5'!$K$29:$K$75</c:f>
              <c:numCache>
                <c:formatCode>General</c:formatCode>
                <c:ptCount val="47"/>
                <c:pt idx="0">
                  <c:v>-21280.718901579909</c:v>
                </c:pt>
                <c:pt idx="1">
                  <c:v>-21542.298753287017</c:v>
                </c:pt>
                <c:pt idx="2">
                  <c:v>-21211.343387694433</c:v>
                </c:pt>
                <c:pt idx="3">
                  <c:v>-10737.59904716551</c:v>
                </c:pt>
                <c:pt idx="4">
                  <c:v>-12828.805409592198</c:v>
                </c:pt>
                <c:pt idx="5">
                  <c:v>-10753.399797285325</c:v>
                </c:pt>
                <c:pt idx="6">
                  <c:v>-8740.6142124728649</c:v>
                </c:pt>
                <c:pt idx="7">
                  <c:v>6723.5684822012699</c:v>
                </c:pt>
                <c:pt idx="8">
                  <c:v>18328.011383361227</c:v>
                </c:pt>
                <c:pt idx="9">
                  <c:v>22993.555472124761</c:v>
                </c:pt>
                <c:pt idx="10">
                  <c:v>24024.022351232779</c:v>
                </c:pt>
                <c:pt idx="11">
                  <c:v>12433.528978857445</c:v>
                </c:pt>
                <c:pt idx="12">
                  <c:v>-370.88834182838036</c:v>
                </c:pt>
                <c:pt idx="13">
                  <c:v>-9056.0084558480012</c:v>
                </c:pt>
                <c:pt idx="14">
                  <c:v>-9125.6680569096934</c:v>
                </c:pt>
                <c:pt idx="15">
                  <c:v>-11915.875235191648</c:v>
                </c:pt>
                <c:pt idx="16">
                  <c:v>-19313.951572125647</c:v>
                </c:pt>
                <c:pt idx="17">
                  <c:v>-16634.643154381134</c:v>
                </c:pt>
                <c:pt idx="18">
                  <c:v>-12989.169640780994</c:v>
                </c:pt>
                <c:pt idx="19">
                  <c:v>-8078.0791373835964</c:v>
                </c:pt>
                <c:pt idx="20">
                  <c:v>-6112.6247420511936</c:v>
                </c:pt>
                <c:pt idx="21">
                  <c:v>-7830.5416553133546</c:v>
                </c:pt>
                <c:pt idx="22">
                  <c:v>-6581.3952208834526</c:v>
                </c:pt>
                <c:pt idx="23">
                  <c:v>-10510.535028095925</c:v>
                </c:pt>
                <c:pt idx="24">
                  <c:v>-8633.267848048461</c:v>
                </c:pt>
                <c:pt idx="25">
                  <c:v>14.115875366842374</c:v>
                </c:pt>
                <c:pt idx="26">
                  <c:v>3037.666898308642</c:v>
                </c:pt>
                <c:pt idx="27">
                  <c:v>5935.8419918723957</c:v>
                </c:pt>
                <c:pt idx="28">
                  <c:v>10624.564367784202</c:v>
                </c:pt>
                <c:pt idx="29">
                  <c:v>13375.803709173473</c:v>
                </c:pt>
                <c:pt idx="30">
                  <c:v>15544.290337643193</c:v>
                </c:pt>
                <c:pt idx="31">
                  <c:v>14772.736708013588</c:v>
                </c:pt>
                <c:pt idx="32">
                  <c:v>9348.3743628227239</c:v>
                </c:pt>
                <c:pt idx="33">
                  <c:v>3537.6762533381989</c:v>
                </c:pt>
                <c:pt idx="34">
                  <c:v>-80.651786754693603</c:v>
                </c:pt>
                <c:pt idx="35">
                  <c:v>1608.7070198931324</c:v>
                </c:pt>
                <c:pt idx="36">
                  <c:v>1493.4212471813662</c:v>
                </c:pt>
                <c:pt idx="37">
                  <c:v>1141.2004435562121</c:v>
                </c:pt>
                <c:pt idx="38">
                  <c:v>3431.5885511347442</c:v>
                </c:pt>
                <c:pt idx="39">
                  <c:v>5184.2708920167643</c:v>
                </c:pt>
                <c:pt idx="40">
                  <c:v>6419.147418897599</c:v>
                </c:pt>
                <c:pt idx="41">
                  <c:v>10950.966324783411</c:v>
                </c:pt>
                <c:pt idx="42">
                  <c:v>9261.8263890954549</c:v>
                </c:pt>
                <c:pt idx="43">
                  <c:v>6449.3090617569978</c:v>
                </c:pt>
                <c:pt idx="44">
                  <c:v>6938.6209970256896</c:v>
                </c:pt>
                <c:pt idx="45">
                  <c:v>9173.2868110044801</c:v>
                </c:pt>
                <c:pt idx="46">
                  <c:v>11581.977056228177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2-459C-A118-005E1FC3F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1851071"/>
        <c:axId val="1181850655"/>
      </c:barChart>
      <c:lineChart>
        <c:grouping val="standard"/>
        <c:varyColors val="0"/>
        <c:ser>
          <c:idx val="0"/>
          <c:order val="0"/>
          <c:tx>
            <c:strRef>
              <c:f>'Without X1, X2 and X5'!$I$28</c:f>
              <c:strCache>
                <c:ptCount val="1"/>
                <c:pt idx="0">
                  <c:v>Observed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'Without X1, X2 and X5'!$I$29:$I$75</c:f>
              <c:numCache>
                <c:formatCode>General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2-459C-A118-005E1FC3FD7D}"/>
            </c:ext>
          </c:extLst>
        </c:ser>
        <c:ser>
          <c:idx val="1"/>
          <c:order val="1"/>
          <c:tx>
            <c:strRef>
              <c:f>'Without X1, X2 and X5'!$J$28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'Without X1, X2 and X5'!$J$29:$J$75</c:f>
              <c:numCache>
                <c:formatCode>General</c:formatCode>
                <c:ptCount val="47"/>
                <c:pt idx="0">
                  <c:v>85910.718901579909</c:v>
                </c:pt>
                <c:pt idx="1">
                  <c:v>87320.298753287017</c:v>
                </c:pt>
                <c:pt idx="2">
                  <c:v>86957.343387694433</c:v>
                </c:pt>
                <c:pt idx="3">
                  <c:v>77439.59904716551</c:v>
                </c:pt>
                <c:pt idx="4">
                  <c:v>80590.805409592198</c:v>
                </c:pt>
                <c:pt idx="5">
                  <c:v>80058.399797285325</c:v>
                </c:pt>
                <c:pt idx="6">
                  <c:v>79828.614212472865</c:v>
                </c:pt>
                <c:pt idx="7">
                  <c:v>66171.43151779873</c:v>
                </c:pt>
                <c:pt idx="8">
                  <c:v>56043.988616638773</c:v>
                </c:pt>
                <c:pt idx="9">
                  <c:v>52926.444527875239</c:v>
                </c:pt>
                <c:pt idx="10">
                  <c:v>53877.977648767221</c:v>
                </c:pt>
                <c:pt idx="11">
                  <c:v>66244.471021142555</c:v>
                </c:pt>
                <c:pt idx="12">
                  <c:v>79737.88834182838</c:v>
                </c:pt>
                <c:pt idx="13">
                  <c:v>91209.008455848001</c:v>
                </c:pt>
                <c:pt idx="14">
                  <c:v>94189.668056909693</c:v>
                </c:pt>
                <c:pt idx="15">
                  <c:v>98709.875235191648</c:v>
                </c:pt>
                <c:pt idx="16">
                  <c:v>105159.95157212565</c:v>
                </c:pt>
                <c:pt idx="17">
                  <c:v>105386.64315438113</c:v>
                </c:pt>
                <c:pt idx="18">
                  <c:v>105006.16964078099</c:v>
                </c:pt>
                <c:pt idx="19">
                  <c:v>104126.0791373836</c:v>
                </c:pt>
                <c:pt idx="20">
                  <c:v>104936.62474205119</c:v>
                </c:pt>
                <c:pt idx="21">
                  <c:v>107133.54165531335</c:v>
                </c:pt>
                <c:pt idx="22">
                  <c:v>106978.39522088345</c:v>
                </c:pt>
                <c:pt idx="23">
                  <c:v>110036.53502809592</c:v>
                </c:pt>
                <c:pt idx="24">
                  <c:v>109467.26784804846</c:v>
                </c:pt>
                <c:pt idx="25">
                  <c:v>104990.88412463316</c:v>
                </c:pt>
                <c:pt idx="26">
                  <c:v>104112.33310169136</c:v>
                </c:pt>
                <c:pt idx="27">
                  <c:v>103661.1580081276</c:v>
                </c:pt>
                <c:pt idx="28">
                  <c:v>101815.4356322158</c:v>
                </c:pt>
                <c:pt idx="29">
                  <c:v>101592.19629082653</c:v>
                </c:pt>
                <c:pt idx="30">
                  <c:v>101797.70966235681</c:v>
                </c:pt>
                <c:pt idx="31">
                  <c:v>104020.26329198641</c:v>
                </c:pt>
                <c:pt idx="32">
                  <c:v>108369.62563717728</c:v>
                </c:pt>
                <c:pt idx="33">
                  <c:v>114954.3237466618</c:v>
                </c:pt>
                <c:pt idx="34">
                  <c:v>120339.65178675469</c:v>
                </c:pt>
                <c:pt idx="35">
                  <c:v>121451.29298010687</c:v>
                </c:pt>
                <c:pt idx="36">
                  <c:v>123406.57875281863</c:v>
                </c:pt>
                <c:pt idx="37">
                  <c:v>125566.79955644379</c:v>
                </c:pt>
                <c:pt idx="38">
                  <c:v>126126.41144886526</c:v>
                </c:pt>
                <c:pt idx="39">
                  <c:v>126278.72910798324</c:v>
                </c:pt>
                <c:pt idx="40">
                  <c:v>127068.8525811024</c:v>
                </c:pt>
                <c:pt idx="41">
                  <c:v>125940.03367521659</c:v>
                </c:pt>
                <c:pt idx="42">
                  <c:v>127671.17361090455</c:v>
                </c:pt>
                <c:pt idx="43">
                  <c:v>130035.690938243</c:v>
                </c:pt>
                <c:pt idx="44">
                  <c:v>130797.37900297431</c:v>
                </c:pt>
                <c:pt idx="45">
                  <c:v>130078.71318899552</c:v>
                </c:pt>
                <c:pt idx="46">
                  <c:v>130148.02294377182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2-459C-A118-005E1FC3F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600063"/>
        <c:axId val="1100598399"/>
      </c:lineChart>
      <c:catAx>
        <c:axId val="110060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98399"/>
        <c:crosses val="autoZero"/>
        <c:auto val="1"/>
        <c:lblAlgn val="ctr"/>
        <c:lblOffset val="100"/>
        <c:noMultiLvlLbl val="0"/>
      </c:catAx>
      <c:valAx>
        <c:axId val="11005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00063"/>
        <c:crosses val="autoZero"/>
        <c:crossBetween val="between"/>
      </c:valAx>
      <c:valAx>
        <c:axId val="1181850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51071"/>
        <c:crosses val="max"/>
        <c:crossBetween val="between"/>
      </c:valAx>
      <c:catAx>
        <c:axId val="1181851071"/>
        <c:scaling>
          <c:orientation val="minMax"/>
        </c:scaling>
        <c:delete val="1"/>
        <c:axPos val="b"/>
        <c:majorTickMark val="out"/>
        <c:minorTickMark val="none"/>
        <c:tickLblPos val="nextTo"/>
        <c:crossAx val="1181850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563880</xdr:colOff>
      <xdr:row>41</xdr:row>
      <xdr:rowOff>49530</xdr:rowOff>
    </xdr:from>
    <xdr:to>
      <xdr:col>17</xdr:col>
      <xdr:colOff>838200</xdr:colOff>
      <xdr:row>56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1DBEA4-5236-401E-9BAA-C785018AF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449580</xdr:colOff>
      <xdr:row>29</xdr:row>
      <xdr:rowOff>102870</xdr:rowOff>
    </xdr:from>
    <xdr:to>
      <xdr:col>17</xdr:col>
      <xdr:colOff>670560</xdr:colOff>
      <xdr:row>44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1169B-B30A-45C1-991E-678B0CC7F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769620</xdr:colOff>
      <xdr:row>29</xdr:row>
      <xdr:rowOff>41910</xdr:rowOff>
    </xdr:from>
    <xdr:to>
      <xdr:col>17</xdr:col>
      <xdr:colOff>175260</xdr:colOff>
      <xdr:row>44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DD077-CDF6-45FA-9424-6D1AA2C07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594360</xdr:colOff>
      <xdr:row>28</xdr:row>
      <xdr:rowOff>19050</xdr:rowOff>
    </xdr:from>
    <xdr:to>
      <xdr:col>19</xdr:col>
      <xdr:colOff>289560</xdr:colOff>
      <xdr:row>43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71370-7C1A-48F4-B2CE-00BF778FF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27</xdr:row>
      <xdr:rowOff>19050</xdr:rowOff>
    </xdr:from>
    <xdr:to>
      <xdr:col>19</xdr:col>
      <xdr:colOff>320040</xdr:colOff>
      <xdr:row>42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E14FB-FBAF-4178-8BB7-290B0D85C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A15-649F-4EF7-B95D-F939624023F2}">
  <dimension ref="B1:R89"/>
  <sheetViews>
    <sheetView topLeftCell="A4" workbookViewId="0">
      <selection activeCell="M26" sqref="M26"/>
    </sheetView>
  </sheetViews>
  <sheetFormatPr defaultRowHeight="15" x14ac:dyDescent="0.2"/>
  <cols>
    <col min="2" max="2" width="10.89453125" bestFit="1" customWidth="1"/>
    <col min="3" max="4" width="7.93359375" bestFit="1" customWidth="1"/>
    <col min="5" max="5" width="10.35546875" bestFit="1" customWidth="1"/>
    <col min="6" max="6" width="6.45703125" bestFit="1" customWidth="1"/>
    <col min="7" max="7" width="4.9765625" bestFit="1" customWidth="1"/>
    <col min="8" max="8" width="7.93359375" bestFit="1" customWidth="1"/>
    <col min="10" max="10" width="17.484375" bestFit="1" customWidth="1"/>
    <col min="11" max="11" width="12.64453125" bestFit="1" customWidth="1"/>
    <col min="12" max="12" width="13.44921875" bestFit="1" customWidth="1"/>
    <col min="13" max="13" width="12.64453125" bestFit="1" customWidth="1"/>
    <col min="14" max="14" width="11.97265625" bestFit="1" customWidth="1"/>
    <col min="15" max="18" width="12.64453125" bestFit="1" customWidth="1"/>
  </cols>
  <sheetData>
    <row r="1" spans="2:15" x14ac:dyDescent="0.2">
      <c r="B1" t="s">
        <v>8</v>
      </c>
    </row>
    <row r="2" spans="2:15" ht="15.75" thickBot="1" x14ac:dyDescent="0.25"/>
    <row r="3" spans="2:15" ht="15.75" thickBot="1" x14ac:dyDescent="0.25">
      <c r="B3" s="16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6</v>
      </c>
      <c r="J3" s="19" t="s">
        <v>7</v>
      </c>
    </row>
    <row r="4" spans="2:15" ht="15.75" thickBot="1" x14ac:dyDescent="0.25">
      <c r="B4" s="12">
        <v>1959</v>
      </c>
      <c r="C4" s="13">
        <v>64630</v>
      </c>
      <c r="D4" s="14">
        <v>82.908000000000001</v>
      </c>
      <c r="E4" s="13">
        <v>509300</v>
      </c>
      <c r="F4" s="13">
        <v>3740</v>
      </c>
      <c r="G4" s="14">
        <v>2552</v>
      </c>
      <c r="H4" s="15">
        <v>120287</v>
      </c>
    </row>
    <row r="5" spans="2:15" x14ac:dyDescent="0.2">
      <c r="B5" s="6">
        <v>1960</v>
      </c>
      <c r="C5" s="5">
        <v>65778</v>
      </c>
      <c r="D5" s="4">
        <v>84.073999999999998</v>
      </c>
      <c r="E5" s="5">
        <v>529500</v>
      </c>
      <c r="F5" s="5">
        <v>3852</v>
      </c>
      <c r="G5" s="4">
        <v>2514</v>
      </c>
      <c r="H5" s="7">
        <v>121836</v>
      </c>
      <c r="J5" s="3"/>
      <c r="K5" s="3" t="s">
        <v>2</v>
      </c>
      <c r="L5" s="3" t="s">
        <v>3</v>
      </c>
      <c r="M5" s="3" t="s">
        <v>4</v>
      </c>
      <c r="N5" s="3" t="s">
        <v>5</v>
      </c>
      <c r="O5" s="3" t="s">
        <v>6</v>
      </c>
    </row>
    <row r="6" spans="2:15" x14ac:dyDescent="0.2">
      <c r="B6" s="6">
        <v>1961</v>
      </c>
      <c r="C6" s="5">
        <v>65746</v>
      </c>
      <c r="D6" s="4">
        <v>85.015000000000001</v>
      </c>
      <c r="E6" s="5">
        <v>548200</v>
      </c>
      <c r="F6" s="5">
        <v>4714</v>
      </c>
      <c r="G6" s="4">
        <v>2573</v>
      </c>
      <c r="H6" s="7">
        <v>123404</v>
      </c>
      <c r="J6" s="1" t="s">
        <v>2</v>
      </c>
      <c r="K6" s="1">
        <v>1</v>
      </c>
      <c r="L6" s="1"/>
      <c r="M6" s="1"/>
      <c r="N6" s="1"/>
      <c r="O6" s="1"/>
    </row>
    <row r="7" spans="2:15" x14ac:dyDescent="0.2">
      <c r="B7" s="6">
        <v>1962</v>
      </c>
      <c r="C7" s="5">
        <v>66702</v>
      </c>
      <c r="D7" s="4">
        <v>86.186000000000007</v>
      </c>
      <c r="E7" s="5">
        <v>589700</v>
      </c>
      <c r="F7" s="5">
        <v>3911</v>
      </c>
      <c r="G7" s="4">
        <v>2827</v>
      </c>
      <c r="H7" s="7">
        <v>124864</v>
      </c>
      <c r="J7" s="1" t="s">
        <v>3</v>
      </c>
      <c r="K7" s="1">
        <v>0.96938259976454244</v>
      </c>
      <c r="L7" s="1">
        <v>1</v>
      </c>
      <c r="M7" s="1"/>
      <c r="N7" s="1"/>
      <c r="O7" s="1"/>
    </row>
    <row r="8" spans="2:15" x14ac:dyDescent="0.2">
      <c r="B8" s="6">
        <v>1963</v>
      </c>
      <c r="C8" s="5">
        <v>67762</v>
      </c>
      <c r="D8" s="4">
        <v>87.102999999999994</v>
      </c>
      <c r="E8" s="5">
        <v>622200</v>
      </c>
      <c r="F8" s="5">
        <v>4070</v>
      </c>
      <c r="G8" s="4">
        <v>2737</v>
      </c>
      <c r="H8" s="7">
        <v>127274</v>
      </c>
      <c r="J8" s="1" t="s">
        <v>4</v>
      </c>
      <c r="K8" s="1">
        <v>0.69190191798418188</v>
      </c>
      <c r="L8" s="1">
        <v>0.55252319329444477</v>
      </c>
      <c r="M8" s="1">
        <v>1</v>
      </c>
      <c r="N8" s="1"/>
      <c r="O8" s="1"/>
    </row>
    <row r="9" spans="2:15" x14ac:dyDescent="0.2">
      <c r="B9" s="6">
        <v>1964</v>
      </c>
      <c r="C9" s="5">
        <v>69305</v>
      </c>
      <c r="D9" s="4">
        <v>88.438000000000002</v>
      </c>
      <c r="E9" s="5">
        <v>668500</v>
      </c>
      <c r="F9" s="5">
        <v>3786</v>
      </c>
      <c r="G9" s="4">
        <v>2738</v>
      </c>
      <c r="H9" s="7">
        <v>129427</v>
      </c>
      <c r="J9" s="1" t="s">
        <v>5</v>
      </c>
      <c r="K9" s="1">
        <v>-0.86934680551850696</v>
      </c>
      <c r="L9" s="1">
        <v>-0.8554049731551544</v>
      </c>
      <c r="M9" s="1">
        <v>-0.66410666920280514</v>
      </c>
      <c r="N9" s="1">
        <v>1</v>
      </c>
      <c r="O9" s="1"/>
    </row>
    <row r="10" spans="2:15" ht="15.75" thickBot="1" x14ac:dyDescent="0.25">
      <c r="B10" s="6">
        <v>1965</v>
      </c>
      <c r="C10" s="5">
        <v>71088</v>
      </c>
      <c r="D10" s="4">
        <v>90.055000000000007</v>
      </c>
      <c r="E10" s="5">
        <v>724400</v>
      </c>
      <c r="F10" s="5">
        <v>3366</v>
      </c>
      <c r="G10" s="4">
        <v>2722</v>
      </c>
      <c r="H10" s="7">
        <v>131541</v>
      </c>
      <c r="J10" s="2" t="s">
        <v>6</v>
      </c>
      <c r="K10" s="2">
        <v>0.98902361729858201</v>
      </c>
      <c r="L10" s="2">
        <v>0.96001048039574122</v>
      </c>
      <c r="M10" s="2">
        <v>0.699219571804926</v>
      </c>
      <c r="N10" s="2">
        <v>-0.87095575994669827</v>
      </c>
      <c r="O10" s="2">
        <v>1</v>
      </c>
    </row>
    <row r="11" spans="2:15" x14ac:dyDescent="0.2">
      <c r="B11" s="6">
        <v>1966</v>
      </c>
      <c r="C11" s="5">
        <v>72895</v>
      </c>
      <c r="D11" s="4">
        <v>92.623999999999995</v>
      </c>
      <c r="E11" s="5">
        <v>792900</v>
      </c>
      <c r="F11" s="5">
        <v>2875</v>
      </c>
      <c r="G11" s="4">
        <v>3123</v>
      </c>
      <c r="H11" s="7">
        <v>133650</v>
      </c>
    </row>
    <row r="12" spans="2:15" x14ac:dyDescent="0.2">
      <c r="B12" s="6">
        <v>1967</v>
      </c>
      <c r="C12" s="5">
        <v>74372</v>
      </c>
      <c r="D12" s="4">
        <v>95.491</v>
      </c>
      <c r="E12" s="5">
        <v>838000</v>
      </c>
      <c r="F12" s="5">
        <v>2975</v>
      </c>
      <c r="G12" s="4">
        <v>3446</v>
      </c>
      <c r="H12" s="7">
        <v>135905</v>
      </c>
    </row>
    <row r="13" spans="2:15" x14ac:dyDescent="0.2">
      <c r="B13" s="6">
        <v>1968</v>
      </c>
      <c r="C13" s="5">
        <v>75920</v>
      </c>
      <c r="D13" s="4">
        <v>99.56</v>
      </c>
      <c r="E13" s="5">
        <v>916100</v>
      </c>
      <c r="F13" s="5">
        <v>2817</v>
      </c>
      <c r="G13" s="4">
        <v>3535</v>
      </c>
      <c r="H13" s="7">
        <v>138171</v>
      </c>
      <c r="J13" s="19" t="s">
        <v>9</v>
      </c>
    </row>
    <row r="14" spans="2:15" x14ac:dyDescent="0.2">
      <c r="B14" s="6">
        <v>1969</v>
      </c>
      <c r="C14" s="5">
        <v>77902</v>
      </c>
      <c r="D14" s="4">
        <v>104.504</v>
      </c>
      <c r="E14" s="5">
        <v>990700</v>
      </c>
      <c r="F14" s="5">
        <v>2832</v>
      </c>
      <c r="G14" s="4">
        <v>3506</v>
      </c>
      <c r="H14" s="7">
        <v>140461</v>
      </c>
    </row>
    <row r="15" spans="2:15" x14ac:dyDescent="0.2">
      <c r="B15" s="6">
        <v>1970</v>
      </c>
      <c r="C15" s="5">
        <v>78678</v>
      </c>
      <c r="D15" s="4">
        <v>110.04600000000001</v>
      </c>
      <c r="E15" s="5">
        <v>1044900</v>
      </c>
      <c r="F15" s="5">
        <v>4093</v>
      </c>
      <c r="G15" s="4">
        <v>3188</v>
      </c>
      <c r="H15" s="7">
        <v>143070</v>
      </c>
      <c r="J15" t="s">
        <v>10</v>
      </c>
    </row>
    <row r="16" spans="2:15" ht="15.75" thickBot="1" x14ac:dyDescent="0.25">
      <c r="B16" s="6">
        <v>1971</v>
      </c>
      <c r="C16" s="5">
        <v>79367</v>
      </c>
      <c r="D16" s="4">
        <v>115.54900000000001</v>
      </c>
      <c r="E16" s="5">
        <v>1134700</v>
      </c>
      <c r="F16" s="5">
        <v>5016</v>
      </c>
      <c r="G16" s="4">
        <v>2816</v>
      </c>
      <c r="H16" s="7">
        <v>145826</v>
      </c>
    </row>
    <row r="17" spans="2:18" x14ac:dyDescent="0.2">
      <c r="B17" s="6">
        <v>1972</v>
      </c>
      <c r="C17" s="5">
        <v>82153</v>
      </c>
      <c r="D17" s="4">
        <v>120.556</v>
      </c>
      <c r="E17" s="5">
        <v>1246800</v>
      </c>
      <c r="F17" s="5">
        <v>4882</v>
      </c>
      <c r="G17" s="4">
        <v>2449</v>
      </c>
      <c r="H17" s="7">
        <v>148592</v>
      </c>
      <c r="J17" s="20" t="s">
        <v>11</v>
      </c>
      <c r="K17" s="20"/>
    </row>
    <row r="18" spans="2:18" x14ac:dyDescent="0.2">
      <c r="B18" s="6">
        <v>1973</v>
      </c>
      <c r="C18" s="5">
        <v>85064</v>
      </c>
      <c r="D18" s="4">
        <v>127.307</v>
      </c>
      <c r="E18" s="5">
        <v>1395300</v>
      </c>
      <c r="F18" s="5">
        <v>4365</v>
      </c>
      <c r="G18" s="4">
        <v>2327</v>
      </c>
      <c r="H18" s="7">
        <v>151476</v>
      </c>
      <c r="J18" s="1" t="s">
        <v>12</v>
      </c>
      <c r="K18" s="1">
        <v>0.9996971755188867</v>
      </c>
    </row>
    <row r="19" spans="2:18" x14ac:dyDescent="0.2">
      <c r="B19" s="6">
        <v>1974</v>
      </c>
      <c r="C19" s="5">
        <v>86794</v>
      </c>
      <c r="D19" s="4">
        <v>138.82</v>
      </c>
      <c r="E19" s="5">
        <v>1515500</v>
      </c>
      <c r="F19" s="5">
        <v>5156</v>
      </c>
      <c r="G19" s="4">
        <v>2229</v>
      </c>
      <c r="H19" s="7">
        <v>154378</v>
      </c>
      <c r="J19" s="1" t="s">
        <v>13</v>
      </c>
      <c r="K19" s="1">
        <v>0.99939444274043976</v>
      </c>
    </row>
    <row r="20" spans="2:18" x14ac:dyDescent="0.2">
      <c r="B20" s="6">
        <v>1975</v>
      </c>
      <c r="C20" s="5">
        <v>85846</v>
      </c>
      <c r="D20" s="4">
        <v>151.857</v>
      </c>
      <c r="E20" s="5">
        <v>1651300</v>
      </c>
      <c r="F20" s="5">
        <v>7929</v>
      </c>
      <c r="G20" s="4">
        <v>2180</v>
      </c>
      <c r="H20" s="7">
        <v>157344</v>
      </c>
      <c r="J20" s="1" t="s">
        <v>14</v>
      </c>
      <c r="K20" s="1">
        <v>0.99932059429415188</v>
      </c>
    </row>
    <row r="21" spans="2:18" x14ac:dyDescent="0.2">
      <c r="B21" s="6">
        <v>1976</v>
      </c>
      <c r="C21" s="5">
        <v>88752</v>
      </c>
      <c r="D21" s="4">
        <v>160.68</v>
      </c>
      <c r="E21" s="5">
        <v>1842100</v>
      </c>
      <c r="F21" s="5">
        <v>7406</v>
      </c>
      <c r="G21" s="4">
        <v>2144</v>
      </c>
      <c r="H21" s="7">
        <v>160319</v>
      </c>
      <c r="J21" s="1" t="s">
        <v>15</v>
      </c>
      <c r="K21" s="1">
        <v>639.74440025427407</v>
      </c>
    </row>
    <row r="22" spans="2:18" ht="15.75" thickBot="1" x14ac:dyDescent="0.25">
      <c r="B22" s="6">
        <v>1977</v>
      </c>
      <c r="C22" s="5">
        <v>92017</v>
      </c>
      <c r="D22" s="4">
        <v>170.88399999999999</v>
      </c>
      <c r="E22" s="5">
        <v>2051200</v>
      </c>
      <c r="F22" s="5">
        <v>6991</v>
      </c>
      <c r="G22" s="4">
        <v>2133</v>
      </c>
      <c r="H22" s="7">
        <v>163377</v>
      </c>
      <c r="J22" s="2" t="s">
        <v>16</v>
      </c>
      <c r="K22" s="2">
        <v>47</v>
      </c>
    </row>
    <row r="23" spans="2:18" x14ac:dyDescent="0.2">
      <c r="B23" s="6">
        <v>1978</v>
      </c>
      <c r="C23" s="5">
        <v>96048</v>
      </c>
      <c r="D23" s="4">
        <v>182.863</v>
      </c>
      <c r="E23" s="5">
        <v>2316300</v>
      </c>
      <c r="F23" s="5">
        <v>6202</v>
      </c>
      <c r="G23" s="4">
        <v>2117</v>
      </c>
      <c r="H23" s="7">
        <v>166422</v>
      </c>
    </row>
    <row r="24" spans="2:18" ht="15.75" thickBot="1" x14ac:dyDescent="0.25">
      <c r="B24" s="6">
        <v>1979</v>
      </c>
      <c r="C24" s="5">
        <v>98824</v>
      </c>
      <c r="D24" s="4">
        <v>198.077</v>
      </c>
      <c r="E24" s="5">
        <v>2595300</v>
      </c>
      <c r="F24" s="5">
        <v>6137</v>
      </c>
      <c r="G24" s="4">
        <v>2088</v>
      </c>
      <c r="H24" s="7">
        <v>169440</v>
      </c>
      <c r="J24" t="s">
        <v>17</v>
      </c>
    </row>
    <row r="25" spans="2:18" x14ac:dyDescent="0.2">
      <c r="B25" s="6">
        <v>1980</v>
      </c>
      <c r="C25" s="5">
        <v>99303</v>
      </c>
      <c r="D25" s="4">
        <v>216.07300000000001</v>
      </c>
      <c r="E25" s="5">
        <v>2823700</v>
      </c>
      <c r="F25" s="5">
        <v>7637</v>
      </c>
      <c r="G25" s="4">
        <v>2102</v>
      </c>
      <c r="H25" s="7">
        <v>172437</v>
      </c>
      <c r="J25" s="3"/>
      <c r="K25" s="3" t="s">
        <v>22</v>
      </c>
      <c r="L25" s="3" t="s">
        <v>23</v>
      </c>
      <c r="M25" s="3" t="s">
        <v>24</v>
      </c>
      <c r="N25" s="3" t="s">
        <v>25</v>
      </c>
      <c r="O25" s="3" t="s">
        <v>26</v>
      </c>
    </row>
    <row r="26" spans="2:18" x14ac:dyDescent="0.2">
      <c r="B26" s="6">
        <v>1981</v>
      </c>
      <c r="C26" s="5">
        <v>100397</v>
      </c>
      <c r="D26" s="4">
        <v>236.38499999999999</v>
      </c>
      <c r="E26" s="5">
        <v>3161400</v>
      </c>
      <c r="F26" s="5">
        <v>8273</v>
      </c>
      <c r="G26" s="4">
        <v>2142</v>
      </c>
      <c r="H26" s="7">
        <v>174929</v>
      </c>
      <c r="J26" s="1" t="s">
        <v>18</v>
      </c>
      <c r="K26" s="1">
        <v>5</v>
      </c>
      <c r="L26" s="1">
        <v>27693545365.068424</v>
      </c>
      <c r="M26" s="1">
        <v>5538709073.0136852</v>
      </c>
      <c r="N26" s="1">
        <v>13533.046299243515</v>
      </c>
      <c r="O26" s="1">
        <v>8.2468221895250073E-65</v>
      </c>
    </row>
    <row r="27" spans="2:18" x14ac:dyDescent="0.2">
      <c r="B27" s="6">
        <v>1982</v>
      </c>
      <c r="C27" s="5">
        <v>99526</v>
      </c>
      <c r="D27" s="4">
        <v>250.798</v>
      </c>
      <c r="E27" s="5">
        <v>3291500</v>
      </c>
      <c r="F27" s="5">
        <v>10678</v>
      </c>
      <c r="G27" s="4">
        <v>2179</v>
      </c>
      <c r="H27" s="7">
        <v>177176</v>
      </c>
      <c r="J27" s="1" t="s">
        <v>19</v>
      </c>
      <c r="K27" s="1">
        <v>41</v>
      </c>
      <c r="L27" s="1">
        <v>16780188.803924736</v>
      </c>
      <c r="M27" s="1">
        <v>409272.89765670086</v>
      </c>
      <c r="N27" s="1"/>
      <c r="O27" s="1"/>
    </row>
    <row r="28" spans="2:18" ht="15.75" thickBot="1" x14ac:dyDescent="0.25">
      <c r="B28" s="6">
        <v>1983</v>
      </c>
      <c r="C28" s="5">
        <v>100834</v>
      </c>
      <c r="D28" s="4">
        <v>260.68</v>
      </c>
      <c r="E28" s="5">
        <v>3573800</v>
      </c>
      <c r="F28" s="5">
        <v>10717</v>
      </c>
      <c r="G28" s="4">
        <v>2199</v>
      </c>
      <c r="H28" s="7">
        <v>179234</v>
      </c>
      <c r="J28" s="2" t="s">
        <v>20</v>
      </c>
      <c r="K28" s="2">
        <v>46</v>
      </c>
      <c r="L28" s="2">
        <v>27710325553.872349</v>
      </c>
      <c r="M28" s="2"/>
      <c r="N28" s="2"/>
      <c r="O28" s="2"/>
    </row>
    <row r="29" spans="2:18" ht="15.75" thickBot="1" x14ac:dyDescent="0.25">
      <c r="B29" s="6">
        <v>1984</v>
      </c>
      <c r="C29" s="5">
        <v>105005</v>
      </c>
      <c r="D29" s="4">
        <v>270.49599999999998</v>
      </c>
      <c r="E29" s="5">
        <v>3969500</v>
      </c>
      <c r="F29" s="5">
        <v>8539</v>
      </c>
      <c r="G29" s="4">
        <v>2219</v>
      </c>
      <c r="H29" s="7">
        <v>181192</v>
      </c>
    </row>
    <row r="30" spans="2:18" x14ac:dyDescent="0.2">
      <c r="B30" s="6">
        <v>1985</v>
      </c>
      <c r="C30" s="5">
        <v>107150</v>
      </c>
      <c r="D30" s="4">
        <v>278.75900000000001</v>
      </c>
      <c r="E30" s="5">
        <v>4246800</v>
      </c>
      <c r="F30" s="5">
        <v>8312</v>
      </c>
      <c r="G30" s="4">
        <v>2234</v>
      </c>
      <c r="H30" s="7">
        <v>183174</v>
      </c>
      <c r="J30" s="3"/>
      <c r="K30" s="3" t="s">
        <v>27</v>
      </c>
      <c r="L30" s="3" t="s">
        <v>15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32</v>
      </c>
      <c r="R30" s="3" t="s">
        <v>33</v>
      </c>
    </row>
    <row r="31" spans="2:18" x14ac:dyDescent="0.2">
      <c r="B31" s="6">
        <v>1986</v>
      </c>
      <c r="C31" s="5">
        <v>109597</v>
      </c>
      <c r="D31" s="4">
        <v>284.89499999999998</v>
      </c>
      <c r="E31" s="5">
        <v>4480600</v>
      </c>
      <c r="F31" s="5">
        <v>8237</v>
      </c>
      <c r="G31" s="4">
        <v>2244</v>
      </c>
      <c r="H31" s="7">
        <v>185284</v>
      </c>
      <c r="J31" s="1" t="s">
        <v>21</v>
      </c>
      <c r="K31" s="1">
        <v>-6897.0075899386429</v>
      </c>
      <c r="L31" s="1">
        <v>2515.5712183748701</v>
      </c>
      <c r="M31" s="1">
        <v>-2.7417262288420936</v>
      </c>
      <c r="N31" s="1">
        <v>9.0162245854355609E-3</v>
      </c>
      <c r="O31" s="1">
        <v>-11977.306729509824</v>
      </c>
      <c r="P31" s="1">
        <v>-1816.7084503674614</v>
      </c>
      <c r="Q31" s="1">
        <v>-11977.306729509824</v>
      </c>
      <c r="R31" s="1">
        <v>-1816.7084503674614</v>
      </c>
    </row>
    <row r="32" spans="2:18" x14ac:dyDescent="0.2">
      <c r="B32" s="6">
        <v>1987</v>
      </c>
      <c r="C32" s="5">
        <v>112440</v>
      </c>
      <c r="D32" s="4">
        <v>292.69099999999997</v>
      </c>
      <c r="E32" s="5">
        <v>4757400</v>
      </c>
      <c r="F32" s="5">
        <v>7425</v>
      </c>
      <c r="G32" s="4">
        <v>2257</v>
      </c>
      <c r="H32" s="7">
        <v>187419</v>
      </c>
      <c r="J32" s="1" t="s">
        <v>2</v>
      </c>
      <c r="K32" s="1">
        <v>86.775289595955698</v>
      </c>
      <c r="L32" s="1">
        <v>6.4212651236421667</v>
      </c>
      <c r="M32" s="1">
        <v>13.51373723481089</v>
      </c>
      <c r="N32" s="1">
        <v>1.0757178388093567E-16</v>
      </c>
      <c r="O32" s="1">
        <v>73.807281596694025</v>
      </c>
      <c r="P32" s="1">
        <v>99.743297595217371</v>
      </c>
      <c r="Q32" s="1">
        <v>73.807281596694025</v>
      </c>
      <c r="R32" s="1">
        <v>99.743297595217371</v>
      </c>
    </row>
    <row r="33" spans="2:18" x14ac:dyDescent="0.2">
      <c r="B33" s="6">
        <v>1988</v>
      </c>
      <c r="C33" s="5">
        <v>114968</v>
      </c>
      <c r="D33" s="4">
        <v>302.68</v>
      </c>
      <c r="E33" s="5">
        <v>5127400</v>
      </c>
      <c r="F33" s="5">
        <v>6701</v>
      </c>
      <c r="G33" s="4">
        <v>2224</v>
      </c>
      <c r="H33" s="7">
        <v>189233</v>
      </c>
      <c r="J33" s="1" t="s">
        <v>3</v>
      </c>
      <c r="K33" s="1">
        <v>-1.4601933615160856E-3</v>
      </c>
      <c r="L33" s="1">
        <v>1.5122848724905772E-4</v>
      </c>
      <c r="M33" s="1">
        <v>-9.6555443228847331</v>
      </c>
      <c r="N33" s="1">
        <v>4.0634225355633976E-12</v>
      </c>
      <c r="O33" s="1">
        <v>-1.765605487413429E-3</v>
      </c>
      <c r="P33" s="1">
        <v>-1.1547812356187421E-3</v>
      </c>
      <c r="Q33" s="1">
        <v>-1.765605487413429E-3</v>
      </c>
      <c r="R33" s="1">
        <v>-1.1547812356187421E-3</v>
      </c>
    </row>
    <row r="34" spans="2:18" x14ac:dyDescent="0.2">
      <c r="B34" s="6">
        <v>1989</v>
      </c>
      <c r="C34" s="5">
        <v>117342</v>
      </c>
      <c r="D34" s="4">
        <v>314.17899999999997</v>
      </c>
      <c r="E34" s="5">
        <v>5510600</v>
      </c>
      <c r="F34" s="5">
        <v>6528</v>
      </c>
      <c r="G34" s="4">
        <v>2208</v>
      </c>
      <c r="H34" s="7">
        <v>190862</v>
      </c>
      <c r="J34" s="1" t="s">
        <v>4</v>
      </c>
      <c r="K34" s="1">
        <v>-1.4108372447920043</v>
      </c>
      <c r="L34" s="1">
        <v>8.8585044680719427E-2</v>
      </c>
      <c r="M34" s="1">
        <v>-15.926359239045162</v>
      </c>
      <c r="N34" s="1">
        <v>3.6739861741789135E-19</v>
      </c>
      <c r="O34" s="1">
        <v>-1.5897383718930971</v>
      </c>
      <c r="P34" s="1">
        <v>-1.2319361176909116</v>
      </c>
      <c r="Q34" s="1">
        <v>-1.5897383718930971</v>
      </c>
      <c r="R34" s="1">
        <v>-1.2319361176909116</v>
      </c>
    </row>
    <row r="35" spans="2:18" x14ac:dyDescent="0.2">
      <c r="B35" s="6">
        <v>1990</v>
      </c>
      <c r="C35" s="5">
        <v>118793</v>
      </c>
      <c r="D35" s="4">
        <v>326.35700000000003</v>
      </c>
      <c r="E35" s="5">
        <v>5837900</v>
      </c>
      <c r="F35" s="5">
        <v>7047</v>
      </c>
      <c r="G35" s="4">
        <v>2167</v>
      </c>
      <c r="H35" s="7">
        <v>192644</v>
      </c>
      <c r="J35" s="1" t="s">
        <v>5</v>
      </c>
      <c r="K35" s="1">
        <v>-1.1178873616659277</v>
      </c>
      <c r="L35" s="1">
        <v>0.34634496394784137</v>
      </c>
      <c r="M35" s="1">
        <v>-3.2276703230316888</v>
      </c>
      <c r="N35" s="1">
        <v>2.4566848208006113E-3</v>
      </c>
      <c r="O35" s="1">
        <v>-1.8173452062646349</v>
      </c>
      <c r="P35" s="1">
        <v>-0.41842951706722054</v>
      </c>
      <c r="Q35" s="1">
        <v>-1.8173452062646349</v>
      </c>
      <c r="R35" s="1">
        <v>-0.41842951706722054</v>
      </c>
    </row>
    <row r="36" spans="2:18" ht="15.75" thickBot="1" x14ac:dyDescent="0.25">
      <c r="B36" s="6">
        <v>1991</v>
      </c>
      <c r="C36" s="5">
        <v>117718</v>
      </c>
      <c r="D36" s="4">
        <v>337.74700000000001</v>
      </c>
      <c r="E36" s="5">
        <v>6026300</v>
      </c>
      <c r="F36" s="5">
        <v>8628</v>
      </c>
      <c r="G36" s="4">
        <v>2118</v>
      </c>
      <c r="H36" s="7">
        <v>194936</v>
      </c>
      <c r="J36" s="2" t="s">
        <v>6</v>
      </c>
      <c r="K36" s="2">
        <v>0.60601510578455842</v>
      </c>
      <c r="L36" s="2">
        <v>1.9560364813003682E-2</v>
      </c>
      <c r="M36" s="2">
        <v>30.981789530923322</v>
      </c>
      <c r="N36" s="2">
        <v>4.527597964871486E-30</v>
      </c>
      <c r="O36" s="2">
        <v>0.56651214764791757</v>
      </c>
      <c r="P36" s="2">
        <v>0.64551806392119926</v>
      </c>
      <c r="Q36" s="2">
        <v>0.56651214764791757</v>
      </c>
      <c r="R36" s="2">
        <v>0.64551806392119926</v>
      </c>
    </row>
    <row r="37" spans="2:18" x14ac:dyDescent="0.2">
      <c r="B37" s="6">
        <v>1992</v>
      </c>
      <c r="C37" s="5">
        <v>118492</v>
      </c>
      <c r="D37" s="4">
        <v>345.47699999999998</v>
      </c>
      <c r="E37" s="5">
        <v>6367400</v>
      </c>
      <c r="F37" s="5">
        <v>9613</v>
      </c>
      <c r="G37" s="4">
        <v>1966</v>
      </c>
      <c r="H37" s="7">
        <v>197205</v>
      </c>
    </row>
    <row r="38" spans="2:18" x14ac:dyDescent="0.2">
      <c r="B38" s="6">
        <v>1993</v>
      </c>
      <c r="C38" s="5">
        <v>120259</v>
      </c>
      <c r="D38" s="4">
        <v>353.51600000000002</v>
      </c>
      <c r="E38" s="5">
        <v>6689300</v>
      </c>
      <c r="F38" s="5">
        <v>8940</v>
      </c>
      <c r="G38" s="4">
        <v>1760</v>
      </c>
      <c r="H38" s="7">
        <v>199622</v>
      </c>
    </row>
    <row r="39" spans="2:18" x14ac:dyDescent="0.2">
      <c r="B39" s="6">
        <v>1994</v>
      </c>
      <c r="C39" s="5">
        <v>123060</v>
      </c>
      <c r="D39" s="4">
        <v>361.02600000000001</v>
      </c>
      <c r="E39" s="5">
        <v>7098400</v>
      </c>
      <c r="F39" s="5">
        <v>7996</v>
      </c>
      <c r="G39" s="4">
        <v>1673</v>
      </c>
      <c r="H39" s="7">
        <v>201970</v>
      </c>
    </row>
    <row r="40" spans="2:18" x14ac:dyDescent="0.2">
      <c r="B40" s="6">
        <v>1995</v>
      </c>
      <c r="C40" s="5">
        <v>124900</v>
      </c>
      <c r="D40" s="4">
        <v>368.44400000000002</v>
      </c>
      <c r="E40" s="5">
        <v>7433400</v>
      </c>
      <c r="F40" s="5">
        <v>7404</v>
      </c>
      <c r="G40" s="4">
        <v>1579</v>
      </c>
      <c r="H40" s="7">
        <v>204420</v>
      </c>
      <c r="J40" t="s">
        <v>34</v>
      </c>
    </row>
    <row r="41" spans="2:18" ht="15.75" thickBot="1" x14ac:dyDescent="0.25">
      <c r="B41" s="6">
        <v>1996</v>
      </c>
      <c r="C41" s="5">
        <v>126708</v>
      </c>
      <c r="D41" s="4">
        <v>375.42899999999997</v>
      </c>
      <c r="E41" s="5">
        <v>7851900</v>
      </c>
      <c r="F41" s="5">
        <v>7236</v>
      </c>
      <c r="G41" s="4">
        <v>1502</v>
      </c>
      <c r="H41" s="7">
        <v>207087</v>
      </c>
    </row>
    <row r="42" spans="2:18" x14ac:dyDescent="0.2">
      <c r="B42" s="6">
        <v>1997</v>
      </c>
      <c r="C42" s="5">
        <v>129558</v>
      </c>
      <c r="D42" s="4">
        <v>381.66300000000001</v>
      </c>
      <c r="E42" s="5">
        <v>8337300</v>
      </c>
      <c r="F42" s="5">
        <v>6739</v>
      </c>
      <c r="G42" s="4">
        <v>1457</v>
      </c>
      <c r="H42" s="7">
        <v>209846</v>
      </c>
      <c r="J42" s="3" t="s">
        <v>37</v>
      </c>
      <c r="K42" s="3" t="s">
        <v>35</v>
      </c>
      <c r="L42" s="3" t="s">
        <v>36</v>
      </c>
    </row>
    <row r="43" spans="2:18" x14ac:dyDescent="0.2">
      <c r="B43" s="6">
        <v>1998</v>
      </c>
      <c r="C43" s="5">
        <v>131463</v>
      </c>
      <c r="D43" s="4">
        <v>385.88099999999997</v>
      </c>
      <c r="E43" s="5">
        <v>8768300</v>
      </c>
      <c r="F43" s="5">
        <v>6210</v>
      </c>
      <c r="G43" s="4">
        <v>1423</v>
      </c>
      <c r="H43" s="7">
        <v>212638</v>
      </c>
      <c r="J43" s="1">
        <v>64630</v>
      </c>
      <c r="K43" s="1">
        <v>64320.04082787635</v>
      </c>
      <c r="L43" s="1">
        <v>309.95917212365021</v>
      </c>
    </row>
    <row r="44" spans="2:18" x14ac:dyDescent="0.2">
      <c r="B44" s="6">
        <v>1999</v>
      </c>
      <c r="C44" s="5">
        <v>133488</v>
      </c>
      <c r="D44" s="4">
        <v>391.452</v>
      </c>
      <c r="E44" s="5">
        <v>9302200</v>
      </c>
      <c r="F44" s="5">
        <v>5880</v>
      </c>
      <c r="G44" s="4">
        <v>1380</v>
      </c>
      <c r="H44" s="7">
        <v>215404</v>
      </c>
      <c r="J44" s="1">
        <v>65778</v>
      </c>
      <c r="K44" s="1">
        <v>65214.908256829483</v>
      </c>
      <c r="L44" s="1">
        <v>563.09174317051657</v>
      </c>
    </row>
    <row r="45" spans="2:18" x14ac:dyDescent="0.2">
      <c r="B45" s="6">
        <v>2000</v>
      </c>
      <c r="C45" s="5">
        <v>136891</v>
      </c>
      <c r="D45" s="4">
        <v>399.98599999999999</v>
      </c>
      <c r="E45" s="5">
        <v>9855900</v>
      </c>
      <c r="F45" s="5">
        <v>5692</v>
      </c>
      <c r="G45" s="4">
        <v>1405</v>
      </c>
      <c r="H45" s="7">
        <v>218061</v>
      </c>
      <c r="J45" s="1">
        <v>65746</v>
      </c>
      <c r="K45" s="1">
        <v>64937.392815000123</v>
      </c>
      <c r="L45" s="1">
        <v>808.60718499987706</v>
      </c>
    </row>
    <row r="46" spans="2:18" x14ac:dyDescent="0.2">
      <c r="B46" s="6">
        <v>2001</v>
      </c>
      <c r="C46" s="5">
        <v>136933</v>
      </c>
      <c r="D46" s="4">
        <v>409.58199999999999</v>
      </c>
      <c r="E46" s="5">
        <v>10171600</v>
      </c>
      <c r="F46" s="5">
        <v>6801</v>
      </c>
      <c r="G46" s="4">
        <v>1412</v>
      </c>
      <c r="H46" s="7">
        <v>220800</v>
      </c>
      <c r="J46" s="1">
        <v>66702</v>
      </c>
      <c r="K46" s="1">
        <v>66712.149626764352</v>
      </c>
      <c r="L46" s="1">
        <v>-10.149626764352433</v>
      </c>
    </row>
    <row r="47" spans="2:18" x14ac:dyDescent="0.2">
      <c r="B47" s="6">
        <v>2002</v>
      </c>
      <c r="C47" s="5">
        <v>136485</v>
      </c>
      <c r="D47" s="4">
        <v>416.70400000000001</v>
      </c>
      <c r="E47" s="5">
        <v>10500200</v>
      </c>
      <c r="F47" s="5">
        <v>8378</v>
      </c>
      <c r="G47" s="4">
        <v>1425</v>
      </c>
      <c r="H47" s="7">
        <v>223532</v>
      </c>
      <c r="J47" s="1">
        <v>67762</v>
      </c>
      <c r="K47" s="1">
        <v>68081.049428643353</v>
      </c>
      <c r="L47" s="1">
        <v>-319.04942864335317</v>
      </c>
    </row>
    <row r="48" spans="2:18" x14ac:dyDescent="0.2">
      <c r="B48" s="6">
        <v>2003</v>
      </c>
      <c r="C48" s="5">
        <v>137736</v>
      </c>
      <c r="D48" s="4">
        <v>425.553</v>
      </c>
      <c r="E48" s="5">
        <v>11017600</v>
      </c>
      <c r="F48" s="5">
        <v>8774</v>
      </c>
      <c r="G48" s="4">
        <v>1423</v>
      </c>
      <c r="H48" s="7">
        <v>226223</v>
      </c>
      <c r="J48" s="1">
        <v>69305</v>
      </c>
      <c r="K48" s="1">
        <v>69833.597900529188</v>
      </c>
      <c r="L48" s="1">
        <v>-528.59790052918834</v>
      </c>
    </row>
    <row r="49" spans="2:12" x14ac:dyDescent="0.2">
      <c r="B49" s="6">
        <v>2004</v>
      </c>
      <c r="C49" s="5">
        <v>139252</v>
      </c>
      <c r="D49" s="4">
        <v>437.79500000000002</v>
      </c>
      <c r="E49" s="5">
        <v>11762100</v>
      </c>
      <c r="F49" s="5">
        <v>8149</v>
      </c>
      <c r="G49" s="4">
        <v>1411</v>
      </c>
      <c r="H49" s="7">
        <v>228892</v>
      </c>
      <c r="J49" s="1">
        <v>71088</v>
      </c>
      <c r="K49" s="1">
        <v>71783.842509124952</v>
      </c>
      <c r="L49" s="1">
        <v>-695.8425091249519</v>
      </c>
    </row>
    <row r="50" spans="2:12" ht="15.75" thickBot="1" x14ac:dyDescent="0.25">
      <c r="B50" s="8">
        <v>2005</v>
      </c>
      <c r="C50" s="9">
        <v>141730</v>
      </c>
      <c r="D50" s="10">
        <v>451.94600000000003</v>
      </c>
      <c r="E50" s="9">
        <v>12502400</v>
      </c>
      <c r="F50" s="9">
        <v>7591</v>
      </c>
      <c r="G50" s="10">
        <v>1378</v>
      </c>
      <c r="H50" s="11">
        <v>231552</v>
      </c>
      <c r="J50" s="1">
        <v>72895</v>
      </c>
      <c r="K50" s="1">
        <v>73429.279096097584</v>
      </c>
      <c r="L50" s="1">
        <v>-534.27909609758353</v>
      </c>
    </row>
    <row r="51" spans="2:12" x14ac:dyDescent="0.2">
      <c r="J51" s="1">
        <v>74372</v>
      </c>
      <c r="K51" s="1">
        <v>74476.611852011702</v>
      </c>
      <c r="L51" s="1">
        <v>-104.61185201170156</v>
      </c>
    </row>
    <row r="52" spans="2:12" x14ac:dyDescent="0.2">
      <c r="J52" s="1">
        <v>75920</v>
      </c>
      <c r="K52" s="1">
        <v>76212.309943039916</v>
      </c>
      <c r="L52" s="1">
        <v>-292.30994303991611</v>
      </c>
    </row>
    <row r="53" spans="2:12" x14ac:dyDescent="0.2">
      <c r="J53" s="1">
        <v>77902</v>
      </c>
      <c r="K53" s="1">
        <v>77931.427317096299</v>
      </c>
      <c r="L53" s="1">
        <v>-29.427317096298793</v>
      </c>
    </row>
    <row r="54" spans="2:12" x14ac:dyDescent="0.2">
      <c r="J54" s="1">
        <v>78678</v>
      </c>
      <c r="K54" s="1">
        <v>78490.709318161855</v>
      </c>
      <c r="L54" s="1">
        <v>187.29068183814525</v>
      </c>
    </row>
    <row r="55" spans="2:12" x14ac:dyDescent="0.2">
      <c r="J55" s="1">
        <v>79367</v>
      </c>
      <c r="K55" s="1">
        <v>79620.937326083207</v>
      </c>
      <c r="L55" s="1">
        <v>-253.93732608320715</v>
      </c>
    </row>
    <row r="56" spans="2:12" x14ac:dyDescent="0.2">
      <c r="J56" s="1">
        <v>82153</v>
      </c>
      <c r="K56" s="1">
        <v>82167.288160397817</v>
      </c>
      <c r="L56" s="1">
        <v>-14.288160397816682</v>
      </c>
    </row>
    <row r="57" spans="2:12" x14ac:dyDescent="0.2">
      <c r="J57" s="1">
        <v>85064</v>
      </c>
      <c r="K57" s="1">
        <v>85149.802105038354</v>
      </c>
      <c r="L57" s="1">
        <v>-85.802105038354057</v>
      </c>
    </row>
    <row r="58" spans="2:12" x14ac:dyDescent="0.2">
      <c r="J58" s="1">
        <v>86794</v>
      </c>
      <c r="K58" s="1">
        <v>86725.567309901933</v>
      </c>
      <c r="L58" s="1">
        <v>68.432690098066814</v>
      </c>
    </row>
    <row r="59" spans="2:12" x14ac:dyDescent="0.2">
      <c r="J59" s="1">
        <v>85846</v>
      </c>
      <c r="K59" s="1">
        <v>85598.528106540922</v>
      </c>
      <c r="L59" s="1">
        <v>247.47189345907827</v>
      </c>
    </row>
    <row r="60" spans="2:12" x14ac:dyDescent="0.2">
      <c r="J60" s="1">
        <v>88752</v>
      </c>
      <c r="K60" s="1">
        <v>88666.548357024018</v>
      </c>
      <c r="L60" s="1">
        <v>85.451642975982395</v>
      </c>
    </row>
    <row r="61" spans="2:12" x14ac:dyDescent="0.2">
      <c r="J61" s="1">
        <v>92017</v>
      </c>
      <c r="K61" s="1">
        <v>91697.66539122432</v>
      </c>
      <c r="L61" s="1">
        <v>319.33460877567995</v>
      </c>
    </row>
    <row r="62" spans="2:12" x14ac:dyDescent="0.2">
      <c r="J62" s="1">
        <v>96048</v>
      </c>
      <c r="K62" s="1">
        <v>95326.4021061979</v>
      </c>
      <c r="L62" s="1">
        <v>721.59789380209986</v>
      </c>
    </row>
    <row r="63" spans="2:12" x14ac:dyDescent="0.2">
      <c r="J63" s="1">
        <v>98824</v>
      </c>
      <c r="K63" s="1">
        <v>98192.284157905364</v>
      </c>
      <c r="L63" s="1">
        <v>631.71584209463617</v>
      </c>
    </row>
    <row r="64" spans="2:12" x14ac:dyDescent="0.2">
      <c r="J64" s="1">
        <v>99303</v>
      </c>
      <c r="K64" s="1">
        <v>99104.70508748891</v>
      </c>
      <c r="L64" s="1">
        <v>198.29491251108993</v>
      </c>
    </row>
    <row r="65" spans="10:12" x14ac:dyDescent="0.2">
      <c r="J65" s="1">
        <v>100397</v>
      </c>
      <c r="K65" s="1">
        <v>100942.35913303874</v>
      </c>
      <c r="L65" s="1">
        <v>-545.35913303874258</v>
      </c>
    </row>
    <row r="66" spans="10:12" x14ac:dyDescent="0.2">
      <c r="J66" s="1">
        <v>99526</v>
      </c>
      <c r="K66" s="1">
        <v>99930.370762243503</v>
      </c>
      <c r="L66" s="1">
        <v>-404.37076224350312</v>
      </c>
    </row>
    <row r="67" spans="10:12" x14ac:dyDescent="0.2">
      <c r="J67" s="1">
        <v>100834</v>
      </c>
      <c r="K67" s="1">
        <v>101545.47027599915</v>
      </c>
      <c r="L67" s="1">
        <v>-711.47027599914873</v>
      </c>
    </row>
    <row r="68" spans="10:12" x14ac:dyDescent="0.2">
      <c r="J68" s="1">
        <v>105005</v>
      </c>
      <c r="K68" s="1">
        <v>106056.48135457098</v>
      </c>
      <c r="L68" s="1">
        <v>-1051.4813545709767</v>
      </c>
    </row>
    <row r="69" spans="10:12" x14ac:dyDescent="0.2">
      <c r="J69" s="1">
        <v>107150</v>
      </c>
      <c r="K69" s="1">
        <v>107873.20763716174</v>
      </c>
      <c r="L69" s="1">
        <v>-723.20763716174406</v>
      </c>
    </row>
    <row r="70" spans="10:12" x14ac:dyDescent="0.2">
      <c r="J70" s="1">
        <v>109597</v>
      </c>
      <c r="K70" s="1">
        <v>109437.59339914822</v>
      </c>
      <c r="L70" s="1">
        <v>159.40660085178388</v>
      </c>
    </row>
    <row r="71" spans="10:12" x14ac:dyDescent="0.2">
      <c r="J71" s="1">
        <v>112440</v>
      </c>
      <c r="K71" s="1">
        <v>112134.82159229013</v>
      </c>
      <c r="L71" s="1">
        <v>305.17840770987095</v>
      </c>
    </row>
    <row r="72" spans="10:12" x14ac:dyDescent="0.2">
      <c r="J72" s="1">
        <v>114968</v>
      </c>
      <c r="K72" s="1">
        <v>114618.99626636074</v>
      </c>
      <c r="L72" s="1">
        <v>349.0037336392561</v>
      </c>
    </row>
    <row r="73" spans="10:12" x14ac:dyDescent="0.2">
      <c r="J73" s="1">
        <v>117342</v>
      </c>
      <c r="K73" s="1">
        <v>116306.43887375039</v>
      </c>
      <c r="L73" s="1">
        <v>1035.5611262496095</v>
      </c>
    </row>
    <row r="74" spans="10:12" x14ac:dyDescent="0.2">
      <c r="J74" s="1">
        <v>118793</v>
      </c>
      <c r="K74" s="1">
        <v>117278.79483351506</v>
      </c>
      <c r="L74" s="1">
        <v>1514.2051664849423</v>
      </c>
    </row>
    <row r="75" spans="10:12" x14ac:dyDescent="0.2">
      <c r="J75" s="1">
        <v>117718</v>
      </c>
      <c r="K75" s="1">
        <v>117205.29437186704</v>
      </c>
      <c r="L75" s="1">
        <v>512.70562813295692</v>
      </c>
    </row>
    <row r="76" spans="10:12" x14ac:dyDescent="0.2">
      <c r="J76" s="1">
        <v>118492</v>
      </c>
      <c r="K76" s="1">
        <v>117533.28787270891</v>
      </c>
      <c r="L76" s="1">
        <v>958.71212729108811</v>
      </c>
    </row>
    <row r="77" spans="10:12" x14ac:dyDescent="0.2">
      <c r="J77" s="1">
        <v>120259</v>
      </c>
      <c r="K77" s="1">
        <v>120405.35495562825</v>
      </c>
      <c r="L77" s="1">
        <v>-146.35495562825236</v>
      </c>
    </row>
    <row r="78" spans="10:12" x14ac:dyDescent="0.2">
      <c r="J78" s="1">
        <v>123060</v>
      </c>
      <c r="K78" s="1">
        <v>123311.68230422838</v>
      </c>
      <c r="L78" s="1">
        <v>-251.68230422837951</v>
      </c>
    </row>
    <row r="79" spans="10:12" x14ac:dyDescent="0.2">
      <c r="J79" s="1">
        <v>124900</v>
      </c>
      <c r="K79" s="1">
        <v>125891.25069642892</v>
      </c>
      <c r="L79" s="1">
        <v>-991.25069642892049</v>
      </c>
    </row>
    <row r="80" spans="10:12" x14ac:dyDescent="0.2">
      <c r="J80" s="1">
        <v>126708</v>
      </c>
      <c r="K80" s="1">
        <v>127825.62544356295</v>
      </c>
      <c r="L80" s="1">
        <v>-1117.6254435629526</v>
      </c>
    </row>
    <row r="81" spans="10:12" x14ac:dyDescent="0.2">
      <c r="J81" s="1">
        <v>129558</v>
      </c>
      <c r="K81" s="1">
        <v>130081.29146002041</v>
      </c>
      <c r="L81" s="1">
        <v>-523.29146002040943</v>
      </c>
    </row>
    <row r="82" spans="10:12" x14ac:dyDescent="0.2">
      <c r="J82" s="1">
        <v>131463</v>
      </c>
      <c r="K82" s="1">
        <v>132294.30154086481</v>
      </c>
      <c r="L82" s="1">
        <v>-831.30154086480616</v>
      </c>
    </row>
    <row r="83" spans="10:12" x14ac:dyDescent="0.2">
      <c r="J83" s="1">
        <v>133488</v>
      </c>
      <c r="K83" s="1">
        <v>134188.01267342354</v>
      </c>
      <c r="L83" s="1">
        <v>-700.01267342353822</v>
      </c>
    </row>
    <row r="84" spans="10:12" x14ac:dyDescent="0.2">
      <c r="J84" s="1">
        <v>136891</v>
      </c>
      <c r="K84" s="1">
        <v>135967.51628461279</v>
      </c>
      <c r="L84" s="1">
        <v>923.48371538720676</v>
      </c>
    </row>
    <row r="85" spans="10:12" x14ac:dyDescent="0.2">
      <c r="J85" s="1">
        <v>136933</v>
      </c>
      <c r="K85" s="1">
        <v>136426.66057808284</v>
      </c>
      <c r="L85" s="1">
        <v>506.33942191716051</v>
      </c>
    </row>
    <row r="86" spans="10:12" x14ac:dyDescent="0.2">
      <c r="J86" s="1">
        <v>136485</v>
      </c>
      <c r="K86" s="1">
        <v>135981.06505025583</v>
      </c>
      <c r="L86" s="1">
        <v>503.93494974417263</v>
      </c>
    </row>
    <row r="87" spans="10:12" x14ac:dyDescent="0.2">
      <c r="J87" s="1">
        <v>137736</v>
      </c>
      <c r="K87" s="1">
        <v>137067.76641809399</v>
      </c>
      <c r="L87" s="1">
        <v>668.23358190600993</v>
      </c>
    </row>
    <row r="88" spans="10:12" x14ac:dyDescent="0.2">
      <c r="J88" s="1">
        <v>139252</v>
      </c>
      <c r="K88" s="1">
        <v>139555.59779935289</v>
      </c>
      <c r="L88" s="1">
        <v>-303.59779935289407</v>
      </c>
    </row>
    <row r="89" spans="10:12" ht="15.75" thickBot="1" x14ac:dyDescent="0.25">
      <c r="J89" s="2">
        <v>141730</v>
      </c>
      <c r="K89" s="2">
        <v>142138.71142381075</v>
      </c>
      <c r="L89" s="2">
        <v>-408.71142381074606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CA05-BD8C-4456-8470-56DC172D35CF}">
  <dimension ref="B2:R77"/>
  <sheetViews>
    <sheetView topLeftCell="A25" workbookViewId="0">
      <selection activeCell="L6" sqref="L6"/>
    </sheetView>
  </sheetViews>
  <sheetFormatPr defaultRowHeight="15" x14ac:dyDescent="0.2"/>
  <cols>
    <col min="2" max="2" width="10.89453125" bestFit="1" customWidth="1"/>
    <col min="3" max="4" width="7.93359375" bestFit="1" customWidth="1"/>
    <col min="5" max="5" width="10.35546875" bestFit="1" customWidth="1"/>
    <col min="6" max="6" width="6.45703125" bestFit="1" customWidth="1"/>
    <col min="7" max="7" width="4.9765625" bestFit="1" customWidth="1"/>
    <col min="8" max="8" width="7.93359375" bestFit="1" customWidth="1"/>
    <col min="11" max="11" width="17.484375" bestFit="1" customWidth="1"/>
    <col min="12" max="12" width="12.64453125" bestFit="1" customWidth="1"/>
    <col min="13" max="13" width="13.44921875" bestFit="1" customWidth="1"/>
    <col min="14" max="14" width="12.64453125" bestFit="1" customWidth="1"/>
    <col min="15" max="15" width="11.97265625" bestFit="1" customWidth="1"/>
    <col min="16" max="19" width="12.64453125" bestFit="1" customWidth="1"/>
  </cols>
  <sheetData>
    <row r="2" spans="2:15" ht="15.75" thickBot="1" x14ac:dyDescent="0.25"/>
    <row r="3" spans="2:15" ht="15.75" thickBot="1" x14ac:dyDescent="0.25">
      <c r="B3" s="16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6</v>
      </c>
      <c r="J3" s="19" t="s">
        <v>38</v>
      </c>
    </row>
    <row r="4" spans="2:15" x14ac:dyDescent="0.2">
      <c r="B4" s="12">
        <v>1959</v>
      </c>
      <c r="C4" s="13">
        <v>64630</v>
      </c>
      <c r="D4" s="14">
        <v>82.908000000000001</v>
      </c>
      <c r="E4" s="13">
        <v>509300</v>
      </c>
      <c r="F4" s="13">
        <v>3740</v>
      </c>
      <c r="G4" s="14">
        <v>2552</v>
      </c>
      <c r="H4" s="15">
        <v>120287</v>
      </c>
    </row>
    <row r="5" spans="2:15" x14ac:dyDescent="0.2">
      <c r="B5" s="6">
        <v>1960</v>
      </c>
      <c r="C5" s="5">
        <v>65778</v>
      </c>
      <c r="D5" s="4">
        <v>84.073999999999998</v>
      </c>
      <c r="E5" s="5">
        <v>529500</v>
      </c>
      <c r="F5" s="5">
        <v>3852</v>
      </c>
      <c r="G5" s="4">
        <v>2514</v>
      </c>
      <c r="H5" s="7">
        <v>121836</v>
      </c>
      <c r="J5" t="s">
        <v>10</v>
      </c>
    </row>
    <row r="6" spans="2:15" ht="15.75" thickBot="1" x14ac:dyDescent="0.25">
      <c r="B6" s="6">
        <v>1961</v>
      </c>
      <c r="C6" s="5">
        <v>65746</v>
      </c>
      <c r="D6" s="4">
        <v>85.015000000000001</v>
      </c>
      <c r="E6" s="5">
        <v>548200</v>
      </c>
      <c r="F6" s="5">
        <v>4714</v>
      </c>
      <c r="G6" s="4">
        <v>2573</v>
      </c>
      <c r="H6" s="7">
        <v>123404</v>
      </c>
    </row>
    <row r="7" spans="2:15" x14ac:dyDescent="0.2">
      <c r="B7" s="6">
        <v>1962</v>
      </c>
      <c r="C7" s="5">
        <v>66702</v>
      </c>
      <c r="D7" s="4">
        <v>86.186000000000007</v>
      </c>
      <c r="E7" s="5">
        <v>589700</v>
      </c>
      <c r="F7" s="5">
        <v>3911</v>
      </c>
      <c r="G7" s="4">
        <v>2827</v>
      </c>
      <c r="H7" s="7">
        <v>124864</v>
      </c>
      <c r="J7" s="20" t="s">
        <v>11</v>
      </c>
      <c r="K7" s="20"/>
    </row>
    <row r="8" spans="2:15" x14ac:dyDescent="0.2">
      <c r="B8" s="6">
        <v>1963</v>
      </c>
      <c r="C8" s="5">
        <v>67762</v>
      </c>
      <c r="D8" s="4">
        <v>87.102999999999994</v>
      </c>
      <c r="E8" s="5">
        <v>622200</v>
      </c>
      <c r="F8" s="5">
        <v>4070</v>
      </c>
      <c r="G8" s="4">
        <v>2737</v>
      </c>
      <c r="H8" s="7">
        <v>127274</v>
      </c>
      <c r="J8" s="1" t="s">
        <v>12</v>
      </c>
      <c r="K8" s="1">
        <v>0.99834722713564039</v>
      </c>
    </row>
    <row r="9" spans="2:15" x14ac:dyDescent="0.2">
      <c r="B9" s="6">
        <v>1964</v>
      </c>
      <c r="C9" s="5">
        <v>69305</v>
      </c>
      <c r="D9" s="4">
        <v>88.438000000000002</v>
      </c>
      <c r="E9" s="5">
        <v>668500</v>
      </c>
      <c r="F9" s="5">
        <v>3786</v>
      </c>
      <c r="G9" s="4">
        <v>2738</v>
      </c>
      <c r="H9" s="7">
        <v>129427</v>
      </c>
      <c r="J9" s="1" t="s">
        <v>13</v>
      </c>
      <c r="K9" s="1">
        <v>0.99669718592942202</v>
      </c>
    </row>
    <row r="10" spans="2:15" x14ac:dyDescent="0.2">
      <c r="B10" s="6">
        <v>1965</v>
      </c>
      <c r="C10" s="5">
        <v>71088</v>
      </c>
      <c r="D10" s="4">
        <v>90.055000000000007</v>
      </c>
      <c r="E10" s="5">
        <v>724400</v>
      </c>
      <c r="F10" s="5">
        <v>3366</v>
      </c>
      <c r="G10" s="4">
        <v>2722</v>
      </c>
      <c r="H10" s="7">
        <v>131541</v>
      </c>
      <c r="J10" s="1" t="s">
        <v>14</v>
      </c>
      <c r="K10" s="1">
        <v>0.99638263220841461</v>
      </c>
    </row>
    <row r="11" spans="2:15" x14ac:dyDescent="0.2">
      <c r="B11" s="6">
        <v>1966</v>
      </c>
      <c r="C11" s="5">
        <v>72895</v>
      </c>
      <c r="D11" s="4">
        <v>92.623999999999995</v>
      </c>
      <c r="E11" s="5">
        <v>792900</v>
      </c>
      <c r="F11" s="5">
        <v>2875</v>
      </c>
      <c r="G11" s="4">
        <v>3123</v>
      </c>
      <c r="H11" s="7">
        <v>133650</v>
      </c>
      <c r="J11" s="1" t="s">
        <v>15</v>
      </c>
      <c r="K11" s="1">
        <v>1476.1763117339347</v>
      </c>
    </row>
    <row r="12" spans="2:15" ht="15.75" thickBot="1" x14ac:dyDescent="0.25">
      <c r="B12" s="6">
        <v>1967</v>
      </c>
      <c r="C12" s="5">
        <v>74372</v>
      </c>
      <c r="D12" s="4">
        <v>95.491</v>
      </c>
      <c r="E12" s="5">
        <v>838000</v>
      </c>
      <c r="F12" s="5">
        <v>2975</v>
      </c>
      <c r="G12" s="4">
        <v>3446</v>
      </c>
      <c r="H12" s="7">
        <v>135905</v>
      </c>
      <c r="J12" s="2" t="s">
        <v>16</v>
      </c>
      <c r="K12" s="2">
        <v>47</v>
      </c>
    </row>
    <row r="13" spans="2:15" x14ac:dyDescent="0.2">
      <c r="B13" s="6">
        <v>1968</v>
      </c>
      <c r="C13" s="5">
        <v>75920</v>
      </c>
      <c r="D13" s="4">
        <v>99.56</v>
      </c>
      <c r="E13" s="5">
        <v>916100</v>
      </c>
      <c r="F13" s="5">
        <v>2817</v>
      </c>
      <c r="G13" s="4">
        <v>3535</v>
      </c>
      <c r="H13" s="7">
        <v>138171</v>
      </c>
    </row>
    <row r="14" spans="2:15" ht="15.75" thickBot="1" x14ac:dyDescent="0.25">
      <c r="B14" s="6">
        <v>1969</v>
      </c>
      <c r="C14" s="5">
        <v>77902</v>
      </c>
      <c r="D14" s="4">
        <v>104.504</v>
      </c>
      <c r="E14" s="5">
        <v>990700</v>
      </c>
      <c r="F14" s="5">
        <v>2832</v>
      </c>
      <c r="G14" s="4">
        <v>3506</v>
      </c>
      <c r="H14" s="7">
        <v>140461</v>
      </c>
      <c r="J14" t="s">
        <v>17</v>
      </c>
    </row>
    <row r="15" spans="2:15" x14ac:dyDescent="0.2">
      <c r="B15" s="6">
        <v>1970</v>
      </c>
      <c r="C15" s="5">
        <v>78678</v>
      </c>
      <c r="D15" s="4">
        <v>110.04600000000001</v>
      </c>
      <c r="E15" s="5">
        <v>1044900</v>
      </c>
      <c r="F15" s="5">
        <v>4093</v>
      </c>
      <c r="G15" s="4">
        <v>3188</v>
      </c>
      <c r="H15" s="7">
        <v>143070</v>
      </c>
      <c r="J15" s="3"/>
      <c r="K15" s="3" t="s">
        <v>22</v>
      </c>
      <c r="L15" s="3" t="s">
        <v>23</v>
      </c>
      <c r="M15" s="3" t="s">
        <v>24</v>
      </c>
      <c r="N15" s="3" t="s">
        <v>25</v>
      </c>
      <c r="O15" s="3" t="s">
        <v>26</v>
      </c>
    </row>
    <row r="16" spans="2:15" x14ac:dyDescent="0.2">
      <c r="B16" s="6">
        <v>1971</v>
      </c>
      <c r="C16" s="5">
        <v>79367</v>
      </c>
      <c r="D16" s="4">
        <v>115.54900000000001</v>
      </c>
      <c r="E16" s="5">
        <v>1134700</v>
      </c>
      <c r="F16" s="5">
        <v>5016</v>
      </c>
      <c r="G16" s="4">
        <v>2816</v>
      </c>
      <c r="H16" s="7">
        <v>145826</v>
      </c>
      <c r="J16" s="1" t="s">
        <v>18</v>
      </c>
      <c r="K16" s="1">
        <v>4</v>
      </c>
      <c r="L16" s="1">
        <v>27618803500.732723</v>
      </c>
      <c r="M16" s="1">
        <v>6904700875.1831808</v>
      </c>
      <c r="N16" s="1">
        <v>3168.6072024113919</v>
      </c>
      <c r="O16" s="1">
        <v>1.7282953913003769E-51</v>
      </c>
    </row>
    <row r="17" spans="2:18" x14ac:dyDescent="0.2">
      <c r="B17" s="6">
        <v>1972</v>
      </c>
      <c r="C17" s="5">
        <v>82153</v>
      </c>
      <c r="D17" s="4">
        <v>120.556</v>
      </c>
      <c r="E17" s="5">
        <v>1246800</v>
      </c>
      <c r="F17" s="5">
        <v>4882</v>
      </c>
      <c r="G17" s="4">
        <v>2449</v>
      </c>
      <c r="H17" s="7">
        <v>148592</v>
      </c>
      <c r="J17" s="1" t="s">
        <v>19</v>
      </c>
      <c r="K17" s="1">
        <v>42</v>
      </c>
      <c r="L17" s="1">
        <v>91522053.139624909</v>
      </c>
      <c r="M17" s="1">
        <v>2179096.5033244025</v>
      </c>
      <c r="N17" s="1"/>
      <c r="O17" s="1"/>
    </row>
    <row r="18" spans="2:18" ht="15.75" thickBot="1" x14ac:dyDescent="0.25">
      <c r="B18" s="6">
        <v>1973</v>
      </c>
      <c r="C18" s="5">
        <v>85064</v>
      </c>
      <c r="D18" s="4">
        <v>127.307</v>
      </c>
      <c r="E18" s="5">
        <v>1395300</v>
      </c>
      <c r="F18" s="5">
        <v>4365</v>
      </c>
      <c r="G18" s="4">
        <v>2327</v>
      </c>
      <c r="H18" s="7">
        <v>151476</v>
      </c>
      <c r="J18" s="2" t="s">
        <v>20</v>
      </c>
      <c r="K18" s="2">
        <v>46</v>
      </c>
      <c r="L18" s="2">
        <v>27710325553.872349</v>
      </c>
      <c r="M18" s="2"/>
      <c r="N18" s="2"/>
      <c r="O18" s="2"/>
    </row>
    <row r="19" spans="2:18" ht="15.75" thickBot="1" x14ac:dyDescent="0.25">
      <c r="B19" s="6">
        <v>1974</v>
      </c>
      <c r="C19" s="5">
        <v>86794</v>
      </c>
      <c r="D19" s="4">
        <v>138.82</v>
      </c>
      <c r="E19" s="5">
        <v>1515500</v>
      </c>
      <c r="F19" s="5">
        <v>5156</v>
      </c>
      <c r="G19" s="4">
        <v>2229</v>
      </c>
      <c r="H19" s="7">
        <v>154378</v>
      </c>
    </row>
    <row r="20" spans="2:18" x14ac:dyDescent="0.2">
      <c r="B20" s="6">
        <v>1975</v>
      </c>
      <c r="C20" s="5">
        <v>85846</v>
      </c>
      <c r="D20" s="4">
        <v>151.857</v>
      </c>
      <c r="E20" s="5">
        <v>1651300</v>
      </c>
      <c r="F20" s="5">
        <v>7929</v>
      </c>
      <c r="G20" s="4">
        <v>2180</v>
      </c>
      <c r="H20" s="7">
        <v>157344</v>
      </c>
      <c r="J20" s="3"/>
      <c r="K20" s="3" t="s">
        <v>27</v>
      </c>
      <c r="L20" s="3" t="s">
        <v>15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 t="s">
        <v>33</v>
      </c>
    </row>
    <row r="21" spans="2:18" x14ac:dyDescent="0.2">
      <c r="B21" s="6">
        <v>1976</v>
      </c>
      <c r="C21" s="5">
        <v>88752</v>
      </c>
      <c r="D21" s="4">
        <v>160.68</v>
      </c>
      <c r="E21" s="5">
        <v>1842100</v>
      </c>
      <c r="F21" s="5">
        <v>7406</v>
      </c>
      <c r="G21" s="4">
        <v>2144</v>
      </c>
      <c r="H21" s="7">
        <v>160319</v>
      </c>
      <c r="J21" s="1" t="s">
        <v>21</v>
      </c>
      <c r="K21" s="1">
        <v>-26168.508002953793</v>
      </c>
      <c r="L21" s="1">
        <v>4781.7241211861419</v>
      </c>
      <c r="M21" s="1">
        <v>-5.4726093224429899</v>
      </c>
      <c r="N21" s="1">
        <v>2.2687459995252677E-6</v>
      </c>
      <c r="O21" s="1">
        <v>-35818.417959845159</v>
      </c>
      <c r="P21" s="1">
        <v>-16518.598046062427</v>
      </c>
      <c r="Q21" s="1">
        <v>-35818.417959845159</v>
      </c>
      <c r="R21" s="1">
        <v>-16518.598046062427</v>
      </c>
    </row>
    <row r="22" spans="2:18" x14ac:dyDescent="0.2">
      <c r="B22" s="6">
        <v>1977</v>
      </c>
      <c r="C22" s="5">
        <v>92017</v>
      </c>
      <c r="D22" s="4">
        <v>170.88399999999999</v>
      </c>
      <c r="E22" s="5">
        <v>2051200</v>
      </c>
      <c r="F22" s="5">
        <v>6991</v>
      </c>
      <c r="G22" s="4">
        <v>2133</v>
      </c>
      <c r="H22" s="7">
        <v>163377</v>
      </c>
      <c r="J22" s="1" t="s">
        <v>3</v>
      </c>
      <c r="K22" s="1">
        <v>-2.3855244729337061E-4</v>
      </c>
      <c r="L22" s="1">
        <v>2.7974317419961382E-4</v>
      </c>
      <c r="M22" s="1">
        <v>-0.85275520296752227</v>
      </c>
      <c r="N22" s="1">
        <v>0.39863204776797589</v>
      </c>
      <c r="O22" s="1">
        <v>-8.0309702863396446E-4</v>
      </c>
      <c r="P22" s="1">
        <v>3.2599213404722329E-4</v>
      </c>
      <c r="Q22" s="1">
        <v>-8.0309702863396446E-4</v>
      </c>
      <c r="R22" s="1">
        <v>3.2599213404722329E-4</v>
      </c>
    </row>
    <row r="23" spans="2:18" x14ac:dyDescent="0.2">
      <c r="B23" s="6">
        <v>1978</v>
      </c>
      <c r="C23" s="5">
        <v>96048</v>
      </c>
      <c r="D23" s="4">
        <v>182.863</v>
      </c>
      <c r="E23" s="5">
        <v>2316300</v>
      </c>
      <c r="F23" s="5">
        <v>6202</v>
      </c>
      <c r="G23" s="4">
        <v>2117</v>
      </c>
      <c r="H23" s="7">
        <v>166422</v>
      </c>
      <c r="J23" s="1" t="s">
        <v>4</v>
      </c>
      <c r="K23" s="1">
        <v>-0.9146081300427209</v>
      </c>
      <c r="L23" s="1">
        <v>0.18601696074987972</v>
      </c>
      <c r="M23" s="1">
        <v>-4.916799663620524</v>
      </c>
      <c r="N23" s="1">
        <v>1.3941024155006089E-5</v>
      </c>
      <c r="O23" s="1">
        <v>-1.2900055549459502</v>
      </c>
      <c r="P23" s="1">
        <v>-0.53921070513949165</v>
      </c>
      <c r="Q23" s="1">
        <v>-1.2900055549459502</v>
      </c>
      <c r="R23" s="1">
        <v>-0.53921070513949165</v>
      </c>
    </row>
    <row r="24" spans="2:18" x14ac:dyDescent="0.2">
      <c r="B24" s="6">
        <v>1979</v>
      </c>
      <c r="C24" s="5">
        <v>98824</v>
      </c>
      <c r="D24" s="4">
        <v>198.077</v>
      </c>
      <c r="E24" s="5">
        <v>2595300</v>
      </c>
      <c r="F24" s="5">
        <v>6137</v>
      </c>
      <c r="G24" s="4">
        <v>2088</v>
      </c>
      <c r="H24" s="7">
        <v>169440</v>
      </c>
      <c r="J24" s="1" t="s">
        <v>5</v>
      </c>
      <c r="K24" s="1">
        <v>-0.71533747049909424</v>
      </c>
      <c r="L24" s="1">
        <v>0.79621132640368653</v>
      </c>
      <c r="M24" s="1">
        <v>-0.89842664475789125</v>
      </c>
      <c r="N24" s="1">
        <v>0.37407999641090717</v>
      </c>
      <c r="O24" s="1">
        <v>-2.3221569798911794</v>
      </c>
      <c r="P24" s="1">
        <v>0.89148203889299116</v>
      </c>
      <c r="Q24" s="1">
        <v>-2.3221569798911794</v>
      </c>
      <c r="R24" s="1">
        <v>0.89148203889299116</v>
      </c>
    </row>
    <row r="25" spans="2:18" ht="15.75" thickBot="1" x14ac:dyDescent="0.25">
      <c r="B25" s="6">
        <v>1980</v>
      </c>
      <c r="C25" s="5">
        <v>99303</v>
      </c>
      <c r="D25" s="4">
        <v>216.07300000000001</v>
      </c>
      <c r="E25" s="5">
        <v>2823700</v>
      </c>
      <c r="F25" s="5">
        <v>7637</v>
      </c>
      <c r="G25" s="4">
        <v>2102</v>
      </c>
      <c r="H25" s="7">
        <v>172437</v>
      </c>
      <c r="J25" s="2" t="s">
        <v>6</v>
      </c>
      <c r="K25" s="2">
        <v>0.78287858325241388</v>
      </c>
      <c r="L25" s="2">
        <v>3.3543049238558442E-2</v>
      </c>
      <c r="M25" s="2">
        <v>23.339517456644295</v>
      </c>
      <c r="N25" s="2">
        <v>1.1326199623484155E-25</v>
      </c>
      <c r="O25" s="2">
        <v>0.71518596932734091</v>
      </c>
      <c r="P25" s="2">
        <v>0.85057119717748686</v>
      </c>
      <c r="Q25" s="2">
        <v>0.71518596932734091</v>
      </c>
      <c r="R25" s="2">
        <v>0.85057119717748686</v>
      </c>
    </row>
    <row r="26" spans="2:18" x14ac:dyDescent="0.2">
      <c r="B26" s="6">
        <v>1981</v>
      </c>
      <c r="C26" s="5">
        <v>100397</v>
      </c>
      <c r="D26" s="4">
        <v>236.38499999999999</v>
      </c>
      <c r="E26" s="5">
        <v>3161400</v>
      </c>
      <c r="F26" s="5">
        <v>8273</v>
      </c>
      <c r="G26" s="4">
        <v>2142</v>
      </c>
      <c r="H26" s="7">
        <v>174929</v>
      </c>
    </row>
    <row r="27" spans="2:18" x14ac:dyDescent="0.2">
      <c r="B27" s="6">
        <v>1982</v>
      </c>
      <c r="C27" s="5">
        <v>99526</v>
      </c>
      <c r="D27" s="4">
        <v>250.798</v>
      </c>
      <c r="E27" s="5">
        <v>3291500</v>
      </c>
      <c r="F27" s="5">
        <v>10678</v>
      </c>
      <c r="G27" s="4">
        <v>2179</v>
      </c>
      <c r="H27" s="7">
        <v>177176</v>
      </c>
    </row>
    <row r="28" spans="2:18" x14ac:dyDescent="0.2">
      <c r="B28" s="6">
        <v>1983</v>
      </c>
      <c r="C28" s="5">
        <v>100834</v>
      </c>
      <c r="D28" s="4">
        <v>260.68</v>
      </c>
      <c r="E28" s="5">
        <v>3573800</v>
      </c>
      <c r="F28" s="5">
        <v>10717</v>
      </c>
      <c r="G28" s="4">
        <v>2199</v>
      </c>
      <c r="H28" s="7">
        <v>179234</v>
      </c>
      <c r="J28" t="s">
        <v>34</v>
      </c>
    </row>
    <row r="29" spans="2:18" ht="15.75" thickBot="1" x14ac:dyDescent="0.25">
      <c r="B29" s="6">
        <v>1984</v>
      </c>
      <c r="C29" s="5">
        <v>105005</v>
      </c>
      <c r="D29" s="4">
        <v>270.49599999999998</v>
      </c>
      <c r="E29" s="5">
        <v>3969500</v>
      </c>
      <c r="F29" s="5">
        <v>8539</v>
      </c>
      <c r="G29" s="4">
        <v>2219</v>
      </c>
      <c r="H29" s="7">
        <v>181192</v>
      </c>
    </row>
    <row r="30" spans="2:18" x14ac:dyDescent="0.2">
      <c r="B30" s="6">
        <v>1985</v>
      </c>
      <c r="C30" s="5">
        <v>107150</v>
      </c>
      <c r="D30" s="4">
        <v>278.75900000000001</v>
      </c>
      <c r="E30" s="5">
        <v>4246800</v>
      </c>
      <c r="F30" s="5">
        <v>8312</v>
      </c>
      <c r="G30" s="4">
        <v>2234</v>
      </c>
      <c r="H30" s="7">
        <v>183174</v>
      </c>
      <c r="J30" s="3" t="s">
        <v>37</v>
      </c>
      <c r="K30" s="3" t="s">
        <v>35</v>
      </c>
      <c r="L30" s="3" t="s">
        <v>36</v>
      </c>
    </row>
    <row r="31" spans="2:18" x14ac:dyDescent="0.2">
      <c r="B31" s="6">
        <v>1986</v>
      </c>
      <c r="C31" s="5">
        <v>109597</v>
      </c>
      <c r="D31" s="4">
        <v>284.89499999999998</v>
      </c>
      <c r="E31" s="5">
        <v>4480600</v>
      </c>
      <c r="F31" s="5">
        <v>8237</v>
      </c>
      <c r="G31" s="4">
        <v>2244</v>
      </c>
      <c r="H31" s="7">
        <v>185284</v>
      </c>
      <c r="J31" s="21">
        <v>64630</v>
      </c>
      <c r="K31" s="21">
        <v>62633.937748249329</v>
      </c>
      <c r="L31" s="21">
        <v>1996.0622517506708</v>
      </c>
    </row>
    <row r="32" spans="2:18" x14ac:dyDescent="0.2">
      <c r="B32" s="6">
        <v>1987</v>
      </c>
      <c r="C32" s="5">
        <v>112440</v>
      </c>
      <c r="D32" s="4">
        <v>292.69099999999997</v>
      </c>
      <c r="E32" s="5">
        <v>4757400</v>
      </c>
      <c r="F32" s="5">
        <v>7425</v>
      </c>
      <c r="G32" s="4">
        <v>2257</v>
      </c>
      <c r="H32" s="7">
        <v>187419</v>
      </c>
      <c r="J32" s="21">
        <v>65778</v>
      </c>
      <c r="K32" s="21">
        <v>63766.544627586176</v>
      </c>
      <c r="L32" s="21">
        <v>2011.4553724138241</v>
      </c>
    </row>
    <row r="33" spans="2:12" x14ac:dyDescent="0.2">
      <c r="B33" s="6">
        <v>1988</v>
      </c>
      <c r="C33" s="5">
        <v>114968</v>
      </c>
      <c r="D33" s="4">
        <v>302.68</v>
      </c>
      <c r="E33" s="5">
        <v>5127400</v>
      </c>
      <c r="F33" s="5">
        <v>6701</v>
      </c>
      <c r="G33" s="4">
        <v>2224</v>
      </c>
      <c r="H33" s="7">
        <v>189233</v>
      </c>
      <c r="J33" s="21">
        <v>65746</v>
      </c>
      <c r="K33" s="21">
        <v>64159.040196505317</v>
      </c>
      <c r="L33" s="21">
        <v>1586.959803494683</v>
      </c>
    </row>
    <row r="34" spans="2:12" x14ac:dyDescent="0.2">
      <c r="B34" s="6">
        <v>1989</v>
      </c>
      <c r="C34" s="5">
        <v>117342</v>
      </c>
      <c r="D34" s="4">
        <v>314.17899999999997</v>
      </c>
      <c r="E34" s="5">
        <v>5510600</v>
      </c>
      <c r="F34" s="5">
        <v>6528</v>
      </c>
      <c r="G34" s="4">
        <v>2208</v>
      </c>
      <c r="H34" s="7">
        <v>190862</v>
      </c>
      <c r="J34" s="21">
        <v>66702</v>
      </c>
      <c r="K34" s="21">
        <v>65844.877612408687</v>
      </c>
      <c r="L34" s="21">
        <v>857.12238759131287</v>
      </c>
    </row>
    <row r="35" spans="2:12" x14ac:dyDescent="0.2">
      <c r="B35" s="6">
        <v>1990</v>
      </c>
      <c r="C35" s="5">
        <v>118793</v>
      </c>
      <c r="D35" s="4">
        <v>326.35700000000003</v>
      </c>
      <c r="E35" s="5">
        <v>5837900</v>
      </c>
      <c r="F35" s="5">
        <v>7047</v>
      </c>
      <c r="G35" s="4">
        <v>2167</v>
      </c>
      <c r="H35" s="7">
        <v>192644</v>
      </c>
      <c r="J35" s="21">
        <v>67762</v>
      </c>
      <c r="K35" s="21">
        <v>67642.819723178109</v>
      </c>
      <c r="L35" s="21">
        <v>119.18027682189131</v>
      </c>
    </row>
    <row r="36" spans="2:12" x14ac:dyDescent="0.2">
      <c r="B36" s="6">
        <v>1991</v>
      </c>
      <c r="C36" s="5">
        <v>117718</v>
      </c>
      <c r="D36" s="4">
        <v>337.74700000000001</v>
      </c>
      <c r="E36" s="5">
        <v>6026300</v>
      </c>
      <c r="F36" s="5">
        <v>8628</v>
      </c>
      <c r="G36" s="4">
        <v>2118</v>
      </c>
      <c r="H36" s="7">
        <v>194936</v>
      </c>
      <c r="J36" s="21">
        <v>69305</v>
      </c>
      <c r="K36" s="21">
        <v>69576.34570607249</v>
      </c>
      <c r="L36" s="21">
        <v>-271.34570607249043</v>
      </c>
    </row>
    <row r="37" spans="2:12" x14ac:dyDescent="0.2">
      <c r="B37" s="6">
        <v>1992</v>
      </c>
      <c r="C37" s="5">
        <v>118492</v>
      </c>
      <c r="D37" s="4">
        <v>345.47699999999998</v>
      </c>
      <c r="E37" s="5">
        <v>6367400</v>
      </c>
      <c r="F37" s="5">
        <v>9613</v>
      </c>
      <c r="G37" s="4">
        <v>1966</v>
      </c>
      <c r="H37" s="7">
        <v>197205</v>
      </c>
      <c r="J37" s="21">
        <v>71088</v>
      </c>
      <c r="K37" s="21">
        <v>71613.596763410344</v>
      </c>
      <c r="L37" s="21">
        <v>-525.59676341034356</v>
      </c>
    </row>
    <row r="38" spans="2:12" x14ac:dyDescent="0.2">
      <c r="B38" s="6">
        <v>1993</v>
      </c>
      <c r="C38" s="5">
        <v>120259</v>
      </c>
      <c r="D38" s="4">
        <v>353.51600000000002</v>
      </c>
      <c r="E38" s="5">
        <v>6689300</v>
      </c>
      <c r="F38" s="5">
        <v>8940</v>
      </c>
      <c r="G38" s="4">
        <v>1760</v>
      </c>
      <c r="H38" s="7">
        <v>199622</v>
      </c>
      <c r="J38" s="21">
        <v>72895</v>
      </c>
      <c r="K38" s="21">
        <v>73410.56911903093</v>
      </c>
      <c r="L38" s="21">
        <v>-515.56911903092987</v>
      </c>
    </row>
    <row r="39" spans="2:12" x14ac:dyDescent="0.2">
      <c r="B39" s="6">
        <v>1994</v>
      </c>
      <c r="C39" s="5">
        <v>123060</v>
      </c>
      <c r="D39" s="4">
        <v>361.02600000000001</v>
      </c>
      <c r="E39" s="5">
        <v>7098400</v>
      </c>
      <c r="F39" s="5">
        <v>7996</v>
      </c>
      <c r="G39" s="4">
        <v>1673</v>
      </c>
      <c r="H39" s="7">
        <v>201970</v>
      </c>
      <c r="J39" s="21">
        <v>74372</v>
      </c>
      <c r="K39" s="21">
        <v>74842.686792916706</v>
      </c>
      <c r="L39" s="21">
        <v>-470.6867929167056</v>
      </c>
    </row>
    <row r="40" spans="2:12" x14ac:dyDescent="0.2">
      <c r="B40" s="6">
        <v>1995</v>
      </c>
      <c r="C40" s="5">
        <v>124900</v>
      </c>
      <c r="D40" s="4">
        <v>368.44400000000002</v>
      </c>
      <c r="E40" s="5">
        <v>7433400</v>
      </c>
      <c r="F40" s="5">
        <v>7404</v>
      </c>
      <c r="G40" s="4">
        <v>1579</v>
      </c>
      <c r="H40" s="7">
        <v>204420</v>
      </c>
      <c r="J40" s="21">
        <v>75920</v>
      </c>
      <c r="K40" s="21">
        <v>76678.90176610538</v>
      </c>
      <c r="L40" s="21">
        <v>-758.90176610538037</v>
      </c>
    </row>
    <row r="41" spans="2:12" x14ac:dyDescent="0.2">
      <c r="B41" s="6">
        <v>1996</v>
      </c>
      <c r="C41" s="5">
        <v>126708</v>
      </c>
      <c r="D41" s="4">
        <v>375.42899999999997</v>
      </c>
      <c r="E41" s="5">
        <v>7851900</v>
      </c>
      <c r="F41" s="5">
        <v>7236</v>
      </c>
      <c r="G41" s="4">
        <v>1502</v>
      </c>
      <c r="H41" s="7">
        <v>207087</v>
      </c>
      <c r="J41" s="21">
        <v>77902</v>
      </c>
      <c r="K41" s="21">
        <v>78460.923373879166</v>
      </c>
      <c r="L41" s="21">
        <v>-558.92337387916632</v>
      </c>
    </row>
    <row r="42" spans="2:12" x14ac:dyDescent="0.2">
      <c r="B42" s="6">
        <v>1997</v>
      </c>
      <c r="C42" s="5">
        <v>129558</v>
      </c>
      <c r="D42" s="4">
        <v>381.66300000000001</v>
      </c>
      <c r="E42" s="5">
        <v>8337300</v>
      </c>
      <c r="F42" s="5">
        <v>6739</v>
      </c>
      <c r="G42" s="4">
        <v>1457</v>
      </c>
      <c r="H42" s="7">
        <v>209846</v>
      </c>
      <c r="J42" s="21">
        <v>78678</v>
      </c>
      <c r="K42" s="21">
        <v>79564.68051857625</v>
      </c>
      <c r="L42" s="21">
        <v>-886.6805185762496</v>
      </c>
    </row>
    <row r="43" spans="2:12" x14ac:dyDescent="0.2">
      <c r="B43" s="6">
        <v>1998</v>
      </c>
      <c r="C43" s="5">
        <v>131463</v>
      </c>
      <c r="D43" s="4">
        <v>385.88099999999997</v>
      </c>
      <c r="E43" s="5">
        <v>8768300</v>
      </c>
      <c r="F43" s="5">
        <v>6210</v>
      </c>
      <c r="G43" s="4">
        <v>1423</v>
      </c>
      <c r="H43" s="7">
        <v>212638</v>
      </c>
      <c r="J43" s="21">
        <v>79367</v>
      </c>
      <c r="K43" s="21">
        <v>81122.794119249185</v>
      </c>
      <c r="L43" s="21">
        <v>-1755.7941192491853</v>
      </c>
    </row>
    <row r="44" spans="2:12" x14ac:dyDescent="0.2">
      <c r="B44" s="6">
        <v>1999</v>
      </c>
      <c r="C44" s="5">
        <v>133488</v>
      </c>
      <c r="D44" s="4">
        <v>391.452</v>
      </c>
      <c r="E44" s="5">
        <v>9302200</v>
      </c>
      <c r="F44" s="5">
        <v>5880</v>
      </c>
      <c r="G44" s="4">
        <v>1380</v>
      </c>
      <c r="H44" s="7">
        <v>215404</v>
      </c>
      <c r="J44" s="21">
        <v>82153</v>
      </c>
      <c r="K44" s="21">
        <v>83646.580892282669</v>
      </c>
      <c r="L44" s="21">
        <v>-1493.5808922826691</v>
      </c>
    </row>
    <row r="45" spans="2:12" x14ac:dyDescent="0.2">
      <c r="B45" s="6">
        <v>2000</v>
      </c>
      <c r="C45" s="5">
        <v>136891</v>
      </c>
      <c r="D45" s="4">
        <v>399.98599999999999</v>
      </c>
      <c r="E45" s="5">
        <v>9855900</v>
      </c>
      <c r="F45" s="5">
        <v>5692</v>
      </c>
      <c r="G45" s="4">
        <v>1405</v>
      </c>
      <c r="H45" s="7">
        <v>218061</v>
      </c>
      <c r="J45" s="21">
        <v>85064</v>
      </c>
      <c r="K45" s="21">
        <v>86429.101262592536</v>
      </c>
      <c r="L45" s="21">
        <v>-1365.1012625925359</v>
      </c>
    </row>
    <row r="46" spans="2:12" x14ac:dyDescent="0.2">
      <c r="B46" s="6">
        <v>2001</v>
      </c>
      <c r="C46" s="5">
        <v>136933</v>
      </c>
      <c r="D46" s="4">
        <v>409.58199999999999</v>
      </c>
      <c r="E46" s="5">
        <v>10171600</v>
      </c>
      <c r="F46" s="5">
        <v>6801</v>
      </c>
      <c r="G46" s="4">
        <v>1412</v>
      </c>
      <c r="H46" s="7">
        <v>220800</v>
      </c>
      <c r="J46" s="21">
        <v>86794</v>
      </c>
      <c r="K46" s="21">
        <v>88018.988948271493</v>
      </c>
      <c r="L46" s="21">
        <v>-1224.9889482714934</v>
      </c>
    </row>
    <row r="47" spans="2:12" x14ac:dyDescent="0.2">
      <c r="B47" s="6">
        <v>2002</v>
      </c>
      <c r="C47" s="5">
        <v>136485</v>
      </c>
      <c r="D47" s="4">
        <v>416.70400000000001</v>
      </c>
      <c r="E47" s="5">
        <v>10500200</v>
      </c>
      <c r="F47" s="5">
        <v>8378</v>
      </c>
      <c r="G47" s="4">
        <v>1425</v>
      </c>
      <c r="H47" s="7">
        <v>223532</v>
      </c>
      <c r="J47" s="21">
        <v>85846</v>
      </c>
      <c r="K47" s="21">
        <v>87807.454595301708</v>
      </c>
      <c r="L47" s="21">
        <v>-1961.4545953017077</v>
      </c>
    </row>
    <row r="48" spans="2:12" x14ac:dyDescent="0.2">
      <c r="B48" s="6">
        <v>2003</v>
      </c>
      <c r="C48" s="5">
        <v>137736</v>
      </c>
      <c r="D48" s="4">
        <v>425.553</v>
      </c>
      <c r="E48" s="5">
        <v>11017600</v>
      </c>
      <c r="F48" s="5">
        <v>8774</v>
      </c>
      <c r="G48" s="4">
        <v>1423</v>
      </c>
      <c r="H48" s="7">
        <v>226223</v>
      </c>
      <c r="J48" s="21">
        <v>88752</v>
      </c>
      <c r="K48" s="21">
        <v>90595.094774484372</v>
      </c>
      <c r="L48" s="21">
        <v>-1843.0947744843725</v>
      </c>
    </row>
    <row r="49" spans="2:12" x14ac:dyDescent="0.2">
      <c r="B49" s="6">
        <v>2004</v>
      </c>
      <c r="C49" s="5">
        <v>139252</v>
      </c>
      <c r="D49" s="4">
        <v>437.79500000000002</v>
      </c>
      <c r="E49" s="5">
        <v>11762100</v>
      </c>
      <c r="F49" s="5">
        <v>8149</v>
      </c>
      <c r="G49" s="4">
        <v>1411</v>
      </c>
      <c r="H49" s="7">
        <v>228892</v>
      </c>
      <c r="J49" s="21">
        <v>92017</v>
      </c>
      <c r="K49" s="21">
        <v>93326.687251484429</v>
      </c>
      <c r="L49" s="21">
        <v>-1309.687251484429</v>
      </c>
    </row>
    <row r="50" spans="2:12" ht="15.75" thickBot="1" x14ac:dyDescent="0.25">
      <c r="B50" s="8">
        <v>2005</v>
      </c>
      <c r="C50" s="9">
        <v>141730</v>
      </c>
      <c r="D50" s="10">
        <v>451.94600000000003</v>
      </c>
      <c r="E50" s="9">
        <v>12502400</v>
      </c>
      <c r="F50" s="9">
        <v>7591</v>
      </c>
      <c r="G50" s="10">
        <v>1378</v>
      </c>
      <c r="H50" s="11">
        <v>231552</v>
      </c>
      <c r="J50" s="21">
        <v>96048</v>
      </c>
      <c r="K50" s="21">
        <v>96380.383497842267</v>
      </c>
      <c r="L50" s="21">
        <v>-332.38349784226739</v>
      </c>
    </row>
    <row r="51" spans="2:12" x14ac:dyDescent="0.2">
      <c r="J51" s="21">
        <v>98824</v>
      </c>
      <c r="K51" s="21">
        <v>98756.74924440046</v>
      </c>
      <c r="L51" s="21">
        <v>67.250755599539843</v>
      </c>
    </row>
    <row r="52" spans="2:12" x14ac:dyDescent="0.2">
      <c r="J52" s="21">
        <v>99303</v>
      </c>
      <c r="K52" s="21">
        <v>99666.624059795067</v>
      </c>
      <c r="L52" s="21">
        <v>-363.6240597950673</v>
      </c>
    </row>
    <row r="53" spans="2:12" x14ac:dyDescent="0.2">
      <c r="J53" s="21">
        <v>100397</v>
      </c>
      <c r="K53" s="21">
        <v>100926.69405828195</v>
      </c>
      <c r="L53" s="21">
        <v>-529.69405828195158</v>
      </c>
    </row>
    <row r="54" spans="2:12" x14ac:dyDescent="0.2">
      <c r="J54" s="21">
        <v>99526</v>
      </c>
      <c r="K54" s="21">
        <v>100428.68652229608</v>
      </c>
      <c r="L54" s="21">
        <v>-902.68652229607687</v>
      </c>
    </row>
    <row r="55" spans="2:12" x14ac:dyDescent="0.2">
      <c r="J55" s="21">
        <v>100834</v>
      </c>
      <c r="K55" s="21">
        <v>101922.53082427697</v>
      </c>
      <c r="L55" s="21">
        <v>-1088.5308242769679</v>
      </c>
    </row>
    <row r="56" spans="2:12" x14ac:dyDescent="0.2">
      <c r="J56" s="21">
        <v>105005</v>
      </c>
      <c r="K56" s="21">
        <v>105338.72164471427</v>
      </c>
      <c r="L56" s="21">
        <v>-333.72164471427095</v>
      </c>
    </row>
    <row r="57" spans="2:12" x14ac:dyDescent="0.2">
      <c r="J57" s="21">
        <v>107150</v>
      </c>
      <c r="K57" s="21">
        <v>107021.12238654832</v>
      </c>
      <c r="L57" s="21">
        <v>128.8776134516811</v>
      </c>
    </row>
    <row r="58" spans="2:12" x14ac:dyDescent="0.2">
      <c r="J58" s="21">
        <v>109597</v>
      </c>
      <c r="K58" s="21">
        <v>108678.66487008191</v>
      </c>
      <c r="L58" s="21">
        <v>918.33512991809403</v>
      </c>
    </row>
    <row r="59" spans="2:12" x14ac:dyDescent="0.2">
      <c r="J59" s="21">
        <v>112440</v>
      </c>
      <c r="K59" s="21">
        <v>111017.44174239323</v>
      </c>
      <c r="L59" s="21">
        <v>1422.5582576067682</v>
      </c>
    </row>
    <row r="60" spans="2:12" x14ac:dyDescent="0.2">
      <c r="J60" s="21">
        <v>114968</v>
      </c>
      <c r="K60" s="21">
        <v>113035.10150959197</v>
      </c>
      <c r="L60" s="21">
        <v>1932.898490408028</v>
      </c>
    </row>
    <row r="61" spans="2:12" x14ac:dyDescent="0.2">
      <c r="J61" s="21">
        <v>117342</v>
      </c>
      <c r="K61" s="21">
        <v>114388.67002993271</v>
      </c>
      <c r="L61" s="21">
        <v>2953.3299700672942</v>
      </c>
    </row>
    <row r="62" spans="2:12" x14ac:dyDescent="0.2">
      <c r="J62" s="21">
        <v>118793</v>
      </c>
      <c r="K62" s="21">
        <v>115260.32866608765</v>
      </c>
      <c r="L62" s="21">
        <v>3532.6713339123526</v>
      </c>
    </row>
    <row r="63" spans="2:12" x14ac:dyDescent="0.2">
      <c r="J63" s="21">
        <v>117718</v>
      </c>
      <c r="K63" s="21">
        <v>115598.79918028906</v>
      </c>
      <c r="L63" s="21">
        <v>2119.200819710939</v>
      </c>
    </row>
    <row r="64" spans="2:12" x14ac:dyDescent="0.2">
      <c r="J64" s="21">
        <v>118492</v>
      </c>
      <c r="K64" s="21">
        <v>116501.62273334077</v>
      </c>
      <c r="L64" s="21">
        <v>1990.3772666592267</v>
      </c>
    </row>
    <row r="65" spans="10:12" x14ac:dyDescent="0.2">
      <c r="J65" s="21">
        <v>120259</v>
      </c>
      <c r="K65" s="21">
        <v>119079.94102671969</v>
      </c>
      <c r="L65" s="21">
        <v>1179.0589732803055</v>
      </c>
    </row>
    <row r="66" spans="10:12" x14ac:dyDescent="0.2">
      <c r="J66" s="21">
        <v>123060</v>
      </c>
      <c r="K66" s="21">
        <v>121746.17256870242</v>
      </c>
      <c r="L66" s="21">
        <v>1313.8274312975846</v>
      </c>
    </row>
    <row r="67" spans="10:12" x14ac:dyDescent="0.2">
      <c r="J67" s="21">
        <v>124900</v>
      </c>
      <c r="K67" s="21">
        <v>124192.99976303974</v>
      </c>
      <c r="L67" s="21">
        <v>707.00023696025892</v>
      </c>
    </row>
    <row r="68" spans="10:12" x14ac:dyDescent="0.2">
      <c r="J68" s="21">
        <v>126708</v>
      </c>
      <c r="K68" s="21">
        <v>126389.83789645726</v>
      </c>
      <c r="L68" s="21">
        <v>318.1621035427379</v>
      </c>
    </row>
    <row r="69" spans="10:12" x14ac:dyDescent="0.2">
      <c r="J69" s="21">
        <v>129558</v>
      </c>
      <c r="K69" s="21">
        <v>128920.75697653816</v>
      </c>
      <c r="L69" s="21">
        <v>637.24302346183686</v>
      </c>
    </row>
    <row r="70" spans="10:12" x14ac:dyDescent="0.2">
      <c r="J70" s="21">
        <v>131463</v>
      </c>
      <c r="K70" s="21">
        <v>131511.88705098504</v>
      </c>
      <c r="L70" s="21">
        <v>-48.887050985038513</v>
      </c>
    </row>
    <row r="71" spans="10:12" x14ac:dyDescent="0.2">
      <c r="J71" s="21">
        <v>133488</v>
      </c>
      <c r="K71" s="21">
        <v>133882.54625479682</v>
      </c>
      <c r="L71" s="21">
        <v>-394.54625479681999</v>
      </c>
    </row>
    <row r="72" spans="10:12" x14ac:dyDescent="0.2">
      <c r="J72" s="21">
        <v>136891</v>
      </c>
      <c r="K72" s="21">
        <v>135984.63105211771</v>
      </c>
      <c r="L72" s="21">
        <v>906.36894788229256</v>
      </c>
    </row>
    <row r="73" spans="10:12" x14ac:dyDescent="0.2">
      <c r="J73" s="21">
        <v>136933</v>
      </c>
      <c r="K73" s="21">
        <v>137034.31670552469</v>
      </c>
      <c r="L73" s="21">
        <v>-101.31670552468859</v>
      </c>
    </row>
    <row r="74" spans="10:12" x14ac:dyDescent="0.2">
      <c r="J74" s="21">
        <v>136485</v>
      </c>
      <c r="K74" s="21">
        <v>137643.11625259579</v>
      </c>
      <c r="L74" s="21">
        <v>-1158.1162525957916</v>
      </c>
    </row>
    <row r="75" spans="10:12" x14ac:dyDescent="0.2">
      <c r="J75" s="21">
        <v>137736</v>
      </c>
      <c r="K75" s="21">
        <v>139265.66133934254</v>
      </c>
      <c r="L75" s="21">
        <v>-1529.6613393425359</v>
      </c>
    </row>
    <row r="76" spans="10:12" x14ac:dyDescent="0.2">
      <c r="J76" s="21">
        <v>139252</v>
      </c>
      <c r="K76" s="21">
        <v>141757.77611195599</v>
      </c>
      <c r="L76" s="21">
        <v>-2505.7761119559873</v>
      </c>
    </row>
    <row r="77" spans="10:12" ht="15.75" thickBot="1" x14ac:dyDescent="0.25">
      <c r="J77" s="22">
        <v>141730</v>
      </c>
      <c r="K77" s="22">
        <v>144197.59023976646</v>
      </c>
      <c r="L77" s="22">
        <v>-2467.5902397664613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522-5ED3-4A14-A5B7-89BFF1DC05FC}">
  <dimension ref="B1:Q77"/>
  <sheetViews>
    <sheetView workbookViewId="0">
      <selection activeCell="I26" sqref="I26"/>
    </sheetView>
  </sheetViews>
  <sheetFormatPr defaultRowHeight="15" x14ac:dyDescent="0.2"/>
  <cols>
    <col min="2" max="2" width="10.89453125" bestFit="1" customWidth="1"/>
    <col min="3" max="4" width="7.93359375" bestFit="1" customWidth="1"/>
    <col min="5" max="5" width="6.45703125" bestFit="1" customWidth="1"/>
    <col min="6" max="6" width="4.9765625" bestFit="1" customWidth="1"/>
    <col min="7" max="7" width="7.93359375" bestFit="1" customWidth="1"/>
    <col min="9" max="9" width="17.484375" bestFit="1" customWidth="1"/>
    <col min="10" max="10" width="12.64453125" bestFit="1" customWidth="1"/>
    <col min="11" max="11" width="13.44921875" bestFit="1" customWidth="1"/>
    <col min="12" max="12" width="12.64453125" bestFit="1" customWidth="1"/>
    <col min="13" max="13" width="11.97265625" bestFit="1" customWidth="1"/>
    <col min="14" max="17" width="12.64453125" bestFit="1" customWidth="1"/>
  </cols>
  <sheetData>
    <row r="1" spans="2:14" ht="15.75" thickBot="1" x14ac:dyDescent="0.25"/>
    <row r="2" spans="2:14" ht="15.75" thickBot="1" x14ac:dyDescent="0.25">
      <c r="B2" s="16" t="s">
        <v>0</v>
      </c>
      <c r="C2" s="17" t="s">
        <v>1</v>
      </c>
      <c r="D2" s="17" t="s">
        <v>2</v>
      </c>
      <c r="E2" s="17" t="s">
        <v>4</v>
      </c>
      <c r="F2" s="17" t="s">
        <v>5</v>
      </c>
      <c r="G2" s="18" t="s">
        <v>6</v>
      </c>
      <c r="I2" s="19" t="s">
        <v>39</v>
      </c>
    </row>
    <row r="3" spans="2:14" x14ac:dyDescent="0.2">
      <c r="B3" s="12">
        <v>1959</v>
      </c>
      <c r="C3" s="13">
        <v>64630</v>
      </c>
      <c r="D3" s="14">
        <v>82.908000000000001</v>
      </c>
      <c r="E3" s="13">
        <v>3740</v>
      </c>
      <c r="F3" s="14">
        <v>2552</v>
      </c>
      <c r="G3" s="15">
        <v>120287</v>
      </c>
    </row>
    <row r="4" spans="2:14" x14ac:dyDescent="0.2">
      <c r="B4" s="6">
        <v>1960</v>
      </c>
      <c r="C4" s="5">
        <v>65778</v>
      </c>
      <c r="D4" s="4">
        <v>84.073999999999998</v>
      </c>
      <c r="E4" s="5">
        <v>3852</v>
      </c>
      <c r="F4" s="4">
        <v>2514</v>
      </c>
      <c r="G4" s="7">
        <v>121836</v>
      </c>
      <c r="I4" t="s">
        <v>10</v>
      </c>
    </row>
    <row r="5" spans="2:14" ht="15.75" thickBot="1" x14ac:dyDescent="0.25">
      <c r="B5" s="6">
        <v>1961</v>
      </c>
      <c r="C5" s="5">
        <v>65746</v>
      </c>
      <c r="D5" s="4">
        <v>85.015000000000001</v>
      </c>
      <c r="E5" s="5">
        <v>4714</v>
      </c>
      <c r="F5" s="4">
        <v>2573</v>
      </c>
      <c r="G5" s="7">
        <v>123404</v>
      </c>
    </row>
    <row r="6" spans="2:14" x14ac:dyDescent="0.2">
      <c r="B6" s="6">
        <v>1962</v>
      </c>
      <c r="C6" s="5">
        <v>66702</v>
      </c>
      <c r="D6" s="4">
        <v>86.186000000000007</v>
      </c>
      <c r="E6" s="5">
        <v>3911</v>
      </c>
      <c r="F6" s="4">
        <v>2827</v>
      </c>
      <c r="G6" s="7">
        <v>124864</v>
      </c>
      <c r="I6" s="20" t="s">
        <v>11</v>
      </c>
      <c r="J6" s="20"/>
    </row>
    <row r="7" spans="2:14" x14ac:dyDescent="0.2">
      <c r="B7" s="6">
        <v>1963</v>
      </c>
      <c r="C7" s="5">
        <v>67762</v>
      </c>
      <c r="D7" s="4">
        <v>87.102999999999994</v>
      </c>
      <c r="E7" s="5">
        <v>4070</v>
      </c>
      <c r="F7" s="4">
        <v>2737</v>
      </c>
      <c r="G7" s="7">
        <v>127274</v>
      </c>
      <c r="I7" s="1" t="s">
        <v>12</v>
      </c>
      <c r="J7" s="1">
        <v>0.9990082439407415</v>
      </c>
    </row>
    <row r="8" spans="2:14" x14ac:dyDescent="0.2">
      <c r="B8" s="6">
        <v>1964</v>
      </c>
      <c r="C8" s="5">
        <v>69305</v>
      </c>
      <c r="D8" s="4">
        <v>88.438000000000002</v>
      </c>
      <c r="E8" s="5">
        <v>3786</v>
      </c>
      <c r="F8" s="4">
        <v>2738</v>
      </c>
      <c r="G8" s="7">
        <v>129427</v>
      </c>
      <c r="I8" s="1" t="s">
        <v>13</v>
      </c>
      <c r="J8" s="1">
        <v>0.99801747146156417</v>
      </c>
    </row>
    <row r="9" spans="2:14" x14ac:dyDescent="0.2">
      <c r="B9" s="6">
        <v>1965</v>
      </c>
      <c r="C9" s="5">
        <v>71088</v>
      </c>
      <c r="D9" s="4">
        <v>90.055000000000007</v>
      </c>
      <c r="E9" s="5">
        <v>3366</v>
      </c>
      <c r="F9" s="4">
        <v>2722</v>
      </c>
      <c r="G9" s="7">
        <v>131541</v>
      </c>
      <c r="I9" s="1" t="s">
        <v>14</v>
      </c>
      <c r="J9" s="1">
        <v>0.99782865921980834</v>
      </c>
    </row>
    <row r="10" spans="2:14" x14ac:dyDescent="0.2">
      <c r="B10" s="6">
        <v>1966</v>
      </c>
      <c r="C10" s="5">
        <v>72895</v>
      </c>
      <c r="D10" s="4">
        <v>92.623999999999995</v>
      </c>
      <c r="E10" s="5">
        <v>2875</v>
      </c>
      <c r="F10" s="4">
        <v>3123</v>
      </c>
      <c r="G10" s="7">
        <v>133650</v>
      </c>
      <c r="I10" s="1" t="s">
        <v>15</v>
      </c>
      <c r="J10" s="1">
        <v>1143.6835978111881</v>
      </c>
    </row>
    <row r="11" spans="2:14" ht="15.75" thickBot="1" x14ac:dyDescent="0.25">
      <c r="B11" s="6">
        <v>1967</v>
      </c>
      <c r="C11" s="5">
        <v>74372</v>
      </c>
      <c r="D11" s="4">
        <v>95.491</v>
      </c>
      <c r="E11" s="5">
        <v>2975</v>
      </c>
      <c r="F11" s="4">
        <v>3446</v>
      </c>
      <c r="G11" s="7">
        <v>135905</v>
      </c>
      <c r="I11" s="2" t="s">
        <v>16</v>
      </c>
      <c r="J11" s="2">
        <v>47</v>
      </c>
    </row>
    <row r="12" spans="2:14" x14ac:dyDescent="0.2">
      <c r="B12" s="6">
        <v>1968</v>
      </c>
      <c r="C12" s="5">
        <v>75920</v>
      </c>
      <c r="D12" s="4">
        <v>99.56</v>
      </c>
      <c r="E12" s="5">
        <v>2817</v>
      </c>
      <c r="F12" s="4">
        <v>3535</v>
      </c>
      <c r="G12" s="7">
        <v>138171</v>
      </c>
    </row>
    <row r="13" spans="2:14" ht="15.75" thickBot="1" x14ac:dyDescent="0.25">
      <c r="B13" s="6">
        <v>1969</v>
      </c>
      <c r="C13" s="5">
        <v>77902</v>
      </c>
      <c r="D13" s="4">
        <v>104.504</v>
      </c>
      <c r="E13" s="5">
        <v>2832</v>
      </c>
      <c r="F13" s="4">
        <v>3506</v>
      </c>
      <c r="G13" s="7">
        <v>140461</v>
      </c>
      <c r="I13" t="s">
        <v>17</v>
      </c>
    </row>
    <row r="14" spans="2:14" x14ac:dyDescent="0.2">
      <c r="B14" s="6">
        <v>1970</v>
      </c>
      <c r="C14" s="5">
        <v>78678</v>
      </c>
      <c r="D14" s="4">
        <v>110.04600000000001</v>
      </c>
      <c r="E14" s="5">
        <v>4093</v>
      </c>
      <c r="F14" s="4">
        <v>3188</v>
      </c>
      <c r="G14" s="7">
        <v>143070</v>
      </c>
      <c r="I14" s="3"/>
      <c r="J14" s="3" t="s">
        <v>22</v>
      </c>
      <c r="K14" s="3" t="s">
        <v>23</v>
      </c>
      <c r="L14" s="3" t="s">
        <v>24</v>
      </c>
      <c r="M14" s="3" t="s">
        <v>25</v>
      </c>
      <c r="N14" s="3" t="s">
        <v>26</v>
      </c>
    </row>
    <row r="15" spans="2:14" x14ac:dyDescent="0.2">
      <c r="B15" s="6">
        <v>1971</v>
      </c>
      <c r="C15" s="5">
        <v>79367</v>
      </c>
      <c r="D15" s="4">
        <v>115.54900000000001</v>
      </c>
      <c r="E15" s="5">
        <v>5016</v>
      </c>
      <c r="F15" s="4">
        <v>2816</v>
      </c>
      <c r="G15" s="7">
        <v>145826</v>
      </c>
      <c r="I15" s="1" t="s">
        <v>18</v>
      </c>
      <c r="J15" s="1">
        <v>4</v>
      </c>
      <c r="K15" s="1">
        <v>27655389042.652451</v>
      </c>
      <c r="L15" s="1">
        <v>6913847260.6631126</v>
      </c>
      <c r="M15" s="1">
        <v>5285.7667605705601</v>
      </c>
      <c r="N15" s="1">
        <v>3.8300852349303424E-56</v>
      </c>
    </row>
    <row r="16" spans="2:14" x14ac:dyDescent="0.2">
      <c r="B16" s="6">
        <v>1972</v>
      </c>
      <c r="C16" s="5">
        <v>82153</v>
      </c>
      <c r="D16" s="4">
        <v>120.556</v>
      </c>
      <c r="E16" s="5">
        <v>4882</v>
      </c>
      <c r="F16" s="4">
        <v>2449</v>
      </c>
      <c r="G16" s="7">
        <v>148592</v>
      </c>
      <c r="I16" s="1" t="s">
        <v>19</v>
      </c>
      <c r="J16" s="1">
        <v>42</v>
      </c>
      <c r="K16" s="1">
        <v>54936511.219898425</v>
      </c>
      <c r="L16" s="1">
        <v>1308012.1719023434</v>
      </c>
      <c r="M16" s="1"/>
      <c r="N16" s="1"/>
    </row>
    <row r="17" spans="2:17" ht="15.75" thickBot="1" x14ac:dyDescent="0.25">
      <c r="B17" s="6">
        <v>1973</v>
      </c>
      <c r="C17" s="5">
        <v>85064</v>
      </c>
      <c r="D17" s="4">
        <v>127.307</v>
      </c>
      <c r="E17" s="5">
        <v>4365</v>
      </c>
      <c r="F17" s="4">
        <v>2327</v>
      </c>
      <c r="G17" s="7">
        <v>151476</v>
      </c>
      <c r="I17" s="2" t="s">
        <v>20</v>
      </c>
      <c r="J17" s="2">
        <v>46</v>
      </c>
      <c r="K17" s="2">
        <v>27710325553.872349</v>
      </c>
      <c r="L17" s="2"/>
      <c r="M17" s="2"/>
      <c r="N17" s="2"/>
    </row>
    <row r="18" spans="2:17" ht="15.75" thickBot="1" x14ac:dyDescent="0.25">
      <c r="B18" s="6">
        <v>1974</v>
      </c>
      <c r="C18" s="5">
        <v>86794</v>
      </c>
      <c r="D18" s="4">
        <v>138.82</v>
      </c>
      <c r="E18" s="5">
        <v>5156</v>
      </c>
      <c r="F18" s="4">
        <v>2229</v>
      </c>
      <c r="G18" s="7">
        <v>154378</v>
      </c>
    </row>
    <row r="19" spans="2:17" x14ac:dyDescent="0.2">
      <c r="B19" s="6">
        <v>1975</v>
      </c>
      <c r="C19" s="5">
        <v>85846</v>
      </c>
      <c r="D19" s="4">
        <v>151.857</v>
      </c>
      <c r="E19" s="5">
        <v>7929</v>
      </c>
      <c r="F19" s="4">
        <v>2180</v>
      </c>
      <c r="G19" s="7">
        <v>157344</v>
      </c>
      <c r="I19" s="3"/>
      <c r="J19" s="3" t="s">
        <v>27</v>
      </c>
      <c r="K19" s="3" t="s">
        <v>15</v>
      </c>
      <c r="L19" s="3" t="s">
        <v>28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</row>
    <row r="20" spans="2:17" x14ac:dyDescent="0.2">
      <c r="B20" s="6">
        <v>1976</v>
      </c>
      <c r="C20" s="5">
        <v>88752</v>
      </c>
      <c r="D20" s="4">
        <v>160.68</v>
      </c>
      <c r="E20" s="5">
        <v>7406</v>
      </c>
      <c r="F20" s="4">
        <v>2144</v>
      </c>
      <c r="G20" s="7">
        <v>160319</v>
      </c>
      <c r="I20" s="1" t="s">
        <v>21</v>
      </c>
      <c r="J20" s="1">
        <v>-5627.4955826946825</v>
      </c>
      <c r="K20" s="1">
        <v>4490.9891405465278</v>
      </c>
      <c r="L20" s="1">
        <v>-1.2530637252910053</v>
      </c>
      <c r="M20" s="1">
        <v>0.21711399319812474</v>
      </c>
      <c r="N20" s="1">
        <v>-14690.678594787969</v>
      </c>
      <c r="O20" s="1">
        <v>3435.6874293986039</v>
      </c>
      <c r="P20" s="1">
        <v>-14690.678594787969</v>
      </c>
      <c r="Q20" s="1">
        <v>3435.6874293986039</v>
      </c>
    </row>
    <row r="21" spans="2:17" x14ac:dyDescent="0.2">
      <c r="B21" s="6">
        <v>1977</v>
      </c>
      <c r="C21" s="5">
        <v>92017</v>
      </c>
      <c r="D21" s="4">
        <v>170.88399999999999</v>
      </c>
      <c r="E21" s="5">
        <v>6991</v>
      </c>
      <c r="F21" s="4">
        <v>2133</v>
      </c>
      <c r="G21" s="7">
        <v>163377</v>
      </c>
      <c r="I21" s="1" t="s">
        <v>2</v>
      </c>
      <c r="J21" s="1">
        <v>49.713033325418102</v>
      </c>
      <c r="K21" s="1">
        <v>9.2026764432407351</v>
      </c>
      <c r="L21" s="1">
        <v>5.4020190356612812</v>
      </c>
      <c r="M21" s="1">
        <v>2.8615732217970834E-6</v>
      </c>
      <c r="N21" s="1">
        <v>31.141280378355638</v>
      </c>
      <c r="O21" s="1">
        <v>68.284786272480574</v>
      </c>
      <c r="P21" s="1">
        <v>31.141280378355638</v>
      </c>
      <c r="Q21" s="1">
        <v>68.284786272480574</v>
      </c>
    </row>
    <row r="22" spans="2:17" x14ac:dyDescent="0.2">
      <c r="B22" s="6">
        <v>1978</v>
      </c>
      <c r="C22" s="5">
        <v>96048</v>
      </c>
      <c r="D22" s="4">
        <v>182.863</v>
      </c>
      <c r="E22" s="5">
        <v>6202</v>
      </c>
      <c r="F22" s="4">
        <v>2117</v>
      </c>
      <c r="G22" s="7">
        <v>166422</v>
      </c>
      <c r="I22" s="1" t="s">
        <v>4</v>
      </c>
      <c r="J22" s="1">
        <v>-0.80629969722387473</v>
      </c>
      <c r="K22" s="1">
        <v>0.11203236935451223</v>
      </c>
      <c r="L22" s="1">
        <v>-7.1970244124038967</v>
      </c>
      <c r="M22" s="1">
        <v>7.6075388223946623E-9</v>
      </c>
      <c r="N22" s="1">
        <v>-1.0323901719416138</v>
      </c>
      <c r="O22" s="1">
        <v>-0.5802092225061356</v>
      </c>
      <c r="P22" s="1">
        <v>-1.0323901719416138</v>
      </c>
      <c r="Q22" s="1">
        <v>-0.5802092225061356</v>
      </c>
    </row>
    <row r="23" spans="2:17" x14ac:dyDescent="0.2">
      <c r="B23" s="6">
        <v>1979</v>
      </c>
      <c r="C23" s="5">
        <v>98824</v>
      </c>
      <c r="D23" s="4">
        <v>198.077</v>
      </c>
      <c r="E23" s="5">
        <v>6137</v>
      </c>
      <c r="F23" s="4">
        <v>2088</v>
      </c>
      <c r="G23" s="7">
        <v>169440</v>
      </c>
      <c r="I23" s="1" t="s">
        <v>5</v>
      </c>
      <c r="J23" s="1">
        <v>-0.16245432204045185</v>
      </c>
      <c r="K23" s="1">
        <v>0.59335968402938699</v>
      </c>
      <c r="L23" s="1">
        <v>-0.27378725992513853</v>
      </c>
      <c r="M23" s="1">
        <v>0.78559011545318447</v>
      </c>
      <c r="N23" s="1">
        <v>-1.3599026435702921</v>
      </c>
      <c r="O23" s="1">
        <v>1.0349939994893886</v>
      </c>
      <c r="P23" s="1">
        <v>-1.3599026435702921</v>
      </c>
      <c r="Q23" s="1">
        <v>1.0349939994893886</v>
      </c>
    </row>
    <row r="24" spans="2:17" ht="15.75" thickBot="1" x14ac:dyDescent="0.25">
      <c r="B24" s="6">
        <v>1980</v>
      </c>
      <c r="C24" s="5">
        <v>99303</v>
      </c>
      <c r="D24" s="4">
        <v>216.07300000000001</v>
      </c>
      <c r="E24" s="5">
        <v>7637</v>
      </c>
      <c r="F24" s="4">
        <v>2102</v>
      </c>
      <c r="G24" s="7">
        <v>172437</v>
      </c>
      <c r="I24" s="2" t="s">
        <v>6</v>
      </c>
      <c r="J24" s="2">
        <v>0.57924667367626193</v>
      </c>
      <c r="K24" s="2">
        <v>3.4615441096035378E-2</v>
      </c>
      <c r="L24" s="2">
        <v>16.73376549122192</v>
      </c>
      <c r="M24" s="2">
        <v>3.4620648004822595E-20</v>
      </c>
      <c r="N24" s="2">
        <v>0.50938988536536323</v>
      </c>
      <c r="O24" s="2">
        <v>0.64910346198716062</v>
      </c>
      <c r="P24" s="2">
        <v>0.50938988536536323</v>
      </c>
      <c r="Q24" s="2">
        <v>0.64910346198716062</v>
      </c>
    </row>
    <row r="25" spans="2:17" x14ac:dyDescent="0.2">
      <c r="B25" s="6">
        <v>1981</v>
      </c>
      <c r="C25" s="5">
        <v>100397</v>
      </c>
      <c r="D25" s="4">
        <v>236.38499999999999</v>
      </c>
      <c r="E25" s="5">
        <v>8273</v>
      </c>
      <c r="F25" s="4">
        <v>2142</v>
      </c>
      <c r="G25" s="7">
        <v>174929</v>
      </c>
    </row>
    <row r="26" spans="2:17" x14ac:dyDescent="0.2">
      <c r="B26" s="6">
        <v>1982</v>
      </c>
      <c r="C26" s="5">
        <v>99526</v>
      </c>
      <c r="D26" s="4">
        <v>250.798</v>
      </c>
      <c r="E26" s="5">
        <v>10678</v>
      </c>
      <c r="F26" s="4">
        <v>2179</v>
      </c>
      <c r="G26" s="7">
        <v>177176</v>
      </c>
      <c r="J26" t="s">
        <v>41</v>
      </c>
    </row>
    <row r="27" spans="2:17" x14ac:dyDescent="0.2">
      <c r="B27" s="6">
        <v>1983</v>
      </c>
      <c r="C27" s="5">
        <v>100834</v>
      </c>
      <c r="D27" s="4">
        <v>260.68</v>
      </c>
      <c r="E27" s="5">
        <v>10717</v>
      </c>
      <c r="F27" s="4">
        <v>2199</v>
      </c>
      <c r="G27" s="7">
        <v>179234</v>
      </c>
    </row>
    <row r="28" spans="2:17" x14ac:dyDescent="0.2">
      <c r="B28" s="6">
        <v>1984</v>
      </c>
      <c r="C28" s="5">
        <v>105005</v>
      </c>
      <c r="D28" s="4">
        <v>270.49599999999998</v>
      </c>
      <c r="E28" s="5">
        <v>8539</v>
      </c>
      <c r="F28" s="4">
        <v>2219</v>
      </c>
      <c r="G28" s="7">
        <v>181192</v>
      </c>
      <c r="I28" t="s">
        <v>34</v>
      </c>
    </row>
    <row r="29" spans="2:17" ht="15.75" thickBot="1" x14ac:dyDescent="0.25">
      <c r="B29" s="6">
        <v>1985</v>
      </c>
      <c r="C29" s="5">
        <v>107150</v>
      </c>
      <c r="D29" s="4">
        <v>278.75900000000001</v>
      </c>
      <c r="E29" s="5">
        <v>8312</v>
      </c>
      <c r="F29" s="4">
        <v>2234</v>
      </c>
      <c r="G29" s="7">
        <v>183174</v>
      </c>
    </row>
    <row r="30" spans="2:17" x14ac:dyDescent="0.2">
      <c r="B30" s="6">
        <v>1986</v>
      </c>
      <c r="C30" s="5">
        <v>109597</v>
      </c>
      <c r="D30" s="4">
        <v>284.89499999999998</v>
      </c>
      <c r="E30" s="5">
        <v>8237</v>
      </c>
      <c r="F30" s="4">
        <v>2244</v>
      </c>
      <c r="G30" s="7">
        <v>185284</v>
      </c>
      <c r="I30" s="3" t="s">
        <v>37</v>
      </c>
      <c r="J30" s="3" t="s">
        <v>35</v>
      </c>
      <c r="K30" s="3" t="s">
        <v>36</v>
      </c>
    </row>
    <row r="31" spans="2:17" x14ac:dyDescent="0.2">
      <c r="B31" s="6">
        <v>1987</v>
      </c>
      <c r="C31" s="5">
        <v>112440</v>
      </c>
      <c r="D31" s="4">
        <v>292.69099999999997</v>
      </c>
      <c r="E31" s="5">
        <v>7425</v>
      </c>
      <c r="F31" s="4">
        <v>2257</v>
      </c>
      <c r="G31" s="7">
        <v>187419</v>
      </c>
      <c r="I31" s="1">
        <v>64630</v>
      </c>
      <c r="J31" s="1">
        <v>64739.812923281075</v>
      </c>
      <c r="K31" s="1">
        <v>-109.8129232810752</v>
      </c>
    </row>
    <row r="32" spans="2:17" x14ac:dyDescent="0.2">
      <c r="B32" s="6">
        <v>1988</v>
      </c>
      <c r="C32" s="5">
        <v>114968</v>
      </c>
      <c r="D32" s="4">
        <v>302.68</v>
      </c>
      <c r="E32" s="5">
        <v>6701</v>
      </c>
      <c r="F32" s="4">
        <v>2224</v>
      </c>
      <c r="G32" s="7">
        <v>189233</v>
      </c>
      <c r="I32" s="1">
        <v>65778</v>
      </c>
      <c r="J32" s="1">
        <v>65610.89911581151</v>
      </c>
      <c r="K32" s="1">
        <v>167.10088418849045</v>
      </c>
    </row>
    <row r="33" spans="2:11" x14ac:dyDescent="0.2">
      <c r="B33" s="6">
        <v>1989</v>
      </c>
      <c r="C33" s="5">
        <v>117342</v>
      </c>
      <c r="D33" s="4">
        <v>314.17899999999997</v>
      </c>
      <c r="E33" s="5">
        <v>6528</v>
      </c>
      <c r="F33" s="4">
        <v>2208</v>
      </c>
      <c r="G33" s="7">
        <v>190862</v>
      </c>
      <c r="I33" s="1">
        <v>65746</v>
      </c>
      <c r="J33" s="1">
        <v>65861.322720487748</v>
      </c>
      <c r="K33" s="1">
        <v>-115.32272048774757</v>
      </c>
    </row>
    <row r="34" spans="2:11" x14ac:dyDescent="0.2">
      <c r="B34" s="6">
        <v>1990</v>
      </c>
      <c r="C34" s="5">
        <v>118793</v>
      </c>
      <c r="D34" s="4">
        <v>326.35700000000003</v>
      </c>
      <c r="E34" s="5">
        <v>7047</v>
      </c>
      <c r="F34" s="4">
        <v>2167</v>
      </c>
      <c r="G34" s="7">
        <v>192644</v>
      </c>
      <c r="I34" s="1">
        <v>66702</v>
      </c>
      <c r="J34" s="1">
        <v>67371.432085151639</v>
      </c>
      <c r="K34" s="1">
        <v>-669.4320851516386</v>
      </c>
    </row>
    <row r="35" spans="2:11" x14ac:dyDescent="0.2">
      <c r="B35" s="6">
        <v>1991</v>
      </c>
      <c r="C35" s="5">
        <v>117718</v>
      </c>
      <c r="D35" s="4">
        <v>337.74700000000001</v>
      </c>
      <c r="E35" s="5">
        <v>8628</v>
      </c>
      <c r="F35" s="4">
        <v>2118</v>
      </c>
      <c r="G35" s="7">
        <v>194936</v>
      </c>
      <c r="I35" s="1">
        <v>67762</v>
      </c>
      <c r="J35" s="1">
        <v>68699.422657395873</v>
      </c>
      <c r="K35" s="1">
        <v>-937.4226573958731</v>
      </c>
    </row>
    <row r="36" spans="2:11" x14ac:dyDescent="0.2">
      <c r="B36" s="6">
        <v>1992</v>
      </c>
      <c r="C36" s="5">
        <v>118492</v>
      </c>
      <c r="D36" s="4">
        <v>345.47699999999998</v>
      </c>
      <c r="E36" s="5">
        <v>9613</v>
      </c>
      <c r="F36" s="4">
        <v>1966</v>
      </c>
      <c r="G36" s="7">
        <v>197205</v>
      </c>
      <c r="I36" s="1">
        <v>69305</v>
      </c>
      <c r="J36" s="1">
        <v>70241.734304999845</v>
      </c>
      <c r="K36" s="1">
        <v>-936.73430499984534</v>
      </c>
    </row>
    <row r="37" spans="2:11" x14ac:dyDescent="0.2">
      <c r="B37" s="6">
        <v>1993</v>
      </c>
      <c r="C37" s="5">
        <v>120259</v>
      </c>
      <c r="D37" s="4">
        <v>353.51600000000002</v>
      </c>
      <c r="E37" s="5">
        <v>8940</v>
      </c>
      <c r="F37" s="4">
        <v>1760</v>
      </c>
      <c r="G37" s="7">
        <v>199622</v>
      </c>
      <c r="I37" s="1">
        <v>71088</v>
      </c>
      <c r="J37" s="1">
        <v>71887.892890025338</v>
      </c>
      <c r="K37" s="1">
        <v>-799.89289002533769</v>
      </c>
    </row>
    <row r="38" spans="2:11" x14ac:dyDescent="0.2">
      <c r="B38" s="6">
        <v>1994</v>
      </c>
      <c r="C38" s="5">
        <v>123060</v>
      </c>
      <c r="D38" s="4">
        <v>361.02600000000001</v>
      </c>
      <c r="E38" s="5">
        <v>7996</v>
      </c>
      <c r="F38" s="4">
        <v>1673</v>
      </c>
      <c r="G38" s="7">
        <v>201970</v>
      </c>
      <c r="I38" s="1">
        <v>72895</v>
      </c>
      <c r="J38" s="1">
        <v>73567.985875620274</v>
      </c>
      <c r="K38" s="1">
        <v>-672.98587562027387</v>
      </c>
    </row>
    <row r="39" spans="2:11" x14ac:dyDescent="0.2">
      <c r="B39" s="6">
        <v>1995</v>
      </c>
      <c r="C39" s="5">
        <v>124900</v>
      </c>
      <c r="D39" s="4">
        <v>368.44400000000002</v>
      </c>
      <c r="E39" s="5">
        <v>7404</v>
      </c>
      <c r="F39" s="4">
        <v>1579</v>
      </c>
      <c r="G39" s="7">
        <v>204420</v>
      </c>
      <c r="I39" s="1">
        <v>74372</v>
      </c>
      <c r="J39" s="1">
        <v>74883.611675562759</v>
      </c>
      <c r="K39" s="1">
        <v>-511.61167556275905</v>
      </c>
    </row>
    <row r="40" spans="2:11" x14ac:dyDescent="0.2">
      <c r="B40" s="6">
        <v>1996</v>
      </c>
      <c r="C40" s="5">
        <v>126708</v>
      </c>
      <c r="D40" s="4">
        <v>375.42899999999997</v>
      </c>
      <c r="E40" s="5">
        <v>7236</v>
      </c>
      <c r="F40" s="4">
        <v>1502</v>
      </c>
      <c r="G40" s="7">
        <v>207087</v>
      </c>
      <c r="I40" s="1">
        <v>75920</v>
      </c>
      <c r="J40" s="1">
        <v>76511.403888214074</v>
      </c>
      <c r="K40" s="1">
        <v>-591.40388821407396</v>
      </c>
    </row>
    <row r="41" spans="2:11" x14ac:dyDescent="0.2">
      <c r="B41" s="6">
        <v>1997</v>
      </c>
      <c r="C41" s="5">
        <v>129558</v>
      </c>
      <c r="D41" s="4">
        <v>381.66300000000001</v>
      </c>
      <c r="E41" s="5">
        <v>6739</v>
      </c>
      <c r="F41" s="4">
        <v>1457</v>
      </c>
      <c r="G41" s="7">
        <v>209846</v>
      </c>
      <c r="I41" s="1">
        <v>77902</v>
      </c>
      <c r="J41" s="1">
        <v>78076.276687574398</v>
      </c>
      <c r="K41" s="1">
        <v>-174.27668757439824</v>
      </c>
    </row>
    <row r="42" spans="2:11" x14ac:dyDescent="0.2">
      <c r="B42" s="6">
        <v>1998</v>
      </c>
      <c r="C42" s="5">
        <v>131463</v>
      </c>
      <c r="D42" s="4">
        <v>385.88099999999997</v>
      </c>
      <c r="E42" s="5">
        <v>6210</v>
      </c>
      <c r="F42" s="4">
        <v>1423</v>
      </c>
      <c r="G42" s="7">
        <v>212638</v>
      </c>
      <c r="I42" s="1">
        <v>78678</v>
      </c>
      <c r="J42" s="1">
        <v>78897.957446094792</v>
      </c>
      <c r="K42" s="1">
        <v>-219.95744609479152</v>
      </c>
    </row>
    <row r="43" spans="2:11" x14ac:dyDescent="0.2">
      <c r="B43" s="6">
        <v>1999</v>
      </c>
      <c r="C43" s="5">
        <v>133488</v>
      </c>
      <c r="D43" s="4">
        <v>391.452</v>
      </c>
      <c r="E43" s="5">
        <v>5880</v>
      </c>
      <c r="F43" s="4">
        <v>1380</v>
      </c>
      <c r="G43" s="7">
        <v>215404</v>
      </c>
      <c r="I43" s="1">
        <v>79367</v>
      </c>
      <c r="J43" s="1">
        <v>80084.150488397761</v>
      </c>
      <c r="K43" s="1">
        <v>-717.15048839776136</v>
      </c>
    </row>
    <row r="44" spans="2:11" x14ac:dyDescent="0.2">
      <c r="B44" s="6">
        <v>2000</v>
      </c>
      <c r="C44" s="5">
        <v>136891</v>
      </c>
      <c r="D44" s="4">
        <v>399.98599999999999</v>
      </c>
      <c r="E44" s="5">
        <v>5692</v>
      </c>
      <c r="F44" s="4">
        <v>1405</v>
      </c>
      <c r="G44" s="7">
        <v>218061</v>
      </c>
      <c r="I44" s="1">
        <v>82153</v>
      </c>
      <c r="J44" s="1">
        <v>82102.924841263506</v>
      </c>
      <c r="K44" s="1">
        <v>50.075158736493904</v>
      </c>
    </row>
    <row r="45" spans="2:11" x14ac:dyDescent="0.2">
      <c r="B45" s="6">
        <v>2001</v>
      </c>
      <c r="C45" s="5">
        <v>136933</v>
      </c>
      <c r="D45" s="4">
        <v>409.58199999999999</v>
      </c>
      <c r="E45" s="5">
        <v>6801</v>
      </c>
      <c r="F45" s="4">
        <v>1412</v>
      </c>
      <c r="G45" s="7">
        <v>220800</v>
      </c>
      <c r="I45" s="1">
        <v>85064</v>
      </c>
      <c r="J45" s="1">
        <v>84545.761306879431</v>
      </c>
      <c r="K45" s="1">
        <v>518.23869312056922</v>
      </c>
    </row>
    <row r="46" spans="2:11" x14ac:dyDescent="0.2">
      <c r="B46" s="6">
        <v>2002</v>
      </c>
      <c r="C46" s="5">
        <v>136485</v>
      </c>
      <c r="D46" s="4">
        <v>416.70400000000001</v>
      </c>
      <c r="E46" s="5">
        <v>8378</v>
      </c>
      <c r="F46" s="4">
        <v>1425</v>
      </c>
      <c r="G46" s="7">
        <v>223532</v>
      </c>
      <c r="I46" s="1">
        <v>86794</v>
      </c>
      <c r="J46" s="1">
        <v>86177.218769619358</v>
      </c>
      <c r="K46" s="1">
        <v>616.78123038064223</v>
      </c>
    </row>
    <row r="47" spans="2:11" x14ac:dyDescent="0.2">
      <c r="B47" s="6">
        <v>2003</v>
      </c>
      <c r="C47" s="5">
        <v>137736</v>
      </c>
      <c r="D47" s="4">
        <v>425.553</v>
      </c>
      <c r="E47" s="5">
        <v>8774</v>
      </c>
      <c r="F47" s="4">
        <v>1423</v>
      </c>
      <c r="G47" s="7">
        <v>226223</v>
      </c>
      <c r="I47" s="1">
        <v>85846</v>
      </c>
      <c r="J47" s="1">
        <v>86315.464420584802</v>
      </c>
      <c r="K47" s="1">
        <v>-469.4644205848017</v>
      </c>
    </row>
    <row r="48" spans="2:11" x14ac:dyDescent="0.2">
      <c r="B48" s="6">
        <v>2004</v>
      </c>
      <c r="C48" s="5">
        <v>139252</v>
      </c>
      <c r="D48" s="4">
        <v>437.79500000000002</v>
      </c>
      <c r="E48" s="5">
        <v>8149</v>
      </c>
      <c r="F48" s="4">
        <v>1411</v>
      </c>
      <c r="G48" s="7">
        <v>228892</v>
      </c>
      <c r="I48" s="1">
        <v>88752</v>
      </c>
      <c r="J48" s="1">
        <v>88904.884465043389</v>
      </c>
      <c r="K48" s="1">
        <v>-152.88446504338935</v>
      </c>
    </row>
    <row r="49" spans="2:11" ht="15.75" thickBot="1" x14ac:dyDescent="0.25">
      <c r="B49" s="8">
        <v>2005</v>
      </c>
      <c r="C49" s="9">
        <v>141730</v>
      </c>
      <c r="D49" s="10">
        <v>451.94600000000003</v>
      </c>
      <c r="E49" s="9">
        <v>7591</v>
      </c>
      <c r="F49" s="10">
        <v>1378</v>
      </c>
      <c r="G49" s="11">
        <v>231552</v>
      </c>
      <c r="I49" s="1">
        <v>92017</v>
      </c>
      <c r="J49" s="1">
        <v>91519.893957088309</v>
      </c>
      <c r="K49" s="1">
        <v>497.10604291169147</v>
      </c>
    </row>
    <row r="50" spans="2:11" x14ac:dyDescent="0.2">
      <c r="I50" s="1">
        <v>96048</v>
      </c>
      <c r="J50" s="1">
        <v>94517.982234900002</v>
      </c>
      <c r="K50" s="1">
        <v>1530.0177650999976</v>
      </c>
    </row>
    <row r="51" spans="2:11" x14ac:dyDescent="0.2">
      <c r="I51" s="1">
        <v>98824</v>
      </c>
      <c r="J51" s="1">
        <v>97079.603440726598</v>
      </c>
      <c r="K51" s="1">
        <v>1744.3965592734021</v>
      </c>
    </row>
    <row r="52" spans="2:11" x14ac:dyDescent="0.2">
      <c r="I52" s="1">
        <v>99303</v>
      </c>
      <c r="J52" s="1">
        <v>98498.517563114205</v>
      </c>
      <c r="K52" s="1">
        <v>804.48243688579532</v>
      </c>
    </row>
    <row r="53" spans="2:11" x14ac:dyDescent="0.2">
      <c r="I53" s="1">
        <v>100397</v>
      </c>
      <c r="J53" s="1">
        <v>100432.46662650534</v>
      </c>
      <c r="K53" s="1">
        <v>-35.466626505338354</v>
      </c>
    </row>
    <row r="54" spans="2:11" x14ac:dyDescent="0.2">
      <c r="I54" s="1">
        <v>99526</v>
      </c>
      <c r="J54" s="1">
        <v>100505.38626983624</v>
      </c>
      <c r="K54" s="1">
        <v>-979.38626983623544</v>
      </c>
    </row>
    <row r="55" spans="2:11" x14ac:dyDescent="0.2">
      <c r="I55" s="1">
        <v>100834</v>
      </c>
      <c r="J55" s="1">
        <v>102154.04534495121</v>
      </c>
      <c r="K55" s="1">
        <v>-1320.0453449512133</v>
      </c>
    </row>
    <row r="56" spans="2:11" x14ac:dyDescent="0.2">
      <c r="I56" s="1">
        <v>105005</v>
      </c>
      <c r="J56" s="1">
        <v>105529.06512124442</v>
      </c>
      <c r="K56" s="1">
        <v>-524.06512124442088</v>
      </c>
    </row>
    <row r="57" spans="2:11" x14ac:dyDescent="0.2">
      <c r="I57" s="1">
        <v>107150</v>
      </c>
      <c r="J57" s="1">
        <v>107268.50403927793</v>
      </c>
      <c r="K57" s="1">
        <v>-118.50403927793377</v>
      </c>
    </row>
    <row r="58" spans="2:11" x14ac:dyDescent="0.2">
      <c r="I58" s="1">
        <v>109597</v>
      </c>
      <c r="J58" s="1">
        <v>108854.60162729099</v>
      </c>
      <c r="K58" s="1">
        <v>742.39837270900898</v>
      </c>
    </row>
    <row r="59" spans="2:11" x14ac:dyDescent="0.2">
      <c r="I59" s="1">
        <v>112440</v>
      </c>
      <c r="J59" s="1">
        <v>111131.45953135403</v>
      </c>
      <c r="K59" s="1">
        <v>1308.540468645966</v>
      </c>
    </row>
    <row r="60" spans="2:11" x14ac:dyDescent="0.2">
      <c r="I60" s="1">
        <v>114968</v>
      </c>
      <c r="J60" s="1">
        <v>113267.91846070779</v>
      </c>
      <c r="K60" s="1">
        <v>1700.0815392922086</v>
      </c>
    </row>
    <row r="61" spans="2:11" x14ac:dyDescent="0.2">
      <c r="I61" s="1">
        <v>117342</v>
      </c>
      <c r="J61" s="1">
        <v>114925.25057910779</v>
      </c>
      <c r="K61" s="1">
        <v>2416.7494208922144</v>
      </c>
    </row>
    <row r="62" spans="2:11" x14ac:dyDescent="0.2">
      <c r="I62" s="1">
        <v>118793</v>
      </c>
      <c r="J62" s="1">
        <v>116151.06455578029</v>
      </c>
      <c r="K62" s="1">
        <v>2641.9354442197073</v>
      </c>
    </row>
    <row r="63" spans="2:11" x14ac:dyDescent="0.2">
      <c r="I63" s="1">
        <v>117718</v>
      </c>
      <c r="J63" s="1">
        <v>116778.12982189182</v>
      </c>
      <c r="K63" s="1">
        <v>939.87017810817633</v>
      </c>
    </row>
    <row r="64" spans="2:11" x14ac:dyDescent="0.2">
      <c r="I64" s="1">
        <v>118492</v>
      </c>
      <c r="J64" s="1">
        <v>117707.21012725339</v>
      </c>
      <c r="K64" s="1">
        <v>784.78987274660903</v>
      </c>
    </row>
    <row r="65" spans="9:11" x14ac:dyDescent="0.2">
      <c r="I65" s="1">
        <v>120259</v>
      </c>
      <c r="J65" s="1">
        <v>120082.99769900396</v>
      </c>
      <c r="K65" s="1">
        <v>176.00230099604232</v>
      </c>
    </row>
    <row r="66" spans="9:11" x14ac:dyDescent="0.2">
      <c r="I66" s="1">
        <v>123060</v>
      </c>
      <c r="J66" s="1">
        <v>122591.69420926654</v>
      </c>
      <c r="K66" s="1">
        <v>468.30579073345871</v>
      </c>
    </row>
    <row r="67" spans="9:11" x14ac:dyDescent="0.2">
      <c r="I67" s="1">
        <v>124900</v>
      </c>
      <c r="J67" s="1">
        <v>124872.2199680097</v>
      </c>
      <c r="K67" s="1">
        <v>27.780031990303542</v>
      </c>
    </row>
    <row r="68" spans="9:11" x14ac:dyDescent="0.2">
      <c r="I68" s="1">
        <v>126708</v>
      </c>
      <c r="J68" s="1">
        <v>126912.28371641305</v>
      </c>
      <c r="K68" s="1">
        <v>-204.28371641304693</v>
      </c>
    </row>
    <row r="69" spans="9:11" x14ac:dyDescent="0.2">
      <c r="I69" s="1">
        <v>129558</v>
      </c>
      <c r="J69" s="1">
        <v>129228.3777328486</v>
      </c>
      <c r="K69" s="1">
        <v>329.62226715139695</v>
      </c>
    </row>
    <row r="70" spans="9:11" x14ac:dyDescent="0.2">
      <c r="I70" s="1">
        <v>131463</v>
      </c>
      <c r="J70" s="1">
        <v>131487.38000710015</v>
      </c>
      <c r="K70" s="1">
        <v>-24.380007100146031</v>
      </c>
    </row>
    <row r="71" spans="9:11" x14ac:dyDescent="0.2">
      <c r="I71" s="1">
        <v>133488</v>
      </c>
      <c r="J71" s="1">
        <v>133639.59205107621</v>
      </c>
      <c r="K71" s="1">
        <v>-151.59205107620801</v>
      </c>
    </row>
    <row r="72" spans="9:11" x14ac:dyDescent="0.2">
      <c r="I72" s="1">
        <v>136891</v>
      </c>
      <c r="J72" s="1">
        <v>135750.42447446022</v>
      </c>
      <c r="K72" s="1">
        <v>1140.5755255397817</v>
      </c>
    </row>
    <row r="73" spans="9:11" x14ac:dyDescent="0.2">
      <c r="I73" s="1">
        <v>136933</v>
      </c>
      <c r="J73" s="1">
        <v>136918.70383697466</v>
      </c>
      <c r="K73" s="1">
        <v>14.29616302534123</v>
      </c>
    </row>
    <row r="74" spans="9:11" x14ac:dyDescent="0.2">
      <c r="I74" s="1">
        <v>136485</v>
      </c>
      <c r="J74" s="1">
        <v>137581.61544409324</v>
      </c>
      <c r="K74" s="1">
        <v>-1096.6154440932442</v>
      </c>
    </row>
    <row r="75" spans="9:11" x14ac:dyDescent="0.2">
      <c r="I75" s="1">
        <v>137736</v>
      </c>
      <c r="J75" s="1">
        <v>139261.30910339611</v>
      </c>
      <c r="K75" s="1">
        <v>-1525.30910339611</v>
      </c>
    </row>
    <row r="76" spans="9:11" x14ac:dyDescent="0.2">
      <c r="I76" s="1">
        <v>139252</v>
      </c>
      <c r="J76" s="1">
        <v>141921.79219203725</v>
      </c>
      <c r="K76" s="1">
        <v>-2669.7921920372464</v>
      </c>
    </row>
    <row r="77" spans="9:11" ht="15.75" thickBot="1" x14ac:dyDescent="0.25">
      <c r="I77" s="2">
        <v>141730</v>
      </c>
      <c r="J77" s="2">
        <v>144621.35370228236</v>
      </c>
      <c r="K77" s="2">
        <v>-2891.3537022823584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37FE-B521-4D8A-9F02-1E14D1AFDF4E}">
  <dimension ref="B1:Q77"/>
  <sheetViews>
    <sheetView topLeftCell="A55" workbookViewId="0">
      <selection activeCell="E12" sqref="E12"/>
    </sheetView>
  </sheetViews>
  <sheetFormatPr defaultRowHeight="15" x14ac:dyDescent="0.2"/>
  <cols>
    <col min="2" max="2" width="10.89453125" bestFit="1" customWidth="1"/>
    <col min="3" max="4" width="7.93359375" bestFit="1" customWidth="1"/>
    <col min="5" max="5" width="10.35546875" bestFit="1" customWidth="1"/>
    <col min="6" max="6" width="6.45703125" bestFit="1" customWidth="1"/>
    <col min="7" max="7" width="4.9765625" bestFit="1" customWidth="1"/>
    <col min="9" max="9" width="17.484375" bestFit="1" customWidth="1"/>
    <col min="10" max="10" width="12.64453125" bestFit="1" customWidth="1"/>
    <col min="11" max="11" width="13.44921875" bestFit="1" customWidth="1"/>
    <col min="12" max="12" width="12.64453125" bestFit="1" customWidth="1"/>
    <col min="13" max="13" width="11.97265625" bestFit="1" customWidth="1"/>
    <col min="14" max="17" width="12.64453125" bestFit="1" customWidth="1"/>
  </cols>
  <sheetData>
    <row r="1" spans="2:14" ht="15.75" thickBot="1" x14ac:dyDescent="0.25"/>
    <row r="2" spans="2:14" ht="15.75" thickBot="1" x14ac:dyDescent="0.25">
      <c r="B2" s="16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I2" s="19" t="s">
        <v>40</v>
      </c>
    </row>
    <row r="3" spans="2:14" x14ac:dyDescent="0.2">
      <c r="B3" s="12">
        <v>1959</v>
      </c>
      <c r="C3" s="13">
        <v>64630</v>
      </c>
      <c r="D3" s="14">
        <v>82.908000000000001</v>
      </c>
      <c r="E3" s="13">
        <v>509300</v>
      </c>
      <c r="F3" s="13">
        <v>3740</v>
      </c>
      <c r="G3" s="14">
        <v>2552</v>
      </c>
    </row>
    <row r="4" spans="2:14" x14ac:dyDescent="0.2">
      <c r="B4" s="6">
        <v>1960</v>
      </c>
      <c r="C4" s="5">
        <v>65778</v>
      </c>
      <c r="D4" s="4">
        <v>84.073999999999998</v>
      </c>
      <c r="E4" s="5">
        <v>529500</v>
      </c>
      <c r="F4" s="5">
        <v>3852</v>
      </c>
      <c r="G4" s="4">
        <v>2514</v>
      </c>
      <c r="I4" t="s">
        <v>10</v>
      </c>
    </row>
    <row r="5" spans="2:14" ht="15.75" thickBot="1" x14ac:dyDescent="0.25">
      <c r="B5" s="6">
        <v>1961</v>
      </c>
      <c r="C5" s="5">
        <v>65746</v>
      </c>
      <c r="D5" s="4">
        <v>85.015000000000001</v>
      </c>
      <c r="E5" s="5">
        <v>548200</v>
      </c>
      <c r="F5" s="5">
        <v>4714</v>
      </c>
      <c r="G5" s="4">
        <v>2573</v>
      </c>
    </row>
    <row r="6" spans="2:14" x14ac:dyDescent="0.2">
      <c r="B6" s="6">
        <v>1962</v>
      </c>
      <c r="C6" s="5">
        <v>66702</v>
      </c>
      <c r="D6" s="4">
        <v>86.186000000000007</v>
      </c>
      <c r="E6" s="5">
        <v>589700</v>
      </c>
      <c r="F6" s="5">
        <v>3911</v>
      </c>
      <c r="G6" s="4">
        <v>2827</v>
      </c>
      <c r="I6" s="20" t="s">
        <v>11</v>
      </c>
      <c r="J6" s="20"/>
    </row>
    <row r="7" spans="2:14" x14ac:dyDescent="0.2">
      <c r="B7" s="6">
        <v>1963</v>
      </c>
      <c r="C7" s="5">
        <v>67762</v>
      </c>
      <c r="D7" s="4">
        <v>87.102999999999994</v>
      </c>
      <c r="E7" s="5">
        <v>622200</v>
      </c>
      <c r="F7" s="5">
        <v>4070</v>
      </c>
      <c r="G7" s="4">
        <v>2737</v>
      </c>
      <c r="I7" s="1" t="s">
        <v>12</v>
      </c>
      <c r="J7" s="1">
        <v>0.99258120180168896</v>
      </c>
    </row>
    <row r="8" spans="2:14" x14ac:dyDescent="0.2">
      <c r="B8" s="6">
        <v>1964</v>
      </c>
      <c r="C8" s="5">
        <v>69305</v>
      </c>
      <c r="D8" s="4">
        <v>88.438000000000002</v>
      </c>
      <c r="E8" s="5">
        <v>668500</v>
      </c>
      <c r="F8" s="5">
        <v>3786</v>
      </c>
      <c r="G8" s="4">
        <v>2738</v>
      </c>
      <c r="I8" s="1" t="s">
        <v>13</v>
      </c>
      <c r="J8" s="1">
        <v>0.98521744217008522</v>
      </c>
    </row>
    <row r="9" spans="2:14" x14ac:dyDescent="0.2">
      <c r="B9" s="6">
        <v>1965</v>
      </c>
      <c r="C9" s="5">
        <v>71088</v>
      </c>
      <c r="D9" s="4">
        <v>90.055000000000007</v>
      </c>
      <c r="E9" s="5">
        <v>724400</v>
      </c>
      <c r="F9" s="5">
        <v>3366</v>
      </c>
      <c r="G9" s="4">
        <v>2722</v>
      </c>
      <c r="I9" s="1" t="s">
        <v>14</v>
      </c>
      <c r="J9" s="1">
        <v>0.98380957951961723</v>
      </c>
    </row>
    <row r="10" spans="2:14" x14ac:dyDescent="0.2">
      <c r="B10" s="6">
        <v>1966</v>
      </c>
      <c r="C10" s="5">
        <v>72895</v>
      </c>
      <c r="D10" s="4">
        <v>92.623999999999995</v>
      </c>
      <c r="E10" s="5">
        <v>792900</v>
      </c>
      <c r="F10" s="5">
        <v>2875</v>
      </c>
      <c r="G10" s="4">
        <v>3123</v>
      </c>
      <c r="I10" s="1" t="s">
        <v>15</v>
      </c>
      <c r="J10" s="1">
        <v>3122.9926504719715</v>
      </c>
    </row>
    <row r="11" spans="2:14" ht="15.75" thickBot="1" x14ac:dyDescent="0.25">
      <c r="B11" s="6">
        <v>1967</v>
      </c>
      <c r="C11" s="5">
        <v>74372</v>
      </c>
      <c r="D11" s="4">
        <v>95.491</v>
      </c>
      <c r="E11" s="5">
        <v>838000</v>
      </c>
      <c r="F11" s="5">
        <v>2975</v>
      </c>
      <c r="G11" s="4">
        <v>3446</v>
      </c>
      <c r="I11" s="2" t="s">
        <v>16</v>
      </c>
      <c r="J11" s="2">
        <v>47</v>
      </c>
    </row>
    <row r="12" spans="2:14" x14ac:dyDescent="0.2">
      <c r="B12" s="6">
        <v>1968</v>
      </c>
      <c r="C12" s="5">
        <v>75920</v>
      </c>
      <c r="D12" s="4">
        <v>99.56</v>
      </c>
      <c r="E12" s="5">
        <v>916100</v>
      </c>
      <c r="F12" s="5">
        <v>2817</v>
      </c>
      <c r="G12" s="4">
        <v>3535</v>
      </c>
    </row>
    <row r="13" spans="2:14" ht="15.75" thickBot="1" x14ac:dyDescent="0.25">
      <c r="B13" s="6">
        <v>1969</v>
      </c>
      <c r="C13" s="5">
        <v>77902</v>
      </c>
      <c r="D13" s="4">
        <v>104.504</v>
      </c>
      <c r="E13" s="5">
        <v>990700</v>
      </c>
      <c r="F13" s="5">
        <v>2832</v>
      </c>
      <c r="G13" s="4">
        <v>3506</v>
      </c>
      <c r="I13" t="s">
        <v>17</v>
      </c>
    </row>
    <row r="14" spans="2:14" x14ac:dyDescent="0.2">
      <c r="B14" s="6">
        <v>1970</v>
      </c>
      <c r="C14" s="5">
        <v>78678</v>
      </c>
      <c r="D14" s="4">
        <v>110.04600000000001</v>
      </c>
      <c r="E14" s="5">
        <v>1044900</v>
      </c>
      <c r="F14" s="5">
        <v>4093</v>
      </c>
      <c r="G14" s="4">
        <v>3188</v>
      </c>
      <c r="I14" s="3"/>
      <c r="J14" s="3" t="s">
        <v>22</v>
      </c>
      <c r="K14" s="3" t="s">
        <v>23</v>
      </c>
      <c r="L14" s="3" t="s">
        <v>24</v>
      </c>
      <c r="M14" s="3" t="s">
        <v>25</v>
      </c>
      <c r="N14" s="3" t="s">
        <v>26</v>
      </c>
    </row>
    <row r="15" spans="2:14" x14ac:dyDescent="0.2">
      <c r="B15" s="6">
        <v>1971</v>
      </c>
      <c r="C15" s="5">
        <v>79367</v>
      </c>
      <c r="D15" s="4">
        <v>115.54900000000001</v>
      </c>
      <c r="E15" s="5">
        <v>1134700</v>
      </c>
      <c r="F15" s="5">
        <v>5016</v>
      </c>
      <c r="G15" s="4">
        <v>2816</v>
      </c>
      <c r="I15" s="1" t="s">
        <v>18</v>
      </c>
      <c r="J15" s="1">
        <v>4</v>
      </c>
      <c r="K15" s="1">
        <v>27300696063.886467</v>
      </c>
      <c r="L15" s="1">
        <v>6825174015.9716167</v>
      </c>
      <c r="M15" s="1">
        <v>699.79656171895169</v>
      </c>
      <c r="N15" s="1">
        <v>7.9614502832013369E-38</v>
      </c>
    </row>
    <row r="16" spans="2:14" x14ac:dyDescent="0.2">
      <c r="B16" s="6">
        <v>1972</v>
      </c>
      <c r="C16" s="5">
        <v>82153</v>
      </c>
      <c r="D16" s="4">
        <v>120.556</v>
      </c>
      <c r="E16" s="5">
        <v>1246800</v>
      </c>
      <c r="F16" s="5">
        <v>4882</v>
      </c>
      <c r="G16" s="4">
        <v>2449</v>
      </c>
      <c r="I16" s="1" t="s">
        <v>19</v>
      </c>
      <c r="J16" s="1">
        <v>42</v>
      </c>
      <c r="K16" s="1">
        <v>409629489.98588187</v>
      </c>
      <c r="L16" s="1">
        <v>9753083.0949019492</v>
      </c>
      <c r="M16" s="1"/>
      <c r="N16" s="1"/>
    </row>
    <row r="17" spans="2:17" ht="15.75" thickBot="1" x14ac:dyDescent="0.25">
      <c r="B17" s="6">
        <v>1973</v>
      </c>
      <c r="C17" s="5">
        <v>85064</v>
      </c>
      <c r="D17" s="4">
        <v>127.307</v>
      </c>
      <c r="E17" s="5">
        <v>1395300</v>
      </c>
      <c r="F17" s="5">
        <v>4365</v>
      </c>
      <c r="G17" s="4">
        <v>2327</v>
      </c>
      <c r="I17" s="2" t="s">
        <v>20</v>
      </c>
      <c r="J17" s="2">
        <v>46</v>
      </c>
      <c r="K17" s="2">
        <v>27710325553.872349</v>
      </c>
      <c r="L17" s="2"/>
      <c r="M17" s="2"/>
      <c r="N17" s="2"/>
    </row>
    <row r="18" spans="2:17" ht="15.75" thickBot="1" x14ac:dyDescent="0.25">
      <c r="B18" s="6">
        <v>1974</v>
      </c>
      <c r="C18" s="5">
        <v>86794</v>
      </c>
      <c r="D18" s="4">
        <v>138.82</v>
      </c>
      <c r="E18" s="5">
        <v>1515500</v>
      </c>
      <c r="F18" s="5">
        <v>5156</v>
      </c>
      <c r="G18" s="4">
        <v>2229</v>
      </c>
    </row>
    <row r="19" spans="2:17" x14ac:dyDescent="0.2">
      <c r="B19" s="6">
        <v>1975</v>
      </c>
      <c r="C19" s="5">
        <v>85846</v>
      </c>
      <c r="D19" s="4">
        <v>151.857</v>
      </c>
      <c r="E19" s="5">
        <v>1651300</v>
      </c>
      <c r="F19" s="5">
        <v>7929</v>
      </c>
      <c r="G19" s="4">
        <v>2180</v>
      </c>
      <c r="I19" s="3"/>
      <c r="J19" s="3" t="s">
        <v>27</v>
      </c>
      <c r="K19" s="3" t="s">
        <v>15</v>
      </c>
      <c r="L19" s="3" t="s">
        <v>28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</row>
    <row r="20" spans="2:17" x14ac:dyDescent="0.2">
      <c r="B20" s="6">
        <v>1976</v>
      </c>
      <c r="C20" s="5">
        <v>88752</v>
      </c>
      <c r="D20" s="4">
        <v>160.68</v>
      </c>
      <c r="E20" s="5">
        <v>1842100</v>
      </c>
      <c r="F20" s="5">
        <v>7406</v>
      </c>
      <c r="G20" s="4">
        <v>2144</v>
      </c>
      <c r="I20" s="1" t="s">
        <v>21</v>
      </c>
      <c r="J20" s="1">
        <v>62499.977682633733</v>
      </c>
      <c r="K20" s="1">
        <v>5589.0243896311677</v>
      </c>
      <c r="L20" s="1">
        <v>11.182627472262336</v>
      </c>
      <c r="M20" s="1">
        <v>3.5954249864888024E-14</v>
      </c>
      <c r="N20" s="1">
        <v>51220.869825313042</v>
      </c>
      <c r="O20" s="1">
        <v>73779.085539954423</v>
      </c>
      <c r="P20" s="1">
        <v>51220.869825313042</v>
      </c>
      <c r="Q20" s="1">
        <v>73779.085539954423</v>
      </c>
    </row>
    <row r="21" spans="2:17" x14ac:dyDescent="0.2">
      <c r="B21" s="6">
        <v>1977</v>
      </c>
      <c r="C21" s="5">
        <v>92017</v>
      </c>
      <c r="D21" s="4">
        <v>170.88399999999999</v>
      </c>
      <c r="E21" s="5">
        <v>2051200</v>
      </c>
      <c r="F21" s="5">
        <v>6991</v>
      </c>
      <c r="G21" s="4">
        <v>2133</v>
      </c>
      <c r="I21" s="1" t="s">
        <v>2</v>
      </c>
      <c r="J21" s="1">
        <v>219.88595064505844</v>
      </c>
      <c r="K21" s="1">
        <v>23.295869307175838</v>
      </c>
      <c r="L21" s="1">
        <v>9.4388386089256979</v>
      </c>
      <c r="M21" s="1">
        <v>6.1124743613305825E-12</v>
      </c>
      <c r="N21" s="1">
        <v>172.87298304499706</v>
      </c>
      <c r="O21" s="1">
        <v>266.89891824511983</v>
      </c>
      <c r="P21" s="1">
        <v>172.87298304499706</v>
      </c>
      <c r="Q21" s="1">
        <v>266.89891824511983</v>
      </c>
    </row>
    <row r="22" spans="2:17" x14ac:dyDescent="0.2">
      <c r="B22" s="6">
        <v>1978</v>
      </c>
      <c r="C22" s="5">
        <v>96048</v>
      </c>
      <c r="D22" s="4">
        <v>182.863</v>
      </c>
      <c r="E22" s="5">
        <v>2316300</v>
      </c>
      <c r="F22" s="5">
        <v>6202</v>
      </c>
      <c r="G22" s="4">
        <v>2117</v>
      </c>
      <c r="I22" s="1" t="s">
        <v>3</v>
      </c>
      <c r="J22" s="1">
        <v>-7.9613029081963273E-4</v>
      </c>
      <c r="K22" s="1">
        <v>7.3078831925414136E-4</v>
      </c>
      <c r="L22" s="1">
        <v>-1.089412993946292</v>
      </c>
      <c r="M22" s="1">
        <v>0.28218322804862844</v>
      </c>
      <c r="N22" s="1">
        <v>-2.2709208265398605E-3</v>
      </c>
      <c r="O22" s="1">
        <v>6.7866024490059512E-4</v>
      </c>
      <c r="P22" s="1">
        <v>-2.2709208265398605E-3</v>
      </c>
      <c r="Q22" s="1">
        <v>6.7866024490059512E-4</v>
      </c>
    </row>
    <row r="23" spans="2:17" x14ac:dyDescent="0.2">
      <c r="B23" s="6">
        <v>1979</v>
      </c>
      <c r="C23" s="5">
        <v>98824</v>
      </c>
      <c r="D23" s="4">
        <v>198.077</v>
      </c>
      <c r="E23" s="5">
        <v>2595300</v>
      </c>
      <c r="F23" s="5">
        <v>6137</v>
      </c>
      <c r="G23" s="4">
        <v>2088</v>
      </c>
      <c r="I23" s="1" t="s">
        <v>4</v>
      </c>
      <c r="J23" s="1">
        <v>-0.91270247802796767</v>
      </c>
      <c r="K23" s="1">
        <v>0.42525650879620436</v>
      </c>
      <c r="L23" s="1">
        <v>-2.1462398791063819</v>
      </c>
      <c r="M23" s="1">
        <v>3.7676919307411669E-2</v>
      </c>
      <c r="N23" s="1">
        <v>-1.7709048574340391</v>
      </c>
      <c r="O23" s="1">
        <v>-5.4500098621896087E-2</v>
      </c>
      <c r="P23" s="1">
        <v>-1.7709048574340391</v>
      </c>
      <c r="Q23" s="1">
        <v>-5.4500098621896087E-2</v>
      </c>
    </row>
    <row r="24" spans="2:17" ht="15.75" thickBot="1" x14ac:dyDescent="0.25">
      <c r="B24" s="6">
        <v>1980</v>
      </c>
      <c r="C24" s="5">
        <v>99303</v>
      </c>
      <c r="D24" s="4">
        <v>216.07300000000001</v>
      </c>
      <c r="E24" s="5">
        <v>2823700</v>
      </c>
      <c r="F24" s="5">
        <v>7637</v>
      </c>
      <c r="G24" s="4">
        <v>2102</v>
      </c>
      <c r="I24" s="2" t="s">
        <v>5</v>
      </c>
      <c r="J24" s="2">
        <v>-2.0219098479299955</v>
      </c>
      <c r="K24" s="2">
        <v>1.6847154881919788</v>
      </c>
      <c r="L24" s="2">
        <v>-1.2001491421556827</v>
      </c>
      <c r="M24" s="2">
        <v>0.23680734736235909</v>
      </c>
      <c r="N24" s="2">
        <v>-5.4218033491050743</v>
      </c>
      <c r="O24" s="2">
        <v>1.3779836532450829</v>
      </c>
      <c r="P24" s="2">
        <v>-5.4218033491050743</v>
      </c>
      <c r="Q24" s="2">
        <v>1.3779836532450829</v>
      </c>
    </row>
    <row r="25" spans="2:17" x14ac:dyDescent="0.2">
      <c r="B25" s="6">
        <v>1981</v>
      </c>
      <c r="C25" s="5">
        <v>100397</v>
      </c>
      <c r="D25" s="4">
        <v>236.38499999999999</v>
      </c>
      <c r="E25" s="5">
        <v>3161400</v>
      </c>
      <c r="F25" s="5">
        <v>8273</v>
      </c>
      <c r="G25" s="4">
        <v>2142</v>
      </c>
    </row>
    <row r="26" spans="2:17" x14ac:dyDescent="0.2">
      <c r="B26" s="6">
        <v>1982</v>
      </c>
      <c r="C26" s="5">
        <v>99526</v>
      </c>
      <c r="D26" s="4">
        <v>250.798</v>
      </c>
      <c r="E26" s="5">
        <v>3291500</v>
      </c>
      <c r="F26" s="5">
        <v>10678</v>
      </c>
      <c r="G26" s="4">
        <v>2179</v>
      </c>
    </row>
    <row r="27" spans="2:17" x14ac:dyDescent="0.2">
      <c r="B27" s="6">
        <v>1983</v>
      </c>
      <c r="C27" s="5">
        <v>100834</v>
      </c>
      <c r="D27" s="4">
        <v>260.68</v>
      </c>
      <c r="E27" s="5">
        <v>3573800</v>
      </c>
      <c r="F27" s="5">
        <v>10717</v>
      </c>
      <c r="G27" s="4">
        <v>2199</v>
      </c>
    </row>
    <row r="28" spans="2:17" x14ac:dyDescent="0.2">
      <c r="B28" s="6">
        <v>1984</v>
      </c>
      <c r="C28" s="5">
        <v>105005</v>
      </c>
      <c r="D28" s="4">
        <v>270.49599999999998</v>
      </c>
      <c r="E28" s="5">
        <v>3969500</v>
      </c>
      <c r="F28" s="5">
        <v>8539</v>
      </c>
      <c r="G28" s="4">
        <v>2219</v>
      </c>
      <c r="I28" t="s">
        <v>34</v>
      </c>
    </row>
    <row r="29" spans="2:17" ht="15.75" thickBot="1" x14ac:dyDescent="0.25">
      <c r="B29" s="6">
        <v>1985</v>
      </c>
      <c r="C29" s="5">
        <v>107150</v>
      </c>
      <c r="D29" s="4">
        <v>278.75900000000001</v>
      </c>
      <c r="E29" s="5">
        <v>4246800</v>
      </c>
      <c r="F29" s="5">
        <v>8312</v>
      </c>
      <c r="G29" s="4">
        <v>2234</v>
      </c>
    </row>
    <row r="30" spans="2:17" x14ac:dyDescent="0.2">
      <c r="B30" s="6">
        <v>1986</v>
      </c>
      <c r="C30" s="5">
        <v>109597</v>
      </c>
      <c r="D30" s="4">
        <v>284.89499999999998</v>
      </c>
      <c r="E30" s="5">
        <v>4480600</v>
      </c>
      <c r="F30" s="5">
        <v>8237</v>
      </c>
      <c r="G30" s="4">
        <v>2244</v>
      </c>
      <c r="I30" s="3" t="s">
        <v>37</v>
      </c>
      <c r="J30" s="3" t="s">
        <v>35</v>
      </c>
      <c r="K30" s="3" t="s">
        <v>36</v>
      </c>
    </row>
    <row r="31" spans="2:17" x14ac:dyDescent="0.2">
      <c r="B31" s="6">
        <v>1987</v>
      </c>
      <c r="C31" s="5">
        <v>112440</v>
      </c>
      <c r="D31" s="4">
        <v>292.69099999999997</v>
      </c>
      <c r="E31" s="5">
        <v>4757400</v>
      </c>
      <c r="F31" s="5">
        <v>7425</v>
      </c>
      <c r="G31" s="4">
        <v>2257</v>
      </c>
      <c r="I31" s="21">
        <v>64630</v>
      </c>
      <c r="J31" s="21">
        <v>71751.391721857857</v>
      </c>
      <c r="K31" s="21">
        <v>-7121.3917218578572</v>
      </c>
    </row>
    <row r="32" spans="2:17" x14ac:dyDescent="0.2">
      <c r="B32" s="6">
        <v>1988</v>
      </c>
      <c r="C32" s="5">
        <v>114968</v>
      </c>
      <c r="D32" s="4">
        <v>302.68</v>
      </c>
      <c r="E32" s="5">
        <v>5127400</v>
      </c>
      <c r="F32" s="5">
        <v>6701</v>
      </c>
      <c r="G32" s="4">
        <v>2224</v>
      </c>
      <c r="I32" s="21">
        <v>65778</v>
      </c>
      <c r="J32" s="21">
        <v>71966.306805117638</v>
      </c>
      <c r="K32" s="21">
        <v>-6188.3068051176379</v>
      </c>
    </row>
    <row r="33" spans="2:11" x14ac:dyDescent="0.2">
      <c r="B33" s="6">
        <v>1989</v>
      </c>
      <c r="C33" s="5">
        <v>117342</v>
      </c>
      <c r="D33" s="4">
        <v>314.17899999999997</v>
      </c>
      <c r="E33" s="5">
        <v>5510600</v>
      </c>
      <c r="F33" s="5">
        <v>6528</v>
      </c>
      <c r="G33" s="4">
        <v>2208</v>
      </c>
      <c r="I33" s="21">
        <v>65746</v>
      </c>
      <c r="J33" s="21">
        <v>71252.289631148335</v>
      </c>
      <c r="K33" s="21">
        <v>-5506.2896311483346</v>
      </c>
    </row>
    <row r="34" spans="2:11" x14ac:dyDescent="0.2">
      <c r="B34" s="6">
        <v>1990</v>
      </c>
      <c r="C34" s="5">
        <v>118793</v>
      </c>
      <c r="D34" s="4">
        <v>326.35700000000003</v>
      </c>
      <c r="E34" s="5">
        <v>5837900</v>
      </c>
      <c r="F34" s="5">
        <v>7047</v>
      </c>
      <c r="G34" s="4">
        <v>2167</v>
      </c>
      <c r="I34" s="21">
        <v>66702</v>
      </c>
      <c r="J34" s="21">
        <v>71696.071660766931</v>
      </c>
      <c r="K34" s="21">
        <v>-4994.071660766931</v>
      </c>
    </row>
    <row r="35" spans="2:11" x14ac:dyDescent="0.2">
      <c r="B35" s="6">
        <v>1991</v>
      </c>
      <c r="C35" s="5">
        <v>117718</v>
      </c>
      <c r="D35" s="4">
        <v>337.74700000000001</v>
      </c>
      <c r="E35" s="5">
        <v>6026300</v>
      </c>
      <c r="F35" s="5">
        <v>8628</v>
      </c>
      <c r="G35" s="4">
        <v>2118</v>
      </c>
      <c r="I35" s="21">
        <v>67762</v>
      </c>
      <c r="J35" s="21">
        <v>71908.685035364062</v>
      </c>
      <c r="K35" s="21">
        <v>-4146.6850353640621</v>
      </c>
    </row>
    <row r="36" spans="2:11" x14ac:dyDescent="0.2">
      <c r="B36" s="6">
        <v>1992</v>
      </c>
      <c r="C36" s="5">
        <v>118492</v>
      </c>
      <c r="D36" s="4">
        <v>345.47699999999998</v>
      </c>
      <c r="E36" s="5">
        <v>6367400</v>
      </c>
      <c r="F36" s="5">
        <v>9613</v>
      </c>
      <c r="G36" s="4">
        <v>1966</v>
      </c>
      <c r="I36" s="21">
        <v>69305</v>
      </c>
      <c r="J36" s="21">
        <v>72422.55754092228</v>
      </c>
      <c r="K36" s="21">
        <v>-3117.5575409222802</v>
      </c>
    </row>
    <row r="37" spans="2:11" x14ac:dyDescent="0.2">
      <c r="B37" s="6">
        <v>1993</v>
      </c>
      <c r="C37" s="5">
        <v>120259</v>
      </c>
      <c r="D37" s="4">
        <v>353.51600000000002</v>
      </c>
      <c r="E37" s="5">
        <v>6689300</v>
      </c>
      <c r="F37" s="5">
        <v>8940</v>
      </c>
      <c r="G37" s="4">
        <v>1760</v>
      </c>
      <c r="I37" s="21">
        <v>71088</v>
      </c>
      <c r="J37" s="21">
        <v>73149.295038197131</v>
      </c>
      <c r="K37" s="21">
        <v>-2061.2950381971314</v>
      </c>
    </row>
    <row r="38" spans="2:11" x14ac:dyDescent="0.2">
      <c r="B38" s="6">
        <v>1994</v>
      </c>
      <c r="C38" s="5">
        <v>123060</v>
      </c>
      <c r="D38" s="4">
        <v>361.02600000000001</v>
      </c>
      <c r="E38" s="5">
        <v>7098400</v>
      </c>
      <c r="F38" s="5">
        <v>7996</v>
      </c>
      <c r="G38" s="4">
        <v>1673</v>
      </c>
      <c r="I38" s="21">
        <v>72895</v>
      </c>
      <c r="J38" s="21">
        <v>73296.998188174955</v>
      </c>
      <c r="K38" s="21">
        <v>-401.99818817495543</v>
      </c>
    </row>
    <row r="39" spans="2:11" x14ac:dyDescent="0.2">
      <c r="B39" s="6">
        <v>1995</v>
      </c>
      <c r="C39" s="5">
        <v>124900</v>
      </c>
      <c r="D39" s="4">
        <v>368.44400000000002</v>
      </c>
      <c r="E39" s="5">
        <v>7433400</v>
      </c>
      <c r="F39" s="5">
        <v>7404</v>
      </c>
      <c r="G39" s="4">
        <v>1579</v>
      </c>
      <c r="I39" s="21">
        <v>74372</v>
      </c>
      <c r="J39" s="21">
        <v>73147.158603874195</v>
      </c>
      <c r="K39" s="21">
        <v>1224.8413961258047</v>
      </c>
    </row>
    <row r="40" spans="2:11" x14ac:dyDescent="0.2">
      <c r="B40" s="6">
        <v>1996</v>
      </c>
      <c r="C40" s="5">
        <v>126708</v>
      </c>
      <c r="D40" s="4">
        <v>375.42899999999997</v>
      </c>
      <c r="E40" s="5">
        <v>7851900</v>
      </c>
      <c r="F40" s="5">
        <v>7236</v>
      </c>
      <c r="G40" s="4">
        <v>1502</v>
      </c>
      <c r="I40" s="21">
        <v>75920</v>
      </c>
      <c r="J40" s="21">
        <v>73943.953776398572</v>
      </c>
      <c r="K40" s="21">
        <v>1976.0462236014282</v>
      </c>
    </row>
    <row r="41" spans="2:11" x14ac:dyDescent="0.2">
      <c r="B41" s="6">
        <v>1997</v>
      </c>
      <c r="C41" s="5">
        <v>129558</v>
      </c>
      <c r="D41" s="4">
        <v>381.66300000000001</v>
      </c>
      <c r="E41" s="5">
        <v>8337300</v>
      </c>
      <c r="F41" s="5">
        <v>6739</v>
      </c>
      <c r="G41" s="4">
        <v>1457</v>
      </c>
      <c r="I41" s="21">
        <v>77902</v>
      </c>
      <c r="J41" s="21">
        <v>75016.623445112142</v>
      </c>
      <c r="K41" s="21">
        <v>2885.3765548878582</v>
      </c>
    </row>
    <row r="42" spans="2:11" x14ac:dyDescent="0.2">
      <c r="B42" s="6">
        <v>1998</v>
      </c>
      <c r="C42" s="5">
        <v>131463</v>
      </c>
      <c r="D42" s="4">
        <v>385.88099999999997</v>
      </c>
      <c r="E42" s="5">
        <v>8768300</v>
      </c>
      <c r="F42" s="5">
        <v>6210</v>
      </c>
      <c r="G42" s="4">
        <v>1423</v>
      </c>
      <c r="I42" s="21">
        <v>78678</v>
      </c>
      <c r="J42" s="21">
        <v>75684.130628673112</v>
      </c>
      <c r="K42" s="21">
        <v>2993.8693713268876</v>
      </c>
    </row>
    <row r="43" spans="2:11" x14ac:dyDescent="0.2">
      <c r="B43" s="6">
        <v>1999</v>
      </c>
      <c r="C43" s="5">
        <v>133488</v>
      </c>
      <c r="D43" s="4">
        <v>391.452</v>
      </c>
      <c r="E43" s="5">
        <v>9302200</v>
      </c>
      <c r="F43" s="5">
        <v>5880</v>
      </c>
      <c r="G43" s="4">
        <v>1380</v>
      </c>
      <c r="I43" s="21">
        <v>79367</v>
      </c>
      <c r="J43" s="21">
        <v>76732.396591167388</v>
      </c>
      <c r="K43" s="21">
        <v>2634.6034088326123</v>
      </c>
    </row>
    <row r="44" spans="2:11" x14ac:dyDescent="0.2">
      <c r="B44" s="6">
        <v>2000</v>
      </c>
      <c r="C44" s="5">
        <v>136891</v>
      </c>
      <c r="D44" s="4">
        <v>399.98599999999999</v>
      </c>
      <c r="E44" s="5">
        <v>9855900</v>
      </c>
      <c r="F44" s="5">
        <v>5692</v>
      </c>
      <c r="G44" s="4">
        <v>1405</v>
      </c>
      <c r="I44" s="21">
        <v>82153</v>
      </c>
      <c r="J44" s="21">
        <v>78608.462386692379</v>
      </c>
      <c r="K44" s="21">
        <v>3544.5376133076206</v>
      </c>
    </row>
    <row r="45" spans="2:11" x14ac:dyDescent="0.2">
      <c r="B45" s="6">
        <v>2001</v>
      </c>
      <c r="C45" s="5">
        <v>136933</v>
      </c>
      <c r="D45" s="4">
        <v>409.58199999999999</v>
      </c>
      <c r="E45" s="5">
        <v>10171600</v>
      </c>
      <c r="F45" s="5">
        <v>6801</v>
      </c>
      <c r="G45" s="4">
        <v>1412</v>
      </c>
      <c r="I45" s="21">
        <v>85064</v>
      </c>
      <c r="J45" s="21">
        <v>80693.227273898374</v>
      </c>
      <c r="K45" s="21">
        <v>4370.7727261016262</v>
      </c>
    </row>
    <row r="46" spans="2:11" x14ac:dyDescent="0.2">
      <c r="B46" s="6">
        <v>2002</v>
      </c>
      <c r="C46" s="5">
        <v>136485</v>
      </c>
      <c r="D46" s="4">
        <v>416.70400000000001</v>
      </c>
      <c r="E46" s="5">
        <v>10500200</v>
      </c>
      <c r="F46" s="5">
        <v>8378</v>
      </c>
      <c r="G46" s="4">
        <v>1425</v>
      </c>
      <c r="I46" s="21">
        <v>86794</v>
      </c>
      <c r="J46" s="21">
        <v>82605.278867695422</v>
      </c>
      <c r="K46" s="21">
        <v>4188.7211323045776</v>
      </c>
    </row>
    <row r="47" spans="2:11" x14ac:dyDescent="0.2">
      <c r="B47" s="6">
        <v>2003</v>
      </c>
      <c r="C47" s="5">
        <v>137736</v>
      </c>
      <c r="D47" s="4">
        <v>425.553</v>
      </c>
      <c r="E47" s="5">
        <v>11017600</v>
      </c>
      <c r="F47" s="5">
        <v>8774</v>
      </c>
      <c r="G47" s="4">
        <v>1423</v>
      </c>
      <c r="I47" s="21">
        <v>85846</v>
      </c>
      <c r="J47" s="21">
        <v>82931.967123738767</v>
      </c>
      <c r="K47" s="21">
        <v>2914.0328762612335</v>
      </c>
    </row>
    <row r="48" spans="2:11" x14ac:dyDescent="0.2">
      <c r="B48" s="6">
        <v>2004</v>
      </c>
      <c r="C48" s="5">
        <v>139252</v>
      </c>
      <c r="D48" s="4">
        <v>437.79500000000002</v>
      </c>
      <c r="E48" s="5">
        <v>11762100</v>
      </c>
      <c r="F48" s="5">
        <v>8149</v>
      </c>
      <c r="G48" s="4">
        <v>1411</v>
      </c>
      <c r="I48" s="21">
        <v>88752</v>
      </c>
      <c r="J48" s="21">
        <v>85270.251357325833</v>
      </c>
      <c r="K48" s="21">
        <v>3481.7486426741671</v>
      </c>
    </row>
    <row r="49" spans="2:11" ht="15.75" thickBot="1" x14ac:dyDescent="0.25">
      <c r="B49" s="8">
        <v>2005</v>
      </c>
      <c r="C49" s="9">
        <v>141730</v>
      </c>
      <c r="D49" s="10">
        <v>451.94600000000003</v>
      </c>
      <c r="E49" s="9">
        <v>12502400</v>
      </c>
      <c r="F49" s="9">
        <v>7591</v>
      </c>
      <c r="G49" s="10">
        <v>1378</v>
      </c>
      <c r="I49" s="21">
        <v>92017</v>
      </c>
      <c r="J49" s="21">
        <v>87748.509290606453</v>
      </c>
      <c r="K49" s="21">
        <v>4268.4907093935471</v>
      </c>
    </row>
    <row r="50" spans="2:11" x14ac:dyDescent="0.2">
      <c r="I50" s="21">
        <v>96048</v>
      </c>
      <c r="J50" s="21">
        <v>90923.941766018281</v>
      </c>
      <c r="K50" s="21">
        <v>5124.0582339817192</v>
      </c>
    </row>
    <row r="51" spans="2:11" x14ac:dyDescent="0.2">
      <c r="I51" s="21">
        <v>98824</v>
      </c>
      <c r="J51" s="21">
        <v>94165.127314655314</v>
      </c>
      <c r="K51" s="21">
        <v>4658.872685344686</v>
      </c>
    </row>
    <row r="52" spans="2:11" x14ac:dyDescent="0.2">
      <c r="I52" s="21">
        <v>99303</v>
      </c>
      <c r="J52" s="21">
        <v>96542.998269127609</v>
      </c>
      <c r="K52" s="21">
        <v>2760.0017308723909</v>
      </c>
    </row>
    <row r="53" spans="2:11" x14ac:dyDescent="0.2">
      <c r="I53" s="21">
        <v>100397</v>
      </c>
      <c r="J53" s="21">
        <v>100079.11332947726</v>
      </c>
      <c r="K53" s="21">
        <v>317.88667052274104</v>
      </c>
    </row>
    <row r="54" spans="2:11" x14ac:dyDescent="0.2">
      <c r="I54" s="21">
        <v>99526</v>
      </c>
      <c r="J54" s="21">
        <v>100874.89286125818</v>
      </c>
      <c r="K54" s="21">
        <v>-1348.8928612581803</v>
      </c>
    </row>
    <row r="55" spans="2:11" x14ac:dyDescent="0.2">
      <c r="I55" s="21">
        <v>100834</v>
      </c>
      <c r="J55" s="21">
        <v>102747.02465083258</v>
      </c>
      <c r="K55" s="21">
        <v>-1913.0246508325799</v>
      </c>
    </row>
    <row r="56" spans="2:11" x14ac:dyDescent="0.2">
      <c r="I56" s="21">
        <v>105005</v>
      </c>
      <c r="J56" s="21">
        <v>106537.82418647344</v>
      </c>
      <c r="K56" s="21">
        <v>-1532.8241864734446</v>
      </c>
    </row>
    <row r="57" spans="2:11" x14ac:dyDescent="0.2">
      <c r="I57" s="21">
        <v>107150</v>
      </c>
      <c r="J57" s="21">
        <v>108310.82968180269</v>
      </c>
      <c r="K57" s="21">
        <v>-1160.8296818026865</v>
      </c>
    </row>
    <row r="58" spans="2:11" x14ac:dyDescent="0.2">
      <c r="I58" s="21">
        <v>109597</v>
      </c>
      <c r="J58" s="21">
        <v>109522.14820033994</v>
      </c>
      <c r="K58" s="21">
        <v>74.851799660056713</v>
      </c>
    </row>
    <row r="59" spans="2:11" x14ac:dyDescent="0.2">
      <c r="I59" s="21">
        <v>112440</v>
      </c>
      <c r="J59" s="21">
        <v>111730.83979120555</v>
      </c>
      <c r="K59" s="21">
        <v>709.16020879444841</v>
      </c>
    </row>
    <row r="60" spans="2:11" x14ac:dyDescent="0.2">
      <c r="I60" s="21">
        <v>114968</v>
      </c>
      <c r="J60" s="21">
        <v>114360.23196366972</v>
      </c>
      <c r="K60" s="21">
        <v>607.76803633027885</v>
      </c>
    </row>
    <row r="61" spans="2:11" x14ac:dyDescent="0.2">
      <c r="I61" s="21">
        <v>117342</v>
      </c>
      <c r="J61" s="21">
        <v>116773.87146896089</v>
      </c>
      <c r="K61" s="21">
        <v>568.12853103911038</v>
      </c>
    </row>
    <row r="62" spans="2:11" x14ac:dyDescent="0.2">
      <c r="I62" s="21">
        <v>118793</v>
      </c>
      <c r="J62" s="21">
        <v>118800.27484939975</v>
      </c>
      <c r="K62" s="21">
        <v>-7.2748493997496553</v>
      </c>
    </row>
    <row r="63" spans="2:11" x14ac:dyDescent="0.2">
      <c r="I63" s="21">
        <v>117718</v>
      </c>
      <c r="J63" s="21">
        <v>119810.87584524292</v>
      </c>
      <c r="K63" s="21">
        <v>-2092.8758452429174</v>
      </c>
    </row>
    <row r="64" spans="2:11" x14ac:dyDescent="0.2">
      <c r="I64" s="21">
        <v>118492</v>
      </c>
      <c r="J64" s="21">
        <v>120647.35255755844</v>
      </c>
      <c r="K64" s="21">
        <v>-2155.3525575584354</v>
      </c>
    </row>
    <row r="65" spans="9:11" x14ac:dyDescent="0.2">
      <c r="I65" s="21">
        <v>120259</v>
      </c>
      <c r="J65" s="21">
        <v>123189.50357056563</v>
      </c>
      <c r="K65" s="21">
        <v>-2930.5035705656337</v>
      </c>
    </row>
    <row r="66" spans="9:11" x14ac:dyDescent="0.2">
      <c r="I66" s="21">
        <v>123060</v>
      </c>
      <c r="J66" s="21">
        <v>125552.64745396399</v>
      </c>
      <c r="K66" s="21">
        <v>-2492.6474539639894</v>
      </c>
    </row>
    <row r="67" spans="9:11" x14ac:dyDescent="0.2">
      <c r="I67" s="21">
        <v>124900</v>
      </c>
      <c r="J67" s="21">
        <v>127647.43718112247</v>
      </c>
      <c r="K67" s="21">
        <v>-2747.4371811224701</v>
      </c>
    </row>
    <row r="68" spans="9:11" x14ac:dyDescent="0.2">
      <c r="I68" s="21">
        <v>126708</v>
      </c>
      <c r="J68" s="21">
        <v>129159.1810942695</v>
      </c>
      <c r="K68" s="21">
        <v>-2451.181094269501</v>
      </c>
    </row>
    <row r="69" spans="9:11" x14ac:dyDescent="0.2">
      <c r="I69" s="21">
        <v>129558</v>
      </c>
      <c r="J69" s="21">
        <v>130688.10754216366</v>
      </c>
      <c r="K69" s="21">
        <v>-1130.1075421636633</v>
      </c>
    </row>
    <row r="70" spans="9:11" x14ac:dyDescent="0.2">
      <c r="I70" s="21">
        <v>131463</v>
      </c>
      <c r="J70" s="21">
        <v>131824.01887234769</v>
      </c>
      <c r="K70" s="21">
        <v>-361.01887234768947</v>
      </c>
    </row>
    <row r="71" spans="9:11" x14ac:dyDescent="0.2">
      <c r="I71" s="21">
        <v>133488</v>
      </c>
      <c r="J71" s="21">
        <v>133012.08348233294</v>
      </c>
      <c r="K71" s="21">
        <v>475.91651766706491</v>
      </c>
    </row>
    <row r="72" spans="9:11" x14ac:dyDescent="0.2">
      <c r="I72" s="21">
        <v>136891</v>
      </c>
      <c r="J72" s="21">
        <v>134568.81316278203</v>
      </c>
      <c r="K72" s="21">
        <v>2322.1868372179742</v>
      </c>
    </row>
    <row r="73" spans="9:11" x14ac:dyDescent="0.2">
      <c r="I73" s="21">
        <v>136933</v>
      </c>
      <c r="J73" s="21">
        <v>135401.1599952917</v>
      </c>
      <c r="K73" s="21">
        <v>1531.8400047082978</v>
      </c>
    </row>
    <row r="74" spans="9:11" x14ac:dyDescent="0.2">
      <c r="I74" s="21">
        <v>136485</v>
      </c>
      <c r="J74" s="21">
        <v>135239.96268634932</v>
      </c>
      <c r="K74" s="21">
        <v>1245.0373136506823</v>
      </c>
    </row>
    <row r="75" spans="9:11" x14ac:dyDescent="0.2">
      <c r="I75" s="21">
        <v>137736</v>
      </c>
      <c r="J75" s="21">
        <v>136416.42928953416</v>
      </c>
      <c r="K75" s="21">
        <v>1319.5707104658359</v>
      </c>
    </row>
    <row r="76" spans="9:11" x14ac:dyDescent="0.2">
      <c r="I76" s="21">
        <v>139252</v>
      </c>
      <c r="J76" s="21">
        <v>139110.25606275836</v>
      </c>
      <c r="K76" s="21">
        <v>141.74393724164111</v>
      </c>
    </row>
    <row r="77" spans="9:11" ht="15.75" thickBot="1" x14ac:dyDescent="0.25">
      <c r="I77" s="22">
        <v>141730</v>
      </c>
      <c r="J77" s="22">
        <v>142208.49790376407</v>
      </c>
      <c r="K77" s="22">
        <v>-478.49790376407327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8223-DCC7-4BBD-843E-48B360220CD1}">
  <dimension ref="A2:W15"/>
  <sheetViews>
    <sheetView workbookViewId="0">
      <selection activeCell="E19" sqref="E19"/>
    </sheetView>
  </sheetViews>
  <sheetFormatPr defaultRowHeight="15" x14ac:dyDescent="0.2"/>
  <sheetData>
    <row r="2" spans="1:23" x14ac:dyDescent="0.2">
      <c r="A2" s="19" t="s">
        <v>9</v>
      </c>
      <c r="G2" s="19" t="s">
        <v>38</v>
      </c>
      <c r="M2" s="19" t="s">
        <v>39</v>
      </c>
      <c r="S2" s="19" t="s">
        <v>40</v>
      </c>
    </row>
    <row r="4" spans="1:23" x14ac:dyDescent="0.2">
      <c r="A4" s="1" t="s">
        <v>12</v>
      </c>
      <c r="B4" s="1">
        <v>0.9996971755188867</v>
      </c>
      <c r="G4" s="1" t="s">
        <v>12</v>
      </c>
      <c r="H4" s="1">
        <v>0.99834722713564039</v>
      </c>
      <c r="M4" s="1" t="s">
        <v>12</v>
      </c>
      <c r="N4" s="1">
        <v>0.9990082439407415</v>
      </c>
      <c r="S4" s="1" t="s">
        <v>12</v>
      </c>
      <c r="T4" s="1">
        <v>0.99258120180168896</v>
      </c>
    </row>
    <row r="5" spans="1:23" x14ac:dyDescent="0.2">
      <c r="A5" s="1" t="s">
        <v>13</v>
      </c>
      <c r="B5" s="1">
        <v>0.99939444274043976</v>
      </c>
      <c r="G5" s="1" t="s">
        <v>13</v>
      </c>
      <c r="H5" s="1">
        <v>0.99669718592942202</v>
      </c>
      <c r="M5" s="1" t="s">
        <v>13</v>
      </c>
      <c r="N5" s="1">
        <v>0.99801747146156417</v>
      </c>
      <c r="S5" s="1" t="s">
        <v>13</v>
      </c>
      <c r="T5" s="1">
        <v>0.98521744217008522</v>
      </c>
    </row>
    <row r="6" spans="1:23" x14ac:dyDescent="0.2">
      <c r="A6" s="1" t="s">
        <v>14</v>
      </c>
      <c r="B6" s="1">
        <v>0.99932059429415188</v>
      </c>
      <c r="G6" s="1" t="s">
        <v>14</v>
      </c>
      <c r="H6" s="1">
        <v>0.99638263220841461</v>
      </c>
      <c r="M6" s="1" t="s">
        <v>14</v>
      </c>
      <c r="N6" s="1">
        <v>0.99782865921980834</v>
      </c>
      <c r="S6" s="1" t="s">
        <v>14</v>
      </c>
      <c r="T6" s="1">
        <v>0.98380957951961723</v>
      </c>
    </row>
    <row r="7" spans="1:23" x14ac:dyDescent="0.2">
      <c r="A7" s="1" t="s">
        <v>15</v>
      </c>
      <c r="B7" s="1">
        <v>639.74440025427407</v>
      </c>
      <c r="G7" s="1" t="s">
        <v>15</v>
      </c>
      <c r="H7" s="1">
        <v>1476.1763117339347</v>
      </c>
      <c r="M7" s="1" t="s">
        <v>15</v>
      </c>
      <c r="N7" s="1">
        <v>1143.6835978111881</v>
      </c>
      <c r="S7" s="1" t="s">
        <v>15</v>
      </c>
      <c r="T7" s="1">
        <v>3122.9926504719715</v>
      </c>
    </row>
    <row r="8" spans="1:23" ht="15.75" thickBot="1" x14ac:dyDescent="0.25">
      <c r="A8" s="1"/>
      <c r="B8" s="1"/>
      <c r="G8" s="1"/>
      <c r="H8" s="1"/>
      <c r="M8" s="1"/>
      <c r="N8" s="1"/>
      <c r="S8" s="1"/>
      <c r="T8" s="1"/>
    </row>
    <row r="9" spans="1:23" x14ac:dyDescent="0.2">
      <c r="B9" s="3" t="s">
        <v>27</v>
      </c>
      <c r="C9" s="3" t="s">
        <v>15</v>
      </c>
      <c r="D9" s="3" t="s">
        <v>28</v>
      </c>
      <c r="E9" s="3" t="s">
        <v>29</v>
      </c>
      <c r="H9" s="3" t="s">
        <v>27</v>
      </c>
      <c r="I9" s="3" t="s">
        <v>15</v>
      </c>
      <c r="J9" s="3" t="s">
        <v>28</v>
      </c>
      <c r="K9" s="3" t="s">
        <v>29</v>
      </c>
      <c r="N9" s="3" t="s">
        <v>27</v>
      </c>
      <c r="O9" s="3" t="s">
        <v>15</v>
      </c>
      <c r="P9" s="3" t="s">
        <v>28</v>
      </c>
      <c r="Q9" s="3" t="s">
        <v>29</v>
      </c>
      <c r="T9" s="3" t="s">
        <v>27</v>
      </c>
      <c r="U9" s="3" t="s">
        <v>15</v>
      </c>
      <c r="V9" s="3" t="s">
        <v>28</v>
      </c>
      <c r="W9" s="3" t="s">
        <v>29</v>
      </c>
    </row>
    <row r="10" spans="1:23" x14ac:dyDescent="0.2">
      <c r="A10" s="1" t="s">
        <v>21</v>
      </c>
      <c r="B10" s="1">
        <v>-6897.0075899386429</v>
      </c>
      <c r="C10" s="1">
        <v>2515.5712183748701</v>
      </c>
      <c r="D10" s="1">
        <v>-2.7417262288420936</v>
      </c>
      <c r="E10" s="1">
        <v>9.0162245854355609E-3</v>
      </c>
      <c r="G10" s="1" t="s">
        <v>21</v>
      </c>
      <c r="H10" s="1">
        <v>-26168.508002953793</v>
      </c>
      <c r="I10" s="1">
        <v>4781.7241211861419</v>
      </c>
      <c r="J10" s="1">
        <v>-5.4726093224429899</v>
      </c>
      <c r="K10" s="1">
        <v>2.2687459995252677E-6</v>
      </c>
      <c r="M10" s="1" t="s">
        <v>21</v>
      </c>
      <c r="N10" s="1">
        <v>-5627.4955826946825</v>
      </c>
      <c r="O10" s="1">
        <v>4490.9891405465278</v>
      </c>
      <c r="P10" s="1">
        <v>-1.2530637252910053</v>
      </c>
      <c r="Q10" s="1">
        <v>0.21711399319812474</v>
      </c>
      <c r="S10" s="1" t="s">
        <v>21</v>
      </c>
      <c r="T10" s="1">
        <v>62499.977682633733</v>
      </c>
      <c r="U10" s="1">
        <v>5589.0243896311677</v>
      </c>
      <c r="V10" s="1">
        <v>11.182627472262336</v>
      </c>
      <c r="W10" s="1">
        <v>3.5954249864888024E-14</v>
      </c>
    </row>
    <row r="11" spans="1:23" x14ac:dyDescent="0.2">
      <c r="A11" s="1" t="s">
        <v>2</v>
      </c>
      <c r="B11" s="1">
        <v>86.775289595955698</v>
      </c>
      <c r="C11" s="1">
        <v>6.4212651236421667</v>
      </c>
      <c r="D11" s="1">
        <v>13.51373723481089</v>
      </c>
      <c r="E11" s="1">
        <v>1.0757178388093567E-16</v>
      </c>
      <c r="G11" s="1" t="s">
        <v>3</v>
      </c>
      <c r="H11" s="1">
        <v>-2.3855244729337061E-4</v>
      </c>
      <c r="I11" s="1">
        <v>2.7974317419961382E-4</v>
      </c>
      <c r="J11" s="1">
        <v>-0.85275520296752227</v>
      </c>
      <c r="K11" s="1">
        <v>0.39863204776797589</v>
      </c>
      <c r="M11" s="1" t="s">
        <v>2</v>
      </c>
      <c r="N11" s="1">
        <v>49.713033325418102</v>
      </c>
      <c r="O11" s="1">
        <v>9.2026764432407351</v>
      </c>
      <c r="P11" s="1">
        <v>5.4020190356612812</v>
      </c>
      <c r="Q11" s="1">
        <v>2.8615732217970834E-6</v>
      </c>
      <c r="S11" s="1" t="s">
        <v>2</v>
      </c>
      <c r="T11" s="1">
        <v>219.88595064505844</v>
      </c>
      <c r="U11" s="1">
        <v>23.295869307175838</v>
      </c>
      <c r="V11" s="1">
        <v>9.4388386089256979</v>
      </c>
      <c r="W11" s="1">
        <v>6.1124743613305825E-12</v>
      </c>
    </row>
    <row r="12" spans="1:23" x14ac:dyDescent="0.2">
      <c r="A12" s="1" t="s">
        <v>3</v>
      </c>
      <c r="B12" s="1">
        <v>-1.4601933615160856E-3</v>
      </c>
      <c r="C12" s="1">
        <v>1.5122848724905799E-4</v>
      </c>
      <c r="D12" s="1">
        <v>-9.6555443228847331</v>
      </c>
      <c r="E12" s="1">
        <v>4.0634225355633976E-12</v>
      </c>
      <c r="G12" s="1" t="s">
        <v>4</v>
      </c>
      <c r="H12" s="1">
        <v>-0.9146081300427209</v>
      </c>
      <c r="I12" s="1">
        <v>0.18601696074987972</v>
      </c>
      <c r="J12" s="1">
        <v>-4.916799663620524</v>
      </c>
      <c r="K12" s="1">
        <v>1.3941024155006089E-5</v>
      </c>
      <c r="M12" s="1" t="s">
        <v>4</v>
      </c>
      <c r="N12" s="1">
        <v>-0.80629969722387473</v>
      </c>
      <c r="O12" s="1">
        <v>0.11203236935451223</v>
      </c>
      <c r="P12" s="1">
        <v>-7.1970244124038967</v>
      </c>
      <c r="Q12" s="1">
        <v>7.6075388223946623E-9</v>
      </c>
      <c r="S12" s="1" t="s">
        <v>3</v>
      </c>
      <c r="T12" s="1">
        <v>-7.9613029081963273E-4</v>
      </c>
      <c r="U12" s="1">
        <v>7.3078831925414136E-4</v>
      </c>
      <c r="V12" s="1">
        <v>-1.089412993946292</v>
      </c>
      <c r="W12" s="1">
        <v>0.28218322804862844</v>
      </c>
    </row>
    <row r="13" spans="1:23" x14ac:dyDescent="0.2">
      <c r="A13" s="1" t="s">
        <v>4</v>
      </c>
      <c r="B13" s="1">
        <v>-1.4108372447920043</v>
      </c>
      <c r="C13" s="1">
        <v>8.8585044680719427E-2</v>
      </c>
      <c r="D13" s="1">
        <v>-15.926359239045162</v>
      </c>
      <c r="E13" s="1">
        <v>3.6739861741789135E-19</v>
      </c>
      <c r="G13" s="1" t="s">
        <v>5</v>
      </c>
      <c r="H13" s="1">
        <v>-0.71533747049909424</v>
      </c>
      <c r="I13" s="1">
        <v>0.79621132640368653</v>
      </c>
      <c r="J13" s="1">
        <v>-0.89842664475789125</v>
      </c>
      <c r="K13" s="1">
        <v>0.37407999641090717</v>
      </c>
      <c r="M13" s="1" t="s">
        <v>5</v>
      </c>
      <c r="N13" s="1">
        <v>-0.16245432204045185</v>
      </c>
      <c r="O13" s="1">
        <v>0.59335968402938699</v>
      </c>
      <c r="P13" s="1">
        <v>-0.27378725992513853</v>
      </c>
      <c r="Q13" s="1">
        <v>0.78559011545318447</v>
      </c>
      <c r="S13" s="1" t="s">
        <v>4</v>
      </c>
      <c r="T13" s="1">
        <v>-0.91270247802796767</v>
      </c>
      <c r="U13" s="1">
        <v>0.42525650879620436</v>
      </c>
      <c r="V13" s="1">
        <v>-2.1462398791063819</v>
      </c>
      <c r="W13" s="1">
        <v>3.7676919307411669E-2</v>
      </c>
    </row>
    <row r="14" spans="1:23" ht="15.75" thickBot="1" x14ac:dyDescent="0.25">
      <c r="A14" s="1" t="s">
        <v>5</v>
      </c>
      <c r="B14" s="1">
        <v>-1.1178873616659277</v>
      </c>
      <c r="C14" s="1">
        <v>0.34634496394784137</v>
      </c>
      <c r="D14" s="1">
        <v>-3.2276703230316888</v>
      </c>
      <c r="E14" s="1">
        <v>2.4566848208006113E-3</v>
      </c>
      <c r="G14" s="2" t="s">
        <v>6</v>
      </c>
      <c r="H14" s="2">
        <v>0.78287858325241388</v>
      </c>
      <c r="I14" s="2">
        <v>3.3543049238558442E-2</v>
      </c>
      <c r="J14" s="2">
        <v>23.339517456644295</v>
      </c>
      <c r="K14" s="2">
        <v>1.1326199623484155E-25</v>
      </c>
      <c r="M14" s="2" t="s">
        <v>6</v>
      </c>
      <c r="N14" s="2">
        <v>0.57924667367626193</v>
      </c>
      <c r="O14" s="2">
        <v>3.4615441096035378E-2</v>
      </c>
      <c r="P14" s="2">
        <v>16.73376549122192</v>
      </c>
      <c r="Q14" s="2">
        <v>3.4620648004822595E-20</v>
      </c>
      <c r="S14" s="2" t="s">
        <v>5</v>
      </c>
      <c r="T14" s="2">
        <v>-2.0219098479299955</v>
      </c>
      <c r="U14" s="2">
        <v>1.6847154881919788</v>
      </c>
      <c r="V14" s="2">
        <v>-1.2001491421556827</v>
      </c>
      <c r="W14" s="2">
        <v>0.23680734736235909</v>
      </c>
    </row>
    <row r="15" spans="1:23" ht="15.75" thickBot="1" x14ac:dyDescent="0.25">
      <c r="A15" s="2" t="s">
        <v>6</v>
      </c>
      <c r="B15" s="2">
        <v>0.60601510578455842</v>
      </c>
      <c r="C15" s="2">
        <v>1.9560364813003682E-2</v>
      </c>
      <c r="D15" s="2">
        <v>30.981789530923322</v>
      </c>
      <c r="E15" s="2">
        <v>4.527597964871486E-30</v>
      </c>
      <c r="P1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B420-49EA-4840-AEE6-4D7926745F10}">
  <dimension ref="A1:V51"/>
  <sheetViews>
    <sheetView tabSelected="1" topLeftCell="A28" workbookViewId="0">
      <selection activeCell="I29" sqref="I29"/>
    </sheetView>
  </sheetViews>
  <sheetFormatPr defaultRowHeight="15" x14ac:dyDescent="0.2"/>
  <cols>
    <col min="3" max="3" width="11.1640625" customWidth="1"/>
  </cols>
  <sheetData>
    <row r="1" spans="1:22" ht="15.75" thickBot="1" x14ac:dyDescent="0.25"/>
    <row r="2" spans="1:22" ht="15.75" thickBot="1" x14ac:dyDescent="0.25">
      <c r="A2" s="27" t="s">
        <v>42</v>
      </c>
      <c r="B2" s="28" t="s">
        <v>2</v>
      </c>
      <c r="C2" s="28" t="s">
        <v>3</v>
      </c>
      <c r="D2" s="28" t="s">
        <v>4</v>
      </c>
      <c r="E2" s="28" t="s">
        <v>5</v>
      </c>
      <c r="F2" s="29" t="s">
        <v>6</v>
      </c>
      <c r="I2" s="24"/>
      <c r="J2" s="24"/>
      <c r="K2" s="25"/>
      <c r="L2" s="24"/>
      <c r="M2" s="24"/>
      <c r="N2" s="25"/>
      <c r="O2" s="24"/>
    </row>
    <row r="3" spans="1:22" x14ac:dyDescent="0.2">
      <c r="A3" s="27"/>
      <c r="B3" s="30">
        <v>82.908000000000001</v>
      </c>
      <c r="C3" s="31">
        <v>509300</v>
      </c>
      <c r="D3" s="31">
        <v>3740</v>
      </c>
      <c r="E3" s="30">
        <v>2552</v>
      </c>
      <c r="F3" s="32">
        <v>120287</v>
      </c>
      <c r="I3" s="24"/>
      <c r="J3" s="24"/>
      <c r="K3" s="24"/>
      <c r="L3" s="24"/>
      <c r="M3" s="24"/>
      <c r="N3" s="24"/>
      <c r="O3" s="24"/>
    </row>
    <row r="4" spans="1:22" x14ac:dyDescent="0.2">
      <c r="A4" s="27"/>
      <c r="B4" s="33">
        <v>84.073999999999998</v>
      </c>
      <c r="C4" s="34">
        <v>529500</v>
      </c>
      <c r="D4" s="34">
        <v>3852</v>
      </c>
      <c r="E4" s="33">
        <v>2514</v>
      </c>
      <c r="F4" s="35">
        <v>121836</v>
      </c>
      <c r="H4" s="24"/>
      <c r="I4" s="24"/>
      <c r="J4" s="24"/>
      <c r="K4" s="24"/>
      <c r="L4" s="24"/>
      <c r="M4" s="24"/>
      <c r="N4" s="24"/>
      <c r="O4" s="24"/>
    </row>
    <row r="5" spans="1:22" ht="17.25" x14ac:dyDescent="0.2">
      <c r="A5" s="27"/>
      <c r="B5" s="33">
        <v>85.015000000000001</v>
      </c>
      <c r="C5" s="34">
        <v>548200</v>
      </c>
      <c r="D5" s="34">
        <v>4714</v>
      </c>
      <c r="E5" s="33">
        <v>2573</v>
      </c>
      <c r="F5" s="35">
        <v>123404</v>
      </c>
      <c r="H5" s="25" t="s">
        <v>46</v>
      </c>
      <c r="I5" s="24"/>
      <c r="J5" s="24"/>
      <c r="K5" s="24"/>
      <c r="L5" s="24"/>
      <c r="M5" s="24"/>
      <c r="N5" s="24"/>
      <c r="O5" s="24"/>
    </row>
    <row r="6" spans="1:22" x14ac:dyDescent="0.2">
      <c r="A6" s="27"/>
      <c r="B6" s="33">
        <v>86.186000000000007</v>
      </c>
      <c r="C6" s="34">
        <v>589700</v>
      </c>
      <c r="D6" s="34">
        <v>3911</v>
      </c>
      <c r="E6" s="33">
        <v>2827</v>
      </c>
      <c r="F6" s="35">
        <v>124864</v>
      </c>
      <c r="I6" s="26"/>
      <c r="J6" s="24"/>
      <c r="K6" s="26"/>
      <c r="L6" s="26"/>
      <c r="M6" s="24"/>
      <c r="N6" s="26"/>
      <c r="O6" s="26"/>
    </row>
    <row r="7" spans="1:22" x14ac:dyDescent="0.2">
      <c r="A7" s="27"/>
      <c r="B7" s="33">
        <v>87.102999999999994</v>
      </c>
      <c r="C7" s="34">
        <v>622200</v>
      </c>
      <c r="D7" s="34">
        <v>4070</v>
      </c>
      <c r="E7" s="33">
        <v>2737</v>
      </c>
      <c r="F7" s="35">
        <v>127274</v>
      </c>
      <c r="H7" s="25" t="s">
        <v>45</v>
      </c>
      <c r="I7" s="1"/>
      <c r="J7" s="24"/>
      <c r="K7" s="1"/>
      <c r="L7" s="1"/>
      <c r="M7" s="24"/>
      <c r="N7" s="1"/>
      <c r="O7" s="1"/>
    </row>
    <row r="8" spans="1:22" x14ac:dyDescent="0.2">
      <c r="A8" s="27"/>
      <c r="B8" s="33">
        <v>88.438000000000002</v>
      </c>
      <c r="C8" s="34">
        <v>668500</v>
      </c>
      <c r="D8" s="34">
        <v>3786</v>
      </c>
      <c r="E8" s="33">
        <v>2738</v>
      </c>
      <c r="F8" s="35">
        <v>129427</v>
      </c>
      <c r="H8" s="1"/>
      <c r="I8" s="1"/>
      <c r="J8" s="24"/>
      <c r="K8" s="1"/>
      <c r="L8" s="1"/>
      <c r="M8" s="24"/>
      <c r="N8" s="1"/>
      <c r="O8" s="1"/>
    </row>
    <row r="9" spans="1:22" x14ac:dyDescent="0.2">
      <c r="A9" s="27"/>
      <c r="B9" s="33">
        <v>90.055000000000007</v>
      </c>
      <c r="C9" s="34">
        <v>724400</v>
      </c>
      <c r="D9" s="34">
        <v>3366</v>
      </c>
      <c r="E9" s="33">
        <v>2722</v>
      </c>
      <c r="F9" s="35">
        <v>131541</v>
      </c>
      <c r="H9" s="1"/>
      <c r="I9" s="1"/>
      <c r="J9" s="24"/>
      <c r="K9" s="1"/>
      <c r="L9" s="1"/>
      <c r="M9" s="24"/>
      <c r="N9" s="1"/>
      <c r="O9" s="1"/>
    </row>
    <row r="10" spans="1:22" x14ac:dyDescent="0.2">
      <c r="A10" s="27"/>
      <c r="B10" s="33">
        <v>92.623999999999995</v>
      </c>
      <c r="C10" s="34">
        <v>792900</v>
      </c>
      <c r="D10" s="34">
        <v>2875</v>
      </c>
      <c r="E10" s="33">
        <v>3123</v>
      </c>
      <c r="F10" s="35">
        <v>133650</v>
      </c>
      <c r="H10" s="19" t="s">
        <v>7</v>
      </c>
      <c r="N10" s="23"/>
      <c r="O10" s="19" t="s">
        <v>43</v>
      </c>
      <c r="Q10" s="23"/>
      <c r="R10" s="23"/>
      <c r="S10" s="23"/>
      <c r="T10" s="23"/>
    </row>
    <row r="11" spans="1:22" ht="15.75" thickBot="1" x14ac:dyDescent="0.25">
      <c r="A11" s="27"/>
      <c r="B11" s="33">
        <v>95.491</v>
      </c>
      <c r="C11" s="34">
        <v>838000</v>
      </c>
      <c r="D11" s="34">
        <v>2975</v>
      </c>
      <c r="E11" s="33">
        <v>3446</v>
      </c>
      <c r="F11" s="35">
        <v>135905</v>
      </c>
      <c r="N11" s="1"/>
      <c r="P11" s="1"/>
      <c r="Q11" s="1"/>
      <c r="R11" s="1"/>
      <c r="S11" s="1"/>
      <c r="T11" s="1"/>
    </row>
    <row r="12" spans="1:22" x14ac:dyDescent="0.2">
      <c r="A12" s="27"/>
      <c r="B12" s="33">
        <v>99.56</v>
      </c>
      <c r="C12" s="34">
        <v>916100</v>
      </c>
      <c r="D12" s="34">
        <v>2817</v>
      </c>
      <c r="E12" s="33">
        <v>3535</v>
      </c>
      <c r="F12" s="35">
        <v>138171</v>
      </c>
      <c r="H12" s="3"/>
      <c r="I12" s="3" t="s">
        <v>2</v>
      </c>
      <c r="J12" s="3" t="s">
        <v>3</v>
      </c>
      <c r="K12" s="3" t="s">
        <v>4</v>
      </c>
      <c r="L12" s="3" t="s">
        <v>5</v>
      </c>
      <c r="M12" s="3" t="s">
        <v>6</v>
      </c>
      <c r="N12" s="1"/>
      <c r="O12" s="3"/>
      <c r="P12" s="3" t="s">
        <v>2</v>
      </c>
      <c r="Q12" s="3" t="s">
        <v>3</v>
      </c>
      <c r="R12" s="3" t="s">
        <v>4</v>
      </c>
      <c r="S12" s="3" t="s">
        <v>5</v>
      </c>
      <c r="T12" s="3" t="s">
        <v>6</v>
      </c>
    </row>
    <row r="13" spans="1:22" x14ac:dyDescent="0.2">
      <c r="A13" s="27"/>
      <c r="B13" s="33">
        <v>104.504</v>
      </c>
      <c r="C13" s="34">
        <v>990700</v>
      </c>
      <c r="D13" s="34">
        <v>2832</v>
      </c>
      <c r="E13" s="33">
        <v>3506</v>
      </c>
      <c r="F13" s="35">
        <v>140461</v>
      </c>
      <c r="H13" s="1" t="s">
        <v>2</v>
      </c>
      <c r="I13" s="1">
        <v>1</v>
      </c>
      <c r="J13" s="1"/>
      <c r="K13" s="1"/>
      <c r="L13" s="1"/>
      <c r="M13" s="1"/>
      <c r="N13" s="1"/>
      <c r="O13" s="1" t="s">
        <v>2</v>
      </c>
      <c r="P13" s="1">
        <f>I13*I13</f>
        <v>1</v>
      </c>
      <c r="Q13" s="1"/>
      <c r="R13" s="1"/>
      <c r="S13" s="1"/>
      <c r="T13" s="1"/>
      <c r="U13" s="24"/>
      <c r="V13" s="24"/>
    </row>
    <row r="14" spans="1:22" x14ac:dyDescent="0.2">
      <c r="A14" s="27"/>
      <c r="B14" s="33">
        <v>110.04600000000001</v>
      </c>
      <c r="C14" s="34">
        <v>1044900</v>
      </c>
      <c r="D14" s="34">
        <v>4093</v>
      </c>
      <c r="E14" s="33">
        <v>3188</v>
      </c>
      <c r="F14" s="35">
        <v>143070</v>
      </c>
      <c r="H14" s="1" t="s">
        <v>3</v>
      </c>
      <c r="I14" s="1">
        <v>0.96938259976454244</v>
      </c>
      <c r="J14" s="1">
        <v>1</v>
      </c>
      <c r="K14" s="1"/>
      <c r="L14" s="1"/>
      <c r="M14" s="1"/>
      <c r="N14" s="24"/>
      <c r="O14" s="1" t="s">
        <v>3</v>
      </c>
      <c r="P14" s="1">
        <f>I14*I14</f>
        <v>0.93970262472626309</v>
      </c>
      <c r="Q14" s="1">
        <f>J14*J14</f>
        <v>1</v>
      </c>
      <c r="R14" s="24"/>
      <c r="S14" s="24"/>
      <c r="T14" s="24"/>
      <c r="U14" s="24"/>
      <c r="V14" s="24"/>
    </row>
    <row r="15" spans="1:22" x14ac:dyDescent="0.2">
      <c r="A15" s="27"/>
      <c r="B15" s="33">
        <v>115.54900000000001</v>
      </c>
      <c r="C15" s="34">
        <v>1134700</v>
      </c>
      <c r="D15" s="34">
        <v>5016</v>
      </c>
      <c r="E15" s="33">
        <v>2816</v>
      </c>
      <c r="F15" s="35">
        <v>145826</v>
      </c>
      <c r="H15" s="1" t="s">
        <v>4</v>
      </c>
      <c r="I15" s="1">
        <v>0.69190191798418188</v>
      </c>
      <c r="J15" s="1">
        <v>0.55252319329444477</v>
      </c>
      <c r="K15" s="1">
        <v>1</v>
      </c>
      <c r="L15" s="1"/>
      <c r="M15" s="1"/>
      <c r="N15" s="23"/>
      <c r="O15" s="1" t="s">
        <v>4</v>
      </c>
      <c r="P15" s="1">
        <f>I15*I15</f>
        <v>0.47872826411018954</v>
      </c>
      <c r="Q15" s="1">
        <f>J15*J15</f>
        <v>0.30528187912829036</v>
      </c>
      <c r="R15" s="1">
        <f>K15*K15</f>
        <v>1</v>
      </c>
      <c r="S15" s="23"/>
      <c r="T15" s="23"/>
      <c r="U15" s="24"/>
      <c r="V15" s="24"/>
    </row>
    <row r="16" spans="1:22" x14ac:dyDescent="0.2">
      <c r="A16" s="27"/>
      <c r="B16" s="33">
        <v>120.556</v>
      </c>
      <c r="C16" s="34">
        <v>1246800</v>
      </c>
      <c r="D16" s="34">
        <v>4882</v>
      </c>
      <c r="E16" s="33">
        <v>2449</v>
      </c>
      <c r="F16" s="35">
        <v>148592</v>
      </c>
      <c r="H16" s="1" t="s">
        <v>5</v>
      </c>
      <c r="I16" s="1">
        <v>-0.86934680551850696</v>
      </c>
      <c r="J16" s="1">
        <v>-0.8554049731551544</v>
      </c>
      <c r="K16" s="1">
        <v>-0.66410666920280514</v>
      </c>
      <c r="L16" s="1">
        <v>1</v>
      </c>
      <c r="M16" s="1"/>
      <c r="N16" s="1"/>
      <c r="O16" s="1" t="s">
        <v>5</v>
      </c>
      <c r="P16" s="1">
        <f>I16*I16</f>
        <v>0.75576386826523279</v>
      </c>
      <c r="Q16" s="1">
        <f>J16*J16</f>
        <v>0.73171766809857042</v>
      </c>
      <c r="R16" s="1">
        <f>K16*K16</f>
        <v>0.44103766807964406</v>
      </c>
      <c r="S16" s="1">
        <f>L16*L16</f>
        <v>1</v>
      </c>
      <c r="T16" s="1"/>
      <c r="V16" s="24"/>
    </row>
    <row r="17" spans="1:22" ht="15.75" thickBot="1" x14ac:dyDescent="0.25">
      <c r="A17" s="27"/>
      <c r="B17" s="33">
        <v>127.307</v>
      </c>
      <c r="C17" s="34">
        <v>1395300</v>
      </c>
      <c r="D17" s="34">
        <v>4365</v>
      </c>
      <c r="E17" s="33">
        <v>2327</v>
      </c>
      <c r="F17" s="35">
        <v>151476</v>
      </c>
      <c r="H17" s="2" t="s">
        <v>6</v>
      </c>
      <c r="I17" s="2">
        <v>0.98902361729858201</v>
      </c>
      <c r="J17" s="2">
        <v>0.96001048039574122</v>
      </c>
      <c r="K17" s="2">
        <v>0.699219571804926</v>
      </c>
      <c r="L17" s="2">
        <v>-0.87095575994669827</v>
      </c>
      <c r="M17" s="2">
        <v>1</v>
      </c>
      <c r="N17" s="1"/>
      <c r="O17" s="2" t="s">
        <v>6</v>
      </c>
      <c r="P17" s="2">
        <f>I17*I17</f>
        <v>0.97816771557437199</v>
      </c>
      <c r="Q17" s="2">
        <f>J17*J17</f>
        <v>0.92162012246966185</v>
      </c>
      <c r="R17" s="2">
        <f>K17*K17</f>
        <v>0.48890800959506409</v>
      </c>
      <c r="S17" s="2">
        <f>L17*L17</f>
        <v>0.75856393578433068</v>
      </c>
      <c r="T17" s="2">
        <f>M17*M17</f>
        <v>1</v>
      </c>
      <c r="U17" s="24"/>
      <c r="V17" s="24"/>
    </row>
    <row r="18" spans="1:22" x14ac:dyDescent="0.2">
      <c r="A18" s="27"/>
      <c r="B18" s="33">
        <v>138.82</v>
      </c>
      <c r="C18" s="34">
        <v>1515500</v>
      </c>
      <c r="D18" s="34">
        <v>5156</v>
      </c>
      <c r="E18" s="33">
        <v>2229</v>
      </c>
      <c r="F18" s="35">
        <v>154378</v>
      </c>
      <c r="U18" s="24"/>
      <c r="V18" s="24"/>
    </row>
    <row r="19" spans="1:22" x14ac:dyDescent="0.2">
      <c r="A19" s="27"/>
      <c r="B19" s="33">
        <v>151.857</v>
      </c>
      <c r="C19" s="34">
        <v>1651300</v>
      </c>
      <c r="D19" s="34">
        <v>7929</v>
      </c>
      <c r="E19" s="33">
        <v>2180</v>
      </c>
      <c r="F19" s="35">
        <v>157344</v>
      </c>
      <c r="U19" s="23"/>
      <c r="V19" s="23"/>
    </row>
    <row r="20" spans="1:22" ht="17.25" x14ac:dyDescent="0.2">
      <c r="A20" s="27"/>
      <c r="B20" s="33">
        <v>160.68</v>
      </c>
      <c r="C20" s="34">
        <v>1842100</v>
      </c>
      <c r="D20" s="34">
        <v>7406</v>
      </c>
      <c r="E20" s="33">
        <v>2144</v>
      </c>
      <c r="F20" s="35">
        <v>160319</v>
      </c>
      <c r="H20" s="19" t="s">
        <v>44</v>
      </c>
      <c r="U20" s="1"/>
      <c r="V20" s="1"/>
    </row>
    <row r="21" spans="1:22" ht="15.75" thickBot="1" x14ac:dyDescent="0.25">
      <c r="A21" s="27"/>
      <c r="B21" s="33">
        <v>170.88399999999999</v>
      </c>
      <c r="C21" s="34">
        <v>2051200</v>
      </c>
      <c r="D21" s="34">
        <v>6991</v>
      </c>
      <c r="E21" s="33">
        <v>2133</v>
      </c>
      <c r="F21" s="35">
        <v>163377</v>
      </c>
      <c r="U21" s="1"/>
      <c r="V21" s="1"/>
    </row>
    <row r="22" spans="1:22" x14ac:dyDescent="0.2">
      <c r="A22" s="27"/>
      <c r="B22" s="33">
        <v>182.863</v>
      </c>
      <c r="C22" s="34">
        <v>2316300</v>
      </c>
      <c r="D22" s="34">
        <v>6202</v>
      </c>
      <c r="E22" s="33">
        <v>2117</v>
      </c>
      <c r="F22" s="35">
        <v>166422</v>
      </c>
      <c r="H22" s="3"/>
      <c r="I22" s="3" t="s">
        <v>2</v>
      </c>
      <c r="J22" s="3" t="s">
        <v>3</v>
      </c>
      <c r="K22" s="3" t="s">
        <v>4</v>
      </c>
      <c r="L22" s="3" t="s">
        <v>5</v>
      </c>
    </row>
    <row r="23" spans="1:22" x14ac:dyDescent="0.2">
      <c r="A23" s="27"/>
      <c r="B23" s="33">
        <v>198.077</v>
      </c>
      <c r="C23" s="34">
        <v>2595300</v>
      </c>
      <c r="D23" s="34">
        <v>6137</v>
      </c>
      <c r="E23" s="33">
        <v>2088</v>
      </c>
      <c r="F23" s="35">
        <v>169440</v>
      </c>
      <c r="H23" s="1" t="s">
        <v>3</v>
      </c>
      <c r="I23">
        <f>1/(1-P14)</f>
        <v>16.58446981249546</v>
      </c>
    </row>
    <row r="24" spans="1:22" x14ac:dyDescent="0.2">
      <c r="A24" s="27"/>
      <c r="B24" s="33">
        <v>216.07300000000001</v>
      </c>
      <c r="C24" s="34">
        <v>2823700</v>
      </c>
      <c r="D24" s="34">
        <v>7637</v>
      </c>
      <c r="E24" s="33">
        <v>2102</v>
      </c>
      <c r="F24" s="35">
        <v>172437</v>
      </c>
      <c r="H24" s="1" t="s">
        <v>4</v>
      </c>
      <c r="I24">
        <f>1/(1-P15)</f>
        <v>1.9183852320191517</v>
      </c>
      <c r="J24">
        <f>1/(1-Q15)</f>
        <v>1.4394327281188988</v>
      </c>
    </row>
    <row r="25" spans="1:22" x14ac:dyDescent="0.2">
      <c r="A25" s="27"/>
      <c r="B25" s="33">
        <v>236.38499999999999</v>
      </c>
      <c r="C25" s="34">
        <v>3161400</v>
      </c>
      <c r="D25" s="34">
        <v>8273</v>
      </c>
      <c r="E25" s="33">
        <v>2142</v>
      </c>
      <c r="F25" s="35">
        <v>174929</v>
      </c>
      <c r="H25" s="1" t="s">
        <v>5</v>
      </c>
      <c r="I25">
        <f>1/(1-P16)</f>
        <v>4.094398289463447</v>
      </c>
      <c r="J25">
        <f>1/(1-Q16)</f>
        <v>3.7274165350829476</v>
      </c>
      <c r="K25">
        <f>1/(1-R16)</f>
        <v>1.7890293189604154</v>
      </c>
    </row>
    <row r="26" spans="1:22" ht="15.75" thickBot="1" x14ac:dyDescent="0.25">
      <c r="A26" s="27"/>
      <c r="B26" s="33">
        <v>250.798</v>
      </c>
      <c r="C26" s="34">
        <v>3291500</v>
      </c>
      <c r="D26" s="34">
        <v>10678</v>
      </c>
      <c r="E26" s="33">
        <v>2179</v>
      </c>
      <c r="F26" s="35">
        <v>177176</v>
      </c>
      <c r="H26" s="2" t="s">
        <v>6</v>
      </c>
      <c r="I26" s="2">
        <f>1/(1-P17)</f>
        <v>45.803727200720303</v>
      </c>
      <c r="J26" s="2">
        <f>1/(1-Q17)</f>
        <v>12.75837665876595</v>
      </c>
      <c r="K26" s="2">
        <f>1/(1-R17)</f>
        <v>1.9565949354982153</v>
      </c>
      <c r="L26" s="2">
        <f>1/(1-S17)</f>
        <v>4.141883290090095</v>
      </c>
    </row>
    <row r="27" spans="1:22" x14ac:dyDescent="0.2">
      <c r="A27" s="27"/>
      <c r="B27" s="33">
        <v>260.68</v>
      </c>
      <c r="C27" s="34">
        <v>3573800</v>
      </c>
      <c r="D27" s="34">
        <v>10717</v>
      </c>
      <c r="E27" s="33">
        <v>2199</v>
      </c>
      <c r="F27" s="35">
        <v>179234</v>
      </c>
    </row>
    <row r="28" spans="1:22" x14ac:dyDescent="0.2">
      <c r="A28" s="27"/>
      <c r="B28" s="33">
        <v>270.49599999999998</v>
      </c>
      <c r="C28" s="34">
        <v>3969500</v>
      </c>
      <c r="D28" s="34">
        <v>8539</v>
      </c>
      <c r="E28" s="33">
        <v>2219</v>
      </c>
      <c r="F28" s="35">
        <v>181192</v>
      </c>
    </row>
    <row r="29" spans="1:22" x14ac:dyDescent="0.2">
      <c r="A29" s="27"/>
      <c r="B29" s="33">
        <v>278.75900000000001</v>
      </c>
      <c r="C29" s="34">
        <v>4246800</v>
      </c>
      <c r="D29" s="34">
        <v>8312</v>
      </c>
      <c r="E29" s="33">
        <v>2234</v>
      </c>
      <c r="F29" s="35">
        <v>183174</v>
      </c>
    </row>
    <row r="30" spans="1:22" x14ac:dyDescent="0.2">
      <c r="A30" s="27"/>
      <c r="B30" s="33">
        <v>284.89499999999998</v>
      </c>
      <c r="C30" s="34">
        <v>4480600</v>
      </c>
      <c r="D30" s="34">
        <v>8237</v>
      </c>
      <c r="E30" s="33">
        <v>2244</v>
      </c>
      <c r="F30" s="35">
        <v>185284</v>
      </c>
    </row>
    <row r="31" spans="1:22" x14ac:dyDescent="0.2">
      <c r="A31" s="27"/>
      <c r="B31" s="33">
        <v>292.69099999999997</v>
      </c>
      <c r="C31" s="34">
        <v>4757400</v>
      </c>
      <c r="D31" s="34">
        <v>7425</v>
      </c>
      <c r="E31" s="33">
        <v>2257</v>
      </c>
      <c r="F31" s="35">
        <v>187419</v>
      </c>
    </row>
    <row r="32" spans="1:22" x14ac:dyDescent="0.2">
      <c r="A32" s="27"/>
      <c r="B32" s="33">
        <v>302.68</v>
      </c>
      <c r="C32" s="34">
        <v>5127400</v>
      </c>
      <c r="D32" s="34">
        <v>6701</v>
      </c>
      <c r="E32" s="33">
        <v>2224</v>
      </c>
      <c r="F32" s="35">
        <v>189233</v>
      </c>
    </row>
    <row r="33" spans="1:16" x14ac:dyDescent="0.2">
      <c r="A33" s="27"/>
      <c r="B33" s="33">
        <v>314.17899999999997</v>
      </c>
      <c r="C33" s="34">
        <v>5510600</v>
      </c>
      <c r="D33" s="34">
        <v>6528</v>
      </c>
      <c r="E33" s="33">
        <v>2208</v>
      </c>
      <c r="F33" s="35">
        <v>190862</v>
      </c>
    </row>
    <row r="34" spans="1:16" x14ac:dyDescent="0.2">
      <c r="A34" s="27"/>
      <c r="B34" s="33">
        <v>326.35700000000003</v>
      </c>
      <c r="C34" s="34">
        <v>5837900</v>
      </c>
      <c r="D34" s="34">
        <v>7047</v>
      </c>
      <c r="E34" s="33">
        <v>2167</v>
      </c>
      <c r="F34" s="35">
        <v>192644</v>
      </c>
      <c r="H34" s="24"/>
      <c r="I34" s="24"/>
      <c r="J34" s="24"/>
      <c r="K34" s="24"/>
      <c r="L34" s="24"/>
      <c r="M34" s="24"/>
      <c r="N34" s="24"/>
      <c r="O34" s="24"/>
      <c r="P34" s="24"/>
    </row>
    <row r="35" spans="1:16" x14ac:dyDescent="0.2">
      <c r="A35" s="27"/>
      <c r="B35" s="33">
        <v>337.74700000000001</v>
      </c>
      <c r="C35" s="34">
        <v>6026300</v>
      </c>
      <c r="D35" s="34">
        <v>8628</v>
      </c>
      <c r="E35" s="33">
        <v>2118</v>
      </c>
      <c r="F35" s="35">
        <v>194936</v>
      </c>
      <c r="H35" s="24"/>
      <c r="I35" s="24"/>
      <c r="J35" s="24"/>
      <c r="K35" s="24"/>
      <c r="L35" s="24"/>
      <c r="M35" s="24"/>
      <c r="N35" s="24"/>
      <c r="O35" s="24"/>
      <c r="P35" s="24"/>
    </row>
    <row r="36" spans="1:16" x14ac:dyDescent="0.2">
      <c r="A36" s="27"/>
      <c r="B36" s="33">
        <v>345.47699999999998</v>
      </c>
      <c r="C36" s="34">
        <v>6367400</v>
      </c>
      <c r="D36" s="34">
        <v>9613</v>
      </c>
      <c r="E36" s="33">
        <v>1966</v>
      </c>
      <c r="F36" s="35">
        <v>197205</v>
      </c>
      <c r="H36" s="26"/>
      <c r="I36" s="26"/>
      <c r="J36" s="24"/>
      <c r="K36" s="24"/>
      <c r="L36" s="24"/>
      <c r="M36" s="24"/>
      <c r="N36" s="24"/>
      <c r="O36" s="24"/>
      <c r="P36" s="24"/>
    </row>
    <row r="37" spans="1:16" x14ac:dyDescent="0.2">
      <c r="A37" s="27"/>
      <c r="B37" s="33">
        <v>353.51600000000002</v>
      </c>
      <c r="C37" s="34">
        <v>6689300</v>
      </c>
      <c r="D37" s="34">
        <v>8940</v>
      </c>
      <c r="E37" s="33">
        <v>1760</v>
      </c>
      <c r="F37" s="35">
        <v>199622</v>
      </c>
      <c r="H37" s="1"/>
      <c r="I37" s="1"/>
      <c r="J37" s="24"/>
      <c r="K37" s="24"/>
      <c r="L37" s="24"/>
      <c r="M37" s="24"/>
      <c r="N37" s="24"/>
      <c r="O37" s="24"/>
      <c r="P37" s="24"/>
    </row>
    <row r="38" spans="1:16" x14ac:dyDescent="0.2">
      <c r="A38" s="27"/>
      <c r="B38" s="33">
        <v>361.02600000000001</v>
      </c>
      <c r="C38" s="34">
        <v>7098400</v>
      </c>
      <c r="D38" s="34">
        <v>7996</v>
      </c>
      <c r="E38" s="33">
        <v>1673</v>
      </c>
      <c r="F38" s="35">
        <v>201970</v>
      </c>
      <c r="H38" s="1"/>
      <c r="I38" s="1"/>
      <c r="J38" s="24"/>
      <c r="K38" s="24"/>
      <c r="L38" s="24"/>
      <c r="M38" s="24"/>
      <c r="N38" s="24"/>
      <c r="O38" s="24"/>
      <c r="P38" s="24"/>
    </row>
    <row r="39" spans="1:16" x14ac:dyDescent="0.2">
      <c r="A39" s="27"/>
      <c r="B39" s="33">
        <v>368.44400000000002</v>
      </c>
      <c r="C39" s="34">
        <v>7433400</v>
      </c>
      <c r="D39" s="34">
        <v>7404</v>
      </c>
      <c r="E39" s="33">
        <v>1579</v>
      </c>
      <c r="F39" s="35">
        <v>204420</v>
      </c>
      <c r="H39" s="1"/>
      <c r="I39" s="1"/>
      <c r="J39" s="24"/>
      <c r="K39" s="24"/>
      <c r="L39" s="24"/>
      <c r="M39" s="24"/>
      <c r="N39" s="24"/>
      <c r="O39" s="24"/>
      <c r="P39" s="24"/>
    </row>
    <row r="40" spans="1:16" x14ac:dyDescent="0.2">
      <c r="A40" s="27"/>
      <c r="B40" s="33">
        <v>375.42899999999997</v>
      </c>
      <c r="C40" s="34">
        <v>7851900</v>
      </c>
      <c r="D40" s="34">
        <v>7236</v>
      </c>
      <c r="E40" s="33">
        <v>1502</v>
      </c>
      <c r="F40" s="35">
        <v>207087</v>
      </c>
      <c r="H40" s="1"/>
      <c r="I40" s="1"/>
      <c r="J40" s="24"/>
      <c r="K40" s="24"/>
      <c r="L40" s="24"/>
      <c r="M40" s="24"/>
      <c r="N40" s="24"/>
      <c r="O40" s="24"/>
      <c r="P40" s="24"/>
    </row>
    <row r="41" spans="1:16" x14ac:dyDescent="0.2">
      <c r="A41" s="27"/>
      <c r="B41" s="33">
        <v>381.66300000000001</v>
      </c>
      <c r="C41" s="34">
        <v>8337300</v>
      </c>
      <c r="D41" s="34">
        <v>6739</v>
      </c>
      <c r="E41" s="33">
        <v>1457</v>
      </c>
      <c r="F41" s="35">
        <v>209846</v>
      </c>
      <c r="H41" s="1"/>
      <c r="I41" s="1"/>
      <c r="J41" s="24"/>
      <c r="K41" s="24"/>
      <c r="L41" s="24"/>
      <c r="M41" s="24"/>
      <c r="N41" s="24"/>
      <c r="O41" s="24"/>
      <c r="P41" s="24"/>
    </row>
    <row r="42" spans="1:16" x14ac:dyDescent="0.2">
      <c r="A42" s="27"/>
      <c r="B42" s="33">
        <v>385.88099999999997</v>
      </c>
      <c r="C42" s="34">
        <v>8768300</v>
      </c>
      <c r="D42" s="34">
        <v>6210</v>
      </c>
      <c r="E42" s="33">
        <v>1423</v>
      </c>
      <c r="F42" s="35">
        <v>212638</v>
      </c>
      <c r="H42" s="24"/>
      <c r="I42" s="24"/>
      <c r="J42" s="24"/>
      <c r="K42" s="24"/>
      <c r="L42" s="24"/>
      <c r="M42" s="24"/>
      <c r="N42" s="24"/>
      <c r="O42" s="24"/>
      <c r="P42" s="24"/>
    </row>
    <row r="43" spans="1:16" x14ac:dyDescent="0.2">
      <c r="A43" s="27"/>
      <c r="B43" s="33">
        <v>391.452</v>
      </c>
      <c r="C43" s="34">
        <v>9302200</v>
      </c>
      <c r="D43" s="34">
        <v>5880</v>
      </c>
      <c r="E43" s="33">
        <v>1380</v>
      </c>
      <c r="F43" s="35">
        <v>215404</v>
      </c>
      <c r="H43" s="24"/>
      <c r="I43" s="24"/>
      <c r="J43" s="24"/>
      <c r="K43" s="24"/>
      <c r="L43" s="24"/>
      <c r="M43" s="24"/>
      <c r="N43" s="24"/>
      <c r="O43" s="24"/>
      <c r="P43" s="24"/>
    </row>
    <row r="44" spans="1:16" x14ac:dyDescent="0.2">
      <c r="A44" s="27"/>
      <c r="B44" s="33">
        <v>399.98599999999999</v>
      </c>
      <c r="C44" s="34">
        <v>9855900</v>
      </c>
      <c r="D44" s="34">
        <v>5692</v>
      </c>
      <c r="E44" s="33">
        <v>1405</v>
      </c>
      <c r="F44" s="35">
        <v>218061</v>
      </c>
      <c r="H44" s="23"/>
      <c r="I44" s="23"/>
      <c r="J44" s="23"/>
      <c r="K44" s="23"/>
      <c r="L44" s="23"/>
      <c r="M44" s="23"/>
      <c r="N44" s="24"/>
      <c r="O44" s="24"/>
      <c r="P44" s="24"/>
    </row>
    <row r="45" spans="1:16" x14ac:dyDescent="0.2">
      <c r="A45" s="27"/>
      <c r="B45" s="33">
        <v>409.58199999999999</v>
      </c>
      <c r="C45" s="34">
        <v>10171600</v>
      </c>
      <c r="D45" s="34">
        <v>6801</v>
      </c>
      <c r="E45" s="33">
        <v>1412</v>
      </c>
      <c r="F45" s="35">
        <v>220800</v>
      </c>
      <c r="H45" s="1"/>
      <c r="I45" s="1"/>
      <c r="J45" s="1"/>
      <c r="K45" s="1"/>
      <c r="L45" s="1"/>
      <c r="M45" s="1"/>
      <c r="N45" s="24"/>
      <c r="O45" s="24"/>
      <c r="P45" s="24"/>
    </row>
    <row r="46" spans="1:16" x14ac:dyDescent="0.2">
      <c r="A46" s="27"/>
      <c r="B46" s="33">
        <v>416.70400000000001</v>
      </c>
      <c r="C46" s="34">
        <v>10500200</v>
      </c>
      <c r="D46" s="34">
        <v>8378</v>
      </c>
      <c r="E46" s="33">
        <v>1425</v>
      </c>
      <c r="F46" s="35">
        <v>223532</v>
      </c>
      <c r="H46" s="1"/>
      <c r="I46" s="1"/>
      <c r="J46" s="1"/>
      <c r="K46" s="1"/>
      <c r="L46" s="1"/>
      <c r="M46" s="1"/>
      <c r="N46" s="24"/>
      <c r="O46" s="24"/>
      <c r="P46" s="24"/>
    </row>
    <row r="47" spans="1:16" x14ac:dyDescent="0.2">
      <c r="A47" s="27"/>
      <c r="B47" s="33">
        <v>425.553</v>
      </c>
      <c r="C47" s="34">
        <v>11017600</v>
      </c>
      <c r="D47" s="34">
        <v>8774</v>
      </c>
      <c r="E47" s="33">
        <v>1423</v>
      </c>
      <c r="F47" s="35">
        <v>226223</v>
      </c>
      <c r="H47" s="1"/>
      <c r="I47" s="1"/>
      <c r="J47" s="1"/>
      <c r="K47" s="1"/>
      <c r="L47" s="1"/>
      <c r="M47" s="1"/>
      <c r="N47" s="24"/>
      <c r="O47" s="24"/>
      <c r="P47" s="24"/>
    </row>
    <row r="48" spans="1:16" x14ac:dyDescent="0.2">
      <c r="A48" s="27"/>
      <c r="B48" s="33">
        <v>437.79500000000002</v>
      </c>
      <c r="C48" s="34">
        <v>11762100</v>
      </c>
      <c r="D48" s="34">
        <v>8149</v>
      </c>
      <c r="E48" s="33">
        <v>1411</v>
      </c>
      <c r="F48" s="35">
        <v>228892</v>
      </c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thickBot="1" x14ac:dyDescent="0.25">
      <c r="A49" s="27"/>
      <c r="B49" s="36">
        <v>451.94600000000003</v>
      </c>
      <c r="C49" s="37">
        <v>12502400</v>
      </c>
      <c r="D49" s="37">
        <v>7591</v>
      </c>
      <c r="E49" s="36">
        <v>1378</v>
      </c>
      <c r="F49" s="38">
        <v>231552</v>
      </c>
      <c r="H49" s="23"/>
      <c r="I49" s="23"/>
      <c r="J49" s="23"/>
      <c r="K49" s="23"/>
      <c r="L49" s="23"/>
      <c r="M49" s="23"/>
      <c r="N49" s="23"/>
      <c r="O49" s="23"/>
      <c r="P49" s="23"/>
    </row>
    <row r="50" spans="1:16" x14ac:dyDescent="0.2"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">
      <c r="H51" s="1"/>
      <c r="I51" s="1"/>
      <c r="J51" s="1"/>
      <c r="K51" s="1"/>
      <c r="L51" s="1"/>
      <c r="M51" s="1"/>
      <c r="N51" s="1"/>
      <c r="O51" s="1"/>
      <c r="P51" s="1"/>
    </row>
  </sheetData>
  <conditionalFormatting sqref="I23:L26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3AEB-A63B-4885-9742-59CB7EE3EBE0}">
  <dimension ref="A1:Q76"/>
  <sheetViews>
    <sheetView topLeftCell="A61" workbookViewId="0">
      <selection activeCell="U17" sqref="U17"/>
    </sheetView>
  </sheetViews>
  <sheetFormatPr defaultRowHeight="15" x14ac:dyDescent="0.2"/>
  <cols>
    <col min="1" max="1" width="11.1640625" customWidth="1"/>
    <col min="4" max="4" width="8.875" customWidth="1"/>
    <col min="9" max="9" width="10.76171875" bestFit="1" customWidth="1"/>
    <col min="10" max="10" width="11.97265625" bestFit="1" customWidth="1"/>
    <col min="11" max="11" width="12.64453125" bestFit="1" customWidth="1"/>
  </cols>
  <sheetData>
    <row r="1" spans="1:14" ht="15.75" thickBot="1" x14ac:dyDescent="0.25"/>
    <row r="2" spans="1:14" ht="15.75" thickBot="1" x14ac:dyDescent="0.25">
      <c r="A2" s="16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8" t="s">
        <v>6</v>
      </c>
      <c r="I2" s="19" t="s">
        <v>47</v>
      </c>
    </row>
    <row r="3" spans="1:14" x14ac:dyDescent="0.2">
      <c r="A3" s="12">
        <v>1959</v>
      </c>
      <c r="B3" s="13">
        <v>64630</v>
      </c>
      <c r="C3" s="14">
        <v>82.908000000000001</v>
      </c>
      <c r="D3" s="13">
        <v>509300</v>
      </c>
      <c r="E3" s="13">
        <v>3740</v>
      </c>
      <c r="F3" s="14">
        <v>2552</v>
      </c>
      <c r="G3" s="15">
        <v>120287</v>
      </c>
    </row>
    <row r="4" spans="1:14" x14ac:dyDescent="0.2">
      <c r="A4" s="6">
        <v>1960</v>
      </c>
      <c r="B4" s="5">
        <v>65778</v>
      </c>
      <c r="C4" s="4">
        <v>84.073999999999998</v>
      </c>
      <c r="D4" s="5">
        <v>529500</v>
      </c>
      <c r="E4" s="5">
        <v>3852</v>
      </c>
      <c r="F4" s="4">
        <v>2514</v>
      </c>
      <c r="G4" s="7">
        <v>121836</v>
      </c>
      <c r="I4" t="s">
        <v>10</v>
      </c>
    </row>
    <row r="5" spans="1:14" ht="15.75" thickBot="1" x14ac:dyDescent="0.25">
      <c r="A5" s="6">
        <v>1961</v>
      </c>
      <c r="B5" s="5">
        <v>65746</v>
      </c>
      <c r="C5" s="4">
        <v>85.015000000000001</v>
      </c>
      <c r="D5" s="5">
        <v>548200</v>
      </c>
      <c r="E5" s="5">
        <v>4714</v>
      </c>
      <c r="F5" s="4">
        <v>2573</v>
      </c>
      <c r="G5" s="7">
        <v>123404</v>
      </c>
    </row>
    <row r="6" spans="1:14" x14ac:dyDescent="0.2">
      <c r="A6" s="6">
        <v>1962</v>
      </c>
      <c r="B6" s="5">
        <v>66702</v>
      </c>
      <c r="C6" s="4">
        <v>86.186000000000007</v>
      </c>
      <c r="D6" s="5">
        <v>589700</v>
      </c>
      <c r="E6" s="5">
        <v>3911</v>
      </c>
      <c r="F6" s="4">
        <v>2827</v>
      </c>
      <c r="G6" s="7">
        <v>124864</v>
      </c>
      <c r="I6" s="20" t="s">
        <v>11</v>
      </c>
      <c r="J6" s="20"/>
    </row>
    <row r="7" spans="1:14" x14ac:dyDescent="0.2">
      <c r="A7" s="6">
        <v>1963</v>
      </c>
      <c r="B7" s="5">
        <v>67762</v>
      </c>
      <c r="C7" s="4">
        <v>87.102999999999994</v>
      </c>
      <c r="D7" s="5">
        <v>622200</v>
      </c>
      <c r="E7" s="5">
        <v>4070</v>
      </c>
      <c r="F7" s="4">
        <v>2737</v>
      </c>
      <c r="G7" s="7">
        <v>127274</v>
      </c>
      <c r="I7" s="1" t="s">
        <v>12</v>
      </c>
      <c r="J7" s="1">
        <v>0.97665768414352006</v>
      </c>
    </row>
    <row r="8" spans="1:14" x14ac:dyDescent="0.2">
      <c r="A8" s="6">
        <v>1964</v>
      </c>
      <c r="B8" s="5">
        <v>69305</v>
      </c>
      <c r="C8" s="4">
        <v>88.438000000000002</v>
      </c>
      <c r="D8" s="5">
        <v>668500</v>
      </c>
      <c r="E8" s="5">
        <v>3786</v>
      </c>
      <c r="F8" s="4">
        <v>2738</v>
      </c>
      <c r="G8" s="7">
        <v>129427</v>
      </c>
      <c r="I8" s="1" t="s">
        <v>13</v>
      </c>
      <c r="J8" s="1">
        <v>0.95386023199658387</v>
      </c>
    </row>
    <row r="9" spans="1:14" x14ac:dyDescent="0.2">
      <c r="A9" s="6">
        <v>1965</v>
      </c>
      <c r="B9" s="5">
        <v>71088</v>
      </c>
      <c r="C9" s="4">
        <v>90.055000000000007</v>
      </c>
      <c r="D9" s="5">
        <v>724400</v>
      </c>
      <c r="E9" s="5">
        <v>3366</v>
      </c>
      <c r="F9" s="4">
        <v>2722</v>
      </c>
      <c r="G9" s="7">
        <v>131541</v>
      </c>
      <c r="I9" s="1" t="s">
        <v>14</v>
      </c>
      <c r="J9" s="1">
        <v>0.95064117841495022</v>
      </c>
    </row>
    <row r="10" spans="1:14" x14ac:dyDescent="0.2">
      <c r="A10" s="6">
        <v>1966</v>
      </c>
      <c r="B10" s="5">
        <v>72895</v>
      </c>
      <c r="C10" s="4">
        <v>92.623999999999995</v>
      </c>
      <c r="D10" s="5">
        <v>792900</v>
      </c>
      <c r="E10" s="5">
        <v>2875</v>
      </c>
      <c r="F10" s="4">
        <v>3123</v>
      </c>
      <c r="G10" s="7">
        <v>133650</v>
      </c>
      <c r="I10" s="1" t="s">
        <v>15</v>
      </c>
      <c r="J10" s="1">
        <v>5452.859272052543</v>
      </c>
    </row>
    <row r="11" spans="1:14" ht="15.75" thickBot="1" x14ac:dyDescent="0.25">
      <c r="A11" s="6">
        <v>1967</v>
      </c>
      <c r="B11" s="5">
        <v>74372</v>
      </c>
      <c r="C11" s="4">
        <v>95.491</v>
      </c>
      <c r="D11" s="5">
        <v>838000</v>
      </c>
      <c r="E11" s="5">
        <v>2975</v>
      </c>
      <c r="F11" s="4">
        <v>3446</v>
      </c>
      <c r="G11" s="7">
        <v>135905</v>
      </c>
      <c r="I11" s="2" t="s">
        <v>16</v>
      </c>
      <c r="J11" s="2">
        <v>47</v>
      </c>
    </row>
    <row r="12" spans="1:14" x14ac:dyDescent="0.2">
      <c r="A12" s="6">
        <v>1968</v>
      </c>
      <c r="B12" s="5">
        <v>75920</v>
      </c>
      <c r="C12" s="4">
        <v>99.56</v>
      </c>
      <c r="D12" s="5">
        <v>916100</v>
      </c>
      <c r="E12" s="5">
        <v>2817</v>
      </c>
      <c r="F12" s="4">
        <v>3535</v>
      </c>
      <c r="G12" s="7">
        <v>138171</v>
      </c>
    </row>
    <row r="13" spans="1:14" ht="15.75" thickBot="1" x14ac:dyDescent="0.25">
      <c r="A13" s="6">
        <v>1969</v>
      </c>
      <c r="B13" s="5">
        <v>77902</v>
      </c>
      <c r="C13" s="4">
        <v>104.504</v>
      </c>
      <c r="D13" s="5">
        <v>990700</v>
      </c>
      <c r="E13" s="5">
        <v>2832</v>
      </c>
      <c r="F13" s="4">
        <v>3506</v>
      </c>
      <c r="G13" s="7">
        <v>140461</v>
      </c>
      <c r="I13" t="s">
        <v>17</v>
      </c>
    </row>
    <row r="14" spans="1:14" x14ac:dyDescent="0.2">
      <c r="A14" s="6">
        <v>1970</v>
      </c>
      <c r="B14" s="5">
        <v>78678</v>
      </c>
      <c r="C14" s="4">
        <v>110.04600000000001</v>
      </c>
      <c r="D14" s="5">
        <v>1044900</v>
      </c>
      <c r="E14" s="5">
        <v>4093</v>
      </c>
      <c r="F14" s="4">
        <v>3188</v>
      </c>
      <c r="G14" s="7">
        <v>143070</v>
      </c>
      <c r="I14" s="3"/>
      <c r="J14" s="3" t="s">
        <v>22</v>
      </c>
      <c r="K14" s="3" t="s">
        <v>23</v>
      </c>
      <c r="L14" s="3" t="s">
        <v>24</v>
      </c>
      <c r="M14" s="3" t="s">
        <v>25</v>
      </c>
      <c r="N14" s="3" t="s">
        <v>26</v>
      </c>
    </row>
    <row r="15" spans="1:14" x14ac:dyDescent="0.2">
      <c r="A15" s="6">
        <v>1971</v>
      </c>
      <c r="B15" s="5">
        <v>79367</v>
      </c>
      <c r="C15" s="4">
        <v>115.54900000000001</v>
      </c>
      <c r="D15" s="5">
        <v>1134700</v>
      </c>
      <c r="E15" s="5">
        <v>5016</v>
      </c>
      <c r="F15" s="4">
        <v>2816</v>
      </c>
      <c r="G15" s="7">
        <v>145826</v>
      </c>
      <c r="I15" s="1" t="s">
        <v>18</v>
      </c>
      <c r="J15" s="1">
        <v>3</v>
      </c>
      <c r="K15" s="1">
        <v>26431777561.517544</v>
      </c>
      <c r="L15" s="1">
        <v>8810592520.5058479</v>
      </c>
      <c r="M15" s="1">
        <v>296.31697882844674</v>
      </c>
      <c r="N15" s="1">
        <v>9.8619656521981727E-29</v>
      </c>
    </row>
    <row r="16" spans="1:14" x14ac:dyDescent="0.2">
      <c r="A16" s="6">
        <v>1972</v>
      </c>
      <c r="B16" s="5">
        <v>82153</v>
      </c>
      <c r="C16" s="4">
        <v>120.556</v>
      </c>
      <c r="D16" s="5">
        <v>1246800</v>
      </c>
      <c r="E16" s="5">
        <v>4882</v>
      </c>
      <c r="F16" s="4">
        <v>2449</v>
      </c>
      <c r="G16" s="7">
        <v>148592</v>
      </c>
      <c r="I16" s="1" t="s">
        <v>19</v>
      </c>
      <c r="J16" s="1">
        <v>43</v>
      </c>
      <c r="K16" s="1">
        <v>1278547992.3548038</v>
      </c>
      <c r="L16" s="1">
        <v>29733674.240809392</v>
      </c>
      <c r="M16" s="1"/>
      <c r="N16" s="1"/>
    </row>
    <row r="17" spans="1:17" ht="15.75" thickBot="1" x14ac:dyDescent="0.25">
      <c r="A17" s="6">
        <v>1973</v>
      </c>
      <c r="B17" s="5">
        <v>85064</v>
      </c>
      <c r="C17" s="4">
        <v>127.307</v>
      </c>
      <c r="D17" s="5">
        <v>1395300</v>
      </c>
      <c r="E17" s="5">
        <v>4365</v>
      </c>
      <c r="F17" s="4">
        <v>2327</v>
      </c>
      <c r="G17" s="7">
        <v>151476</v>
      </c>
      <c r="I17" s="2" t="s">
        <v>20</v>
      </c>
      <c r="J17" s="2">
        <v>46</v>
      </c>
      <c r="K17" s="2">
        <v>27710325553.872349</v>
      </c>
      <c r="L17" s="2"/>
      <c r="M17" s="2"/>
      <c r="N17" s="2"/>
    </row>
    <row r="18" spans="1:17" ht="15.75" thickBot="1" x14ac:dyDescent="0.25">
      <c r="A18" s="6">
        <v>1974</v>
      </c>
      <c r="B18" s="5">
        <v>86794</v>
      </c>
      <c r="C18" s="4">
        <v>138.82</v>
      </c>
      <c r="D18" s="5">
        <v>1515500</v>
      </c>
      <c r="E18" s="5">
        <v>5156</v>
      </c>
      <c r="F18" s="4">
        <v>2229</v>
      </c>
      <c r="G18" s="7">
        <v>154378</v>
      </c>
    </row>
    <row r="19" spans="1:17" x14ac:dyDescent="0.2">
      <c r="A19" s="6">
        <v>1975</v>
      </c>
      <c r="B19" s="5">
        <v>85846</v>
      </c>
      <c r="C19" s="4">
        <v>151.857</v>
      </c>
      <c r="D19" s="5">
        <v>1651300</v>
      </c>
      <c r="E19" s="5">
        <v>7929</v>
      </c>
      <c r="F19" s="4">
        <v>2180</v>
      </c>
      <c r="G19" s="7">
        <v>157344</v>
      </c>
      <c r="I19" s="3"/>
      <c r="J19" s="3" t="s">
        <v>27</v>
      </c>
      <c r="K19" s="3" t="s">
        <v>15</v>
      </c>
      <c r="L19" s="3" t="s">
        <v>28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</row>
    <row r="20" spans="1:17" x14ac:dyDescent="0.2">
      <c r="A20" s="6">
        <v>1976</v>
      </c>
      <c r="B20" s="5">
        <v>88752</v>
      </c>
      <c r="C20" s="4">
        <v>160.68</v>
      </c>
      <c r="D20" s="5">
        <v>1842100</v>
      </c>
      <c r="E20" s="5">
        <v>7406</v>
      </c>
      <c r="F20" s="4">
        <v>2144</v>
      </c>
      <c r="G20" s="7">
        <v>160319</v>
      </c>
      <c r="I20" s="1" t="s">
        <v>21</v>
      </c>
      <c r="J20" s="1">
        <v>67004.270607801198</v>
      </c>
      <c r="K20" s="1">
        <v>9723.0041157756823</v>
      </c>
      <c r="L20" s="1">
        <v>6.8913136115088163</v>
      </c>
      <c r="M20" s="1">
        <v>1.8491115471838304E-8</v>
      </c>
      <c r="N20" s="1">
        <v>47395.964054456344</v>
      </c>
      <c r="O20" s="1">
        <v>86612.577161146051</v>
      </c>
      <c r="P20" s="1">
        <v>47395.964054456344</v>
      </c>
      <c r="Q20" s="1">
        <v>86612.577161146051</v>
      </c>
    </row>
    <row r="21" spans="1:17" x14ac:dyDescent="0.2">
      <c r="A21" s="6">
        <v>1977</v>
      </c>
      <c r="B21" s="5">
        <v>92017</v>
      </c>
      <c r="C21" s="4">
        <v>170.88399999999999</v>
      </c>
      <c r="D21" s="5">
        <v>2051200</v>
      </c>
      <c r="E21" s="5">
        <v>6991</v>
      </c>
      <c r="F21" s="4">
        <v>2133</v>
      </c>
      <c r="G21" s="7">
        <v>163377</v>
      </c>
      <c r="I21" s="1" t="s">
        <v>3</v>
      </c>
      <c r="J21" s="1">
        <v>5.6977885911884199E-3</v>
      </c>
      <c r="K21" s="1">
        <v>4.302053712090621E-4</v>
      </c>
      <c r="L21" s="1">
        <v>13.244345544025133</v>
      </c>
      <c r="M21" s="1">
        <v>8.9753471153300871E-17</v>
      </c>
      <c r="N21" s="1">
        <v>4.8301967750051938E-3</v>
      </c>
      <c r="O21" s="1">
        <v>6.565380407371646E-3</v>
      </c>
      <c r="P21" s="1">
        <v>4.8301967750051938E-3</v>
      </c>
      <c r="Q21" s="1">
        <v>6.565380407371646E-3</v>
      </c>
    </row>
    <row r="22" spans="1:17" x14ac:dyDescent="0.2">
      <c r="A22" s="6">
        <v>1978</v>
      </c>
      <c r="B22" s="5">
        <v>96048</v>
      </c>
      <c r="C22" s="4">
        <v>182.863</v>
      </c>
      <c r="D22" s="5">
        <v>2316300</v>
      </c>
      <c r="E22" s="5">
        <v>6202</v>
      </c>
      <c r="F22" s="4">
        <v>2117</v>
      </c>
      <c r="G22" s="7">
        <v>166422</v>
      </c>
      <c r="I22" s="1" t="s">
        <v>4</v>
      </c>
      <c r="J22" s="1">
        <v>2.030929627761886</v>
      </c>
      <c r="K22" s="1">
        <v>0.50479503622422994</v>
      </c>
      <c r="L22" s="1">
        <v>4.0232757496049292</v>
      </c>
      <c r="M22" s="1">
        <v>2.2814204237976837E-4</v>
      </c>
      <c r="N22" s="1">
        <v>1.0129134159995543</v>
      </c>
      <c r="O22" s="1">
        <v>3.0489458395242179</v>
      </c>
      <c r="P22" s="1">
        <v>1.0129134159995543</v>
      </c>
      <c r="Q22" s="1">
        <v>3.0489458395242179</v>
      </c>
    </row>
    <row r="23" spans="1:17" ht="15.75" thickBot="1" x14ac:dyDescent="0.25">
      <c r="A23" s="6">
        <v>1979</v>
      </c>
      <c r="B23" s="5">
        <v>98824</v>
      </c>
      <c r="C23" s="4">
        <v>198.077</v>
      </c>
      <c r="D23" s="5">
        <v>2595300</v>
      </c>
      <c r="E23" s="5">
        <v>6137</v>
      </c>
      <c r="F23" s="4">
        <v>2088</v>
      </c>
      <c r="G23" s="7">
        <v>169440</v>
      </c>
      <c r="I23" s="2" t="s">
        <v>5</v>
      </c>
      <c r="J23" s="2">
        <v>-1.3855044213674843</v>
      </c>
      <c r="K23" s="2">
        <v>2.9392181123547383</v>
      </c>
      <c r="L23" s="2">
        <v>-0.4713853713488092</v>
      </c>
      <c r="M23" s="2">
        <v>0.63974856156070592</v>
      </c>
      <c r="N23" s="2">
        <v>-7.3130026603824172</v>
      </c>
      <c r="O23" s="2">
        <v>4.541993817647449</v>
      </c>
      <c r="P23" s="2">
        <v>-7.3130026603824172</v>
      </c>
      <c r="Q23" s="2">
        <v>4.541993817647449</v>
      </c>
    </row>
    <row r="24" spans="1:17" x14ac:dyDescent="0.2">
      <c r="A24" s="6">
        <v>1980</v>
      </c>
      <c r="B24" s="5">
        <v>99303</v>
      </c>
      <c r="C24" s="4">
        <v>216.07300000000001</v>
      </c>
      <c r="D24" s="5">
        <v>2823700</v>
      </c>
      <c r="E24" s="5">
        <v>7637</v>
      </c>
      <c r="F24" s="4">
        <v>2102</v>
      </c>
      <c r="G24" s="7">
        <v>172437</v>
      </c>
    </row>
    <row r="25" spans="1:17" x14ac:dyDescent="0.2">
      <c r="A25" s="6">
        <v>1981</v>
      </c>
      <c r="B25" s="5">
        <v>100397</v>
      </c>
      <c r="C25" s="4">
        <v>236.38499999999999</v>
      </c>
      <c r="D25" s="5">
        <v>3161400</v>
      </c>
      <c r="E25" s="5">
        <v>8273</v>
      </c>
      <c r="F25" s="4">
        <v>2142</v>
      </c>
      <c r="G25" s="7">
        <v>174929</v>
      </c>
    </row>
    <row r="26" spans="1:17" x14ac:dyDescent="0.2">
      <c r="A26" s="6">
        <v>1982</v>
      </c>
      <c r="B26" s="5">
        <v>99526</v>
      </c>
      <c r="C26" s="4">
        <v>250.798</v>
      </c>
      <c r="D26" s="5">
        <v>3291500</v>
      </c>
      <c r="E26" s="5">
        <v>10678</v>
      </c>
      <c r="F26" s="4">
        <v>2179</v>
      </c>
      <c r="G26" s="7">
        <v>177176</v>
      </c>
    </row>
    <row r="27" spans="1:17" x14ac:dyDescent="0.2">
      <c r="A27" s="6">
        <v>1983</v>
      </c>
      <c r="B27" s="5">
        <v>100834</v>
      </c>
      <c r="C27" s="4">
        <v>260.68</v>
      </c>
      <c r="D27" s="5">
        <v>3573800</v>
      </c>
      <c r="E27" s="5">
        <v>10717</v>
      </c>
      <c r="F27" s="4">
        <v>2199</v>
      </c>
      <c r="G27" s="7">
        <v>179234</v>
      </c>
      <c r="I27" s="19" t="s">
        <v>34</v>
      </c>
    </row>
    <row r="28" spans="1:17" ht="15.75" thickBot="1" x14ac:dyDescent="0.25">
      <c r="A28" s="6">
        <v>1984</v>
      </c>
      <c r="B28" s="5">
        <v>105005</v>
      </c>
      <c r="C28" s="4">
        <v>270.49599999999998</v>
      </c>
      <c r="D28" s="5">
        <v>3969500</v>
      </c>
      <c r="E28" s="5">
        <v>8539</v>
      </c>
      <c r="F28" s="4">
        <v>2219</v>
      </c>
      <c r="G28" s="7">
        <v>181192</v>
      </c>
    </row>
    <row r="29" spans="1:17" x14ac:dyDescent="0.2">
      <c r="A29" s="6">
        <v>1985</v>
      </c>
      <c r="B29" s="5">
        <v>107150</v>
      </c>
      <c r="C29" s="4">
        <v>278.75900000000001</v>
      </c>
      <c r="D29" s="5">
        <v>4246800</v>
      </c>
      <c r="E29" s="5">
        <v>8312</v>
      </c>
      <c r="F29" s="4">
        <v>2234</v>
      </c>
      <c r="G29" s="7">
        <v>183174</v>
      </c>
      <c r="I29" s="3" t="s">
        <v>37</v>
      </c>
      <c r="J29" s="3" t="s">
        <v>35</v>
      </c>
      <c r="K29" s="3" t="s">
        <v>36</v>
      </c>
    </row>
    <row r="30" spans="1:17" x14ac:dyDescent="0.2">
      <c r="A30" s="6">
        <v>1986</v>
      </c>
      <c r="B30" s="5">
        <v>109597</v>
      </c>
      <c r="C30" s="4">
        <v>284.89499999999998</v>
      </c>
      <c r="D30" s="5">
        <v>4480600</v>
      </c>
      <c r="E30" s="5">
        <v>8237</v>
      </c>
      <c r="F30" s="4">
        <v>2244</v>
      </c>
      <c r="G30" s="7">
        <v>185284</v>
      </c>
      <c r="I30" s="1">
        <v>64630</v>
      </c>
      <c r="J30" s="1">
        <v>73966.023861793088</v>
      </c>
      <c r="K30" s="1">
        <v>-9336.0238617930881</v>
      </c>
    </row>
    <row r="31" spans="1:17" x14ac:dyDescent="0.2">
      <c r="A31" s="6">
        <v>1987</v>
      </c>
      <c r="B31" s="5">
        <v>112440</v>
      </c>
      <c r="C31" s="4">
        <v>292.69099999999997</v>
      </c>
      <c r="D31" s="5">
        <v>4757400</v>
      </c>
      <c r="E31" s="5">
        <v>7425</v>
      </c>
      <c r="F31" s="4">
        <v>2257</v>
      </c>
      <c r="G31" s="7">
        <v>187419</v>
      </c>
      <c r="I31" s="1">
        <v>65778</v>
      </c>
      <c r="J31" s="1">
        <v>74361.232477656406</v>
      </c>
      <c r="K31" s="1">
        <v>-8583.2324776564055</v>
      </c>
    </row>
    <row r="32" spans="1:17" x14ac:dyDescent="0.2">
      <c r="A32" s="6">
        <v>1988</v>
      </c>
      <c r="B32" s="5">
        <v>114968</v>
      </c>
      <c r="C32" s="4">
        <v>302.68</v>
      </c>
      <c r="D32" s="5">
        <v>5127400</v>
      </c>
      <c r="E32" s="5">
        <v>6701</v>
      </c>
      <c r="F32" s="4">
        <v>2224</v>
      </c>
      <c r="G32" s="7">
        <v>189233</v>
      </c>
      <c r="I32" s="1">
        <v>65746</v>
      </c>
      <c r="J32" s="1">
        <v>76136.697702581703</v>
      </c>
      <c r="K32" s="1">
        <v>-10390.697702581703</v>
      </c>
    </row>
    <row r="33" spans="1:11" x14ac:dyDescent="0.2">
      <c r="A33" s="6">
        <v>1989</v>
      </c>
      <c r="B33" s="5">
        <v>117342</v>
      </c>
      <c r="C33" s="4">
        <v>314.17899999999997</v>
      </c>
      <c r="D33" s="5">
        <v>5510600</v>
      </c>
      <c r="E33" s="5">
        <v>6528</v>
      </c>
      <c r="F33" s="4">
        <v>2208</v>
      </c>
      <c r="G33" s="7">
        <v>190862</v>
      </c>
      <c r="I33" s="1">
        <v>66702</v>
      </c>
      <c r="J33" s="1">
        <v>74390.401314995848</v>
      </c>
      <c r="K33" s="1">
        <v>-7688.4013149958482</v>
      </c>
    </row>
    <row r="34" spans="1:11" x14ac:dyDescent="0.2">
      <c r="A34" s="6">
        <v>1990</v>
      </c>
      <c r="B34" s="5">
        <v>118793</v>
      </c>
      <c r="C34" s="4">
        <v>326.35700000000003</v>
      </c>
      <c r="D34" s="5">
        <v>5837900</v>
      </c>
      <c r="E34" s="5">
        <v>7047</v>
      </c>
      <c r="F34" s="4">
        <v>2167</v>
      </c>
      <c r="G34" s="7">
        <v>192644</v>
      </c>
      <c r="I34" s="1">
        <v>67762</v>
      </c>
      <c r="J34" s="1">
        <v>75023.192652946702</v>
      </c>
      <c r="K34" s="1">
        <v>-7261.1926529467019</v>
      </c>
    </row>
    <row r="35" spans="1:11" x14ac:dyDescent="0.2">
      <c r="A35" s="6">
        <v>1991</v>
      </c>
      <c r="B35" s="5">
        <v>117718</v>
      </c>
      <c r="C35" s="4">
        <v>337.74700000000001</v>
      </c>
      <c r="D35" s="5">
        <v>6026300</v>
      </c>
      <c r="E35" s="5">
        <v>8628</v>
      </c>
      <c r="F35" s="4">
        <v>2118</v>
      </c>
      <c r="G35" s="7">
        <v>194936</v>
      </c>
      <c r="I35" s="1">
        <v>69305</v>
      </c>
      <c r="J35" s="1">
        <v>74708.830746012973</v>
      </c>
      <c r="K35" s="1">
        <v>-5403.8307460129727</v>
      </c>
    </row>
    <row r="36" spans="1:11" x14ac:dyDescent="0.2">
      <c r="A36" s="6">
        <v>1992</v>
      </c>
      <c r="B36" s="5">
        <v>118492</v>
      </c>
      <c r="C36" s="4">
        <v>345.47699999999998</v>
      </c>
      <c r="D36" s="5">
        <v>6367400</v>
      </c>
      <c r="E36" s="5">
        <v>9613</v>
      </c>
      <c r="F36" s="4">
        <v>1966</v>
      </c>
      <c r="G36" s="7">
        <v>197205</v>
      </c>
      <c r="I36" s="1">
        <v>71088</v>
      </c>
      <c r="J36" s="1">
        <v>74196.514755342301</v>
      </c>
      <c r="K36" s="1">
        <v>-3108.5147553423012</v>
      </c>
    </row>
    <row r="37" spans="1:11" x14ac:dyDescent="0.2">
      <c r="A37" s="6">
        <v>1993</v>
      </c>
      <c r="B37" s="5">
        <v>120259</v>
      </c>
      <c r="C37" s="4">
        <v>353.51600000000002</v>
      </c>
      <c r="D37" s="5">
        <v>6689300</v>
      </c>
      <c r="E37" s="5">
        <v>8940</v>
      </c>
      <c r="F37" s="4">
        <v>1760</v>
      </c>
      <c r="G37" s="7">
        <v>199622</v>
      </c>
      <c r="I37" s="1">
        <v>72895</v>
      </c>
      <c r="J37" s="1">
        <v>73034.039553639261</v>
      </c>
      <c r="K37" s="1">
        <v>-139.0395536392607</v>
      </c>
    </row>
    <row r="38" spans="1:11" x14ac:dyDescent="0.2">
      <c r="A38" s="6">
        <v>1994</v>
      </c>
      <c r="B38" s="5">
        <v>123060</v>
      </c>
      <c r="C38" s="4">
        <v>361.02600000000001</v>
      </c>
      <c r="D38" s="5">
        <v>7098400</v>
      </c>
      <c r="E38" s="5">
        <v>7996</v>
      </c>
      <c r="F38" s="4">
        <v>1673</v>
      </c>
      <c r="G38" s="7">
        <v>201970</v>
      </c>
      <c r="I38" s="1">
        <v>74372</v>
      </c>
      <c r="J38" s="1">
        <v>73046.584853776352</v>
      </c>
      <c r="K38" s="1">
        <v>1325.4151462236478</v>
      </c>
    </row>
    <row r="39" spans="1:11" x14ac:dyDescent="0.2">
      <c r="A39" s="6">
        <v>1995</v>
      </c>
      <c r="B39" s="5">
        <v>124900</v>
      </c>
      <c r="C39" s="4">
        <v>368.44400000000002</v>
      </c>
      <c r="D39" s="5">
        <v>7433400</v>
      </c>
      <c r="E39" s="5">
        <v>7404</v>
      </c>
      <c r="F39" s="4">
        <v>1579</v>
      </c>
      <c r="G39" s="7">
        <v>204420</v>
      </c>
      <c r="I39" s="1">
        <v>75920</v>
      </c>
      <c r="J39" s="1">
        <v>73047.385368060088</v>
      </c>
      <c r="K39" s="1">
        <v>2872.6146319399122</v>
      </c>
    </row>
    <row r="40" spans="1:11" x14ac:dyDescent="0.2">
      <c r="A40" s="6">
        <v>1996</v>
      </c>
      <c r="B40" s="5">
        <v>126708</v>
      </c>
      <c r="C40" s="4">
        <v>375.42899999999997</v>
      </c>
      <c r="D40" s="5">
        <v>7851900</v>
      </c>
      <c r="E40" s="5">
        <v>7236</v>
      </c>
      <c r="F40" s="4">
        <v>1502</v>
      </c>
      <c r="G40" s="7">
        <v>207087</v>
      </c>
      <c r="I40" s="1">
        <v>77902</v>
      </c>
      <c r="J40" s="1">
        <v>73543.083969598825</v>
      </c>
      <c r="K40" s="1">
        <v>4358.9160304011748</v>
      </c>
    </row>
    <row r="41" spans="1:11" x14ac:dyDescent="0.2">
      <c r="A41" s="6">
        <v>1997</v>
      </c>
      <c r="B41" s="5">
        <v>129558</v>
      </c>
      <c r="C41" s="4">
        <v>381.66300000000001</v>
      </c>
      <c r="D41" s="5">
        <v>8337300</v>
      </c>
      <c r="E41" s="5">
        <v>6739</v>
      </c>
      <c r="F41" s="4">
        <v>1457</v>
      </c>
      <c r="G41" s="7">
        <v>209846</v>
      </c>
      <c r="I41" s="1">
        <v>78678</v>
      </c>
      <c r="J41" s="1">
        <v>76853.496777843844</v>
      </c>
      <c r="K41" s="1">
        <v>1824.503222156156</v>
      </c>
    </row>
    <row r="42" spans="1:11" x14ac:dyDescent="0.2">
      <c r="A42" s="6">
        <v>1998</v>
      </c>
      <c r="B42" s="5">
        <v>131463</v>
      </c>
      <c r="C42" s="4">
        <v>385.88099999999997</v>
      </c>
      <c r="D42" s="5">
        <v>8768300</v>
      </c>
      <c r="E42" s="5">
        <v>6210</v>
      </c>
      <c r="F42" s="4">
        <v>1423</v>
      </c>
      <c r="G42" s="7">
        <v>212638</v>
      </c>
      <c r="I42" s="1">
        <v>79367</v>
      </c>
      <c r="J42" s="1">
        <v>79755.113884505481</v>
      </c>
      <c r="K42" s="1">
        <v>-388.11388450548111</v>
      </c>
    </row>
    <row r="43" spans="1:11" x14ac:dyDescent="0.2">
      <c r="A43" s="6">
        <v>1999</v>
      </c>
      <c r="B43" s="5">
        <v>133488</v>
      </c>
      <c r="C43" s="4">
        <v>391.452</v>
      </c>
      <c r="D43" s="5">
        <v>9302200</v>
      </c>
      <c r="E43" s="5">
        <v>5880</v>
      </c>
      <c r="F43" s="4">
        <v>1380</v>
      </c>
      <c r="G43" s="7">
        <v>215404</v>
      </c>
      <c r="I43" s="1">
        <v>82153</v>
      </c>
      <c r="J43" s="1">
        <v>80630.171538099472</v>
      </c>
      <c r="K43" s="1">
        <v>1522.8284619005281</v>
      </c>
    </row>
    <row r="44" spans="1:11" x14ac:dyDescent="0.2">
      <c r="A44" s="6">
        <v>2000</v>
      </c>
      <c r="B44" s="5">
        <v>136891</v>
      </c>
      <c r="C44" s="4">
        <v>399.98599999999999</v>
      </c>
      <c r="D44" s="5">
        <v>9855900</v>
      </c>
      <c r="E44" s="5">
        <v>5692</v>
      </c>
      <c r="F44" s="4">
        <v>1405</v>
      </c>
      <c r="G44" s="7">
        <v>218061</v>
      </c>
      <c r="I44" s="1">
        <v>85064</v>
      </c>
      <c r="J44" s="1">
        <v>80595.334065744886</v>
      </c>
      <c r="K44" s="1">
        <v>4468.6659342551138</v>
      </c>
    </row>
    <row r="45" spans="1:11" x14ac:dyDescent="0.2">
      <c r="A45" s="6">
        <v>2001</v>
      </c>
      <c r="B45" s="5">
        <v>136933</v>
      </c>
      <c r="C45" s="4">
        <v>409.58199999999999</v>
      </c>
      <c r="D45" s="5">
        <v>10171600</v>
      </c>
      <c r="E45" s="5">
        <v>6801</v>
      </c>
      <c r="F45" s="4">
        <v>1412</v>
      </c>
      <c r="G45" s="7">
        <v>220800</v>
      </c>
      <c r="I45" s="1">
        <v>86794</v>
      </c>
      <c r="J45" s="1">
        <v>83022.453023259412</v>
      </c>
      <c r="K45" s="1">
        <v>3771.5469767405884</v>
      </c>
    </row>
    <row r="46" spans="1:11" x14ac:dyDescent="0.2">
      <c r="A46" s="6">
        <v>2002</v>
      </c>
      <c r="B46" s="5">
        <v>136485</v>
      </c>
      <c r="C46" s="4">
        <v>416.70400000000001</v>
      </c>
      <c r="D46" s="5">
        <v>10500200</v>
      </c>
      <c r="E46" s="5">
        <v>8378</v>
      </c>
      <c r="F46" s="4">
        <v>1425</v>
      </c>
      <c r="G46" s="7">
        <v>223532</v>
      </c>
      <c r="I46" s="1">
        <v>85846</v>
      </c>
      <c r="J46" s="1">
        <v>89495.87028837351</v>
      </c>
      <c r="K46" s="1">
        <v>-3649.8702883735095</v>
      </c>
    </row>
    <row r="47" spans="1:11" x14ac:dyDescent="0.2">
      <c r="A47" s="6">
        <v>2003</v>
      </c>
      <c r="B47" s="5">
        <v>137736</v>
      </c>
      <c r="C47" s="4">
        <v>425.553</v>
      </c>
      <c r="D47" s="5">
        <v>11017600</v>
      </c>
      <c r="E47" s="5">
        <v>8774</v>
      </c>
      <c r="F47" s="4">
        <v>1423</v>
      </c>
      <c r="G47" s="7">
        <v>226223</v>
      </c>
      <c r="I47" s="1">
        <v>88752</v>
      </c>
      <c r="J47" s="1">
        <v>89570.710315422024</v>
      </c>
      <c r="K47" s="1">
        <v>-818.710315422024</v>
      </c>
    </row>
    <row r="48" spans="1:11" x14ac:dyDescent="0.2">
      <c r="A48" s="6">
        <v>2004</v>
      </c>
      <c r="B48" s="5">
        <v>139252</v>
      </c>
      <c r="C48" s="4">
        <v>437.79500000000002</v>
      </c>
      <c r="D48" s="5">
        <v>11762100</v>
      </c>
      <c r="E48" s="5">
        <v>8149</v>
      </c>
      <c r="F48" s="4">
        <v>1411</v>
      </c>
      <c r="G48" s="7">
        <v>228892</v>
      </c>
      <c r="I48" s="1">
        <v>92017</v>
      </c>
      <c r="J48" s="1">
        <v>89934.522662953386</v>
      </c>
      <c r="K48" s="1">
        <v>2082.4773370466137</v>
      </c>
    </row>
    <row r="49" spans="1:11" ht="15.75" thickBot="1" x14ac:dyDescent="0.25">
      <c r="A49" s="8">
        <v>2005</v>
      </c>
      <c r="B49" s="9">
        <v>141730</v>
      </c>
      <c r="C49" s="10">
        <v>451.94600000000003</v>
      </c>
      <c r="D49" s="9">
        <v>12502400</v>
      </c>
      <c r="E49" s="9">
        <v>7591</v>
      </c>
      <c r="F49" s="10">
        <v>1378</v>
      </c>
      <c r="G49" s="11">
        <v>231552</v>
      </c>
      <c r="I49" s="1">
        <v>96048</v>
      </c>
      <c r="J49" s="1">
        <v>89864.771012915196</v>
      </c>
      <c r="K49" s="1">
        <v>6183.2289870848035</v>
      </c>
    </row>
    <row r="50" spans="1:11" x14ac:dyDescent="0.2">
      <c r="I50" s="1">
        <v>98824</v>
      </c>
      <c r="J50" s="1">
        <v>91362.623232271901</v>
      </c>
      <c r="K50" s="1">
        <v>7461.3767677280994</v>
      </c>
    </row>
    <row r="51" spans="1:11" x14ac:dyDescent="0.2">
      <c r="I51" s="1">
        <v>99303</v>
      </c>
      <c r="J51" s="1">
        <v>95690.995526243016</v>
      </c>
      <c r="K51" s="1">
        <v>3612.0044737569842</v>
      </c>
    </row>
    <row r="52" spans="1:11" x14ac:dyDescent="0.2">
      <c r="I52" s="1">
        <v>100397</v>
      </c>
      <c r="J52" s="1">
        <v>98851.389799889206</v>
      </c>
      <c r="K52" s="1">
        <v>1545.6102001107938</v>
      </c>
    </row>
    <row r="53" spans="1:11" x14ac:dyDescent="0.2">
      <c r="I53" s="1">
        <v>99526</v>
      </c>
      <c r="J53" s="1">
        <v>104425.79418677955</v>
      </c>
      <c r="K53" s="1">
        <v>-4899.7941867795453</v>
      </c>
    </row>
    <row r="54" spans="1:11" x14ac:dyDescent="0.2">
      <c r="I54" s="1">
        <v>100834</v>
      </c>
      <c r="J54" s="1">
        <v>106085.7760731274</v>
      </c>
      <c r="K54" s="1">
        <v>-5251.7760731274029</v>
      </c>
    </row>
    <row r="55" spans="1:11" x14ac:dyDescent="0.2">
      <c r="I55" s="1">
        <v>105005</v>
      </c>
      <c r="J55" s="1">
        <v>103889.31620096791</v>
      </c>
      <c r="K55" s="1">
        <v>1115.6837990320928</v>
      </c>
    </row>
    <row r="56" spans="1:11" x14ac:dyDescent="0.2">
      <c r="I56" s="1">
        <v>107150</v>
      </c>
      <c r="J56" s="1">
        <v>104987.50938548203</v>
      </c>
      <c r="K56" s="1">
        <v>2162.4906145179702</v>
      </c>
    </row>
    <row r="57" spans="1:11" x14ac:dyDescent="0.2">
      <c r="I57" s="1">
        <v>109597</v>
      </c>
      <c r="J57" s="1">
        <v>106153.47759180606</v>
      </c>
      <c r="K57" s="1">
        <v>3443.5224081939377</v>
      </c>
    </row>
    <row r="58" spans="1:11" x14ac:dyDescent="0.2">
      <c r="I58" s="1">
        <v>112440</v>
      </c>
      <c r="J58" s="1">
        <v>106063.49905862659</v>
      </c>
      <c r="K58" s="1">
        <v>6376.5009413734078</v>
      </c>
    </row>
    <row r="59" spans="1:11" x14ac:dyDescent="0.2">
      <c r="I59" s="1">
        <v>114968</v>
      </c>
      <c r="J59" s="1">
        <v>106747.00943277183</v>
      </c>
      <c r="K59" s="1">
        <v>8220.9905672281748</v>
      </c>
    </row>
    <row r="60" spans="1:11" x14ac:dyDescent="0.2">
      <c r="I60" s="1">
        <v>117342</v>
      </c>
      <c r="J60" s="1">
        <v>108601.21926605429</v>
      </c>
      <c r="K60" s="1">
        <v>8740.7807339457067</v>
      </c>
    </row>
    <row r="61" spans="1:11" x14ac:dyDescent="0.2">
      <c r="I61" s="1">
        <v>118793</v>
      </c>
      <c r="J61" s="1">
        <v>111576.96363003475</v>
      </c>
      <c r="K61" s="1">
        <v>7216.0363699652517</v>
      </c>
    </row>
    <row r="62" spans="1:11" x14ac:dyDescent="0.2">
      <c r="I62" s="1">
        <v>117718</v>
      </c>
      <c r="J62" s="1">
        <v>115929.21645875319</v>
      </c>
      <c r="K62" s="1">
        <v>1788.7835412468121</v>
      </c>
    </row>
    <row r="63" spans="1:11" x14ac:dyDescent="0.2">
      <c r="I63" s="1">
        <v>118492</v>
      </c>
      <c r="J63" s="1">
        <v>120083.79450260088</v>
      </c>
      <c r="K63" s="1">
        <v>-1591.794502600882</v>
      </c>
    </row>
    <row r="64" spans="1:11" x14ac:dyDescent="0.2">
      <c r="I64" s="1">
        <v>120259</v>
      </c>
      <c r="J64" s="1">
        <v>120836.51092142238</v>
      </c>
      <c r="K64" s="1">
        <v>-577.51092142237758</v>
      </c>
    </row>
    <row r="65" spans="9:11" x14ac:dyDescent="0.2">
      <c r="I65" s="1">
        <v>123060</v>
      </c>
      <c r="J65" s="1">
        <v>121370.81755012932</v>
      </c>
      <c r="K65" s="1">
        <v>1689.1824498706846</v>
      </c>
    </row>
    <row r="66" spans="9:11" x14ac:dyDescent="0.2">
      <c r="I66" s="1">
        <v>124900</v>
      </c>
      <c r="J66" s="1">
        <v>122207.50380415095</v>
      </c>
      <c r="K66" s="1">
        <v>2692.4961958490458</v>
      </c>
    </row>
    <row r="67" spans="9:11" x14ac:dyDescent="0.2">
      <c r="I67" s="1">
        <v>126708</v>
      </c>
      <c r="J67" s="1">
        <v>124357.51599254458</v>
      </c>
      <c r="K67" s="1">
        <v>2350.4840074554231</v>
      </c>
    </row>
    <row r="68" spans="9:11" x14ac:dyDescent="0.2">
      <c r="I68" s="1">
        <v>129558</v>
      </c>
      <c r="J68" s="1">
        <v>126176.19824867135</v>
      </c>
      <c r="K68" s="1">
        <v>3381.8017513286468</v>
      </c>
    </row>
    <row r="69" spans="9:11" x14ac:dyDescent="0.2">
      <c r="I69" s="1">
        <v>131463</v>
      </c>
      <c r="J69" s="1">
        <v>127604.690508714</v>
      </c>
      <c r="K69" s="1">
        <v>3858.309491285996</v>
      </c>
    </row>
    <row r="70" spans="9:11" x14ac:dyDescent="0.2">
      <c r="I70" s="1">
        <v>133488</v>
      </c>
      <c r="J70" s="1">
        <v>130036.10975050689</v>
      </c>
      <c r="K70" s="1">
        <v>3451.8902494931099</v>
      </c>
    </row>
    <row r="71" spans="9:11" x14ac:dyDescent="0.2">
      <c r="I71" s="1">
        <v>136891</v>
      </c>
      <c r="J71" s="1">
        <v>132774.52291289449</v>
      </c>
      <c r="K71" s="1">
        <v>4116.477087105508</v>
      </c>
    </row>
    <row r="72" spans="9:11" x14ac:dyDescent="0.2">
      <c r="I72" s="1">
        <v>136933</v>
      </c>
      <c r="J72" s="1">
        <v>136815.91719737102</v>
      </c>
      <c r="K72" s="1">
        <v>117.08280262898188</v>
      </c>
    </row>
    <row r="73" spans="9:11" x14ac:dyDescent="0.2">
      <c r="I73" s="1">
        <v>136485</v>
      </c>
      <c r="J73" s="1">
        <v>141872.97499393826</v>
      </c>
      <c r="K73" s="1">
        <v>-5387.97499393826</v>
      </c>
    </row>
    <row r="74" spans="9:11" x14ac:dyDescent="0.2">
      <c r="I74" s="1">
        <v>137736</v>
      </c>
      <c r="J74" s="1">
        <v>145628.0299524556</v>
      </c>
      <c r="K74" s="1">
        <v>-7892.0299524556031</v>
      </c>
    </row>
    <row r="75" spans="9:11" x14ac:dyDescent="0.2">
      <c r="I75" s="1">
        <v>139252</v>
      </c>
      <c r="J75" s="1">
        <v>148617.3285943006</v>
      </c>
      <c r="K75" s="1">
        <v>-9365.3285943006049</v>
      </c>
    </row>
    <row r="76" spans="9:11" ht="15.75" thickBot="1" x14ac:dyDescent="0.25">
      <c r="I76" s="2">
        <v>141730</v>
      </c>
      <c r="J76" s="2">
        <v>151747.8644019714</v>
      </c>
      <c r="K76" s="2">
        <v>-10017.864401971397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79E0-CC21-4F9A-BBA6-1FA16DACE0AA}">
  <dimension ref="A1:Q75"/>
  <sheetViews>
    <sheetView topLeftCell="A40" workbookViewId="0">
      <selection activeCell="N51" sqref="N51"/>
    </sheetView>
  </sheetViews>
  <sheetFormatPr defaultRowHeight="15" x14ac:dyDescent="0.2"/>
  <cols>
    <col min="1" max="1" width="11.1640625" customWidth="1"/>
    <col min="4" max="4" width="8.875" customWidth="1"/>
    <col min="9" max="9" width="15.33203125" customWidth="1"/>
    <col min="10" max="10" width="11.97265625" bestFit="1" customWidth="1"/>
    <col min="11" max="11" width="12.64453125" bestFit="1" customWidth="1"/>
    <col min="14" max="14" width="11.296875" customWidth="1"/>
    <col min="15" max="15" width="9.68359375" customWidth="1"/>
    <col min="16" max="16" width="10.625" customWidth="1"/>
    <col min="17" max="17" width="10.4921875" customWidth="1"/>
  </cols>
  <sheetData>
    <row r="1" spans="1:14" ht="15.75" thickBot="1" x14ac:dyDescent="0.25"/>
    <row r="2" spans="1:14" ht="15.75" thickBot="1" x14ac:dyDescent="0.25">
      <c r="A2" s="39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9" t="s">
        <v>6</v>
      </c>
      <c r="I2" s="19" t="s">
        <v>48</v>
      </c>
    </row>
    <row r="3" spans="1:14" x14ac:dyDescent="0.2">
      <c r="A3" s="40">
        <v>1959</v>
      </c>
      <c r="B3" s="31">
        <v>64630</v>
      </c>
      <c r="C3" s="30">
        <v>82.908000000000001</v>
      </c>
      <c r="D3" s="31">
        <v>509300</v>
      </c>
      <c r="E3" s="31">
        <v>3740</v>
      </c>
      <c r="F3" s="30">
        <v>2552</v>
      </c>
      <c r="G3" s="32">
        <v>120287</v>
      </c>
    </row>
    <row r="4" spans="1:14" x14ac:dyDescent="0.2">
      <c r="A4" s="41">
        <v>1960</v>
      </c>
      <c r="B4" s="34">
        <v>65778</v>
      </c>
      <c r="C4" s="33">
        <v>84.073999999999998</v>
      </c>
      <c r="D4" s="34">
        <v>529500</v>
      </c>
      <c r="E4" s="34">
        <v>3852</v>
      </c>
      <c r="F4" s="33">
        <v>2514</v>
      </c>
      <c r="G4" s="35">
        <v>121836</v>
      </c>
      <c r="I4" t="s">
        <v>10</v>
      </c>
    </row>
    <row r="5" spans="1:14" ht="15.75" thickBot="1" x14ac:dyDescent="0.25">
      <c r="A5" s="41">
        <v>1961</v>
      </c>
      <c r="B5" s="34">
        <v>65746</v>
      </c>
      <c r="C5" s="33">
        <v>85.015000000000001</v>
      </c>
      <c r="D5" s="34">
        <v>548200</v>
      </c>
      <c r="E5" s="34">
        <v>4714</v>
      </c>
      <c r="F5" s="33">
        <v>2573</v>
      </c>
      <c r="G5" s="35">
        <v>123404</v>
      </c>
    </row>
    <row r="6" spans="1:14" x14ac:dyDescent="0.2">
      <c r="A6" s="41">
        <v>1962</v>
      </c>
      <c r="B6" s="34">
        <v>66702</v>
      </c>
      <c r="C6" s="33">
        <v>86.186000000000007</v>
      </c>
      <c r="D6" s="34">
        <v>589700</v>
      </c>
      <c r="E6" s="34">
        <v>3911</v>
      </c>
      <c r="F6" s="33">
        <v>2827</v>
      </c>
      <c r="G6" s="35">
        <v>124864</v>
      </c>
      <c r="I6" s="20" t="s">
        <v>11</v>
      </c>
      <c r="J6" s="20"/>
    </row>
    <row r="7" spans="1:14" x14ac:dyDescent="0.2">
      <c r="A7" s="41">
        <v>1963</v>
      </c>
      <c r="B7" s="34">
        <v>67762</v>
      </c>
      <c r="C7" s="33">
        <v>87.102999999999994</v>
      </c>
      <c r="D7" s="34">
        <v>622200</v>
      </c>
      <c r="E7" s="34">
        <v>4070</v>
      </c>
      <c r="F7" s="33">
        <v>2737</v>
      </c>
      <c r="G7" s="35">
        <v>127274</v>
      </c>
      <c r="I7" s="1" t="s">
        <v>12</v>
      </c>
      <c r="J7" s="1">
        <v>0.87500816216305233</v>
      </c>
    </row>
    <row r="8" spans="1:14" x14ac:dyDescent="0.2">
      <c r="A8" s="41">
        <v>1964</v>
      </c>
      <c r="B8" s="34">
        <v>69305</v>
      </c>
      <c r="C8" s="33">
        <v>88.438000000000002</v>
      </c>
      <c r="D8" s="34">
        <v>668500</v>
      </c>
      <c r="E8" s="34">
        <v>3786</v>
      </c>
      <c r="F8" s="33">
        <v>2738</v>
      </c>
      <c r="G8" s="35">
        <v>129427</v>
      </c>
      <c r="I8" s="1" t="s">
        <v>13</v>
      </c>
      <c r="J8" s="1">
        <v>0.76563928385196256</v>
      </c>
    </row>
    <row r="9" spans="1:14" x14ac:dyDescent="0.2">
      <c r="A9" s="41">
        <v>1965</v>
      </c>
      <c r="B9" s="34">
        <v>71088</v>
      </c>
      <c r="C9" s="33">
        <v>90.055000000000007</v>
      </c>
      <c r="D9" s="34">
        <v>724400</v>
      </c>
      <c r="E9" s="34">
        <v>3366</v>
      </c>
      <c r="F9" s="33">
        <v>2722</v>
      </c>
      <c r="G9" s="35">
        <v>131541</v>
      </c>
      <c r="I9" s="1" t="s">
        <v>14</v>
      </c>
      <c r="J9" s="1">
        <v>0.7549865240270518</v>
      </c>
    </row>
    <row r="10" spans="1:14" x14ac:dyDescent="0.2">
      <c r="A10" s="41">
        <v>1966</v>
      </c>
      <c r="B10" s="34">
        <v>72895</v>
      </c>
      <c r="C10" s="33">
        <v>92.623999999999995</v>
      </c>
      <c r="D10" s="34">
        <v>792900</v>
      </c>
      <c r="E10" s="34">
        <v>2875</v>
      </c>
      <c r="F10" s="33">
        <v>3123</v>
      </c>
      <c r="G10" s="35">
        <v>133650</v>
      </c>
      <c r="I10" s="1" t="s">
        <v>15</v>
      </c>
      <c r="J10" s="1">
        <v>12148.897949927194</v>
      </c>
    </row>
    <row r="11" spans="1:14" ht="15.75" thickBot="1" x14ac:dyDescent="0.25">
      <c r="A11" s="41">
        <v>1967</v>
      </c>
      <c r="B11" s="34">
        <v>74372</v>
      </c>
      <c r="C11" s="33">
        <v>95.491</v>
      </c>
      <c r="D11" s="34">
        <v>838000</v>
      </c>
      <c r="E11" s="34">
        <v>2975</v>
      </c>
      <c r="F11" s="33">
        <v>3446</v>
      </c>
      <c r="G11" s="35">
        <v>135905</v>
      </c>
      <c r="I11" s="2" t="s">
        <v>16</v>
      </c>
      <c r="J11" s="2">
        <v>47</v>
      </c>
    </row>
    <row r="12" spans="1:14" x14ac:dyDescent="0.2">
      <c r="A12" s="41">
        <v>1968</v>
      </c>
      <c r="B12" s="34">
        <v>75920</v>
      </c>
      <c r="C12" s="33">
        <v>99.56</v>
      </c>
      <c r="D12" s="34">
        <v>916100</v>
      </c>
      <c r="E12" s="34">
        <v>2817</v>
      </c>
      <c r="F12" s="33">
        <v>3535</v>
      </c>
      <c r="G12" s="35">
        <v>138171</v>
      </c>
    </row>
    <row r="13" spans="1:14" ht="15.75" thickBot="1" x14ac:dyDescent="0.25">
      <c r="A13" s="41">
        <v>1969</v>
      </c>
      <c r="B13" s="34">
        <v>77902</v>
      </c>
      <c r="C13" s="33">
        <v>104.504</v>
      </c>
      <c r="D13" s="34">
        <v>990700</v>
      </c>
      <c r="E13" s="34">
        <v>2832</v>
      </c>
      <c r="F13" s="33">
        <v>3506</v>
      </c>
      <c r="G13" s="35">
        <v>140461</v>
      </c>
      <c r="I13" t="s">
        <v>17</v>
      </c>
    </row>
    <row r="14" spans="1:14" x14ac:dyDescent="0.2">
      <c r="A14" s="41">
        <v>1970</v>
      </c>
      <c r="B14" s="34">
        <v>78678</v>
      </c>
      <c r="C14" s="33">
        <v>110.04600000000001</v>
      </c>
      <c r="D14" s="34">
        <v>1044900</v>
      </c>
      <c r="E14" s="34">
        <v>4093</v>
      </c>
      <c r="F14" s="33">
        <v>3188</v>
      </c>
      <c r="G14" s="35">
        <v>143070</v>
      </c>
      <c r="I14" s="3"/>
      <c r="J14" s="3" t="s">
        <v>22</v>
      </c>
      <c r="K14" s="3" t="s">
        <v>23</v>
      </c>
      <c r="L14" s="3" t="s">
        <v>24</v>
      </c>
      <c r="M14" s="3" t="s">
        <v>25</v>
      </c>
      <c r="N14" s="43" t="s">
        <v>26</v>
      </c>
    </row>
    <row r="15" spans="1:14" x14ac:dyDescent="0.2">
      <c r="A15" s="41">
        <v>1971</v>
      </c>
      <c r="B15" s="34">
        <v>79367</v>
      </c>
      <c r="C15" s="33">
        <v>115.54900000000001</v>
      </c>
      <c r="D15" s="34">
        <v>1134700</v>
      </c>
      <c r="E15" s="34">
        <v>5016</v>
      </c>
      <c r="F15" s="33">
        <v>2816</v>
      </c>
      <c r="G15" s="35">
        <v>145826</v>
      </c>
      <c r="I15" s="1" t="s">
        <v>18</v>
      </c>
      <c r="J15" s="1">
        <v>2</v>
      </c>
      <c r="K15" s="1">
        <v>21216113812.371563</v>
      </c>
      <c r="L15" s="1">
        <v>10608056906.185781</v>
      </c>
      <c r="M15" s="1">
        <v>71.872387666298849</v>
      </c>
      <c r="N15" s="1">
        <v>1.3723533965868636E-14</v>
      </c>
    </row>
    <row r="16" spans="1:14" x14ac:dyDescent="0.2">
      <c r="A16" s="41">
        <v>1972</v>
      </c>
      <c r="B16" s="34">
        <v>82153</v>
      </c>
      <c r="C16" s="33">
        <v>120.556</v>
      </c>
      <c r="D16" s="34">
        <v>1246800</v>
      </c>
      <c r="E16" s="34">
        <v>4882</v>
      </c>
      <c r="F16" s="33">
        <v>2449</v>
      </c>
      <c r="G16" s="35">
        <v>148592</v>
      </c>
      <c r="I16" s="1" t="s">
        <v>19</v>
      </c>
      <c r="J16" s="1">
        <v>44</v>
      </c>
      <c r="K16" s="1">
        <v>6494211741.5007868</v>
      </c>
      <c r="L16" s="1">
        <v>147595721.39774516</v>
      </c>
      <c r="M16" s="1"/>
      <c r="N16" s="1"/>
    </row>
    <row r="17" spans="1:17" ht="15.75" thickBot="1" x14ac:dyDescent="0.25">
      <c r="A17" s="41">
        <v>1973</v>
      </c>
      <c r="B17" s="34">
        <v>85064</v>
      </c>
      <c r="C17" s="33">
        <v>127.307</v>
      </c>
      <c r="D17" s="34">
        <v>1395300</v>
      </c>
      <c r="E17" s="34">
        <v>4365</v>
      </c>
      <c r="F17" s="33">
        <v>2327</v>
      </c>
      <c r="G17" s="35">
        <v>151476</v>
      </c>
      <c r="I17" s="2" t="s">
        <v>20</v>
      </c>
      <c r="J17" s="2">
        <v>46</v>
      </c>
      <c r="K17" s="2">
        <v>27710325553.872349</v>
      </c>
      <c r="L17" s="2"/>
      <c r="M17" s="2"/>
      <c r="N17" s="2"/>
    </row>
    <row r="18" spans="1:17" ht="15.75" thickBot="1" x14ac:dyDescent="0.25">
      <c r="A18" s="41">
        <v>1974</v>
      </c>
      <c r="B18" s="34">
        <v>86794</v>
      </c>
      <c r="C18" s="33">
        <v>138.82</v>
      </c>
      <c r="D18" s="34">
        <v>1515500</v>
      </c>
      <c r="E18" s="34">
        <v>5156</v>
      </c>
      <c r="F18" s="33">
        <v>2229</v>
      </c>
      <c r="G18" s="35">
        <v>154378</v>
      </c>
    </row>
    <row r="19" spans="1:17" x14ac:dyDescent="0.2">
      <c r="A19" s="41">
        <v>1975</v>
      </c>
      <c r="B19" s="34">
        <v>85846</v>
      </c>
      <c r="C19" s="33">
        <v>151.857</v>
      </c>
      <c r="D19" s="34">
        <v>1651300</v>
      </c>
      <c r="E19" s="34">
        <v>7929</v>
      </c>
      <c r="F19" s="33">
        <v>2180</v>
      </c>
      <c r="G19" s="35">
        <v>157344</v>
      </c>
      <c r="I19" s="3"/>
      <c r="J19" s="3" t="s">
        <v>27</v>
      </c>
      <c r="K19" s="3" t="s">
        <v>15</v>
      </c>
      <c r="L19" s="3" t="s">
        <v>28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</row>
    <row r="20" spans="1:17" x14ac:dyDescent="0.2">
      <c r="A20" s="41">
        <v>1976</v>
      </c>
      <c r="B20" s="34">
        <v>88752</v>
      </c>
      <c r="C20" s="33">
        <v>160.68</v>
      </c>
      <c r="D20" s="34">
        <v>1842100</v>
      </c>
      <c r="E20" s="34">
        <v>7406</v>
      </c>
      <c r="F20" s="33">
        <v>2144</v>
      </c>
      <c r="G20" s="35">
        <v>160319</v>
      </c>
      <c r="I20" s="1" t="s">
        <v>21</v>
      </c>
      <c r="J20" s="1">
        <v>160728.17313888285</v>
      </c>
      <c r="K20" s="1">
        <v>14855.784550808008</v>
      </c>
      <c r="L20" s="1">
        <v>10.819231565265317</v>
      </c>
      <c r="M20" s="1">
        <v>5.572321241518006E-14</v>
      </c>
      <c r="N20" s="1">
        <v>130788.30666226176</v>
      </c>
      <c r="O20" s="1">
        <v>190668.03961550395</v>
      </c>
      <c r="P20" s="1">
        <v>130788.30666226176</v>
      </c>
      <c r="Q20" s="1">
        <v>190668.03961550395</v>
      </c>
    </row>
    <row r="21" spans="1:17" x14ac:dyDescent="0.2">
      <c r="A21" s="41">
        <v>1977</v>
      </c>
      <c r="B21" s="34">
        <v>92017</v>
      </c>
      <c r="C21" s="33">
        <v>170.88399999999999</v>
      </c>
      <c r="D21" s="34">
        <v>2051200</v>
      </c>
      <c r="E21" s="34">
        <v>6991</v>
      </c>
      <c r="F21" s="33">
        <v>2133</v>
      </c>
      <c r="G21" s="35">
        <v>163377</v>
      </c>
      <c r="I21" s="1" t="s">
        <v>4</v>
      </c>
      <c r="J21" s="1">
        <v>1.7623439528046319</v>
      </c>
      <c r="K21" s="1">
        <v>1.1237687083933214</v>
      </c>
      <c r="L21" s="1">
        <v>1.5682443723889559</v>
      </c>
      <c r="M21" s="1">
        <v>0.12398855601349003</v>
      </c>
      <c r="N21" s="1">
        <v>-0.50246306326581913</v>
      </c>
      <c r="O21" s="1">
        <v>4.0271509688750831</v>
      </c>
      <c r="P21" s="1">
        <v>-0.50246306326581913</v>
      </c>
      <c r="Q21" s="1">
        <v>4.0271509688750831</v>
      </c>
    </row>
    <row r="22" spans="1:17" ht="15.75" thickBot="1" x14ac:dyDescent="0.25">
      <c r="A22" s="41">
        <v>1978</v>
      </c>
      <c r="B22" s="34">
        <v>96048</v>
      </c>
      <c r="C22" s="33">
        <v>182.863</v>
      </c>
      <c r="D22" s="34">
        <v>2316300</v>
      </c>
      <c r="E22" s="34">
        <v>6202</v>
      </c>
      <c r="F22" s="33">
        <v>2117</v>
      </c>
      <c r="G22" s="35">
        <v>166422</v>
      </c>
      <c r="I22" s="2" t="s">
        <v>5</v>
      </c>
      <c r="J22" s="2">
        <v>-31.899929710341798</v>
      </c>
      <c r="K22" s="2">
        <v>4.0661687388796288</v>
      </c>
      <c r="L22" s="2">
        <v>-7.8452055875898896</v>
      </c>
      <c r="M22" s="2">
        <v>6.7371429177124497E-10</v>
      </c>
      <c r="N22" s="2">
        <v>-40.094754338896699</v>
      </c>
      <c r="O22" s="2">
        <v>-23.705105081786897</v>
      </c>
      <c r="P22" s="2">
        <v>-40.094754338896699</v>
      </c>
      <c r="Q22" s="2">
        <v>-23.705105081786897</v>
      </c>
    </row>
    <row r="23" spans="1:17" x14ac:dyDescent="0.2">
      <c r="A23" s="41">
        <v>1979</v>
      </c>
      <c r="B23" s="34">
        <v>98824</v>
      </c>
      <c r="C23" s="33">
        <v>198.077</v>
      </c>
      <c r="D23" s="34">
        <v>2595300</v>
      </c>
      <c r="E23" s="34">
        <v>6137</v>
      </c>
      <c r="F23" s="33">
        <v>2088</v>
      </c>
      <c r="G23" s="35">
        <v>169440</v>
      </c>
    </row>
    <row r="24" spans="1:17" x14ac:dyDescent="0.2">
      <c r="A24" s="41">
        <v>1980</v>
      </c>
      <c r="B24" s="34">
        <v>99303</v>
      </c>
      <c r="C24" s="33">
        <v>216.07300000000001</v>
      </c>
      <c r="D24" s="34">
        <v>2823700</v>
      </c>
      <c r="E24" s="34">
        <v>7637</v>
      </c>
      <c r="F24" s="33">
        <v>2102</v>
      </c>
      <c r="G24" s="35">
        <v>172437</v>
      </c>
    </row>
    <row r="25" spans="1:17" x14ac:dyDescent="0.2">
      <c r="A25" s="41">
        <v>1981</v>
      </c>
      <c r="B25" s="34">
        <v>100397</v>
      </c>
      <c r="C25" s="33">
        <v>236.38499999999999</v>
      </c>
      <c r="D25" s="34">
        <v>3161400</v>
      </c>
      <c r="E25" s="34">
        <v>8273</v>
      </c>
      <c r="F25" s="33">
        <v>2142</v>
      </c>
      <c r="G25" s="35">
        <v>174929</v>
      </c>
    </row>
    <row r="26" spans="1:17" x14ac:dyDescent="0.2">
      <c r="A26" s="41">
        <v>1982</v>
      </c>
      <c r="B26" s="34">
        <v>99526</v>
      </c>
      <c r="C26" s="33">
        <v>250.798</v>
      </c>
      <c r="D26" s="34">
        <v>3291500</v>
      </c>
      <c r="E26" s="34">
        <v>10678</v>
      </c>
      <c r="F26" s="33">
        <v>2179</v>
      </c>
      <c r="G26" s="35">
        <v>177176</v>
      </c>
      <c r="I26" t="s">
        <v>34</v>
      </c>
    </row>
    <row r="27" spans="1:17" ht="15.75" thickBot="1" x14ac:dyDescent="0.25">
      <c r="A27" s="41">
        <v>1983</v>
      </c>
      <c r="B27" s="34">
        <v>100834</v>
      </c>
      <c r="C27" s="33">
        <v>260.68</v>
      </c>
      <c r="D27" s="34">
        <v>3573800</v>
      </c>
      <c r="E27" s="34">
        <v>10717</v>
      </c>
      <c r="F27" s="33">
        <v>2199</v>
      </c>
      <c r="G27" s="35">
        <v>179234</v>
      </c>
    </row>
    <row r="28" spans="1:17" x14ac:dyDescent="0.2">
      <c r="A28" s="41">
        <v>1984</v>
      </c>
      <c r="B28" s="34">
        <v>105005</v>
      </c>
      <c r="C28" s="33">
        <v>270.49599999999998</v>
      </c>
      <c r="D28" s="34">
        <v>3969500</v>
      </c>
      <c r="E28" s="34">
        <v>8539</v>
      </c>
      <c r="F28" s="33">
        <v>2219</v>
      </c>
      <c r="G28" s="35">
        <v>181192</v>
      </c>
      <c r="I28" s="3" t="s">
        <v>37</v>
      </c>
      <c r="J28" s="3" t="s">
        <v>35</v>
      </c>
      <c r="K28" s="3" t="s">
        <v>36</v>
      </c>
    </row>
    <row r="29" spans="1:17" x14ac:dyDescent="0.2">
      <c r="A29" s="41">
        <v>1985</v>
      </c>
      <c r="B29" s="34">
        <v>107150</v>
      </c>
      <c r="C29" s="33">
        <v>278.75900000000001</v>
      </c>
      <c r="D29" s="34">
        <v>4246800</v>
      </c>
      <c r="E29" s="34">
        <v>8312</v>
      </c>
      <c r="F29" s="33">
        <v>2234</v>
      </c>
      <c r="G29" s="35">
        <v>183174</v>
      </c>
      <c r="I29" s="1">
        <v>64630</v>
      </c>
      <c r="J29" s="1">
        <v>85910.718901579909</v>
      </c>
      <c r="K29" s="1">
        <v>-21280.718901579909</v>
      </c>
    </row>
    <row r="30" spans="1:17" x14ac:dyDescent="0.2">
      <c r="A30" s="41">
        <v>1986</v>
      </c>
      <c r="B30" s="34">
        <v>109597</v>
      </c>
      <c r="C30" s="33">
        <v>284.89499999999998</v>
      </c>
      <c r="D30" s="34">
        <v>4480600</v>
      </c>
      <c r="E30" s="34">
        <v>8237</v>
      </c>
      <c r="F30" s="33">
        <v>2244</v>
      </c>
      <c r="G30" s="35">
        <v>185284</v>
      </c>
      <c r="I30" s="1">
        <v>65778</v>
      </c>
      <c r="J30" s="1">
        <v>87320.298753287017</v>
      </c>
      <c r="K30" s="1">
        <v>-21542.298753287017</v>
      </c>
    </row>
    <row r="31" spans="1:17" x14ac:dyDescent="0.2">
      <c r="A31" s="41">
        <v>1987</v>
      </c>
      <c r="B31" s="34">
        <v>112440</v>
      </c>
      <c r="C31" s="33">
        <v>292.69099999999997</v>
      </c>
      <c r="D31" s="34">
        <v>4757400</v>
      </c>
      <c r="E31" s="34">
        <v>7425</v>
      </c>
      <c r="F31" s="33">
        <v>2257</v>
      </c>
      <c r="G31" s="35">
        <v>187419</v>
      </c>
      <c r="I31" s="1">
        <v>65746</v>
      </c>
      <c r="J31" s="1">
        <v>86957.343387694433</v>
      </c>
      <c r="K31" s="1">
        <v>-21211.343387694433</v>
      </c>
    </row>
    <row r="32" spans="1:17" x14ac:dyDescent="0.2">
      <c r="A32" s="41">
        <v>1988</v>
      </c>
      <c r="B32" s="34">
        <v>114968</v>
      </c>
      <c r="C32" s="33">
        <v>302.68</v>
      </c>
      <c r="D32" s="34">
        <v>5127400</v>
      </c>
      <c r="E32" s="34">
        <v>6701</v>
      </c>
      <c r="F32" s="33">
        <v>2224</v>
      </c>
      <c r="G32" s="35">
        <v>189233</v>
      </c>
      <c r="I32" s="1">
        <v>66702</v>
      </c>
      <c r="J32" s="1">
        <v>77439.59904716551</v>
      </c>
      <c r="K32" s="1">
        <v>-10737.59904716551</v>
      </c>
    </row>
    <row r="33" spans="1:11" x14ac:dyDescent="0.2">
      <c r="A33" s="41">
        <v>1989</v>
      </c>
      <c r="B33" s="34">
        <v>117342</v>
      </c>
      <c r="C33" s="33">
        <v>314.17899999999997</v>
      </c>
      <c r="D33" s="34">
        <v>5510600</v>
      </c>
      <c r="E33" s="34">
        <v>6528</v>
      </c>
      <c r="F33" s="33">
        <v>2208</v>
      </c>
      <c r="G33" s="35">
        <v>190862</v>
      </c>
      <c r="I33" s="1">
        <v>67762</v>
      </c>
      <c r="J33" s="1">
        <v>80590.805409592198</v>
      </c>
      <c r="K33" s="1">
        <v>-12828.805409592198</v>
      </c>
    </row>
    <row r="34" spans="1:11" x14ac:dyDescent="0.2">
      <c r="A34" s="41">
        <v>1990</v>
      </c>
      <c r="B34" s="34">
        <v>118793</v>
      </c>
      <c r="C34" s="33">
        <v>326.35700000000003</v>
      </c>
      <c r="D34" s="34">
        <v>5837900</v>
      </c>
      <c r="E34" s="34">
        <v>7047</v>
      </c>
      <c r="F34" s="33">
        <v>2167</v>
      </c>
      <c r="G34" s="35">
        <v>192644</v>
      </c>
      <c r="I34" s="1">
        <v>69305</v>
      </c>
      <c r="J34" s="1">
        <v>80058.399797285325</v>
      </c>
      <c r="K34" s="1">
        <v>-10753.399797285325</v>
      </c>
    </row>
    <row r="35" spans="1:11" x14ac:dyDescent="0.2">
      <c r="A35" s="41">
        <v>1991</v>
      </c>
      <c r="B35" s="34">
        <v>117718</v>
      </c>
      <c r="C35" s="33">
        <v>337.74700000000001</v>
      </c>
      <c r="D35" s="34">
        <v>6026300</v>
      </c>
      <c r="E35" s="34">
        <v>8628</v>
      </c>
      <c r="F35" s="33">
        <v>2118</v>
      </c>
      <c r="G35" s="35">
        <v>194936</v>
      </c>
      <c r="I35" s="1">
        <v>71088</v>
      </c>
      <c r="J35" s="1">
        <v>79828.614212472865</v>
      </c>
      <c r="K35" s="1">
        <v>-8740.6142124728649</v>
      </c>
    </row>
    <row r="36" spans="1:11" x14ac:dyDescent="0.2">
      <c r="A36" s="41">
        <v>1992</v>
      </c>
      <c r="B36" s="34">
        <v>118492</v>
      </c>
      <c r="C36" s="33">
        <v>345.47699999999998</v>
      </c>
      <c r="D36" s="34">
        <v>6367400</v>
      </c>
      <c r="E36" s="34">
        <v>9613</v>
      </c>
      <c r="F36" s="33">
        <v>1966</v>
      </c>
      <c r="G36" s="35">
        <v>197205</v>
      </c>
      <c r="I36" s="1">
        <v>72895</v>
      </c>
      <c r="J36" s="1">
        <v>66171.43151779873</v>
      </c>
      <c r="K36" s="1">
        <v>6723.5684822012699</v>
      </c>
    </row>
    <row r="37" spans="1:11" x14ac:dyDescent="0.2">
      <c r="A37" s="41">
        <v>1993</v>
      </c>
      <c r="B37" s="34">
        <v>120259</v>
      </c>
      <c r="C37" s="33">
        <v>353.51600000000002</v>
      </c>
      <c r="D37" s="34">
        <v>6689300</v>
      </c>
      <c r="E37" s="34">
        <v>8940</v>
      </c>
      <c r="F37" s="33">
        <v>1760</v>
      </c>
      <c r="G37" s="35">
        <v>199622</v>
      </c>
      <c r="I37" s="1">
        <v>74372</v>
      </c>
      <c r="J37" s="1">
        <v>56043.988616638773</v>
      </c>
      <c r="K37" s="1">
        <v>18328.011383361227</v>
      </c>
    </row>
    <row r="38" spans="1:11" x14ac:dyDescent="0.2">
      <c r="A38" s="41">
        <v>1994</v>
      </c>
      <c r="B38" s="34">
        <v>123060</v>
      </c>
      <c r="C38" s="33">
        <v>361.02600000000001</v>
      </c>
      <c r="D38" s="34">
        <v>7098400</v>
      </c>
      <c r="E38" s="34">
        <v>7996</v>
      </c>
      <c r="F38" s="33">
        <v>1673</v>
      </c>
      <c r="G38" s="35">
        <v>201970</v>
      </c>
      <c r="I38" s="1">
        <v>75920</v>
      </c>
      <c r="J38" s="1">
        <v>52926.444527875239</v>
      </c>
      <c r="K38" s="1">
        <v>22993.555472124761</v>
      </c>
    </row>
    <row r="39" spans="1:11" x14ac:dyDescent="0.2">
      <c r="A39" s="41">
        <v>1995</v>
      </c>
      <c r="B39" s="34">
        <v>124900</v>
      </c>
      <c r="C39" s="33">
        <v>368.44400000000002</v>
      </c>
      <c r="D39" s="34">
        <v>7433400</v>
      </c>
      <c r="E39" s="34">
        <v>7404</v>
      </c>
      <c r="F39" s="33">
        <v>1579</v>
      </c>
      <c r="G39" s="35">
        <v>204420</v>
      </c>
      <c r="I39" s="1">
        <v>77902</v>
      </c>
      <c r="J39" s="1">
        <v>53877.977648767221</v>
      </c>
      <c r="K39" s="1">
        <v>24024.022351232779</v>
      </c>
    </row>
    <row r="40" spans="1:11" x14ac:dyDescent="0.2">
      <c r="A40" s="41">
        <v>1996</v>
      </c>
      <c r="B40" s="34">
        <v>126708</v>
      </c>
      <c r="C40" s="33">
        <v>375.42899999999997</v>
      </c>
      <c r="D40" s="34">
        <v>7851900</v>
      </c>
      <c r="E40" s="34">
        <v>7236</v>
      </c>
      <c r="F40" s="33">
        <v>1502</v>
      </c>
      <c r="G40" s="35">
        <v>207087</v>
      </c>
      <c r="I40" s="1">
        <v>78678</v>
      </c>
      <c r="J40" s="1">
        <v>66244.471021142555</v>
      </c>
      <c r="K40" s="1">
        <v>12433.528978857445</v>
      </c>
    </row>
    <row r="41" spans="1:11" x14ac:dyDescent="0.2">
      <c r="A41" s="41">
        <v>1997</v>
      </c>
      <c r="B41" s="34">
        <v>129558</v>
      </c>
      <c r="C41" s="33">
        <v>381.66300000000001</v>
      </c>
      <c r="D41" s="34">
        <v>8337300</v>
      </c>
      <c r="E41" s="34">
        <v>6739</v>
      </c>
      <c r="F41" s="33">
        <v>1457</v>
      </c>
      <c r="G41" s="35">
        <v>209846</v>
      </c>
      <c r="I41" s="1">
        <v>79367</v>
      </c>
      <c r="J41" s="1">
        <v>79737.88834182838</v>
      </c>
      <c r="K41" s="1">
        <v>-370.88834182838036</v>
      </c>
    </row>
    <row r="42" spans="1:11" x14ac:dyDescent="0.2">
      <c r="A42" s="41">
        <v>1998</v>
      </c>
      <c r="B42" s="34">
        <v>131463</v>
      </c>
      <c r="C42" s="33">
        <v>385.88099999999997</v>
      </c>
      <c r="D42" s="34">
        <v>8768300</v>
      </c>
      <c r="E42" s="34">
        <v>6210</v>
      </c>
      <c r="F42" s="33">
        <v>1423</v>
      </c>
      <c r="G42" s="35">
        <v>212638</v>
      </c>
      <c r="I42" s="1">
        <v>82153</v>
      </c>
      <c r="J42" s="1">
        <v>91209.008455848001</v>
      </c>
      <c r="K42" s="1">
        <v>-9056.0084558480012</v>
      </c>
    </row>
    <row r="43" spans="1:11" x14ac:dyDescent="0.2">
      <c r="A43" s="41">
        <v>1999</v>
      </c>
      <c r="B43" s="34">
        <v>133488</v>
      </c>
      <c r="C43" s="33">
        <v>391.452</v>
      </c>
      <c r="D43" s="34">
        <v>9302200</v>
      </c>
      <c r="E43" s="34">
        <v>5880</v>
      </c>
      <c r="F43" s="33">
        <v>1380</v>
      </c>
      <c r="G43" s="35">
        <v>215404</v>
      </c>
      <c r="I43" s="1">
        <v>85064</v>
      </c>
      <c r="J43" s="1">
        <v>94189.668056909693</v>
      </c>
      <c r="K43" s="1">
        <v>-9125.6680569096934</v>
      </c>
    </row>
    <row r="44" spans="1:11" x14ac:dyDescent="0.2">
      <c r="A44" s="41">
        <v>2000</v>
      </c>
      <c r="B44" s="34">
        <v>136891</v>
      </c>
      <c r="C44" s="33">
        <v>399.98599999999999</v>
      </c>
      <c r="D44" s="34">
        <v>9855900</v>
      </c>
      <c r="E44" s="34">
        <v>5692</v>
      </c>
      <c r="F44" s="33">
        <v>1405</v>
      </c>
      <c r="G44" s="35">
        <v>218061</v>
      </c>
      <c r="I44" s="1">
        <v>86794</v>
      </c>
      <c r="J44" s="1">
        <v>98709.875235191648</v>
      </c>
      <c r="K44" s="1">
        <v>-11915.875235191648</v>
      </c>
    </row>
    <row r="45" spans="1:11" x14ac:dyDescent="0.2">
      <c r="A45" s="41">
        <v>2001</v>
      </c>
      <c r="B45" s="34">
        <v>136933</v>
      </c>
      <c r="C45" s="33">
        <v>409.58199999999999</v>
      </c>
      <c r="D45" s="34">
        <v>10171600</v>
      </c>
      <c r="E45" s="34">
        <v>6801</v>
      </c>
      <c r="F45" s="33">
        <v>1412</v>
      </c>
      <c r="G45" s="35">
        <v>220800</v>
      </c>
      <c r="I45" s="1">
        <v>85846</v>
      </c>
      <c r="J45" s="1">
        <v>105159.95157212565</v>
      </c>
      <c r="K45" s="1">
        <v>-19313.951572125647</v>
      </c>
    </row>
    <row r="46" spans="1:11" x14ac:dyDescent="0.2">
      <c r="A46" s="41">
        <v>2002</v>
      </c>
      <c r="B46" s="34">
        <v>136485</v>
      </c>
      <c r="C46" s="33">
        <v>416.70400000000001</v>
      </c>
      <c r="D46" s="34">
        <v>10500200</v>
      </c>
      <c r="E46" s="34">
        <v>8378</v>
      </c>
      <c r="F46" s="33">
        <v>1425</v>
      </c>
      <c r="G46" s="35">
        <v>223532</v>
      </c>
      <c r="I46" s="1">
        <v>88752</v>
      </c>
      <c r="J46" s="1">
        <v>105386.64315438113</v>
      </c>
      <c r="K46" s="1">
        <v>-16634.643154381134</v>
      </c>
    </row>
    <row r="47" spans="1:11" x14ac:dyDescent="0.2">
      <c r="A47" s="41">
        <v>2003</v>
      </c>
      <c r="B47" s="34">
        <v>137736</v>
      </c>
      <c r="C47" s="33">
        <v>425.553</v>
      </c>
      <c r="D47" s="34">
        <v>11017600</v>
      </c>
      <c r="E47" s="34">
        <v>8774</v>
      </c>
      <c r="F47" s="33">
        <v>1423</v>
      </c>
      <c r="G47" s="35">
        <v>226223</v>
      </c>
      <c r="I47" s="1">
        <v>92017</v>
      </c>
      <c r="J47" s="1">
        <v>105006.16964078099</v>
      </c>
      <c r="K47" s="1">
        <v>-12989.169640780994</v>
      </c>
    </row>
    <row r="48" spans="1:11" x14ac:dyDescent="0.2">
      <c r="A48" s="41">
        <v>2004</v>
      </c>
      <c r="B48" s="34">
        <v>139252</v>
      </c>
      <c r="C48" s="33">
        <v>437.79500000000002</v>
      </c>
      <c r="D48" s="34">
        <v>11762100</v>
      </c>
      <c r="E48" s="34">
        <v>8149</v>
      </c>
      <c r="F48" s="33">
        <v>1411</v>
      </c>
      <c r="G48" s="35">
        <v>228892</v>
      </c>
      <c r="I48" s="1">
        <v>96048</v>
      </c>
      <c r="J48" s="1">
        <v>104126.0791373836</v>
      </c>
      <c r="K48" s="1">
        <v>-8078.0791373835964</v>
      </c>
    </row>
    <row r="49" spans="1:11" ht="15.75" thickBot="1" x14ac:dyDescent="0.25">
      <c r="A49" s="42">
        <v>2005</v>
      </c>
      <c r="B49" s="37">
        <v>141730</v>
      </c>
      <c r="C49" s="36">
        <v>451.94600000000003</v>
      </c>
      <c r="D49" s="37">
        <v>12502400</v>
      </c>
      <c r="E49" s="37">
        <v>7591</v>
      </c>
      <c r="F49" s="36">
        <v>1378</v>
      </c>
      <c r="G49" s="38">
        <v>231552</v>
      </c>
      <c r="I49" s="1">
        <v>98824</v>
      </c>
      <c r="J49" s="1">
        <v>104936.62474205119</v>
      </c>
      <c r="K49" s="1">
        <v>-6112.6247420511936</v>
      </c>
    </row>
    <row r="50" spans="1:11" x14ac:dyDescent="0.2">
      <c r="I50" s="1">
        <v>99303</v>
      </c>
      <c r="J50" s="1">
        <v>107133.54165531335</v>
      </c>
      <c r="K50" s="1">
        <v>-7830.5416553133546</v>
      </c>
    </row>
    <row r="51" spans="1:11" x14ac:dyDescent="0.2">
      <c r="I51" s="1">
        <v>100397</v>
      </c>
      <c r="J51" s="1">
        <v>106978.39522088345</v>
      </c>
      <c r="K51" s="1">
        <v>-6581.3952208834526</v>
      </c>
    </row>
    <row r="52" spans="1:11" x14ac:dyDescent="0.2">
      <c r="I52" s="1">
        <v>99526</v>
      </c>
      <c r="J52" s="1">
        <v>110036.53502809592</v>
      </c>
      <c r="K52" s="1">
        <v>-10510.535028095925</v>
      </c>
    </row>
    <row r="53" spans="1:11" x14ac:dyDescent="0.2">
      <c r="I53" s="1">
        <v>100834</v>
      </c>
      <c r="J53" s="1">
        <v>109467.26784804846</v>
      </c>
      <c r="K53" s="1">
        <v>-8633.267848048461</v>
      </c>
    </row>
    <row r="54" spans="1:11" x14ac:dyDescent="0.2">
      <c r="I54" s="1">
        <v>105005</v>
      </c>
      <c r="J54" s="1">
        <v>104990.88412463316</v>
      </c>
      <c r="K54" s="1">
        <v>14.115875366842374</v>
      </c>
    </row>
    <row r="55" spans="1:11" x14ac:dyDescent="0.2">
      <c r="I55" s="1">
        <v>107150</v>
      </c>
      <c r="J55" s="1">
        <v>104112.33310169136</v>
      </c>
      <c r="K55" s="1">
        <v>3037.666898308642</v>
      </c>
    </row>
    <row r="56" spans="1:11" x14ac:dyDescent="0.2">
      <c r="I56" s="1">
        <v>109597</v>
      </c>
      <c r="J56" s="1">
        <v>103661.1580081276</v>
      </c>
      <c r="K56" s="1">
        <v>5935.8419918723957</v>
      </c>
    </row>
    <row r="57" spans="1:11" x14ac:dyDescent="0.2">
      <c r="I57" s="1">
        <v>112440</v>
      </c>
      <c r="J57" s="1">
        <v>101815.4356322158</v>
      </c>
      <c r="K57" s="1">
        <v>10624.564367784202</v>
      </c>
    </row>
    <row r="58" spans="1:11" x14ac:dyDescent="0.2">
      <c r="I58" s="1">
        <v>114968</v>
      </c>
      <c r="J58" s="1">
        <v>101592.19629082653</v>
      </c>
      <c r="K58" s="1">
        <v>13375.803709173473</v>
      </c>
    </row>
    <row r="59" spans="1:11" x14ac:dyDescent="0.2">
      <c r="I59" s="1">
        <v>117342</v>
      </c>
      <c r="J59" s="1">
        <v>101797.70966235681</v>
      </c>
      <c r="K59" s="1">
        <v>15544.290337643193</v>
      </c>
    </row>
    <row r="60" spans="1:11" x14ac:dyDescent="0.2">
      <c r="I60" s="1">
        <v>118793</v>
      </c>
      <c r="J60" s="1">
        <v>104020.26329198641</v>
      </c>
      <c r="K60" s="1">
        <v>14772.736708013588</v>
      </c>
    </row>
    <row r="61" spans="1:11" x14ac:dyDescent="0.2">
      <c r="I61" s="1">
        <v>117718</v>
      </c>
      <c r="J61" s="1">
        <v>108369.62563717728</v>
      </c>
      <c r="K61" s="1">
        <v>9348.3743628227239</v>
      </c>
    </row>
    <row r="62" spans="1:11" x14ac:dyDescent="0.2">
      <c r="I62" s="1">
        <v>118492</v>
      </c>
      <c r="J62" s="1">
        <v>114954.3237466618</v>
      </c>
      <c r="K62" s="1">
        <v>3537.6762533381989</v>
      </c>
    </row>
    <row r="63" spans="1:11" x14ac:dyDescent="0.2">
      <c r="I63" s="1">
        <v>120259</v>
      </c>
      <c r="J63" s="1">
        <v>120339.65178675469</v>
      </c>
      <c r="K63" s="1">
        <v>-80.651786754693603</v>
      </c>
    </row>
    <row r="64" spans="1:11" x14ac:dyDescent="0.2">
      <c r="I64" s="1">
        <v>123060</v>
      </c>
      <c r="J64" s="1">
        <v>121451.29298010687</v>
      </c>
      <c r="K64" s="1">
        <v>1608.7070198931324</v>
      </c>
    </row>
    <row r="65" spans="9:11" x14ac:dyDescent="0.2">
      <c r="I65" s="1">
        <v>124900</v>
      </c>
      <c r="J65" s="1">
        <v>123406.57875281863</v>
      </c>
      <c r="K65" s="1">
        <v>1493.4212471813662</v>
      </c>
    </row>
    <row r="66" spans="9:11" x14ac:dyDescent="0.2">
      <c r="I66" s="1">
        <v>126708</v>
      </c>
      <c r="J66" s="1">
        <v>125566.79955644379</v>
      </c>
      <c r="K66" s="1">
        <v>1141.2004435562121</v>
      </c>
    </row>
    <row r="67" spans="9:11" x14ac:dyDescent="0.2">
      <c r="I67" s="1">
        <v>129558</v>
      </c>
      <c r="J67" s="1">
        <v>126126.41144886526</v>
      </c>
      <c r="K67" s="1">
        <v>3431.5885511347442</v>
      </c>
    </row>
    <row r="68" spans="9:11" x14ac:dyDescent="0.2">
      <c r="I68" s="1">
        <v>131463</v>
      </c>
      <c r="J68" s="1">
        <v>126278.72910798324</v>
      </c>
      <c r="K68" s="1">
        <v>5184.2708920167643</v>
      </c>
    </row>
    <row r="69" spans="9:11" x14ac:dyDescent="0.2">
      <c r="I69" s="1">
        <v>133488</v>
      </c>
      <c r="J69" s="1">
        <v>127068.8525811024</v>
      </c>
      <c r="K69" s="1">
        <v>6419.147418897599</v>
      </c>
    </row>
    <row r="70" spans="9:11" x14ac:dyDescent="0.2">
      <c r="I70" s="1">
        <v>136891</v>
      </c>
      <c r="J70" s="1">
        <v>125940.03367521659</v>
      </c>
      <c r="K70" s="1">
        <v>10950.966324783411</v>
      </c>
    </row>
    <row r="71" spans="9:11" x14ac:dyDescent="0.2">
      <c r="I71" s="1">
        <v>136933</v>
      </c>
      <c r="J71" s="1">
        <v>127671.17361090455</v>
      </c>
      <c r="K71" s="1">
        <v>9261.8263890954549</v>
      </c>
    </row>
    <row r="72" spans="9:11" x14ac:dyDescent="0.2">
      <c r="I72" s="1">
        <v>136485</v>
      </c>
      <c r="J72" s="1">
        <v>130035.690938243</v>
      </c>
      <c r="K72" s="1">
        <v>6449.3090617569978</v>
      </c>
    </row>
    <row r="73" spans="9:11" x14ac:dyDescent="0.2">
      <c r="I73" s="1">
        <v>137736</v>
      </c>
      <c r="J73" s="1">
        <v>130797.37900297431</v>
      </c>
      <c r="K73" s="1">
        <v>6938.6209970256896</v>
      </c>
    </row>
    <row r="74" spans="9:11" x14ac:dyDescent="0.2">
      <c r="I74" s="1">
        <v>139252</v>
      </c>
      <c r="J74" s="1">
        <v>130078.71318899552</v>
      </c>
      <c r="K74" s="1">
        <v>9173.2868110044801</v>
      </c>
    </row>
    <row r="75" spans="9:11" ht="15.75" thickBot="1" x14ac:dyDescent="0.25">
      <c r="I75" s="2">
        <v>141730</v>
      </c>
      <c r="J75" s="2">
        <v>130148.02294377182</v>
      </c>
      <c r="K75" s="2">
        <v>11581.977056228177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MRA</vt:lpstr>
      <vt:lpstr>Without X1</vt:lpstr>
      <vt:lpstr>Without X2</vt:lpstr>
      <vt:lpstr>Without X5</vt:lpstr>
      <vt:lpstr>All summary</vt:lpstr>
      <vt:lpstr>VIFs</vt:lpstr>
      <vt:lpstr>Without X1 and X5</vt:lpstr>
      <vt:lpstr>Without X1, X2 and 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2021-12-29T03:04:54Z</dcterms:created>
  <dcterms:modified xsi:type="dcterms:W3CDTF">2022-01-07T04:11:14Z</dcterms:modified>
</cp:coreProperties>
</file>