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C39779F2-3B78-48C2-BF53-ECC7A4E0A71B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MCT" sheetId="2" r:id="rId1"/>
    <sheet name="DATA" sheetId="1" r:id="rId2"/>
    <sheet name="MODEL" sheetId="3" r:id="rId3"/>
    <sheet name="DROP X2" sheetId="4" r:id="rId4"/>
    <sheet name="DROP X1" sheetId="5" r:id="rId5"/>
    <sheet name="CONCLUS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8" i="4" l="1" a="1"/>
  <c r="J38" i="4" s="1"/>
  <c r="J32" i="4" a="1"/>
  <c r="J32" i="4" s="1"/>
  <c r="J35" i="5" a="1"/>
  <c r="J35" i="5" s="1"/>
  <c r="J31" i="5" a="1"/>
  <c r="J31" i="5" s="1"/>
  <c r="K39" i="4" l="1"/>
  <c r="J39" i="4"/>
  <c r="K38" i="4"/>
  <c r="J33" i="4"/>
  <c r="K33" i="4"/>
  <c r="K32" i="4"/>
  <c r="J36" i="5"/>
  <c r="K36" i="5"/>
  <c r="K35" i="5"/>
  <c r="J32" i="5"/>
  <c r="K31" i="5"/>
  <c r="K32" i="5"/>
  <c r="F111" i="3" l="1" a="1"/>
  <c r="F111" i="3" s="1"/>
  <c r="F30" i="3" a="1"/>
  <c r="F30" i="3" s="1"/>
  <c r="F31" i="3" a="1"/>
  <c r="F31" i="3"/>
  <c r="F32" i="3" a="1"/>
  <c r="F32" i="3" s="1"/>
  <c r="F33" i="3" a="1"/>
  <c r="F33" i="3"/>
  <c r="F34" i="3" a="1"/>
  <c r="F34" i="3" s="1"/>
  <c r="F35" i="3" a="1"/>
  <c r="F35" i="3"/>
  <c r="F36" i="3" a="1"/>
  <c r="F36" i="3" s="1"/>
  <c r="F37" i="3" a="1"/>
  <c r="F37" i="3"/>
  <c r="F38" i="3" a="1"/>
  <c r="F38" i="3" s="1"/>
  <c r="F39" i="3" a="1"/>
  <c r="F39" i="3"/>
  <c r="F40" i="3" a="1"/>
  <c r="F40" i="3" s="1"/>
  <c r="F41" i="3" a="1"/>
  <c r="F41" i="3"/>
  <c r="F42" i="3" a="1"/>
  <c r="F42" i="3" s="1"/>
  <c r="F43" i="3" a="1"/>
  <c r="F43" i="3"/>
  <c r="F44" i="3" a="1"/>
  <c r="F44" i="3" s="1"/>
  <c r="F45" i="3" a="1"/>
  <c r="F45" i="3"/>
  <c r="F46" i="3" a="1"/>
  <c r="F46" i="3" s="1"/>
  <c r="F47" i="3" a="1"/>
  <c r="F47" i="3"/>
  <c r="F48" i="3" a="1"/>
  <c r="F48" i="3" s="1"/>
  <c r="F49" i="3" a="1"/>
  <c r="F49" i="3"/>
  <c r="F50" i="3" a="1"/>
  <c r="F50" i="3" s="1"/>
  <c r="F51" i="3" a="1"/>
  <c r="F51" i="3"/>
  <c r="F52" i="3" a="1"/>
  <c r="F52" i="3" s="1"/>
  <c r="F53" i="3" a="1"/>
  <c r="F53" i="3"/>
  <c r="F54" i="3" a="1"/>
  <c r="F54" i="3" s="1"/>
  <c r="F55" i="3" a="1"/>
  <c r="F55" i="3"/>
  <c r="F56" i="3" a="1"/>
  <c r="F56" i="3" s="1"/>
  <c r="F57" i="3" a="1"/>
  <c r="F57" i="3"/>
  <c r="F58" i="3" a="1"/>
  <c r="F58" i="3" s="1"/>
  <c r="F59" i="3" a="1"/>
  <c r="F59" i="3"/>
  <c r="F60" i="3" a="1"/>
  <c r="F60" i="3" s="1"/>
  <c r="F61" i="3" a="1"/>
  <c r="F61" i="3"/>
  <c r="F62" i="3" a="1"/>
  <c r="F62" i="3" s="1"/>
  <c r="F63" i="3" a="1"/>
  <c r="F63" i="3"/>
  <c r="F64" i="3" a="1"/>
  <c r="F64" i="3" s="1"/>
  <c r="F65" i="3" a="1"/>
  <c r="F65" i="3"/>
  <c r="F66" i="3" a="1"/>
  <c r="F66" i="3" s="1"/>
  <c r="F67" i="3" a="1"/>
  <c r="F67" i="3"/>
  <c r="F68" i="3" a="1"/>
  <c r="F68" i="3" s="1"/>
  <c r="F69" i="3" a="1"/>
  <c r="F69" i="3"/>
  <c r="F70" i="3" a="1"/>
  <c r="F70" i="3" s="1"/>
  <c r="F71" i="3" a="1"/>
  <c r="F71" i="3"/>
  <c r="F72" i="3" a="1"/>
  <c r="F72" i="3" s="1"/>
  <c r="F73" i="3" a="1"/>
  <c r="F73" i="3"/>
  <c r="F74" i="3" a="1"/>
  <c r="F74" i="3" s="1"/>
  <c r="F75" i="3" a="1"/>
  <c r="F75" i="3"/>
  <c r="F76" i="3" a="1"/>
  <c r="F76" i="3" s="1"/>
  <c r="F77" i="3" a="1"/>
  <c r="F77" i="3"/>
  <c r="F78" i="3" a="1"/>
  <c r="F78" i="3" s="1"/>
  <c r="F79" i="3" a="1"/>
  <c r="F79" i="3"/>
  <c r="F80" i="3" a="1"/>
  <c r="F80" i="3" s="1"/>
  <c r="F81" i="3" a="1"/>
  <c r="F81" i="3"/>
  <c r="F82" i="3" a="1"/>
  <c r="F82" i="3" s="1"/>
  <c r="F83" i="3" a="1"/>
  <c r="F83" i="3"/>
  <c r="F84" i="3" a="1"/>
  <c r="F84" i="3" s="1"/>
  <c r="F85" i="3" a="1"/>
  <c r="F85" i="3"/>
  <c r="F86" i="3" a="1"/>
  <c r="F86" i="3" s="1"/>
  <c r="F87" i="3" a="1"/>
  <c r="F87" i="3"/>
  <c r="F88" i="3" a="1"/>
  <c r="F88" i="3" s="1"/>
  <c r="F89" i="3" a="1"/>
  <c r="F89" i="3"/>
  <c r="F90" i="3" a="1"/>
  <c r="F90" i="3" s="1"/>
  <c r="F91" i="3" a="1"/>
  <c r="F91" i="3"/>
  <c r="F92" i="3" a="1"/>
  <c r="F92" i="3" s="1"/>
  <c r="F93" i="3" a="1"/>
  <c r="F93" i="3"/>
  <c r="F94" i="3" a="1"/>
  <c r="F94" i="3" s="1"/>
  <c r="F95" i="3" a="1"/>
  <c r="F95" i="3"/>
  <c r="F96" i="3" a="1"/>
  <c r="F96" i="3" s="1"/>
  <c r="F97" i="3" a="1"/>
  <c r="F97" i="3"/>
  <c r="F98" i="3" a="1"/>
  <c r="F98" i="3" s="1"/>
  <c r="F99" i="3" a="1"/>
  <c r="F99" i="3"/>
  <c r="F100" i="3" a="1"/>
  <c r="F100" i="3" s="1"/>
  <c r="F101" i="3" a="1"/>
  <c r="F101" i="3"/>
  <c r="F102" i="3" a="1"/>
  <c r="F102" i="3" s="1"/>
  <c r="F103" i="3" a="1"/>
  <c r="F103" i="3"/>
  <c r="F104" i="3" a="1"/>
  <c r="F104" i="3" s="1"/>
  <c r="F105" i="3" a="1"/>
  <c r="F105" i="3"/>
  <c r="F106" i="3" a="1"/>
  <c r="F106" i="3" s="1"/>
  <c r="F107" i="3" a="1"/>
  <c r="F107" i="3"/>
  <c r="F108" i="3" a="1"/>
  <c r="F108" i="3" s="1"/>
  <c r="F109" i="3" a="1"/>
  <c r="F109" i="3"/>
  <c r="F29" i="3" a="1"/>
  <c r="F29" i="3" s="1"/>
  <c r="I18" i="1" a="1"/>
  <c r="I18" i="1" s="1"/>
  <c r="I25" i="1" s="1" a="1"/>
  <c r="I25" i="1" s="1"/>
  <c r="I19" i="1" a="1"/>
  <c r="I19" i="1" s="1"/>
  <c r="I26" i="1" s="1" a="1"/>
  <c r="I26" i="1" s="1"/>
  <c r="I20" i="1" a="1"/>
  <c r="I20" i="1" s="1"/>
  <c r="I27" i="1" s="1" a="1"/>
  <c r="I27" i="1" s="1"/>
  <c r="H18" i="1" a="1"/>
  <c r="H18" i="1" s="1"/>
  <c r="H25" i="1" s="1" a="1"/>
  <c r="H25" i="1" s="1"/>
  <c r="H19" i="1" a="1"/>
  <c r="H19" i="1" s="1"/>
  <c r="H26" i="1" s="1" a="1"/>
  <c r="H26" i="1" s="1"/>
  <c r="H20" i="1" a="1"/>
  <c r="H20" i="1" s="1"/>
  <c r="H27" i="1" s="1" a="1"/>
  <c r="H27" i="1" s="1"/>
  <c r="G19" i="1" a="1"/>
  <c r="G19" i="1" s="1"/>
  <c r="G26" i="1" s="1" a="1"/>
  <c r="G26" i="1" s="1"/>
  <c r="G20" i="1" a="1"/>
  <c r="G20" i="1" s="1"/>
  <c r="G27" i="1" s="1" a="1"/>
  <c r="G27" i="1" s="1"/>
  <c r="G18" i="1" a="1"/>
  <c r="G18" i="1" s="1"/>
  <c r="G25" i="1" s="1" a="1"/>
  <c r="G25" i="1" s="1"/>
</calcChain>
</file>

<file path=xl/sharedStrings.xml><?xml version="1.0" encoding="utf-8"?>
<sst xmlns="http://schemas.openxmlformats.org/spreadsheetml/2006/main" count="223" uniqueCount="85">
  <si>
    <t xml:space="preserve">HERE, </t>
  </si>
  <si>
    <t xml:space="preserve">Y= </t>
  </si>
  <si>
    <t>mpg (Miles/(US) gallon)</t>
  </si>
  <si>
    <t>X1=</t>
  </si>
  <si>
    <t>sp  (speed)</t>
  </si>
  <si>
    <t>X2=</t>
  </si>
  <si>
    <t>X3=</t>
  </si>
  <si>
    <t xml:space="preserve">wt (Weight) </t>
  </si>
  <si>
    <t>hp (Gross horsepower)</t>
  </si>
  <si>
    <t>X1</t>
  </si>
  <si>
    <t>X2</t>
  </si>
  <si>
    <t>X3</t>
  </si>
  <si>
    <t>Correlation matrix</t>
  </si>
  <si>
    <t>VIF = Variance Inflation Factor</t>
  </si>
  <si>
    <t xml:space="preserve">INTERPRETATION: </t>
  </si>
  <si>
    <t>HERE ,  AS WE CAN SEE THAT VARIABLE X1 AND X2 SHOWS HIGH VIF WHICH IS ABOVE 10 .</t>
  </si>
  <si>
    <t>SO WE NEED TO REMOVE ONE OF THE VARIBLE AMONG X1 AND X2 AND FIT THE MODEL AGAIN.</t>
  </si>
  <si>
    <t>VIF AS AN INDICATOR OF MCT . THE LARGER THE VALUE OF VIF THE MORE "TROUBLESOME" THE INDEPENDENT VARIABLE.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</si>
  <si>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</si>
  <si>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</si>
  <si>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</si>
  <si>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</si>
  <si>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</si>
  <si>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</si>
  <si>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</si>
  <si>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</si>
  <si>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</si>
  <si>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</si>
  <si>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</si>
  <si>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</si>
  <si>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</si>
  <si>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</si>
  <si>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</si>
  <si>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</si>
  <si>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</si>
  <si>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</si>
  <si>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</si>
  <si>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</si>
  <si>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</si>
  <si>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</si>
  <si>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</si>
  <si>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</si>
  <si>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</si>
  <si>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</si>
  <si>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</si>
  <si>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</si>
  <si>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</si>
  <si>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ACTUAL Y</t>
  </si>
  <si>
    <t>Absolute Percentage error</t>
  </si>
  <si>
    <t>MAPE</t>
  </si>
  <si>
    <t>MAIN MODEL</t>
  </si>
  <si>
    <t>MODEL-1</t>
  </si>
  <si>
    <t>DROP X2</t>
  </si>
  <si>
    <t>MODEL-2</t>
  </si>
  <si>
    <t>DROP X1</t>
  </si>
  <si>
    <t>Multicollinearity</t>
  </si>
  <si>
    <t>&gt;&gt;&gt;</t>
  </si>
  <si>
    <t xml:space="preserve">WHAT IS MULTICOLLINEARITY ? </t>
  </si>
  <si>
    <t>Multicollinearity is a statistical concept where several independent variables in a model are correlated.</t>
  </si>
  <si>
    <t>Two variables are considered to be perfectly collinear if their correlation coefficient is +/- 1.0.</t>
  </si>
  <si>
    <t>It is better to use independent variables that are not correlated or repetitive when building multiple regression models that use two or more variables.</t>
  </si>
  <si>
    <r>
      <t>The</t>
    </r>
    <r>
      <rPr>
        <b/>
        <sz val="11"/>
        <color theme="1"/>
        <rFont val="Calibri"/>
        <family val="2"/>
        <scheme val="minor"/>
      </rPr>
      <t xml:space="preserve"> existence</t>
    </r>
    <r>
      <rPr>
        <sz val="11"/>
        <color theme="1"/>
        <rFont val="Calibri"/>
        <family val="2"/>
        <scheme val="minor"/>
      </rPr>
      <t xml:space="preserve"> of multicollinearity in a data set can lead to</t>
    </r>
    <r>
      <rPr>
        <b/>
        <sz val="11"/>
        <color theme="1"/>
        <rFont val="Calibri"/>
        <family val="2"/>
        <scheme val="minor"/>
      </rPr>
      <t xml:space="preserve"> less reliable</t>
    </r>
    <r>
      <rPr>
        <sz val="11"/>
        <color theme="1"/>
        <rFont val="Calibri"/>
        <family val="2"/>
        <scheme val="minor"/>
      </rPr>
      <t xml:space="preserve"> results due to larger standard errors.</t>
    </r>
  </si>
  <si>
    <t>SOURCES OF MULTICOLLINEARITY</t>
  </si>
  <si>
    <t>DETECTION OF MULTICOLLINEARITY</t>
  </si>
  <si>
    <t>REMEDIAL MEASURES</t>
  </si>
  <si>
    <t>IS MCT NECESSARILY BAD ?</t>
  </si>
  <si>
    <r>
      <t>If the soul purpose of regression analysis is prediction  or forecasting , then MCT is not a serious problem because higher the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, the better the prediction.</t>
    </r>
  </si>
  <si>
    <r>
      <t>1)  High R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 but few significant t-ratios</t>
    </r>
  </si>
  <si>
    <t>2)  High pair wise correlation among regressors</t>
  </si>
  <si>
    <t>3)  Tolerance and Variance inflating factor</t>
  </si>
  <si>
    <t>4)  Variable Matrix</t>
  </si>
  <si>
    <t>5)  Examination of partial correlations</t>
  </si>
  <si>
    <t>1) Data collection method employed</t>
  </si>
  <si>
    <t>2) Model Specification</t>
  </si>
  <si>
    <t>3) An over-fitted model</t>
  </si>
  <si>
    <t>1) Begin Neglect or Do Nothing</t>
  </si>
  <si>
    <t>2) Dropping a variable(s) and specification bias</t>
  </si>
  <si>
    <t>NOW COMPARING THE STD.ERROR OF ALL THE MODEL. FOR  MAIN MODEL WE HAVE THE LEAST STD. ERROR.</t>
  </si>
  <si>
    <t>THEREFORE WE CAN CONCLUDE THAT MAIN MODEL  IS MORE ACCUARTE .</t>
  </si>
  <si>
    <t>corr. Matrix</t>
  </si>
  <si>
    <t>r-square matrix</t>
  </si>
  <si>
    <t>VIF</t>
  </si>
  <si>
    <t xml:space="preserve">r-square </t>
  </si>
  <si>
    <r>
      <t>r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= Coefficient of Determination</t>
    </r>
  </si>
  <si>
    <t>VISHVA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</si>
</sst>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0" xfId="0" applyFont="1"/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4" xfId="0" applyFont="1" applyFill="1" applyBorder="1" applyAlignment="1">
      <alignment horizontal="centerContinuous"/>
    </xf>
    <xf numFmtId="0" fontId="0" fillId="0" borderId="0" xfId="0" applyBorder="1"/>
    <xf numFmtId="0" fontId="5" fillId="0" borderId="0" xfId="0" applyFont="1" applyFill="1" applyBorder="1" applyAlignment="1">
      <alignment horizontal="centerContinuous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</cellXfs>
  <cellStyles count="2">
    <cellStyle name="Normal" xfId="0" builtinId="0"/>
    <cellStyle name="Normal 2" xfId="1" xr:uid="{7A648585-C1BC-49D3-B658-CFCAEF318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MODEL!$D$28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MODEL!$D$29:$D$109</c:f>
              <c:numCache>
                <c:formatCode>General</c:formatCode>
                <c:ptCount val="81"/>
                <c:pt idx="0">
                  <c:v>11.69717220608203</c:v>
                </c:pt>
                <c:pt idx="1">
                  <c:v>5.983754420438423</c:v>
                </c:pt>
                <c:pt idx="2">
                  <c:v>5.8837544204384216</c:v>
                </c:pt>
                <c:pt idx="3">
                  <c:v>3.3001882644277671</c:v>
                </c:pt>
                <c:pt idx="4">
                  <c:v>-4.0070208744801405</c:v>
                </c:pt>
                <c:pt idx="5">
                  <c:v>0.50018826442776998</c:v>
                </c:pt>
                <c:pt idx="6">
                  <c:v>-4.6162455795615784</c:v>
                </c:pt>
                <c:pt idx="7">
                  <c:v>12.480105150154003</c:v>
                </c:pt>
                <c:pt idx="8">
                  <c:v>6.5801051501539973</c:v>
                </c:pt>
                <c:pt idx="9">
                  <c:v>1.0970828044210847</c:v>
                </c:pt>
                <c:pt idx="10">
                  <c:v>-3.5562498598940024</c:v>
                </c:pt>
                <c:pt idx="11">
                  <c:v>1.5417345739324659</c:v>
                </c:pt>
                <c:pt idx="12">
                  <c:v>1.5417345739324659</c:v>
                </c:pt>
                <c:pt idx="13">
                  <c:v>-4.2562498598940053</c:v>
                </c:pt>
                <c:pt idx="14">
                  <c:v>-6.1383442600088713</c:v>
                </c:pt>
                <c:pt idx="15">
                  <c:v>-5.3562498598940067</c:v>
                </c:pt>
                <c:pt idx="16">
                  <c:v>-3.893692490497493</c:v>
                </c:pt>
                <c:pt idx="17">
                  <c:v>-0.55826542606753549</c:v>
                </c:pt>
                <c:pt idx="18">
                  <c:v>-4.5936924904974887</c:v>
                </c:pt>
                <c:pt idx="19">
                  <c:v>3.2939773444143938</c:v>
                </c:pt>
                <c:pt idx="20">
                  <c:v>2.4847526393329531</c:v>
                </c:pt>
                <c:pt idx="21">
                  <c:v>-2.1322250149341428</c:v>
                </c:pt>
                <c:pt idx="22">
                  <c:v>1.6852964496106679</c:v>
                </c:pt>
                <c:pt idx="23">
                  <c:v>-1.1788923506190727</c:v>
                </c:pt>
                <c:pt idx="24">
                  <c:v>0.48529644961066509</c:v>
                </c:pt>
                <c:pt idx="25">
                  <c:v>-1.5247360667046905E-2</c:v>
                </c:pt>
                <c:pt idx="26">
                  <c:v>-1.5247360667046905E-2</c:v>
                </c:pt>
                <c:pt idx="27">
                  <c:v>-1.5247360667046905E-2</c:v>
                </c:pt>
                <c:pt idx="28">
                  <c:v>3.4259795989628188</c:v>
                </c:pt>
                <c:pt idx="29">
                  <c:v>0.89141569468540638</c:v>
                </c:pt>
                <c:pt idx="30">
                  <c:v>-3.3353304749408395</c:v>
                </c:pt>
                <c:pt idx="31">
                  <c:v>-3.3353304749408395</c:v>
                </c:pt>
                <c:pt idx="32">
                  <c:v>-0.88959108487400584</c:v>
                </c:pt>
                <c:pt idx="33">
                  <c:v>-0.98959108487400727</c:v>
                </c:pt>
                <c:pt idx="34">
                  <c:v>-4.4358742852185813</c:v>
                </c:pt>
                <c:pt idx="35">
                  <c:v>-2.8630045901851489</c:v>
                </c:pt>
                <c:pt idx="36">
                  <c:v>-2.9630045901851503</c:v>
                </c:pt>
                <c:pt idx="37">
                  <c:v>-0.87533475527327909</c:v>
                </c:pt>
                <c:pt idx="38">
                  <c:v>-1.1753347552732833</c:v>
                </c:pt>
                <c:pt idx="39">
                  <c:v>1.2818045809859555</c:v>
                </c:pt>
                <c:pt idx="40">
                  <c:v>-2.957429155388148</c:v>
                </c:pt>
                <c:pt idx="41">
                  <c:v>-2.8574291553881537</c:v>
                </c:pt>
                <c:pt idx="42">
                  <c:v>-1.7753347552732848</c:v>
                </c:pt>
                <c:pt idx="43">
                  <c:v>-2.8574291553881537</c:v>
                </c:pt>
                <c:pt idx="44">
                  <c:v>-4.1482044503067144</c:v>
                </c:pt>
                <c:pt idx="45">
                  <c:v>-3.0661100501918455</c:v>
                </c:pt>
                <c:pt idx="46">
                  <c:v>-3.1661100501918469</c:v>
                </c:pt>
                <c:pt idx="47">
                  <c:v>-3.6568853451104104</c:v>
                </c:pt>
                <c:pt idx="48">
                  <c:v>0.18180458098595764</c:v>
                </c:pt>
                <c:pt idx="49">
                  <c:v>4.0651216603982334</c:v>
                </c:pt>
                <c:pt idx="50">
                  <c:v>2.965121660398232</c:v>
                </c:pt>
                <c:pt idx="51">
                  <c:v>1.6651216603982313</c:v>
                </c:pt>
                <c:pt idx="52">
                  <c:v>1.6651216603982313</c:v>
                </c:pt>
                <c:pt idx="53">
                  <c:v>5.9097934995496288</c:v>
                </c:pt>
                <c:pt idx="54">
                  <c:v>2.04451707876445</c:v>
                </c:pt>
                <c:pt idx="55">
                  <c:v>0.13907897598713248</c:v>
                </c:pt>
                <c:pt idx="56">
                  <c:v>-3.1191479808275773</c:v>
                </c:pt>
                <c:pt idx="57">
                  <c:v>-1.6348783396017694</c:v>
                </c:pt>
                <c:pt idx="58">
                  <c:v>-2.137597390990436</c:v>
                </c:pt>
                <c:pt idx="59">
                  <c:v>-0.86635912679022908</c:v>
                </c:pt>
                <c:pt idx="60">
                  <c:v>0.34179802737578413</c:v>
                </c:pt>
                <c:pt idx="61">
                  <c:v>0.98495342479592551</c:v>
                </c:pt>
                <c:pt idx="62">
                  <c:v>1.7789915813808967</c:v>
                </c:pt>
                <c:pt idx="63">
                  <c:v>0.37899158138089462</c:v>
                </c:pt>
                <c:pt idx="64">
                  <c:v>-9.6084724267555544E-3</c:v>
                </c:pt>
                <c:pt idx="65">
                  <c:v>0.49311057896191102</c:v>
                </c:pt>
                <c:pt idx="66">
                  <c:v>0.49311057896191102</c:v>
                </c:pt>
                <c:pt idx="67">
                  <c:v>0.49311057896191102</c:v>
                </c:pt>
                <c:pt idx="68">
                  <c:v>0.49311057896191102</c:v>
                </c:pt>
                <c:pt idx="69">
                  <c:v>2.2267866769012841</c:v>
                </c:pt>
                <c:pt idx="70">
                  <c:v>3.7235438848749212</c:v>
                </c:pt>
                <c:pt idx="71">
                  <c:v>0.19256676868416633</c:v>
                </c:pt>
                <c:pt idx="72">
                  <c:v>-0.10743323131583082</c:v>
                </c:pt>
                <c:pt idx="73">
                  <c:v>3.8075042405823112</c:v>
                </c:pt>
                <c:pt idx="74">
                  <c:v>3.8075042405823112</c:v>
                </c:pt>
                <c:pt idx="75">
                  <c:v>0.73302318435567315</c:v>
                </c:pt>
                <c:pt idx="76">
                  <c:v>-2.096521433036564</c:v>
                </c:pt>
                <c:pt idx="77">
                  <c:v>-1.9980333282123759</c:v>
                </c:pt>
                <c:pt idx="78">
                  <c:v>-3.055152594831597</c:v>
                </c:pt>
                <c:pt idx="79">
                  <c:v>-3.1301774613359505</c:v>
                </c:pt>
                <c:pt idx="80">
                  <c:v>1.0969784310716442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A-4B84-A634-CEE522461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015280"/>
        <c:axId val="192011952"/>
      </c:barChart>
      <c:lineChart>
        <c:grouping val="standard"/>
        <c:varyColors val="0"/>
        <c:ser>
          <c:idx val="0"/>
          <c:order val="0"/>
          <c:tx>
            <c:strRef>
              <c:f>MODEL!$C$28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MODEL!$C$29:$C$109</c:f>
              <c:numCache>
                <c:formatCode>General</c:formatCode>
                <c:ptCount val="81"/>
                <c:pt idx="0">
                  <c:v>53.702827793917976</c:v>
                </c:pt>
                <c:pt idx="1">
                  <c:v>50.016245579561577</c:v>
                </c:pt>
                <c:pt idx="2">
                  <c:v>50.016245579561577</c:v>
                </c:pt>
                <c:pt idx="3">
                  <c:v>45.699811735572233</c:v>
                </c:pt>
                <c:pt idx="4">
                  <c:v>50.507020874480141</c:v>
                </c:pt>
                <c:pt idx="5">
                  <c:v>45.699811735572233</c:v>
                </c:pt>
                <c:pt idx="6">
                  <c:v>50.016245579561577</c:v>
                </c:pt>
                <c:pt idx="7">
                  <c:v>46.719894849846</c:v>
                </c:pt>
                <c:pt idx="8">
                  <c:v>46.719894849846</c:v>
                </c:pt>
                <c:pt idx="9">
                  <c:v>42.302917195578914</c:v>
                </c:pt>
                <c:pt idx="10">
                  <c:v>44.656249859894004</c:v>
                </c:pt>
                <c:pt idx="11">
                  <c:v>39.358265426067533</c:v>
                </c:pt>
                <c:pt idx="12">
                  <c:v>39.358265426067533</c:v>
                </c:pt>
                <c:pt idx="13">
                  <c:v>44.656249859894004</c:v>
                </c:pt>
                <c:pt idx="14">
                  <c:v>45.738344260008873</c:v>
                </c:pt>
                <c:pt idx="15">
                  <c:v>44.656249859894004</c:v>
                </c:pt>
                <c:pt idx="16">
                  <c:v>42.793692490497492</c:v>
                </c:pt>
                <c:pt idx="17">
                  <c:v>39.358265426067533</c:v>
                </c:pt>
                <c:pt idx="18">
                  <c:v>42.793692490497492</c:v>
                </c:pt>
                <c:pt idx="19">
                  <c:v>38.906022655585609</c:v>
                </c:pt>
                <c:pt idx="20">
                  <c:v>38.415247360667045</c:v>
                </c:pt>
                <c:pt idx="21">
                  <c:v>42.832225014934146</c:v>
                </c:pt>
                <c:pt idx="22">
                  <c:v>38.314703550389332</c:v>
                </c:pt>
                <c:pt idx="23">
                  <c:v>40.47889235061907</c:v>
                </c:pt>
                <c:pt idx="24">
                  <c:v>38.314703550389332</c:v>
                </c:pt>
                <c:pt idx="25">
                  <c:v>38.415247360667045</c:v>
                </c:pt>
                <c:pt idx="26">
                  <c:v>38.415247360667045</c:v>
                </c:pt>
                <c:pt idx="27">
                  <c:v>38.415247360667045</c:v>
                </c:pt>
                <c:pt idx="28">
                  <c:v>43.47402040103718</c:v>
                </c:pt>
                <c:pt idx="29">
                  <c:v>35.408584305314591</c:v>
                </c:pt>
                <c:pt idx="30">
                  <c:v>39.435330474940841</c:v>
                </c:pt>
                <c:pt idx="31">
                  <c:v>39.435330474940841</c:v>
                </c:pt>
                <c:pt idx="32">
                  <c:v>36.289591084874004</c:v>
                </c:pt>
                <c:pt idx="33">
                  <c:v>36.289591084874004</c:v>
                </c:pt>
                <c:pt idx="34">
                  <c:v>39.535874285218583</c:v>
                </c:pt>
                <c:pt idx="35">
                  <c:v>37.96300459018515</c:v>
                </c:pt>
                <c:pt idx="36">
                  <c:v>37.96300459018515</c:v>
                </c:pt>
                <c:pt idx="37">
                  <c:v>34.075334755273282</c:v>
                </c:pt>
                <c:pt idx="38">
                  <c:v>34.075334755273282</c:v>
                </c:pt>
                <c:pt idx="39">
                  <c:v>31.018195419014042</c:v>
                </c:pt>
                <c:pt idx="40">
                  <c:v>35.157429155388151</c:v>
                </c:pt>
                <c:pt idx="41">
                  <c:v>35.157429155388151</c:v>
                </c:pt>
                <c:pt idx="42">
                  <c:v>34.075334755273282</c:v>
                </c:pt>
                <c:pt idx="43">
                  <c:v>35.157429155388151</c:v>
                </c:pt>
                <c:pt idx="44">
                  <c:v>35.648204450306714</c:v>
                </c:pt>
                <c:pt idx="45">
                  <c:v>34.566110050191845</c:v>
                </c:pt>
                <c:pt idx="46">
                  <c:v>34.566110050191845</c:v>
                </c:pt>
                <c:pt idx="47">
                  <c:v>35.056885345110409</c:v>
                </c:pt>
                <c:pt idx="48">
                  <c:v>31.018195419014042</c:v>
                </c:pt>
                <c:pt idx="49">
                  <c:v>29.634878339601769</c:v>
                </c:pt>
                <c:pt idx="50">
                  <c:v>29.634878339601769</c:v>
                </c:pt>
                <c:pt idx="51">
                  <c:v>29.634878339601769</c:v>
                </c:pt>
                <c:pt idx="52">
                  <c:v>29.634878339601769</c:v>
                </c:pt>
                <c:pt idx="53">
                  <c:v>24.49020650045037</c:v>
                </c:pt>
                <c:pt idx="54">
                  <c:v>26.855482921235549</c:v>
                </c:pt>
                <c:pt idx="55">
                  <c:v>27.860921024012868</c:v>
                </c:pt>
                <c:pt idx="56">
                  <c:v>31.119147980827577</c:v>
                </c:pt>
                <c:pt idx="57">
                  <c:v>29.634878339601769</c:v>
                </c:pt>
                <c:pt idx="58">
                  <c:v>30.137597390990436</c:v>
                </c:pt>
                <c:pt idx="59">
                  <c:v>28.866359126790229</c:v>
                </c:pt>
                <c:pt idx="60">
                  <c:v>27.358201972624215</c:v>
                </c:pt>
                <c:pt idx="61">
                  <c:v>24.615046575204076</c:v>
                </c:pt>
                <c:pt idx="62">
                  <c:v>23.521008418619104</c:v>
                </c:pt>
                <c:pt idx="63">
                  <c:v>23.521008418619104</c:v>
                </c:pt>
                <c:pt idx="64">
                  <c:v>23.609608472426757</c:v>
                </c:pt>
                <c:pt idx="65">
                  <c:v>23.10688942103809</c:v>
                </c:pt>
                <c:pt idx="66">
                  <c:v>23.10688942103809</c:v>
                </c:pt>
                <c:pt idx="67">
                  <c:v>23.10688942103809</c:v>
                </c:pt>
                <c:pt idx="68">
                  <c:v>23.10688942103809</c:v>
                </c:pt>
                <c:pt idx="69">
                  <c:v>21.273213323098716</c:v>
                </c:pt>
                <c:pt idx="70">
                  <c:v>19.676456115125077</c:v>
                </c:pt>
                <c:pt idx="71">
                  <c:v>23.207433231315832</c:v>
                </c:pt>
                <c:pt idx="72">
                  <c:v>23.207433231315832</c:v>
                </c:pt>
                <c:pt idx="73">
                  <c:v>19.092495759417687</c:v>
                </c:pt>
                <c:pt idx="74">
                  <c:v>19.092495759417687</c:v>
                </c:pt>
                <c:pt idx="75">
                  <c:v>18.766976815644327</c:v>
                </c:pt>
                <c:pt idx="76">
                  <c:v>20.196521433036565</c:v>
                </c:pt>
                <c:pt idx="77">
                  <c:v>19.198033328212375</c:v>
                </c:pt>
                <c:pt idx="78">
                  <c:v>20.055152594831597</c:v>
                </c:pt>
                <c:pt idx="79">
                  <c:v>19.83017746133595</c:v>
                </c:pt>
                <c:pt idx="80">
                  <c:v>12.103021568928355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A-4B84-A634-CEE522461371}"/>
            </c:ext>
          </c:extLst>
        </c:ser>
        <c:ser>
          <c:idx val="2"/>
          <c:order val="2"/>
          <c:tx>
            <c:strRef>
              <c:f>MODEL!$E$28</c:f>
              <c:strCache>
                <c:ptCount val="1"/>
                <c:pt idx="0">
                  <c:v>ACTUAL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MODEL!$E$29:$E$109</c:f>
              <c:numCache>
                <c:formatCode>General</c:formatCode>
                <c:ptCount val="81"/>
                <c:pt idx="0">
                  <c:v>65.400000000000006</c:v>
                </c:pt>
                <c:pt idx="1">
                  <c:v>56</c:v>
                </c:pt>
                <c:pt idx="2">
                  <c:v>55.9</c:v>
                </c:pt>
                <c:pt idx="3">
                  <c:v>49</c:v>
                </c:pt>
                <c:pt idx="4">
                  <c:v>46.5</c:v>
                </c:pt>
                <c:pt idx="5">
                  <c:v>46.2</c:v>
                </c:pt>
                <c:pt idx="6">
                  <c:v>45.4</c:v>
                </c:pt>
                <c:pt idx="7">
                  <c:v>59.2</c:v>
                </c:pt>
                <c:pt idx="8">
                  <c:v>53.3</c:v>
                </c:pt>
                <c:pt idx="9">
                  <c:v>43.4</c:v>
                </c:pt>
                <c:pt idx="10">
                  <c:v>41.1</c:v>
                </c:pt>
                <c:pt idx="11">
                  <c:v>40.9</c:v>
                </c:pt>
                <c:pt idx="12">
                  <c:v>40.9</c:v>
                </c:pt>
                <c:pt idx="13">
                  <c:v>40.4</c:v>
                </c:pt>
                <c:pt idx="14">
                  <c:v>39.6</c:v>
                </c:pt>
                <c:pt idx="15">
                  <c:v>39.299999999999997</c:v>
                </c:pt>
                <c:pt idx="16">
                  <c:v>38.9</c:v>
                </c:pt>
                <c:pt idx="17">
                  <c:v>38.799999999999997</c:v>
                </c:pt>
                <c:pt idx="18">
                  <c:v>38.200000000000003</c:v>
                </c:pt>
                <c:pt idx="19">
                  <c:v>42.2</c:v>
                </c:pt>
                <c:pt idx="20">
                  <c:v>40.9</c:v>
                </c:pt>
                <c:pt idx="21">
                  <c:v>40.700000000000003</c:v>
                </c:pt>
                <c:pt idx="22">
                  <c:v>40</c:v>
                </c:pt>
                <c:pt idx="23">
                  <c:v>39.299999999999997</c:v>
                </c:pt>
                <c:pt idx="24">
                  <c:v>38.799999999999997</c:v>
                </c:pt>
                <c:pt idx="25">
                  <c:v>38.4</c:v>
                </c:pt>
                <c:pt idx="26">
                  <c:v>38.4</c:v>
                </c:pt>
                <c:pt idx="27">
                  <c:v>38.4</c:v>
                </c:pt>
                <c:pt idx="28">
                  <c:v>46.9</c:v>
                </c:pt>
                <c:pt idx="29">
                  <c:v>36.299999999999997</c:v>
                </c:pt>
                <c:pt idx="30">
                  <c:v>36.1</c:v>
                </c:pt>
                <c:pt idx="31">
                  <c:v>36.1</c:v>
                </c:pt>
                <c:pt idx="32">
                  <c:v>35.4</c:v>
                </c:pt>
                <c:pt idx="33">
                  <c:v>35.299999999999997</c:v>
                </c:pt>
                <c:pt idx="34">
                  <c:v>35.1</c:v>
                </c:pt>
                <c:pt idx="35">
                  <c:v>35.1</c:v>
                </c:pt>
                <c:pt idx="36">
                  <c:v>35</c:v>
                </c:pt>
                <c:pt idx="37">
                  <c:v>33.200000000000003</c:v>
                </c:pt>
                <c:pt idx="38">
                  <c:v>32.9</c:v>
                </c:pt>
                <c:pt idx="39">
                  <c:v>32.299999999999997</c:v>
                </c:pt>
                <c:pt idx="40">
                  <c:v>32.200000000000003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31.5</c:v>
                </c:pt>
                <c:pt idx="45">
                  <c:v>31.5</c:v>
                </c:pt>
                <c:pt idx="46">
                  <c:v>31.4</c:v>
                </c:pt>
                <c:pt idx="47">
                  <c:v>31.4</c:v>
                </c:pt>
                <c:pt idx="48">
                  <c:v>31.2</c:v>
                </c:pt>
                <c:pt idx="49">
                  <c:v>33.700000000000003</c:v>
                </c:pt>
                <c:pt idx="50">
                  <c:v>32.6</c:v>
                </c:pt>
                <c:pt idx="51">
                  <c:v>31.3</c:v>
                </c:pt>
                <c:pt idx="52">
                  <c:v>31.3</c:v>
                </c:pt>
                <c:pt idx="53">
                  <c:v>30.4</c:v>
                </c:pt>
                <c:pt idx="54">
                  <c:v>28.9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27.7</c:v>
                </c:pt>
                <c:pt idx="61">
                  <c:v>25.6</c:v>
                </c:pt>
                <c:pt idx="62">
                  <c:v>25.3</c:v>
                </c:pt>
                <c:pt idx="63">
                  <c:v>23.9</c:v>
                </c:pt>
                <c:pt idx="64">
                  <c:v>23.6</c:v>
                </c:pt>
                <c:pt idx="65">
                  <c:v>23.6</c:v>
                </c:pt>
                <c:pt idx="66">
                  <c:v>23.6</c:v>
                </c:pt>
                <c:pt idx="67">
                  <c:v>23.6</c:v>
                </c:pt>
                <c:pt idx="68">
                  <c:v>23.6</c:v>
                </c:pt>
                <c:pt idx="69">
                  <c:v>23.5</c:v>
                </c:pt>
                <c:pt idx="70">
                  <c:v>23.4</c:v>
                </c:pt>
                <c:pt idx="71">
                  <c:v>23.4</c:v>
                </c:pt>
                <c:pt idx="72">
                  <c:v>23.1</c:v>
                </c:pt>
                <c:pt idx="73">
                  <c:v>22.9</c:v>
                </c:pt>
                <c:pt idx="74">
                  <c:v>22.9</c:v>
                </c:pt>
                <c:pt idx="75">
                  <c:v>19.5</c:v>
                </c:pt>
                <c:pt idx="76">
                  <c:v>18.100000000000001</c:v>
                </c:pt>
                <c:pt idx="77">
                  <c:v>17.2</c:v>
                </c:pt>
                <c:pt idx="78">
                  <c:v>17</c:v>
                </c:pt>
                <c:pt idx="79">
                  <c:v>16.7</c:v>
                </c:pt>
                <c:pt idx="80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A-4B84-A634-CEE522461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40832"/>
        <c:axId val="102946240"/>
      </c:lineChart>
      <c:catAx>
        <c:axId val="10294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6240"/>
        <c:crosses val="autoZero"/>
        <c:auto val="1"/>
        <c:lblAlgn val="ctr"/>
        <c:lblOffset val="100"/>
        <c:noMultiLvlLbl val="0"/>
      </c:catAx>
      <c:valAx>
        <c:axId val="1029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0832"/>
        <c:crosses val="autoZero"/>
        <c:crossBetween val="between"/>
      </c:valAx>
      <c:valAx>
        <c:axId val="192011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5280"/>
        <c:crosses val="max"/>
        <c:crossBetween val="between"/>
      </c:valAx>
      <c:catAx>
        <c:axId val="192015280"/>
        <c:scaling>
          <c:orientation val="minMax"/>
        </c:scaling>
        <c:delete val="1"/>
        <c:axPos val="b"/>
        <c:majorTickMark val="out"/>
        <c:minorTickMark val="none"/>
        <c:tickLblPos val="nextTo"/>
        <c:crossAx val="192011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295275</xdr:colOff>
      <xdr:row>21</xdr:row>
      <xdr:rowOff>104775</xdr:rowOff>
    </xdr:from>
    <xdr:ext cx="685800" cy="4476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6E9EF3-E586-4787-8DFB-97AE4D95CAEB}"/>
                </a:ext>
              </a:extLst>
            </xdr:cNvPr>
            <xdr:cNvSpPr txBox="1"/>
          </xdr:nvSpPr>
          <xdr:spPr>
            <a:xfrm>
              <a:off x="6391275" y="4362450"/>
              <a:ext cx="685800" cy="447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1" i="1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ctrlPr>
                              <a:rPr lang="en-IN" sz="1100" b="1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IN" sz="11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IN" sz="1100" b="1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IN" sz="11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IN" sz="11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p>
                                <m:r>
                                  <a:rPr lang="en-IN" sz="1100" b="1" i="0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d>
                      </m:den>
                    </m:f>
                  </m:oMath>
                </m:oMathPara>
              </a14:m>
              <a:endParaRPr lang="en-IN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6E9EF3-E586-4787-8DFB-97AE4D95CAEB}"/>
                </a:ext>
              </a:extLst>
            </xdr:cNvPr>
            <xdr:cNvSpPr txBox="1"/>
          </xdr:nvSpPr>
          <xdr:spPr>
            <a:xfrm>
              <a:off x="6391275" y="4362450"/>
              <a:ext cx="685800" cy="447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100" b="1" i="0">
                  <a:latin typeface="Cambria Math" panose="02040503050406030204" pitchFamily="18" charset="0"/>
                </a:rPr>
                <a:t>𝟏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/((</a:t>
              </a:r>
              <a:r>
                <a:rPr lang="en-IN" sz="1100" b="1" i="0">
                  <a:latin typeface="Cambria Math" panose="02040503050406030204" pitchFamily="18" charset="0"/>
                </a:rPr>
                <a:t>𝟏−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𝒓^</a:t>
              </a:r>
              <a:r>
                <a:rPr lang="en-IN" sz="1100" b="1" i="0">
                  <a:latin typeface="Cambria Math" panose="02040503050406030204" pitchFamily="18" charset="0"/>
                </a:rPr>
                <a:t>𝟐 ) 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26</xdr:row>
      <xdr:rowOff>171450</xdr:rowOff>
    </xdr:from>
    <xdr:to>
      <xdr:col>13</xdr:col>
      <xdr:colOff>257175</xdr:colOff>
      <xdr:row>40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705946-31F8-4F35-A1CD-793AA23C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75DE-17E3-44AD-824C-FCF2F8D6C846}">
  <dimension ref="A1:Q33"/>
  <sheetViews>
    <sheetView workbookViewId="0">
      <selection activeCell="P1" sqref="P1:Q1"/>
    </sheetView>
  </sheetViews>
  <sheetFormatPr defaultRowHeight="15" x14ac:dyDescent="0.25"/>
  <cols>
    <col min="1" max="1" width="9.140625" style="22"/>
  </cols>
  <sheetData>
    <row r="1" spans="1:17" ht="18.75" x14ac:dyDescent="0.3">
      <c r="H1" s="26" t="s">
        <v>55</v>
      </c>
      <c r="I1" s="26"/>
      <c r="J1" s="26"/>
      <c r="K1" s="26"/>
      <c r="P1" s="36" t="s">
        <v>84</v>
      </c>
      <c r="Q1" s="37"/>
    </row>
    <row r="2" spans="1:17" x14ac:dyDescent="0.25">
      <c r="H2" s="26"/>
      <c r="I2" s="26"/>
      <c r="J2" s="26"/>
      <c r="K2" s="26"/>
    </row>
    <row r="4" spans="1:17" ht="18.75" x14ac:dyDescent="0.3">
      <c r="A4" s="24" t="s">
        <v>56</v>
      </c>
      <c r="B4" s="25" t="s">
        <v>57</v>
      </c>
      <c r="C4" s="25"/>
      <c r="D4" s="25"/>
      <c r="E4" s="25"/>
    </row>
    <row r="6" spans="1:17" x14ac:dyDescent="0.25">
      <c r="B6" t="s">
        <v>58</v>
      </c>
    </row>
    <row r="7" spans="1:17" x14ac:dyDescent="0.25">
      <c r="B7" t="s">
        <v>59</v>
      </c>
    </row>
    <row r="9" spans="1:17" x14ac:dyDescent="0.25">
      <c r="B9" t="s">
        <v>60</v>
      </c>
    </row>
    <row r="10" spans="1:17" x14ac:dyDescent="0.25">
      <c r="B10" t="s">
        <v>61</v>
      </c>
    </row>
    <row r="12" spans="1:17" s="17" customFormat="1" ht="15.75" x14ac:dyDescent="0.25">
      <c r="A12" s="23" t="s">
        <v>56</v>
      </c>
      <c r="B12" s="25" t="s">
        <v>62</v>
      </c>
      <c r="C12" s="25"/>
      <c r="D12" s="25"/>
      <c r="E12" s="25"/>
    </row>
    <row r="14" spans="1:17" x14ac:dyDescent="0.25">
      <c r="B14" t="s">
        <v>72</v>
      </c>
    </row>
    <row r="15" spans="1:17" x14ac:dyDescent="0.25">
      <c r="B15" t="s">
        <v>73</v>
      </c>
    </row>
    <row r="16" spans="1:17" x14ac:dyDescent="0.25">
      <c r="B16" t="s">
        <v>74</v>
      </c>
    </row>
    <row r="18" spans="1:5" ht="15.75" x14ac:dyDescent="0.25">
      <c r="A18" s="23" t="s">
        <v>56</v>
      </c>
      <c r="B18" s="25" t="s">
        <v>63</v>
      </c>
      <c r="C18" s="25"/>
      <c r="D18" s="25"/>
      <c r="E18" s="25"/>
    </row>
    <row r="20" spans="1:5" ht="17.25" x14ac:dyDescent="0.25">
      <c r="B20" t="s">
        <v>67</v>
      </c>
    </row>
    <row r="21" spans="1:5" x14ac:dyDescent="0.25">
      <c r="B21" t="s">
        <v>68</v>
      </c>
    </row>
    <row r="22" spans="1:5" x14ac:dyDescent="0.25">
      <c r="B22" t="s">
        <v>69</v>
      </c>
    </row>
    <row r="23" spans="1:5" x14ac:dyDescent="0.25">
      <c r="B23" t="s">
        <v>70</v>
      </c>
    </row>
    <row r="24" spans="1:5" x14ac:dyDescent="0.25">
      <c r="B24" t="s">
        <v>71</v>
      </c>
    </row>
    <row r="26" spans="1:5" ht="15.75" x14ac:dyDescent="0.25">
      <c r="A26" s="23" t="s">
        <v>56</v>
      </c>
      <c r="B26" s="25" t="s">
        <v>64</v>
      </c>
      <c r="C26" s="25"/>
      <c r="D26" s="25"/>
      <c r="E26" s="25"/>
    </row>
    <row r="28" spans="1:5" x14ac:dyDescent="0.25">
      <c r="B28" t="s">
        <v>75</v>
      </c>
    </row>
    <row r="29" spans="1:5" x14ac:dyDescent="0.25">
      <c r="B29" t="s">
        <v>76</v>
      </c>
    </row>
    <row r="31" spans="1:5" ht="15.75" x14ac:dyDescent="0.25">
      <c r="A31" s="23" t="s">
        <v>56</v>
      </c>
      <c r="B31" s="25" t="s">
        <v>65</v>
      </c>
      <c r="C31" s="25"/>
      <c r="D31" s="25"/>
      <c r="E31" s="25"/>
    </row>
    <row r="33" spans="2:2" ht="17.25" x14ac:dyDescent="0.25">
      <c r="B33" t="s">
        <v>66</v>
      </c>
    </row>
  </sheetData>
  <mergeCells count="7">
    <mergeCell ref="P1:Q1"/>
    <mergeCell ref="B31:E31"/>
    <mergeCell ref="H1:K2"/>
    <mergeCell ref="B12:E12"/>
    <mergeCell ref="B4:E4"/>
    <mergeCell ref="B18:E18"/>
    <mergeCell ref="B26:E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83"/>
  <sheetViews>
    <sheetView workbookViewId="0">
      <selection activeCell="M23" sqref="M23"/>
    </sheetView>
  </sheetViews>
  <sheetFormatPr defaultRowHeight="15" x14ac:dyDescent="0.25"/>
  <sheetData>
    <row r="2" spans="1:9" s="3" customFormat="1" ht="15.75" x14ac:dyDescent="0.25">
      <c r="A2" s="4" t="s">
        <v>18</v>
      </c>
      <c r="B2" s="5" t="s">
        <v>9</v>
      </c>
      <c r="C2" s="5" t="s">
        <v>10</v>
      </c>
      <c r="D2" s="5" t="s">
        <v>11</v>
      </c>
      <c r="F2" s="3" t="s">
        <v>0</v>
      </c>
    </row>
    <row r="3" spans="1:9" ht="15.75" x14ac:dyDescent="0.25">
      <c r="A3" s="2">
        <v>65.400000000000006</v>
      </c>
      <c r="B3" s="2">
        <v>96</v>
      </c>
      <c r="C3" s="2">
        <v>49</v>
      </c>
      <c r="D3" s="2">
        <v>17.5</v>
      </c>
      <c r="F3" s="6" t="s">
        <v>1</v>
      </c>
      <c r="G3" s="27" t="s">
        <v>2</v>
      </c>
      <c r="H3" s="27"/>
      <c r="I3" s="27"/>
    </row>
    <row r="4" spans="1:9" ht="15.75" x14ac:dyDescent="0.25">
      <c r="A4" s="2">
        <v>56</v>
      </c>
      <c r="B4" s="2">
        <v>97</v>
      </c>
      <c r="C4" s="2">
        <v>55</v>
      </c>
      <c r="D4" s="2">
        <v>20</v>
      </c>
      <c r="F4" s="6" t="s">
        <v>3</v>
      </c>
      <c r="G4" s="27" t="s">
        <v>4</v>
      </c>
      <c r="H4" s="27"/>
      <c r="I4" s="27"/>
    </row>
    <row r="5" spans="1:9" ht="15.75" x14ac:dyDescent="0.25">
      <c r="A5" s="2">
        <v>55.9</v>
      </c>
      <c r="B5" s="2">
        <v>97</v>
      </c>
      <c r="C5" s="2">
        <v>55</v>
      </c>
      <c r="D5" s="2">
        <v>20</v>
      </c>
      <c r="F5" s="6" t="s">
        <v>5</v>
      </c>
      <c r="G5" s="27" t="s">
        <v>8</v>
      </c>
      <c r="H5" s="27"/>
      <c r="I5" s="27"/>
    </row>
    <row r="6" spans="1:9" ht="15.75" x14ac:dyDescent="0.25">
      <c r="A6" s="2">
        <v>49</v>
      </c>
      <c r="B6" s="2">
        <v>105</v>
      </c>
      <c r="C6" s="2">
        <v>70</v>
      </c>
      <c r="D6" s="2">
        <v>20</v>
      </c>
      <c r="F6" s="6" t="s">
        <v>6</v>
      </c>
      <c r="G6" s="27" t="s">
        <v>7</v>
      </c>
      <c r="H6" s="27"/>
      <c r="I6" s="27"/>
    </row>
    <row r="7" spans="1:9" ht="15.75" x14ac:dyDescent="0.25">
      <c r="A7" s="2">
        <v>46.5</v>
      </c>
      <c r="B7" s="2">
        <v>96</v>
      </c>
      <c r="C7" s="2">
        <v>53</v>
      </c>
      <c r="D7" s="2">
        <v>20</v>
      </c>
    </row>
    <row r="8" spans="1:9" ht="15.75" x14ac:dyDescent="0.25">
      <c r="A8" s="2">
        <v>46.2</v>
      </c>
      <c r="B8" s="2">
        <v>105</v>
      </c>
      <c r="C8" s="2">
        <v>70</v>
      </c>
      <c r="D8" s="2">
        <v>20</v>
      </c>
      <c r="F8" s="28" t="s">
        <v>12</v>
      </c>
      <c r="G8" s="28"/>
      <c r="H8" s="28"/>
    </row>
    <row r="9" spans="1:9" ht="15.75" x14ac:dyDescent="0.25">
      <c r="A9" s="2">
        <v>45.4</v>
      </c>
      <c r="B9" s="2">
        <v>97</v>
      </c>
      <c r="C9" s="2">
        <v>55</v>
      </c>
      <c r="D9" s="2">
        <v>20</v>
      </c>
    </row>
    <row r="10" spans="1:9" ht="15.75" x14ac:dyDescent="0.25">
      <c r="A10" s="2">
        <v>59.2</v>
      </c>
      <c r="B10" s="2">
        <v>98</v>
      </c>
      <c r="C10" s="2">
        <v>62</v>
      </c>
      <c r="D10" s="2">
        <v>22.5</v>
      </c>
      <c r="F10" s="9"/>
      <c r="G10" s="15" t="s">
        <v>9</v>
      </c>
      <c r="H10" s="9" t="s">
        <v>10</v>
      </c>
      <c r="I10" s="9" t="s">
        <v>11</v>
      </c>
    </row>
    <row r="11" spans="1:9" ht="15.75" x14ac:dyDescent="0.25">
      <c r="A11" s="2">
        <v>53.3</v>
      </c>
      <c r="B11" s="2">
        <v>98</v>
      </c>
      <c r="C11" s="2">
        <v>62</v>
      </c>
      <c r="D11" s="2">
        <v>22.5</v>
      </c>
      <c r="F11" s="11" t="s">
        <v>9</v>
      </c>
      <c r="G11" s="11">
        <v>1</v>
      </c>
      <c r="H11" s="11">
        <v>0.96682874254651652</v>
      </c>
      <c r="I11" s="11">
        <v>0.67881803327949475</v>
      </c>
    </row>
    <row r="12" spans="1:9" ht="15.75" x14ac:dyDescent="0.25">
      <c r="A12" s="2">
        <v>43.4</v>
      </c>
      <c r="B12" s="2">
        <v>107</v>
      </c>
      <c r="C12" s="2">
        <v>80</v>
      </c>
      <c r="D12" s="2">
        <v>22.5</v>
      </c>
      <c r="F12" s="14" t="s">
        <v>10</v>
      </c>
      <c r="G12" s="11">
        <v>0.96682874254651652</v>
      </c>
      <c r="H12" s="11">
        <v>1</v>
      </c>
      <c r="I12" s="11">
        <v>0.83181528762749968</v>
      </c>
    </row>
    <row r="13" spans="1:9" ht="16.5" thickBot="1" x14ac:dyDescent="0.3">
      <c r="A13" s="2">
        <v>41.1</v>
      </c>
      <c r="B13" s="2">
        <v>103</v>
      </c>
      <c r="C13" s="2">
        <v>73</v>
      </c>
      <c r="D13" s="2">
        <v>22.5</v>
      </c>
      <c r="F13" s="13" t="s">
        <v>11</v>
      </c>
      <c r="G13" s="13">
        <v>0.67881803327949475</v>
      </c>
      <c r="H13" s="13">
        <v>0.83181528762749968</v>
      </c>
      <c r="I13" s="13">
        <v>1</v>
      </c>
    </row>
    <row r="14" spans="1:9" ht="16.5" thickTop="1" x14ac:dyDescent="0.25">
      <c r="A14" s="2">
        <v>40.9</v>
      </c>
      <c r="B14" s="2">
        <v>113</v>
      </c>
      <c r="C14" s="2">
        <v>92</v>
      </c>
      <c r="D14" s="2">
        <v>22.5</v>
      </c>
    </row>
    <row r="15" spans="1:9" ht="18" x14ac:dyDescent="0.25">
      <c r="A15" s="2">
        <v>40.9</v>
      </c>
      <c r="B15" s="2">
        <v>113</v>
      </c>
      <c r="C15" s="2">
        <v>92</v>
      </c>
      <c r="D15" s="2">
        <v>22.5</v>
      </c>
      <c r="F15" s="29" t="s">
        <v>83</v>
      </c>
      <c r="G15" s="29"/>
      <c r="H15" s="29"/>
      <c r="I15" s="29"/>
    </row>
    <row r="16" spans="1:9" ht="15.75" x14ac:dyDescent="0.25">
      <c r="A16" s="2">
        <v>40.4</v>
      </c>
      <c r="B16" s="2">
        <v>103</v>
      </c>
      <c r="C16" s="2">
        <v>73</v>
      </c>
      <c r="D16" s="2">
        <v>22.5</v>
      </c>
    </row>
    <row r="17" spans="1:23" ht="15.75" x14ac:dyDescent="0.25">
      <c r="A17" s="2">
        <v>39.6</v>
      </c>
      <c r="B17" s="2">
        <v>100</v>
      </c>
      <c r="C17" s="2">
        <v>66</v>
      </c>
      <c r="D17" s="2">
        <v>22.5</v>
      </c>
      <c r="F17" s="9"/>
      <c r="G17" s="15" t="s">
        <v>9</v>
      </c>
      <c r="H17" s="9" t="s">
        <v>10</v>
      </c>
      <c r="I17" s="9" t="s">
        <v>11</v>
      </c>
    </row>
    <row r="18" spans="1:23" ht="15.75" x14ac:dyDescent="0.25">
      <c r="A18" s="2">
        <v>39.299999999999997</v>
      </c>
      <c r="B18" s="2">
        <v>103</v>
      </c>
      <c r="C18" s="2">
        <v>73</v>
      </c>
      <c r="D18" s="2">
        <v>22.5</v>
      </c>
      <c r="F18" s="11" t="s">
        <v>9</v>
      </c>
      <c r="G18" s="11">
        <f t="array" ref="G18">G11^2</f>
        <v>1</v>
      </c>
      <c r="H18" s="11">
        <f t="array" ref="H18">H11^2</f>
        <v>0.93475781741407837</v>
      </c>
      <c r="I18" s="11">
        <f t="array" ref="I18">I11^2</f>
        <v>0.46079392230544125</v>
      </c>
    </row>
    <row r="19" spans="1:23" ht="15.75" x14ac:dyDescent="0.25">
      <c r="A19" s="2">
        <v>38.9</v>
      </c>
      <c r="B19" s="2">
        <v>106</v>
      </c>
      <c r="C19" s="2">
        <v>78</v>
      </c>
      <c r="D19" s="2">
        <v>22.5</v>
      </c>
      <c r="F19" s="14" t="s">
        <v>10</v>
      </c>
      <c r="G19" s="11">
        <f t="array" ref="G19">G12^2</f>
        <v>0.93475781741407837</v>
      </c>
      <c r="H19" s="11">
        <f t="array" ref="H19">H12^2</f>
        <v>1</v>
      </c>
      <c r="I19" s="11">
        <f t="array" ref="I19">I12^2</f>
        <v>0.69191667273082003</v>
      </c>
    </row>
    <row r="20" spans="1:23" ht="16.5" thickBot="1" x14ac:dyDescent="0.3">
      <c r="A20" s="2">
        <v>38.799999999999997</v>
      </c>
      <c r="B20" s="2">
        <v>113</v>
      </c>
      <c r="C20" s="2">
        <v>92</v>
      </c>
      <c r="D20" s="2">
        <v>22.5</v>
      </c>
      <c r="F20" s="13" t="s">
        <v>11</v>
      </c>
      <c r="G20" s="13">
        <f t="array" ref="G20">G13^2</f>
        <v>0.46079392230544125</v>
      </c>
      <c r="H20" s="13">
        <f t="array" ref="H20">H13^2</f>
        <v>0.69191667273082003</v>
      </c>
      <c r="I20" s="13">
        <f t="array" ref="I20">I13^2</f>
        <v>1</v>
      </c>
    </row>
    <row r="21" spans="1:23" ht="17.25" thickTop="1" thickBot="1" x14ac:dyDescent="0.3">
      <c r="A21" s="2">
        <v>38.200000000000003</v>
      </c>
      <c r="B21" s="2">
        <v>106</v>
      </c>
      <c r="C21" s="2">
        <v>78</v>
      </c>
      <c r="D21" s="2">
        <v>22.5</v>
      </c>
    </row>
    <row r="22" spans="1:23" ht="15.75" x14ac:dyDescent="0.25">
      <c r="A22" s="2">
        <v>42.2</v>
      </c>
      <c r="B22" s="2">
        <v>109</v>
      </c>
      <c r="C22" s="2">
        <v>90</v>
      </c>
      <c r="D22" s="2">
        <v>25</v>
      </c>
      <c r="F22" s="29" t="s">
        <v>13</v>
      </c>
      <c r="G22" s="29"/>
      <c r="H22" s="29"/>
      <c r="I22" s="29"/>
      <c r="K22" s="30"/>
      <c r="L22" s="31"/>
    </row>
    <row r="23" spans="1:23" ht="15.75" x14ac:dyDescent="0.25">
      <c r="A23" s="2">
        <v>40.9</v>
      </c>
      <c r="B23" s="2">
        <v>110</v>
      </c>
      <c r="C23" s="2">
        <v>92</v>
      </c>
      <c r="D23" s="2">
        <v>25</v>
      </c>
      <c r="K23" s="32"/>
      <c r="L23" s="33"/>
    </row>
    <row r="24" spans="1:23" ht="16.5" thickBot="1" x14ac:dyDescent="0.3">
      <c r="A24" s="2">
        <v>40.700000000000003</v>
      </c>
      <c r="B24" s="2">
        <v>101</v>
      </c>
      <c r="C24" s="2">
        <v>74</v>
      </c>
      <c r="D24" s="2">
        <v>25</v>
      </c>
      <c r="F24" s="9"/>
      <c r="G24" s="9" t="s">
        <v>9</v>
      </c>
      <c r="H24" s="9" t="s">
        <v>10</v>
      </c>
      <c r="I24" s="9" t="s">
        <v>11</v>
      </c>
      <c r="K24" s="34"/>
      <c r="L24" s="35"/>
    </row>
    <row r="25" spans="1:23" ht="15.75" x14ac:dyDescent="0.25">
      <c r="A25" s="2">
        <v>40</v>
      </c>
      <c r="B25" s="2">
        <v>111</v>
      </c>
      <c r="C25" s="2">
        <v>95</v>
      </c>
      <c r="D25" s="2">
        <v>25</v>
      </c>
      <c r="F25" s="11" t="s">
        <v>9</v>
      </c>
      <c r="G25" s="11" t="e">
        <f t="array" ref="G25">1/(1-G18)</f>
        <v>#DIV/0!</v>
      </c>
      <c r="H25" s="11">
        <f t="array" ref="H25">1/(1-H18)</f>
        <v>15.327506842418027</v>
      </c>
      <c r="I25" s="11">
        <f t="array" ref="I25">1/(1-I18)</f>
        <v>1.8545785022966019</v>
      </c>
    </row>
    <row r="26" spans="1:23" ht="15.75" x14ac:dyDescent="0.25">
      <c r="A26" s="2">
        <v>39.299999999999997</v>
      </c>
      <c r="B26" s="2">
        <v>105</v>
      </c>
      <c r="C26" s="2">
        <v>81</v>
      </c>
      <c r="D26" s="2">
        <v>25</v>
      </c>
      <c r="F26" s="11" t="s">
        <v>10</v>
      </c>
      <c r="G26" s="16">
        <f t="array" ref="G26">1/(1-G19)</f>
        <v>15.327506842418027</v>
      </c>
      <c r="H26" s="11" t="e">
        <f t="array" ref="H26">1/(1-H19)</f>
        <v>#DIV/0!</v>
      </c>
      <c r="I26" s="11">
        <f t="array" ref="I26">1/(1-I19)</f>
        <v>3.2458750977013286</v>
      </c>
    </row>
    <row r="27" spans="1:23" ht="16.5" thickBot="1" x14ac:dyDescent="0.3">
      <c r="A27" s="2">
        <v>38.799999999999997</v>
      </c>
      <c r="B27" s="2">
        <v>111</v>
      </c>
      <c r="C27" s="2">
        <v>95</v>
      </c>
      <c r="D27" s="2">
        <v>25</v>
      </c>
      <c r="F27" s="13" t="s">
        <v>11</v>
      </c>
      <c r="G27" s="13">
        <f t="array" ref="G27">1/(1-G20)</f>
        <v>1.8545785022966019</v>
      </c>
      <c r="H27" s="13">
        <f t="array" ref="H27">1/(1-H20)</f>
        <v>3.2458750977013286</v>
      </c>
      <c r="I27" s="13" t="e">
        <f t="array" ref="I27">1/(1-I20)</f>
        <v>#DIV/0!</v>
      </c>
    </row>
    <row r="28" spans="1:23" ht="16.5" thickTop="1" x14ac:dyDescent="0.25">
      <c r="A28" s="2">
        <v>38.4</v>
      </c>
      <c r="B28" s="2">
        <v>110</v>
      </c>
      <c r="C28" s="2">
        <v>92</v>
      </c>
      <c r="D28" s="2">
        <v>25</v>
      </c>
    </row>
    <row r="29" spans="1:23" ht="15.75" x14ac:dyDescent="0.25">
      <c r="A29" s="2">
        <v>38.4</v>
      </c>
      <c r="B29" s="2">
        <v>110</v>
      </c>
      <c r="C29" s="2">
        <v>92</v>
      </c>
      <c r="D29" s="2">
        <v>25</v>
      </c>
    </row>
    <row r="30" spans="1:23" ht="15.75" x14ac:dyDescent="0.25">
      <c r="A30" s="2">
        <v>38.4</v>
      </c>
      <c r="B30" s="2">
        <v>110</v>
      </c>
      <c r="C30" s="2">
        <v>92</v>
      </c>
      <c r="D30" s="2">
        <v>25</v>
      </c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5.75" x14ac:dyDescent="0.25">
      <c r="A31" s="2">
        <v>46.9</v>
      </c>
      <c r="B31" s="2">
        <v>90</v>
      </c>
      <c r="C31" s="2">
        <v>52</v>
      </c>
      <c r="D31" s="2">
        <v>27.5</v>
      </c>
      <c r="F31" s="3" t="s">
        <v>14</v>
      </c>
      <c r="G31" s="3"/>
    </row>
    <row r="32" spans="1:23" ht="15.75" x14ac:dyDescent="0.25">
      <c r="A32" s="2">
        <v>36.299999999999997</v>
      </c>
      <c r="B32" s="2">
        <v>112</v>
      </c>
      <c r="C32" s="2">
        <v>103</v>
      </c>
      <c r="D32" s="2">
        <v>27.5</v>
      </c>
      <c r="F32" t="s">
        <v>15</v>
      </c>
    </row>
    <row r="33" spans="1:6" ht="15.75" x14ac:dyDescent="0.25">
      <c r="A33" s="2">
        <v>36.1</v>
      </c>
      <c r="B33" s="2">
        <v>103</v>
      </c>
      <c r="C33" s="2">
        <v>84</v>
      </c>
      <c r="D33" s="2">
        <v>27.5</v>
      </c>
      <c r="F33" t="s">
        <v>17</v>
      </c>
    </row>
    <row r="34" spans="1:6" ht="15.75" x14ac:dyDescent="0.25">
      <c r="A34" s="2">
        <v>36.1</v>
      </c>
      <c r="B34" s="2">
        <v>103</v>
      </c>
      <c r="C34" s="2">
        <v>84</v>
      </c>
      <c r="D34" s="2">
        <v>27.5</v>
      </c>
      <c r="F34" t="s">
        <v>16</v>
      </c>
    </row>
    <row r="35" spans="1:6" ht="15.75" x14ac:dyDescent="0.25">
      <c r="A35" s="2">
        <v>35.4</v>
      </c>
      <c r="B35" s="2">
        <v>111</v>
      </c>
      <c r="C35" s="2">
        <v>102</v>
      </c>
      <c r="D35" s="2">
        <v>27.5</v>
      </c>
    </row>
    <row r="36" spans="1:6" ht="15.75" x14ac:dyDescent="0.25">
      <c r="A36" s="2">
        <v>35.299999999999997</v>
      </c>
      <c r="B36" s="2">
        <v>111</v>
      </c>
      <c r="C36" s="2">
        <v>102</v>
      </c>
      <c r="D36" s="2">
        <v>27.5</v>
      </c>
    </row>
    <row r="37" spans="1:6" ht="15.75" x14ac:dyDescent="0.25">
      <c r="A37" s="2">
        <v>35.1</v>
      </c>
      <c r="B37" s="2">
        <v>102</v>
      </c>
      <c r="C37" s="2">
        <v>81</v>
      </c>
      <c r="D37" s="2">
        <v>27.5</v>
      </c>
    </row>
    <row r="38" spans="1:6" ht="15.75" x14ac:dyDescent="0.25">
      <c r="A38" s="2">
        <v>35.1</v>
      </c>
      <c r="B38" s="2">
        <v>106</v>
      </c>
      <c r="C38" s="2">
        <v>90</v>
      </c>
      <c r="D38" s="2">
        <v>27.5</v>
      </c>
    </row>
    <row r="39" spans="1:6" ht="15.75" x14ac:dyDescent="0.25">
      <c r="A39" s="2">
        <v>35</v>
      </c>
      <c r="B39" s="2">
        <v>106</v>
      </c>
      <c r="C39" s="2">
        <v>90</v>
      </c>
      <c r="D39" s="2">
        <v>27.5</v>
      </c>
    </row>
    <row r="40" spans="1:6" ht="15.75" x14ac:dyDescent="0.25">
      <c r="A40" s="2">
        <v>33.200000000000003</v>
      </c>
      <c r="B40" s="2">
        <v>109</v>
      </c>
      <c r="C40" s="2">
        <v>102</v>
      </c>
      <c r="D40" s="2">
        <v>30</v>
      </c>
    </row>
    <row r="41" spans="1:6" ht="15.75" x14ac:dyDescent="0.25">
      <c r="A41" s="2">
        <v>32.9</v>
      </c>
      <c r="B41" s="2">
        <v>109</v>
      </c>
      <c r="C41" s="2">
        <v>102</v>
      </c>
      <c r="D41" s="2">
        <v>30</v>
      </c>
    </row>
    <row r="42" spans="1:6" ht="15.75" x14ac:dyDescent="0.25">
      <c r="A42" s="2">
        <v>32.299999999999997</v>
      </c>
      <c r="B42" s="2">
        <v>120</v>
      </c>
      <c r="C42" s="2">
        <v>130</v>
      </c>
      <c r="D42" s="2">
        <v>30</v>
      </c>
    </row>
    <row r="43" spans="1:6" ht="15.75" x14ac:dyDescent="0.25">
      <c r="A43" s="2">
        <v>32.200000000000003</v>
      </c>
      <c r="B43" s="2">
        <v>106</v>
      </c>
      <c r="C43" s="2">
        <v>95</v>
      </c>
      <c r="D43" s="2">
        <v>30</v>
      </c>
    </row>
    <row r="44" spans="1:6" ht="15.75" x14ac:dyDescent="0.25">
      <c r="A44" s="2">
        <v>32.299999999999997</v>
      </c>
      <c r="B44" s="2">
        <v>106</v>
      </c>
      <c r="C44" s="2">
        <v>95</v>
      </c>
      <c r="D44" s="2">
        <v>30</v>
      </c>
    </row>
    <row r="45" spans="1:6" ht="15.75" x14ac:dyDescent="0.25">
      <c r="A45" s="2">
        <v>32.299999999999997</v>
      </c>
      <c r="B45" s="2">
        <v>109</v>
      </c>
      <c r="C45" s="2">
        <v>102</v>
      </c>
      <c r="D45" s="2">
        <v>30</v>
      </c>
    </row>
    <row r="46" spans="1:6" ht="15.75" x14ac:dyDescent="0.25">
      <c r="A46" s="2">
        <v>32.299999999999997</v>
      </c>
      <c r="B46" s="2">
        <v>106</v>
      </c>
      <c r="C46" s="2">
        <v>95</v>
      </c>
      <c r="D46" s="2">
        <v>30</v>
      </c>
    </row>
    <row r="47" spans="1:6" ht="15.75" x14ac:dyDescent="0.25">
      <c r="A47" s="2">
        <v>31.5</v>
      </c>
      <c r="B47" s="2">
        <v>105</v>
      </c>
      <c r="C47" s="2">
        <v>93</v>
      </c>
      <c r="D47" s="2">
        <v>30</v>
      </c>
    </row>
    <row r="48" spans="1:6" ht="15.75" x14ac:dyDescent="0.25">
      <c r="A48" s="2">
        <v>31.5</v>
      </c>
      <c r="B48" s="2">
        <v>108</v>
      </c>
      <c r="C48" s="2">
        <v>100</v>
      </c>
      <c r="D48" s="2">
        <v>30</v>
      </c>
    </row>
    <row r="49" spans="1:4" ht="15.75" x14ac:dyDescent="0.25">
      <c r="A49" s="2">
        <v>31.4</v>
      </c>
      <c r="B49" s="2">
        <v>108</v>
      </c>
      <c r="C49" s="2">
        <v>100</v>
      </c>
      <c r="D49" s="2">
        <v>30</v>
      </c>
    </row>
    <row r="50" spans="1:4" ht="15.75" x14ac:dyDescent="0.25">
      <c r="A50" s="2">
        <v>31.4</v>
      </c>
      <c r="B50" s="2">
        <v>107</v>
      </c>
      <c r="C50" s="2">
        <v>98</v>
      </c>
      <c r="D50" s="2">
        <v>30</v>
      </c>
    </row>
    <row r="51" spans="1:4" ht="15.75" x14ac:dyDescent="0.25">
      <c r="A51" s="2">
        <v>31.2</v>
      </c>
      <c r="B51" s="2">
        <v>120</v>
      </c>
      <c r="C51" s="2">
        <v>130</v>
      </c>
      <c r="D51" s="2">
        <v>30</v>
      </c>
    </row>
    <row r="52" spans="1:4" ht="15.75" x14ac:dyDescent="0.25">
      <c r="A52" s="2">
        <v>33.700000000000003</v>
      </c>
      <c r="B52" s="2">
        <v>109</v>
      </c>
      <c r="C52" s="2">
        <v>115</v>
      </c>
      <c r="D52" s="2">
        <v>35</v>
      </c>
    </row>
    <row r="53" spans="1:4" ht="15.75" x14ac:dyDescent="0.25">
      <c r="A53" s="2">
        <v>32.6</v>
      </c>
      <c r="B53" s="2">
        <v>109</v>
      </c>
      <c r="C53" s="2">
        <v>115</v>
      </c>
      <c r="D53" s="2">
        <v>35</v>
      </c>
    </row>
    <row r="54" spans="1:4" ht="15.75" x14ac:dyDescent="0.25">
      <c r="A54" s="2">
        <v>31.3</v>
      </c>
      <c r="B54" s="2">
        <v>109</v>
      </c>
      <c r="C54" s="2">
        <v>115</v>
      </c>
      <c r="D54" s="2">
        <v>35</v>
      </c>
    </row>
    <row r="55" spans="1:4" ht="15.75" x14ac:dyDescent="0.25">
      <c r="A55" s="2">
        <v>31.3</v>
      </c>
      <c r="B55" s="2">
        <v>109</v>
      </c>
      <c r="C55" s="2">
        <v>115</v>
      </c>
      <c r="D55" s="2">
        <v>35</v>
      </c>
    </row>
    <row r="56" spans="1:4" ht="15.75" x14ac:dyDescent="0.25">
      <c r="A56" s="2">
        <v>30.4</v>
      </c>
      <c r="B56" s="2">
        <v>133</v>
      </c>
      <c r="C56" s="2">
        <v>180</v>
      </c>
      <c r="D56" s="2">
        <v>35</v>
      </c>
    </row>
    <row r="57" spans="1:4" ht="15.75" x14ac:dyDescent="0.25">
      <c r="A57" s="2">
        <v>28.9</v>
      </c>
      <c r="B57" s="2">
        <v>125</v>
      </c>
      <c r="C57" s="2">
        <v>160</v>
      </c>
      <c r="D57" s="2">
        <v>35</v>
      </c>
    </row>
    <row r="58" spans="1:4" ht="15.75" x14ac:dyDescent="0.25">
      <c r="A58" s="2">
        <v>28</v>
      </c>
      <c r="B58" s="2">
        <v>115</v>
      </c>
      <c r="C58" s="2">
        <v>130</v>
      </c>
      <c r="D58" s="2">
        <v>35</v>
      </c>
    </row>
    <row r="59" spans="1:4" ht="15.75" x14ac:dyDescent="0.25">
      <c r="A59" s="2">
        <v>28</v>
      </c>
      <c r="B59" s="2">
        <v>102</v>
      </c>
      <c r="C59" s="2">
        <v>96</v>
      </c>
      <c r="D59" s="2">
        <v>35</v>
      </c>
    </row>
    <row r="60" spans="1:4" ht="15.75" x14ac:dyDescent="0.25">
      <c r="A60" s="2">
        <v>28</v>
      </c>
      <c r="B60" s="2">
        <v>109</v>
      </c>
      <c r="C60" s="2">
        <v>115</v>
      </c>
      <c r="D60" s="2">
        <v>35</v>
      </c>
    </row>
    <row r="61" spans="1:4" ht="15.75" x14ac:dyDescent="0.25">
      <c r="A61" s="2">
        <v>28</v>
      </c>
      <c r="B61" s="2">
        <v>104</v>
      </c>
      <c r="C61" s="2">
        <v>100</v>
      </c>
      <c r="D61" s="2">
        <v>35</v>
      </c>
    </row>
    <row r="62" spans="1:4" ht="15.75" x14ac:dyDescent="0.25">
      <c r="A62" s="2">
        <v>28</v>
      </c>
      <c r="B62" s="2">
        <v>105</v>
      </c>
      <c r="C62" s="2">
        <v>100</v>
      </c>
      <c r="D62" s="2">
        <v>35</v>
      </c>
    </row>
    <row r="63" spans="1:4" ht="15.75" x14ac:dyDescent="0.25">
      <c r="A63" s="2">
        <v>27.7</v>
      </c>
      <c r="B63" s="2">
        <v>120</v>
      </c>
      <c r="C63" s="2">
        <v>145</v>
      </c>
      <c r="D63" s="2">
        <v>35</v>
      </c>
    </row>
    <row r="64" spans="1:4" ht="15.75" x14ac:dyDescent="0.25">
      <c r="A64" s="2">
        <v>25.6</v>
      </c>
      <c r="B64" s="2">
        <v>107</v>
      </c>
      <c r="C64" s="2">
        <v>120</v>
      </c>
      <c r="D64" s="2">
        <v>40</v>
      </c>
    </row>
    <row r="65" spans="1:4" ht="15.75" x14ac:dyDescent="0.25">
      <c r="A65" s="2">
        <v>25.3</v>
      </c>
      <c r="B65" s="2">
        <v>114</v>
      </c>
      <c r="C65" s="2">
        <v>140</v>
      </c>
      <c r="D65" s="2">
        <v>40</v>
      </c>
    </row>
    <row r="66" spans="1:4" ht="15.75" x14ac:dyDescent="0.25">
      <c r="A66" s="2">
        <v>23.9</v>
      </c>
      <c r="B66" s="2">
        <v>114</v>
      </c>
      <c r="C66" s="2">
        <v>140</v>
      </c>
      <c r="D66" s="2">
        <v>40</v>
      </c>
    </row>
    <row r="67" spans="1:4" ht="15.75" x14ac:dyDescent="0.25">
      <c r="A67" s="2">
        <v>23.6</v>
      </c>
      <c r="B67" s="2">
        <v>117</v>
      </c>
      <c r="C67" s="2">
        <v>150</v>
      </c>
      <c r="D67" s="2">
        <v>40</v>
      </c>
    </row>
    <row r="68" spans="1:4" ht="15.75" x14ac:dyDescent="0.25">
      <c r="A68" s="2">
        <v>23.6</v>
      </c>
      <c r="B68" s="2">
        <v>122</v>
      </c>
      <c r="C68" s="2">
        <v>165</v>
      </c>
      <c r="D68" s="2">
        <v>40</v>
      </c>
    </row>
    <row r="69" spans="1:4" ht="15.75" x14ac:dyDescent="0.25">
      <c r="A69" s="2">
        <v>23.6</v>
      </c>
      <c r="B69" s="2">
        <v>122</v>
      </c>
      <c r="C69" s="2">
        <v>165</v>
      </c>
      <c r="D69" s="2">
        <v>40</v>
      </c>
    </row>
    <row r="70" spans="1:4" ht="15.75" x14ac:dyDescent="0.25">
      <c r="A70" s="2">
        <v>23.6</v>
      </c>
      <c r="B70" s="2">
        <v>122</v>
      </c>
      <c r="C70" s="2">
        <v>165</v>
      </c>
      <c r="D70" s="2">
        <v>40</v>
      </c>
    </row>
    <row r="71" spans="1:4" ht="15.75" x14ac:dyDescent="0.25">
      <c r="A71" s="2">
        <v>23.6</v>
      </c>
      <c r="B71" s="2">
        <v>122</v>
      </c>
      <c r="C71" s="2">
        <v>165</v>
      </c>
      <c r="D71" s="2">
        <v>40</v>
      </c>
    </row>
    <row r="72" spans="1:4" ht="15.75" x14ac:dyDescent="0.25">
      <c r="A72" s="2">
        <v>23.5</v>
      </c>
      <c r="B72" s="2">
        <v>148</v>
      </c>
      <c r="C72" s="2">
        <v>245</v>
      </c>
      <c r="D72" s="2">
        <v>40</v>
      </c>
    </row>
    <row r="73" spans="1:4" ht="15.75" x14ac:dyDescent="0.25">
      <c r="A73" s="2">
        <v>23.4</v>
      </c>
      <c r="B73" s="2">
        <v>160</v>
      </c>
      <c r="C73" s="2">
        <v>280</v>
      </c>
      <c r="D73" s="2">
        <v>40</v>
      </c>
    </row>
    <row r="74" spans="1:4" ht="15.75" x14ac:dyDescent="0.25">
      <c r="A74" s="2">
        <v>23.4</v>
      </c>
      <c r="B74" s="2">
        <v>121</v>
      </c>
      <c r="C74" s="2">
        <v>162</v>
      </c>
      <c r="D74" s="2">
        <v>40</v>
      </c>
    </row>
    <row r="75" spans="1:4" ht="15.75" x14ac:dyDescent="0.25">
      <c r="A75" s="2">
        <v>23.1</v>
      </c>
      <c r="B75" s="2">
        <v>121</v>
      </c>
      <c r="C75" s="2">
        <v>162</v>
      </c>
      <c r="D75" s="2">
        <v>40</v>
      </c>
    </row>
    <row r="76" spans="1:4" ht="15.75" x14ac:dyDescent="0.25">
      <c r="A76" s="2">
        <v>22.9</v>
      </c>
      <c r="B76" s="2">
        <v>110</v>
      </c>
      <c r="C76" s="2">
        <v>140</v>
      </c>
      <c r="D76" s="2">
        <v>45</v>
      </c>
    </row>
    <row r="77" spans="1:4" ht="15.75" x14ac:dyDescent="0.25">
      <c r="A77" s="2">
        <v>22.9</v>
      </c>
      <c r="B77" s="2">
        <v>110</v>
      </c>
      <c r="C77" s="2">
        <v>140</v>
      </c>
      <c r="D77" s="2">
        <v>45</v>
      </c>
    </row>
    <row r="78" spans="1:4" ht="15.75" x14ac:dyDescent="0.25">
      <c r="A78" s="2">
        <v>19.5</v>
      </c>
      <c r="B78" s="2">
        <v>121</v>
      </c>
      <c r="C78" s="2">
        <v>175</v>
      </c>
      <c r="D78" s="2">
        <v>45</v>
      </c>
    </row>
    <row r="79" spans="1:4" ht="15.75" x14ac:dyDescent="0.25">
      <c r="A79" s="2">
        <v>18.100000000000001</v>
      </c>
      <c r="B79" s="2">
        <v>165</v>
      </c>
      <c r="C79" s="2">
        <v>322</v>
      </c>
      <c r="D79" s="2">
        <v>45</v>
      </c>
    </row>
    <row r="80" spans="1:4" ht="15.75" x14ac:dyDescent="0.25">
      <c r="A80" s="2">
        <v>17.2</v>
      </c>
      <c r="B80" s="2">
        <v>140</v>
      </c>
      <c r="C80" s="2">
        <v>238</v>
      </c>
      <c r="D80" s="2">
        <v>45</v>
      </c>
    </row>
    <row r="81" spans="1:4" ht="15.75" x14ac:dyDescent="0.25">
      <c r="A81" s="2">
        <v>17</v>
      </c>
      <c r="B81" s="2">
        <v>147</v>
      </c>
      <c r="C81" s="2">
        <v>263</v>
      </c>
      <c r="D81" s="2">
        <v>45</v>
      </c>
    </row>
    <row r="82" spans="1:4" ht="15.75" x14ac:dyDescent="0.25">
      <c r="A82" s="2">
        <v>16.7</v>
      </c>
      <c r="B82" s="2">
        <v>157</v>
      </c>
      <c r="C82" s="2">
        <v>295</v>
      </c>
      <c r="D82" s="2">
        <v>45</v>
      </c>
    </row>
    <row r="83" spans="1:4" ht="15.75" x14ac:dyDescent="0.25">
      <c r="A83" s="2">
        <v>13.2</v>
      </c>
      <c r="B83" s="2">
        <v>130</v>
      </c>
      <c r="C83" s="2">
        <v>236</v>
      </c>
      <c r="D83" s="2">
        <v>55</v>
      </c>
    </row>
  </sheetData>
  <mergeCells count="8">
    <mergeCell ref="G3:I3"/>
    <mergeCell ref="F8:H8"/>
    <mergeCell ref="F15:I15"/>
    <mergeCell ref="K22:L24"/>
    <mergeCell ref="F22:I22"/>
    <mergeCell ref="G6:I6"/>
    <mergeCell ref="G5:I5"/>
    <mergeCell ref="G4:I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606B-E419-4807-A787-5050653BBF59}">
  <dimension ref="B3:J111"/>
  <sheetViews>
    <sheetView workbookViewId="0">
      <selection activeCell="E8" sqref="E8"/>
    </sheetView>
  </sheetViews>
  <sheetFormatPr defaultRowHeight="15" x14ac:dyDescent="0.25"/>
  <cols>
    <col min="2" max="2" width="18" bestFit="1" customWidth="1"/>
    <col min="3" max="3" width="12.7109375" bestFit="1" customWidth="1"/>
    <col min="4" max="4" width="14.5703125" bestFit="1" customWidth="1"/>
    <col min="5" max="5" width="12.7109375" bestFit="1" customWidth="1"/>
    <col min="6" max="6" width="20.140625" bestFit="1" customWidth="1"/>
    <col min="7" max="7" width="13.42578125" bestFit="1" customWidth="1"/>
    <col min="8" max="10" width="12.7109375" bestFit="1" customWidth="1"/>
  </cols>
  <sheetData>
    <row r="3" spans="2:7" x14ac:dyDescent="0.25">
      <c r="B3" t="s">
        <v>19</v>
      </c>
    </row>
    <row r="4" spans="2:7" ht="15.75" thickBot="1" x14ac:dyDescent="0.3"/>
    <row r="5" spans="2:7" x14ac:dyDescent="0.25">
      <c r="B5" s="19" t="s">
        <v>20</v>
      </c>
      <c r="C5" s="19"/>
    </row>
    <row r="6" spans="2:7" x14ac:dyDescent="0.25">
      <c r="B6" s="7" t="s">
        <v>21</v>
      </c>
      <c r="C6" s="7">
        <v>0.93970174740566537</v>
      </c>
    </row>
    <row r="7" spans="2:7" x14ac:dyDescent="0.25">
      <c r="B7" s="7" t="s">
        <v>22</v>
      </c>
      <c r="C7" s="7">
        <v>0.88303937407726096</v>
      </c>
    </row>
    <row r="8" spans="2:7" x14ac:dyDescent="0.25">
      <c r="B8" s="7" t="s">
        <v>23</v>
      </c>
      <c r="C8" s="7">
        <v>0.87848246657377771</v>
      </c>
    </row>
    <row r="9" spans="2:7" x14ac:dyDescent="0.25">
      <c r="B9" s="7" t="s">
        <v>24</v>
      </c>
      <c r="C9" s="7">
        <v>3.5050461828241759</v>
      </c>
    </row>
    <row r="10" spans="2:7" ht="15.75" thickBot="1" x14ac:dyDescent="0.3">
      <c r="B10" s="8" t="s">
        <v>25</v>
      </c>
      <c r="C10" s="8">
        <v>81</v>
      </c>
    </row>
    <row r="12" spans="2:7" ht="15.75" thickBot="1" x14ac:dyDescent="0.3">
      <c r="B12" t="s">
        <v>26</v>
      </c>
    </row>
    <row r="13" spans="2:7" x14ac:dyDescent="0.25">
      <c r="B13" s="10"/>
      <c r="C13" s="10" t="s">
        <v>31</v>
      </c>
      <c r="D13" s="10" t="s">
        <v>32</v>
      </c>
      <c r="E13" s="10" t="s">
        <v>33</v>
      </c>
      <c r="F13" s="10" t="s">
        <v>34</v>
      </c>
      <c r="G13" s="10" t="s">
        <v>35</v>
      </c>
    </row>
    <row r="14" spans="2:7" x14ac:dyDescent="0.25">
      <c r="B14" s="7" t="s">
        <v>27</v>
      </c>
      <c r="C14" s="7">
        <v>3</v>
      </c>
      <c r="D14" s="7">
        <v>7141.9795047574571</v>
      </c>
      <c r="E14" s="7">
        <v>2380.6598349191522</v>
      </c>
      <c r="F14" s="7">
        <v>193.7804033551829</v>
      </c>
      <c r="G14" s="7">
        <v>8.7624086732531546E-36</v>
      </c>
    </row>
    <row r="15" spans="2:7" x14ac:dyDescent="0.25">
      <c r="B15" s="7" t="s">
        <v>28</v>
      </c>
      <c r="C15" s="7">
        <v>77</v>
      </c>
      <c r="D15" s="7">
        <v>945.97185326723513</v>
      </c>
      <c r="E15" s="7">
        <v>12.285348743730326</v>
      </c>
      <c r="F15" s="7"/>
      <c r="G15" s="7"/>
    </row>
    <row r="16" spans="2:7" ht="15.75" thickBot="1" x14ac:dyDescent="0.3">
      <c r="B16" s="8" t="s">
        <v>29</v>
      </c>
      <c r="C16" s="8">
        <v>80</v>
      </c>
      <c r="D16" s="8">
        <v>8087.9513580246921</v>
      </c>
      <c r="E16" s="8"/>
      <c r="F16" s="8"/>
      <c r="G16" s="8"/>
    </row>
    <row r="17" spans="2:10" ht="15.75" thickBot="1" x14ac:dyDescent="0.3"/>
    <row r="18" spans="2:10" x14ac:dyDescent="0.25">
      <c r="B18" s="10"/>
      <c r="C18" s="10" t="s">
        <v>36</v>
      </c>
      <c r="D18" s="10" t="s">
        <v>24</v>
      </c>
      <c r="E18" s="10" t="s">
        <v>37</v>
      </c>
      <c r="F18" s="10" t="s">
        <v>38</v>
      </c>
      <c r="G18" s="10" t="s">
        <v>39</v>
      </c>
      <c r="H18" s="10" t="s">
        <v>40</v>
      </c>
      <c r="I18" s="10" t="s">
        <v>41</v>
      </c>
      <c r="J18" s="10" t="s">
        <v>42</v>
      </c>
    </row>
    <row r="19" spans="2:10" x14ac:dyDescent="0.25">
      <c r="B19" s="7" t="s">
        <v>30</v>
      </c>
      <c r="C19" s="7">
        <v>189.91748841574739</v>
      </c>
      <c r="D19" s="7">
        <v>22.510629361669231</v>
      </c>
      <c r="E19" s="7">
        <v>8.4367915869618511</v>
      </c>
      <c r="F19" s="7">
        <v>1.463173619770485E-12</v>
      </c>
      <c r="G19" s="7">
        <v>145.0930987563647</v>
      </c>
      <c r="H19" s="7">
        <v>234.74187807513007</v>
      </c>
      <c r="I19" s="7">
        <v>145.0930987563647</v>
      </c>
      <c r="J19" s="7">
        <v>234.74187807513007</v>
      </c>
    </row>
    <row r="20" spans="2:10" x14ac:dyDescent="0.25">
      <c r="B20" s="7" t="s">
        <v>9</v>
      </c>
      <c r="C20" s="7">
        <v>-1.2712382642002298</v>
      </c>
      <c r="D20" s="7">
        <v>0.23292955226064321</v>
      </c>
      <c r="E20" s="7">
        <v>-5.4576083277648735</v>
      </c>
      <c r="F20" s="7">
        <v>5.6687050882659815E-7</v>
      </c>
      <c r="G20" s="7">
        <v>-1.7350602589550841</v>
      </c>
      <c r="H20" s="7">
        <v>-0.80741626944537548</v>
      </c>
      <c r="I20" s="7">
        <v>-1.7350602589550841</v>
      </c>
      <c r="J20" s="7">
        <v>-0.80741626944537548</v>
      </c>
    </row>
    <row r="21" spans="2:10" x14ac:dyDescent="0.25">
      <c r="B21" s="7" t="s">
        <v>10</v>
      </c>
      <c r="C21" s="7">
        <v>0.39023148464083246</v>
      </c>
      <c r="D21" s="7">
        <v>7.6184353128157689E-2</v>
      </c>
      <c r="E21" s="7">
        <v>5.1221998824927102</v>
      </c>
      <c r="F21" s="7">
        <v>2.173219191885288E-6</v>
      </c>
      <c r="G21" s="7">
        <v>0.23852905661456761</v>
      </c>
      <c r="H21" s="7">
        <v>0.54193391266709734</v>
      </c>
      <c r="I21" s="7">
        <v>0.23852905661456761</v>
      </c>
      <c r="J21" s="7">
        <v>0.54193391266709734</v>
      </c>
    </row>
    <row r="22" spans="2:10" ht="15.75" thickBot="1" x14ac:dyDescent="0.3">
      <c r="B22" s="8" t="s">
        <v>11</v>
      </c>
      <c r="C22" s="8">
        <v>-1.9026931432004657</v>
      </c>
      <c r="D22" s="8">
        <v>0.18536629765132726</v>
      </c>
      <c r="E22" s="8">
        <v>-10.264504213055053</v>
      </c>
      <c r="F22" s="8">
        <v>4.5350290221477368E-16</v>
      </c>
      <c r="G22" s="8">
        <v>-2.2718045981555428</v>
      </c>
      <c r="H22" s="8">
        <v>-1.5335816882453885</v>
      </c>
      <c r="I22" s="8">
        <v>-2.2718045981555428</v>
      </c>
      <c r="J22" s="8">
        <v>-1.5335816882453885</v>
      </c>
    </row>
    <row r="26" spans="2:10" x14ac:dyDescent="0.25">
      <c r="B26" t="s">
        <v>43</v>
      </c>
    </row>
    <row r="27" spans="2:10" ht="15.75" thickBot="1" x14ac:dyDescent="0.3"/>
    <row r="28" spans="2:10" ht="15.75" x14ac:dyDescent="0.25">
      <c r="B28" s="10" t="s">
        <v>44</v>
      </c>
      <c r="C28" s="10" t="s">
        <v>45</v>
      </c>
      <c r="D28" s="10" t="s">
        <v>46</v>
      </c>
      <c r="E28" s="10" t="s">
        <v>47</v>
      </c>
      <c r="F28" s="18" t="s">
        <v>48</v>
      </c>
    </row>
    <row r="29" spans="2:10" ht="15.75" x14ac:dyDescent="0.25">
      <c r="B29" s="7">
        <v>1</v>
      </c>
      <c r="C29" s="7">
        <v>53.702827793917976</v>
      </c>
      <c r="D29" s="7">
        <v>11.69717220608203</v>
      </c>
      <c r="E29" s="1">
        <v>65.400000000000006</v>
      </c>
      <c r="F29">
        <f t="array" ref="F29">ABS(E29-C29)/E29*100</f>
        <v>17.885584412969465</v>
      </c>
    </row>
    <row r="30" spans="2:10" ht="15.75" x14ac:dyDescent="0.25">
      <c r="B30" s="7">
        <v>2</v>
      </c>
      <c r="C30" s="7">
        <v>50.016245579561577</v>
      </c>
      <c r="D30" s="7">
        <v>5.983754420438423</v>
      </c>
      <c r="E30" s="1">
        <v>56</v>
      </c>
      <c r="F30">
        <f t="array" ref="F30">ABS(E30-C30)/E30*100</f>
        <v>10.685275750782898</v>
      </c>
    </row>
    <row r="31" spans="2:10" ht="15.75" x14ac:dyDescent="0.25">
      <c r="B31" s="7">
        <v>3</v>
      </c>
      <c r="C31" s="7">
        <v>50.016245579561577</v>
      </c>
      <c r="D31" s="7">
        <v>5.8837544204384216</v>
      </c>
      <c r="E31" s="1">
        <v>55.9</v>
      </c>
      <c r="F31">
        <f t="array" ref="F31">ABS(E31-C31)/E31*100</f>
        <v>10.525499857671596</v>
      </c>
    </row>
    <row r="32" spans="2:10" ht="15.75" x14ac:dyDescent="0.25">
      <c r="B32" s="7">
        <v>4</v>
      </c>
      <c r="C32" s="7">
        <v>45.699811735572233</v>
      </c>
      <c r="D32" s="7">
        <v>3.3001882644277671</v>
      </c>
      <c r="E32" s="1">
        <v>49</v>
      </c>
      <c r="F32">
        <f t="array" ref="F32">ABS(E32-C32)/E32*100</f>
        <v>6.7350780906689129</v>
      </c>
    </row>
    <row r="33" spans="2:6" ht="15.75" x14ac:dyDescent="0.25">
      <c r="B33" s="7">
        <v>5</v>
      </c>
      <c r="C33" s="7">
        <v>50.507020874480141</v>
      </c>
      <c r="D33" s="7">
        <v>-4.0070208744801405</v>
      </c>
      <c r="E33" s="1">
        <v>46.5</v>
      </c>
      <c r="F33">
        <f t="array" ref="F33">ABS(E33-C33)/E33*100</f>
        <v>8.6172491924304104</v>
      </c>
    </row>
    <row r="34" spans="2:6" ht="15.75" x14ac:dyDescent="0.25">
      <c r="B34" s="7">
        <v>6</v>
      </c>
      <c r="C34" s="7">
        <v>45.699811735572233</v>
      </c>
      <c r="D34" s="7">
        <v>0.50018826442776998</v>
      </c>
      <c r="E34" s="1">
        <v>46.2</v>
      </c>
      <c r="F34">
        <f t="array" ref="F34">ABS(E34-C34)/E34*100</f>
        <v>1.0826585810124891</v>
      </c>
    </row>
    <row r="35" spans="2:6" ht="15.75" x14ac:dyDescent="0.25">
      <c r="B35" s="7">
        <v>7</v>
      </c>
      <c r="C35" s="7">
        <v>50.016245579561577</v>
      </c>
      <c r="D35" s="7">
        <v>-4.6162455795615784</v>
      </c>
      <c r="E35" s="1">
        <v>45.4</v>
      </c>
      <c r="F35">
        <f t="array" ref="F35">ABS(E35-C35)/E35*100</f>
        <v>10.167941805201714</v>
      </c>
    </row>
    <row r="36" spans="2:6" ht="15.75" x14ac:dyDescent="0.25">
      <c r="B36" s="7">
        <v>8</v>
      </c>
      <c r="C36" s="7">
        <v>46.719894849846</v>
      </c>
      <c r="D36" s="7">
        <v>12.480105150154003</v>
      </c>
      <c r="E36" s="1">
        <v>59.2</v>
      </c>
      <c r="F36">
        <f t="array" ref="F36">ABS(E36-C36)/E36*100</f>
        <v>21.081258699584463</v>
      </c>
    </row>
    <row r="37" spans="2:6" ht="15.75" x14ac:dyDescent="0.25">
      <c r="B37" s="7">
        <v>9</v>
      </c>
      <c r="C37" s="7">
        <v>46.719894849846</v>
      </c>
      <c r="D37" s="7">
        <v>6.5801051501539973</v>
      </c>
      <c r="E37" s="1">
        <v>53.3</v>
      </c>
      <c r="F37">
        <f t="array" ref="F37">ABS(E37-C37)/E37*100</f>
        <v>12.34541303968855</v>
      </c>
    </row>
    <row r="38" spans="2:6" ht="15.75" x14ac:dyDescent="0.25">
      <c r="B38" s="7">
        <v>10</v>
      </c>
      <c r="C38" s="7">
        <v>42.302917195578914</v>
      </c>
      <c r="D38" s="7">
        <v>1.0970828044210847</v>
      </c>
      <c r="E38" s="1">
        <v>43.4</v>
      </c>
      <c r="F38">
        <f t="array" ref="F38">ABS(E38-C38)/E38*100</f>
        <v>2.5278405631822229</v>
      </c>
    </row>
    <row r="39" spans="2:6" ht="15.75" x14ac:dyDescent="0.25">
      <c r="B39" s="7">
        <v>11</v>
      </c>
      <c r="C39" s="7">
        <v>44.656249859894004</v>
      </c>
      <c r="D39" s="7">
        <v>-3.5562498598940024</v>
      </c>
      <c r="E39" s="1">
        <v>41.1</v>
      </c>
      <c r="F39">
        <f t="array" ref="F39">ABS(E39-C39)/E39*100</f>
        <v>8.6526760581362598</v>
      </c>
    </row>
    <row r="40" spans="2:6" ht="15.75" x14ac:dyDescent="0.25">
      <c r="B40" s="7">
        <v>12</v>
      </c>
      <c r="C40" s="7">
        <v>39.358265426067533</v>
      </c>
      <c r="D40" s="7">
        <v>1.5417345739324659</v>
      </c>
      <c r="E40" s="1">
        <v>40.9</v>
      </c>
      <c r="F40">
        <f t="array" ref="F40">ABS(E40-C40)/E40*100</f>
        <v>3.7695221856539516</v>
      </c>
    </row>
    <row r="41" spans="2:6" ht="15.75" x14ac:dyDescent="0.25">
      <c r="B41" s="7">
        <v>13</v>
      </c>
      <c r="C41" s="7">
        <v>39.358265426067533</v>
      </c>
      <c r="D41" s="7">
        <v>1.5417345739324659</v>
      </c>
      <c r="E41" s="1">
        <v>40.9</v>
      </c>
      <c r="F41">
        <f t="array" ref="F41">ABS(E41-C41)/E41*100</f>
        <v>3.7695221856539516</v>
      </c>
    </row>
    <row r="42" spans="2:6" ht="15.75" x14ac:dyDescent="0.25">
      <c r="B42" s="7">
        <v>14</v>
      </c>
      <c r="C42" s="7">
        <v>44.656249859894004</v>
      </c>
      <c r="D42" s="7">
        <v>-4.2562498598940053</v>
      </c>
      <c r="E42" s="1">
        <v>40.4</v>
      </c>
      <c r="F42">
        <f t="array" ref="F42">ABS(E42-C42)/E42*100</f>
        <v>10.535271930430707</v>
      </c>
    </row>
    <row r="43" spans="2:6" ht="15.75" x14ac:dyDescent="0.25">
      <c r="B43" s="7">
        <v>15</v>
      </c>
      <c r="C43" s="7">
        <v>45.738344260008873</v>
      </c>
      <c r="D43" s="7">
        <v>-6.1383442600088713</v>
      </c>
      <c r="E43" s="1">
        <v>39.6</v>
      </c>
      <c r="F43">
        <f t="array" ref="F43">ABS(E43-C43)/E43*100</f>
        <v>15.500869343456744</v>
      </c>
    </row>
    <row r="44" spans="2:6" ht="15.75" x14ac:dyDescent="0.25">
      <c r="B44" s="7">
        <v>16</v>
      </c>
      <c r="C44" s="7">
        <v>44.656249859894004</v>
      </c>
      <c r="D44" s="7">
        <v>-5.3562498598940067</v>
      </c>
      <c r="E44" s="1">
        <v>39.299999999999997</v>
      </c>
      <c r="F44">
        <f t="array" ref="F44">ABS(E44-C44)/E44*100</f>
        <v>13.629134503547091</v>
      </c>
    </row>
    <row r="45" spans="2:6" ht="15.75" x14ac:dyDescent="0.25">
      <c r="B45" s="7">
        <v>17</v>
      </c>
      <c r="C45" s="7">
        <v>42.793692490497492</v>
      </c>
      <c r="D45" s="7">
        <v>-3.893692490497493</v>
      </c>
      <c r="E45" s="1">
        <v>38.9</v>
      </c>
      <c r="F45">
        <f t="array" ref="F45">ABS(E45-C45)/E45*100</f>
        <v>10.009492263489699</v>
      </c>
    </row>
    <row r="46" spans="2:6" ht="15.75" x14ac:dyDescent="0.25">
      <c r="B46" s="7">
        <v>18</v>
      </c>
      <c r="C46" s="7">
        <v>39.358265426067533</v>
      </c>
      <c r="D46" s="7">
        <v>-0.55826542606753549</v>
      </c>
      <c r="E46" s="1">
        <v>38.799999999999997</v>
      </c>
      <c r="F46">
        <f t="array" ref="F46">ABS(E46-C46)/E46*100</f>
        <v>1.4388284176998338</v>
      </c>
    </row>
    <row r="47" spans="2:6" ht="15.75" x14ac:dyDescent="0.25">
      <c r="B47" s="7">
        <v>19</v>
      </c>
      <c r="C47" s="7">
        <v>42.793692490497492</v>
      </c>
      <c r="D47" s="7">
        <v>-4.5936924904974887</v>
      </c>
      <c r="E47" s="1">
        <v>38.200000000000003</v>
      </c>
      <c r="F47">
        <f t="array" ref="F47">ABS(E47-C47)/E47*100</f>
        <v>12.02537301177353</v>
      </c>
    </row>
    <row r="48" spans="2:6" ht="15.75" x14ac:dyDescent="0.25">
      <c r="B48" s="7">
        <v>20</v>
      </c>
      <c r="C48" s="7">
        <v>38.906022655585609</v>
      </c>
      <c r="D48" s="7">
        <v>3.2939773444143938</v>
      </c>
      <c r="E48" s="1">
        <v>42.2</v>
      </c>
      <c r="F48">
        <f t="array" ref="F48">ABS(E48-C48)/E48*100</f>
        <v>7.8056335175696532</v>
      </c>
    </row>
    <row r="49" spans="2:6" ht="15.75" x14ac:dyDescent="0.25">
      <c r="B49" s="7">
        <v>21</v>
      </c>
      <c r="C49" s="7">
        <v>38.415247360667045</v>
      </c>
      <c r="D49" s="7">
        <v>2.4847526393329531</v>
      </c>
      <c r="E49" s="1">
        <v>40.9</v>
      </c>
      <c r="F49">
        <f t="array" ref="F49">ABS(E49-C49)/E49*100</f>
        <v>6.0751898272199343</v>
      </c>
    </row>
    <row r="50" spans="2:6" ht="15.75" x14ac:dyDescent="0.25">
      <c r="B50" s="7">
        <v>22</v>
      </c>
      <c r="C50" s="7">
        <v>42.832225014934146</v>
      </c>
      <c r="D50" s="7">
        <v>-2.1322250149341428</v>
      </c>
      <c r="E50" s="1">
        <v>40.700000000000003</v>
      </c>
      <c r="F50">
        <f t="array" ref="F50">ABS(E50-C50)/E50*100</f>
        <v>5.2388821005752897</v>
      </c>
    </row>
    <row r="51" spans="2:6" ht="15.75" x14ac:dyDescent="0.25">
      <c r="B51" s="7">
        <v>23</v>
      </c>
      <c r="C51" s="7">
        <v>38.314703550389332</v>
      </c>
      <c r="D51" s="7">
        <v>1.6852964496106679</v>
      </c>
      <c r="E51" s="1">
        <v>40</v>
      </c>
      <c r="F51">
        <f t="array" ref="F51">ABS(E51-C51)/E51*100</f>
        <v>4.2132411240266698</v>
      </c>
    </row>
    <row r="52" spans="2:6" ht="15.75" x14ac:dyDescent="0.25">
      <c r="B52" s="7">
        <v>24</v>
      </c>
      <c r="C52" s="7">
        <v>40.47889235061907</v>
      </c>
      <c r="D52" s="7">
        <v>-1.1788923506190727</v>
      </c>
      <c r="E52" s="1">
        <v>39.299999999999997</v>
      </c>
      <c r="F52">
        <f t="array" ref="F52">ABS(E52-C52)/E52*100</f>
        <v>2.9997260830001853</v>
      </c>
    </row>
    <row r="53" spans="2:6" ht="15.75" x14ac:dyDescent="0.25">
      <c r="B53" s="7">
        <v>25</v>
      </c>
      <c r="C53" s="7">
        <v>38.314703550389332</v>
      </c>
      <c r="D53" s="7">
        <v>0.48529644961066509</v>
      </c>
      <c r="E53" s="1">
        <v>38.799999999999997</v>
      </c>
      <c r="F53">
        <f t="array" ref="F53">ABS(E53-C53)/E53*100</f>
        <v>1.2507640453883122</v>
      </c>
    </row>
    <row r="54" spans="2:6" ht="15.75" x14ac:dyDescent="0.25">
      <c r="B54" s="7">
        <v>26</v>
      </c>
      <c r="C54" s="7">
        <v>38.415247360667045</v>
      </c>
      <c r="D54" s="7">
        <v>-1.5247360667046905E-2</v>
      </c>
      <c r="E54" s="1">
        <v>38.4</v>
      </c>
      <c r="F54">
        <f t="array" ref="F54">ABS(E54-C54)/E54*100</f>
        <v>3.9706668403767985E-2</v>
      </c>
    </row>
    <row r="55" spans="2:6" ht="15.75" x14ac:dyDescent="0.25">
      <c r="B55" s="7">
        <v>27</v>
      </c>
      <c r="C55" s="7">
        <v>38.415247360667045</v>
      </c>
      <c r="D55" s="7">
        <v>-1.5247360667046905E-2</v>
      </c>
      <c r="E55" s="1">
        <v>38.4</v>
      </c>
      <c r="F55">
        <f t="array" ref="F55">ABS(E55-C55)/E55*100</f>
        <v>3.9706668403767985E-2</v>
      </c>
    </row>
    <row r="56" spans="2:6" ht="15.75" x14ac:dyDescent="0.25">
      <c r="B56" s="7">
        <v>28</v>
      </c>
      <c r="C56" s="7">
        <v>38.415247360667045</v>
      </c>
      <c r="D56" s="7">
        <v>-1.5247360667046905E-2</v>
      </c>
      <c r="E56" s="1">
        <v>38.4</v>
      </c>
      <c r="F56">
        <f t="array" ref="F56">ABS(E56-C56)/E56*100</f>
        <v>3.9706668403767985E-2</v>
      </c>
    </row>
    <row r="57" spans="2:6" ht="15.75" x14ac:dyDescent="0.25">
      <c r="B57" s="7">
        <v>29</v>
      </c>
      <c r="C57" s="7">
        <v>43.47402040103718</v>
      </c>
      <c r="D57" s="7">
        <v>3.4259795989628188</v>
      </c>
      <c r="E57" s="1">
        <v>46.9</v>
      </c>
      <c r="F57">
        <f t="array" ref="F57">ABS(E57-C57)/E57*100</f>
        <v>7.3048605521595285</v>
      </c>
    </row>
    <row r="58" spans="2:6" ht="15.75" x14ac:dyDescent="0.25">
      <c r="B58" s="7">
        <v>30</v>
      </c>
      <c r="C58" s="7">
        <v>35.408584305314591</v>
      </c>
      <c r="D58" s="7">
        <v>0.89141569468540638</v>
      </c>
      <c r="E58" s="1">
        <v>36.299999999999997</v>
      </c>
      <c r="F58">
        <f t="array" ref="F58">ABS(E58-C58)/E58*100</f>
        <v>2.4556906189680618</v>
      </c>
    </row>
    <row r="59" spans="2:6" ht="15.75" x14ac:dyDescent="0.25">
      <c r="B59" s="7">
        <v>31</v>
      </c>
      <c r="C59" s="7">
        <v>39.435330474940841</v>
      </c>
      <c r="D59" s="7">
        <v>-3.3353304749408395</v>
      </c>
      <c r="E59" s="1">
        <v>36.1</v>
      </c>
      <c r="F59">
        <f t="array" ref="F59">ABS(E59-C59)/E59*100</f>
        <v>9.2391425898638211</v>
      </c>
    </row>
    <row r="60" spans="2:6" ht="15.75" x14ac:dyDescent="0.25">
      <c r="B60" s="7">
        <v>32</v>
      </c>
      <c r="C60" s="7">
        <v>39.435330474940841</v>
      </c>
      <c r="D60" s="7">
        <v>-3.3353304749408395</v>
      </c>
      <c r="E60" s="1">
        <v>36.1</v>
      </c>
      <c r="F60">
        <f t="array" ref="F60">ABS(E60-C60)/E60*100</f>
        <v>9.2391425898638211</v>
      </c>
    </row>
    <row r="61" spans="2:6" ht="15.75" x14ac:dyDescent="0.25">
      <c r="B61" s="7">
        <v>33</v>
      </c>
      <c r="C61" s="7">
        <v>36.289591084874004</v>
      </c>
      <c r="D61" s="7">
        <v>-0.88959108487400584</v>
      </c>
      <c r="E61" s="1">
        <v>35.4</v>
      </c>
      <c r="F61">
        <f t="array" ref="F61">ABS(E61-C61)/E61*100</f>
        <v>2.512969166310751</v>
      </c>
    </row>
    <row r="62" spans="2:6" ht="15.75" x14ac:dyDescent="0.25">
      <c r="B62" s="7">
        <v>34</v>
      </c>
      <c r="C62" s="7">
        <v>36.289591084874004</v>
      </c>
      <c r="D62" s="7">
        <v>-0.98959108487400727</v>
      </c>
      <c r="E62" s="1">
        <v>35.299999999999997</v>
      </c>
      <c r="F62">
        <f t="array" ref="F62">ABS(E62-C62)/E62*100</f>
        <v>2.8033741781133354</v>
      </c>
    </row>
    <row r="63" spans="2:6" ht="15.75" x14ac:dyDescent="0.25">
      <c r="B63" s="7">
        <v>35</v>
      </c>
      <c r="C63" s="7">
        <v>39.535874285218583</v>
      </c>
      <c r="D63" s="7">
        <v>-4.4358742852185813</v>
      </c>
      <c r="E63" s="1">
        <v>35.1</v>
      </c>
      <c r="F63">
        <f t="array" ref="F63">ABS(E63-C63)/E63*100</f>
        <v>12.637818476406215</v>
      </c>
    </row>
    <row r="64" spans="2:6" ht="15.75" x14ac:dyDescent="0.25">
      <c r="B64" s="7">
        <v>36</v>
      </c>
      <c r="C64" s="7">
        <v>37.96300459018515</v>
      </c>
      <c r="D64" s="7">
        <v>-2.8630045901851489</v>
      </c>
      <c r="E64" s="1">
        <v>35.1</v>
      </c>
      <c r="F64">
        <f t="array" ref="F64">ABS(E64-C64)/E64*100</f>
        <v>8.1567082341457215</v>
      </c>
    </row>
    <row r="65" spans="2:6" ht="15.75" x14ac:dyDescent="0.25">
      <c r="B65" s="7">
        <v>37</v>
      </c>
      <c r="C65" s="7">
        <v>37.96300459018515</v>
      </c>
      <c r="D65" s="7">
        <v>-2.9630045901851503</v>
      </c>
      <c r="E65" s="1">
        <v>35</v>
      </c>
      <c r="F65">
        <f t="array" ref="F65">ABS(E65-C65)/E65*100</f>
        <v>8.4657274005290013</v>
      </c>
    </row>
    <row r="66" spans="2:6" ht="15.75" x14ac:dyDescent="0.25">
      <c r="B66" s="7">
        <v>38</v>
      </c>
      <c r="C66" s="7">
        <v>34.075334755273282</v>
      </c>
      <c r="D66" s="7">
        <v>-0.87533475527327909</v>
      </c>
      <c r="E66" s="1">
        <v>33.200000000000003</v>
      </c>
      <c r="F66">
        <f t="array" ref="F66">ABS(E66-C66)/E66*100</f>
        <v>2.6365504676905993</v>
      </c>
    </row>
    <row r="67" spans="2:6" ht="15.75" x14ac:dyDescent="0.25">
      <c r="B67" s="7">
        <v>39</v>
      </c>
      <c r="C67" s="7">
        <v>34.075334755273282</v>
      </c>
      <c r="D67" s="7">
        <v>-1.1753347552732833</v>
      </c>
      <c r="E67" s="1">
        <v>32.9</v>
      </c>
      <c r="F67">
        <f t="array" ref="F67">ABS(E67-C67)/E67*100</f>
        <v>3.5724460646604359</v>
      </c>
    </row>
    <row r="68" spans="2:6" ht="15.75" x14ac:dyDescent="0.25">
      <c r="B68" s="7">
        <v>40</v>
      </c>
      <c r="C68" s="7">
        <v>31.018195419014042</v>
      </c>
      <c r="D68" s="7">
        <v>1.2818045809859555</v>
      </c>
      <c r="E68" s="1">
        <v>32.299999999999997</v>
      </c>
      <c r="F68">
        <f t="array" ref="F68">ABS(E68-C68)/E68*100</f>
        <v>3.9684352352506362</v>
      </c>
    </row>
    <row r="69" spans="2:6" ht="15.75" x14ac:dyDescent="0.25">
      <c r="B69" s="7">
        <v>41</v>
      </c>
      <c r="C69" s="7">
        <v>35.157429155388151</v>
      </c>
      <c r="D69" s="7">
        <v>-2.957429155388148</v>
      </c>
      <c r="E69" s="1">
        <v>32.200000000000003</v>
      </c>
      <c r="F69">
        <f t="array" ref="F69">ABS(E69-C69)/E69*100</f>
        <v>9.1845625943731299</v>
      </c>
    </row>
    <row r="70" spans="2:6" ht="15.75" x14ac:dyDescent="0.25">
      <c r="B70" s="7">
        <v>42</v>
      </c>
      <c r="C70" s="7">
        <v>35.157429155388151</v>
      </c>
      <c r="D70" s="7">
        <v>-2.8574291553881537</v>
      </c>
      <c r="E70" s="1">
        <v>32.299999999999997</v>
      </c>
      <c r="F70">
        <f t="array" ref="F70">ABS(E70-C70)/E70*100</f>
        <v>8.8465298928425824</v>
      </c>
    </row>
    <row r="71" spans="2:6" ht="15.75" x14ac:dyDescent="0.25">
      <c r="B71" s="7">
        <v>43</v>
      </c>
      <c r="C71" s="7">
        <v>34.075334755273282</v>
      </c>
      <c r="D71" s="7">
        <v>-1.7753347552732848</v>
      </c>
      <c r="E71" s="1">
        <v>32.299999999999997</v>
      </c>
      <c r="F71">
        <f t="array" ref="F71">ABS(E71-C71)/E71*100</f>
        <v>5.4963924311866403</v>
      </c>
    </row>
    <row r="72" spans="2:6" ht="15.75" x14ac:dyDescent="0.25">
      <c r="B72" s="7">
        <v>44</v>
      </c>
      <c r="C72" s="7">
        <v>35.157429155388151</v>
      </c>
      <c r="D72" s="7">
        <v>-2.8574291553881537</v>
      </c>
      <c r="E72" s="1">
        <v>32.299999999999997</v>
      </c>
      <c r="F72">
        <f t="array" ref="F72">ABS(E72-C72)/E72*100</f>
        <v>8.8465298928425824</v>
      </c>
    </row>
    <row r="73" spans="2:6" ht="15.75" x14ac:dyDescent="0.25">
      <c r="B73" s="7">
        <v>45</v>
      </c>
      <c r="C73" s="7">
        <v>35.648204450306714</v>
      </c>
      <c r="D73" s="7">
        <v>-4.1482044503067144</v>
      </c>
      <c r="E73" s="1">
        <v>31.5</v>
      </c>
      <c r="F73">
        <f t="array" ref="F73">ABS(E73-C73)/E73*100</f>
        <v>13.168903016846711</v>
      </c>
    </row>
    <row r="74" spans="2:6" ht="15.75" x14ac:dyDescent="0.25">
      <c r="B74" s="7">
        <v>46</v>
      </c>
      <c r="C74" s="7">
        <v>34.566110050191845</v>
      </c>
      <c r="D74" s="7">
        <v>-3.0661100501918455</v>
      </c>
      <c r="E74" s="1">
        <v>31.5</v>
      </c>
      <c r="F74">
        <f t="array" ref="F74">ABS(E74-C74)/E74*100</f>
        <v>9.7336826990217311</v>
      </c>
    </row>
    <row r="75" spans="2:6" ht="15.75" x14ac:dyDescent="0.25">
      <c r="B75" s="7">
        <v>47</v>
      </c>
      <c r="C75" s="7">
        <v>34.566110050191845</v>
      </c>
      <c r="D75" s="7">
        <v>-3.1661100501918469</v>
      </c>
      <c r="E75" s="1">
        <v>31.4</v>
      </c>
      <c r="F75">
        <f t="array" ref="F75">ABS(E75-C75)/E75*100</f>
        <v>10.083153026088684</v>
      </c>
    </row>
    <row r="76" spans="2:6" ht="15.75" x14ac:dyDescent="0.25">
      <c r="B76" s="7">
        <v>48</v>
      </c>
      <c r="C76" s="7">
        <v>35.056885345110409</v>
      </c>
      <c r="D76" s="7">
        <v>-3.6568853451104104</v>
      </c>
      <c r="E76" s="1">
        <v>31.4</v>
      </c>
      <c r="F76">
        <f t="array" ref="F76">ABS(E76-C76)/E76*100</f>
        <v>11.646131672326149</v>
      </c>
    </row>
    <row r="77" spans="2:6" ht="15.75" x14ac:dyDescent="0.25">
      <c r="B77" s="7">
        <v>49</v>
      </c>
      <c r="C77" s="7">
        <v>31.018195419014042</v>
      </c>
      <c r="D77" s="7">
        <v>0.18180458098595764</v>
      </c>
      <c r="E77" s="1">
        <v>31.2</v>
      </c>
      <c r="F77">
        <f t="array" ref="F77">ABS(E77-C77)/E77*100</f>
        <v>0.58270699033960782</v>
      </c>
    </row>
    <row r="78" spans="2:6" ht="15.75" x14ac:dyDescent="0.25">
      <c r="B78" s="7">
        <v>50</v>
      </c>
      <c r="C78" s="7">
        <v>29.634878339601769</v>
      </c>
      <c r="D78" s="7">
        <v>4.0651216603982334</v>
      </c>
      <c r="E78" s="1">
        <v>33.700000000000003</v>
      </c>
      <c r="F78">
        <f t="array" ref="F78">ABS(E78-C78)/E78*100</f>
        <v>12.062675550143124</v>
      </c>
    </row>
    <row r="79" spans="2:6" ht="15.75" x14ac:dyDescent="0.25">
      <c r="B79" s="7">
        <v>51</v>
      </c>
      <c r="C79" s="7">
        <v>29.634878339601769</v>
      </c>
      <c r="D79" s="7">
        <v>2.965121660398232</v>
      </c>
      <c r="E79" s="1">
        <v>32.6</v>
      </c>
      <c r="F79">
        <f t="array" ref="F79">ABS(E79-C79)/E79*100</f>
        <v>9.0954652159454952</v>
      </c>
    </row>
    <row r="80" spans="2:6" ht="15.75" x14ac:dyDescent="0.25">
      <c r="B80" s="7">
        <v>52</v>
      </c>
      <c r="C80" s="7">
        <v>29.634878339601769</v>
      </c>
      <c r="D80" s="7">
        <v>1.6651216603982313</v>
      </c>
      <c r="E80" s="1">
        <v>31.3</v>
      </c>
      <c r="F80">
        <f t="array" ref="F80">ABS(E80-C80)/E80*100</f>
        <v>5.3198775092595252</v>
      </c>
    </row>
    <row r="81" spans="2:6" ht="15.75" x14ac:dyDescent="0.25">
      <c r="B81" s="7">
        <v>53</v>
      </c>
      <c r="C81" s="7">
        <v>29.634878339601769</v>
      </c>
      <c r="D81" s="7">
        <v>1.6651216603982313</v>
      </c>
      <c r="E81" s="1">
        <v>31.3</v>
      </c>
      <c r="F81">
        <f t="array" ref="F81">ABS(E81-C81)/E81*100</f>
        <v>5.3198775092595252</v>
      </c>
    </row>
    <row r="82" spans="2:6" ht="15.75" x14ac:dyDescent="0.25">
      <c r="B82" s="7">
        <v>54</v>
      </c>
      <c r="C82" s="7">
        <v>24.49020650045037</v>
      </c>
      <c r="D82" s="7">
        <v>5.9097934995496288</v>
      </c>
      <c r="E82" s="1">
        <v>30.4</v>
      </c>
      <c r="F82">
        <f t="array" ref="F82">ABS(E82-C82)/E82*100</f>
        <v>19.440110195886938</v>
      </c>
    </row>
    <row r="83" spans="2:6" ht="15.75" x14ac:dyDescent="0.25">
      <c r="B83" s="7">
        <v>55</v>
      </c>
      <c r="C83" s="7">
        <v>26.855482921235549</v>
      </c>
      <c r="D83" s="7">
        <v>2.04451707876445</v>
      </c>
      <c r="E83" s="1">
        <v>28.9</v>
      </c>
      <c r="F83">
        <f t="array" ref="F83">ABS(E83-C83)/E83*100</f>
        <v>7.0744535597385818</v>
      </c>
    </row>
    <row r="84" spans="2:6" ht="15.75" x14ac:dyDescent="0.25">
      <c r="B84" s="7">
        <v>56</v>
      </c>
      <c r="C84" s="7">
        <v>27.860921024012868</v>
      </c>
      <c r="D84" s="7">
        <v>0.13907897598713248</v>
      </c>
      <c r="E84" s="1">
        <v>28</v>
      </c>
      <c r="F84">
        <f t="array" ref="F84">ABS(E84-C84)/E84*100</f>
        <v>0.4967106285254731</v>
      </c>
    </row>
    <row r="85" spans="2:6" ht="15.75" x14ac:dyDescent="0.25">
      <c r="B85" s="7">
        <v>57</v>
      </c>
      <c r="C85" s="7">
        <v>31.119147980827577</v>
      </c>
      <c r="D85" s="7">
        <v>-3.1191479808275773</v>
      </c>
      <c r="E85" s="1">
        <v>28</v>
      </c>
      <c r="F85">
        <f t="array" ref="F85">ABS(E85-C85)/E85*100</f>
        <v>11.139814217241348</v>
      </c>
    </row>
    <row r="86" spans="2:6" ht="15.75" x14ac:dyDescent="0.25">
      <c r="B86" s="7">
        <v>58</v>
      </c>
      <c r="C86" s="7">
        <v>29.634878339601769</v>
      </c>
      <c r="D86" s="7">
        <v>-1.6348783396017694</v>
      </c>
      <c r="E86" s="1">
        <v>28</v>
      </c>
      <c r="F86">
        <f t="array" ref="F86">ABS(E86-C86)/E86*100</f>
        <v>5.838851212863462</v>
      </c>
    </row>
    <row r="87" spans="2:6" ht="15.75" x14ac:dyDescent="0.25">
      <c r="B87" s="7">
        <v>59</v>
      </c>
      <c r="C87" s="7">
        <v>30.137597390990436</v>
      </c>
      <c r="D87" s="7">
        <v>-2.137597390990436</v>
      </c>
      <c r="E87" s="1">
        <v>28</v>
      </c>
      <c r="F87">
        <f t="array" ref="F87">ABS(E87-C87)/E87*100</f>
        <v>7.634276396394414</v>
      </c>
    </row>
    <row r="88" spans="2:6" ht="15.75" x14ac:dyDescent="0.25">
      <c r="B88" s="7">
        <v>60</v>
      </c>
      <c r="C88" s="7">
        <v>28.866359126790229</v>
      </c>
      <c r="D88" s="7">
        <v>-0.86635912679022908</v>
      </c>
      <c r="E88" s="1">
        <v>28</v>
      </c>
      <c r="F88">
        <f t="array" ref="F88">ABS(E88-C88)/E88*100</f>
        <v>3.0941397385365326</v>
      </c>
    </row>
    <row r="89" spans="2:6" ht="15.75" x14ac:dyDescent="0.25">
      <c r="B89" s="7">
        <v>61</v>
      </c>
      <c r="C89" s="7">
        <v>27.358201972624215</v>
      </c>
      <c r="D89" s="7">
        <v>0.34179802737578413</v>
      </c>
      <c r="E89" s="1">
        <v>27.7</v>
      </c>
      <c r="F89">
        <f t="array" ref="F89">ABS(E89-C89)/E89*100</f>
        <v>1.2339278966634808</v>
      </c>
    </row>
    <row r="90" spans="2:6" ht="15.75" x14ac:dyDescent="0.25">
      <c r="B90" s="7">
        <v>62</v>
      </c>
      <c r="C90" s="7">
        <v>24.615046575204076</v>
      </c>
      <c r="D90" s="7">
        <v>0.98495342479592551</v>
      </c>
      <c r="E90" s="1">
        <v>25.6</v>
      </c>
      <c r="F90">
        <f t="array" ref="F90">ABS(E90-C90)/E90*100</f>
        <v>3.8474743156090838</v>
      </c>
    </row>
    <row r="91" spans="2:6" ht="15.75" x14ac:dyDescent="0.25">
      <c r="B91" s="7">
        <v>63</v>
      </c>
      <c r="C91" s="7">
        <v>23.521008418619104</v>
      </c>
      <c r="D91" s="7">
        <v>1.7789915813808967</v>
      </c>
      <c r="E91" s="1">
        <v>25.3</v>
      </c>
      <c r="F91">
        <f t="array" ref="F91">ABS(E91-C91)/E91*100</f>
        <v>7.0315872781853628</v>
      </c>
    </row>
    <row r="92" spans="2:6" ht="15.75" x14ac:dyDescent="0.25">
      <c r="B92" s="7">
        <v>64</v>
      </c>
      <c r="C92" s="7">
        <v>23.521008418619104</v>
      </c>
      <c r="D92" s="7">
        <v>0.37899158138089462</v>
      </c>
      <c r="E92" s="1">
        <v>23.9</v>
      </c>
      <c r="F92">
        <f t="array" ref="F92">ABS(E92-C92)/E92*100</f>
        <v>1.5857388342296848</v>
      </c>
    </row>
    <row r="93" spans="2:6" ht="15.75" x14ac:dyDescent="0.25">
      <c r="B93" s="7">
        <v>65</v>
      </c>
      <c r="C93" s="7">
        <v>23.609608472426757</v>
      </c>
      <c r="D93" s="7">
        <v>-9.6084724267555544E-3</v>
      </c>
      <c r="E93" s="1">
        <v>23.6</v>
      </c>
      <c r="F93">
        <f t="array" ref="F93">ABS(E93-C93)/E93*100</f>
        <v>4.0713866215065904E-2</v>
      </c>
    </row>
    <row r="94" spans="2:6" ht="15.75" x14ac:dyDescent="0.25">
      <c r="B94" s="7">
        <v>66</v>
      </c>
      <c r="C94" s="7">
        <v>23.10688942103809</v>
      </c>
      <c r="D94" s="7">
        <v>0.49311057896191102</v>
      </c>
      <c r="E94" s="1">
        <v>23.6</v>
      </c>
      <c r="F94">
        <f t="array" ref="F94">ABS(E94-C94)/E94*100</f>
        <v>2.0894516057708095</v>
      </c>
    </row>
    <row r="95" spans="2:6" ht="15.75" x14ac:dyDescent="0.25">
      <c r="B95" s="7">
        <v>67</v>
      </c>
      <c r="C95" s="7">
        <v>23.10688942103809</v>
      </c>
      <c r="D95" s="7">
        <v>0.49311057896191102</v>
      </c>
      <c r="E95" s="1">
        <v>23.6</v>
      </c>
      <c r="F95">
        <f t="array" ref="F95">ABS(E95-C95)/E95*100</f>
        <v>2.0894516057708095</v>
      </c>
    </row>
    <row r="96" spans="2:6" ht="15.75" x14ac:dyDescent="0.25">
      <c r="B96" s="7">
        <v>68</v>
      </c>
      <c r="C96" s="7">
        <v>23.10688942103809</v>
      </c>
      <c r="D96" s="7">
        <v>0.49311057896191102</v>
      </c>
      <c r="E96" s="1">
        <v>23.6</v>
      </c>
      <c r="F96">
        <f t="array" ref="F96">ABS(E96-C96)/E96*100</f>
        <v>2.0894516057708095</v>
      </c>
    </row>
    <row r="97" spans="2:7" ht="15.75" x14ac:dyDescent="0.25">
      <c r="B97" s="7">
        <v>69</v>
      </c>
      <c r="C97" s="7">
        <v>23.10688942103809</v>
      </c>
      <c r="D97" s="7">
        <v>0.49311057896191102</v>
      </c>
      <c r="E97" s="1">
        <v>23.6</v>
      </c>
      <c r="F97">
        <f t="array" ref="F97">ABS(E97-C97)/E97*100</f>
        <v>2.0894516057708095</v>
      </c>
    </row>
    <row r="98" spans="2:7" ht="15.75" x14ac:dyDescent="0.25">
      <c r="B98" s="7">
        <v>70</v>
      </c>
      <c r="C98" s="7">
        <v>21.273213323098716</v>
      </c>
      <c r="D98" s="7">
        <v>2.2267866769012841</v>
      </c>
      <c r="E98" s="1">
        <v>23.5</v>
      </c>
      <c r="F98">
        <f t="array" ref="F98">ABS(E98-C98)/E98*100</f>
        <v>9.4756879868139734</v>
      </c>
    </row>
    <row r="99" spans="2:7" ht="15.75" x14ac:dyDescent="0.25">
      <c r="B99" s="7">
        <v>71</v>
      </c>
      <c r="C99" s="7">
        <v>19.676456115125077</v>
      </c>
      <c r="D99" s="7">
        <v>3.7235438848749212</v>
      </c>
      <c r="E99" s="1">
        <v>23.4</v>
      </c>
      <c r="F99">
        <f t="array" ref="F99">ABS(E99-C99)/E99*100</f>
        <v>15.912580704593681</v>
      </c>
    </row>
    <row r="100" spans="2:7" ht="15.75" x14ac:dyDescent="0.25">
      <c r="B100" s="7">
        <v>72</v>
      </c>
      <c r="C100" s="7">
        <v>23.207433231315832</v>
      </c>
      <c r="D100" s="7">
        <v>0.19256676868416633</v>
      </c>
      <c r="E100" s="1">
        <v>23.4</v>
      </c>
      <c r="F100">
        <f t="array" ref="F100">ABS(E100-C100)/E100*100</f>
        <v>0.82293490890669385</v>
      </c>
    </row>
    <row r="101" spans="2:7" ht="15.75" x14ac:dyDescent="0.25">
      <c r="B101" s="7">
        <v>73</v>
      </c>
      <c r="C101" s="7">
        <v>23.207433231315832</v>
      </c>
      <c r="D101" s="7">
        <v>-0.10743323131583082</v>
      </c>
      <c r="E101" s="1">
        <v>23.1</v>
      </c>
      <c r="F101">
        <f t="array" ref="F101">ABS(E101-C101)/E101*100</f>
        <v>0.46507892344515511</v>
      </c>
    </row>
    <row r="102" spans="2:7" ht="15.75" x14ac:dyDescent="0.25">
      <c r="B102" s="7">
        <v>74</v>
      </c>
      <c r="C102" s="7">
        <v>19.092495759417687</v>
      </c>
      <c r="D102" s="7">
        <v>3.8075042405823112</v>
      </c>
      <c r="E102" s="1">
        <v>22.9</v>
      </c>
      <c r="F102">
        <f t="array" ref="F102">ABS(E102-C102)/E102*100</f>
        <v>16.626656072411841</v>
      </c>
    </row>
    <row r="103" spans="2:7" ht="15.75" x14ac:dyDescent="0.25">
      <c r="B103" s="7">
        <v>75</v>
      </c>
      <c r="C103" s="7">
        <v>19.092495759417687</v>
      </c>
      <c r="D103" s="7">
        <v>3.8075042405823112</v>
      </c>
      <c r="E103" s="1">
        <v>22.9</v>
      </c>
      <c r="F103">
        <f t="array" ref="F103">ABS(E103-C103)/E103*100</f>
        <v>16.626656072411841</v>
      </c>
    </row>
    <row r="104" spans="2:7" ht="15.75" x14ac:dyDescent="0.25">
      <c r="B104" s="7">
        <v>76</v>
      </c>
      <c r="C104" s="7">
        <v>18.766976815644327</v>
      </c>
      <c r="D104" s="7">
        <v>0.73302318435567315</v>
      </c>
      <c r="E104" s="1">
        <v>19.5</v>
      </c>
      <c r="F104">
        <f t="array" ref="F104">ABS(E104-C104)/E104*100</f>
        <v>3.7590932531060162</v>
      </c>
    </row>
    <row r="105" spans="2:7" ht="15.75" x14ac:dyDescent="0.25">
      <c r="B105" s="7">
        <v>77</v>
      </c>
      <c r="C105" s="7">
        <v>20.196521433036565</v>
      </c>
      <c r="D105" s="7">
        <v>-2.096521433036564</v>
      </c>
      <c r="E105" s="1">
        <v>18.100000000000001</v>
      </c>
      <c r="F105">
        <f t="array" ref="F105">ABS(E105-C105)/E105*100</f>
        <v>11.582991342743448</v>
      </c>
    </row>
    <row r="106" spans="2:7" ht="15.75" x14ac:dyDescent="0.25">
      <c r="B106" s="7">
        <v>78</v>
      </c>
      <c r="C106" s="7">
        <v>19.198033328212375</v>
      </c>
      <c r="D106" s="7">
        <v>-1.9980333282123759</v>
      </c>
      <c r="E106" s="1">
        <v>17.2</v>
      </c>
      <c r="F106">
        <f t="array" ref="F106">ABS(E106-C106)/E106*100</f>
        <v>11.616472838444047</v>
      </c>
    </row>
    <row r="107" spans="2:7" ht="15.75" x14ac:dyDescent="0.25">
      <c r="B107" s="7">
        <v>79</v>
      </c>
      <c r="C107" s="7">
        <v>20.055152594831597</v>
      </c>
      <c r="D107" s="7">
        <v>-3.055152594831597</v>
      </c>
      <c r="E107" s="1">
        <v>17</v>
      </c>
      <c r="F107">
        <f t="array" ref="F107">ABS(E107-C107)/E107*100</f>
        <v>17.971485851950568</v>
      </c>
    </row>
    <row r="108" spans="2:7" ht="15.75" x14ac:dyDescent="0.25">
      <c r="B108" s="7">
        <v>80</v>
      </c>
      <c r="C108" s="7">
        <v>19.83017746133595</v>
      </c>
      <c r="D108" s="7">
        <v>-3.1301774613359505</v>
      </c>
      <c r="E108" s="1">
        <v>16.7</v>
      </c>
      <c r="F108">
        <f t="array" ref="F108">ABS(E108-C108)/E108*100</f>
        <v>18.743577612790123</v>
      </c>
    </row>
    <row r="109" spans="2:7" ht="16.5" thickBot="1" x14ac:dyDescent="0.3">
      <c r="B109" s="8">
        <v>81</v>
      </c>
      <c r="C109" s="8">
        <v>12.103021568928355</v>
      </c>
      <c r="D109" s="8">
        <v>1.0969784310716442</v>
      </c>
      <c r="E109" s="1">
        <v>13.2</v>
      </c>
      <c r="F109">
        <f t="array" ref="F109">ABS(E109-C109)/E109*100</f>
        <v>8.3104426596336687</v>
      </c>
    </row>
    <row r="111" spans="2:7" x14ac:dyDescent="0.25">
      <c r="F111" s="3">
        <f t="array" ref="F111">AVERAGE(F29:F109)</f>
        <v>7.4048847279121803</v>
      </c>
      <c r="G111" t="s">
        <v>49</v>
      </c>
    </row>
  </sheetData>
  <sortState xmlns:xlrd2="http://schemas.microsoft.com/office/spreadsheetml/2017/richdata2" ref="F29:F109">
    <sortCondition ref="F2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5946-E69E-4F92-AADA-343A6A8EE556}">
  <dimension ref="A2:M107"/>
  <sheetViews>
    <sheetView workbookViewId="0">
      <selection activeCell="M32" sqref="M32"/>
    </sheetView>
  </sheetViews>
  <sheetFormatPr defaultRowHeight="15" x14ac:dyDescent="0.25"/>
  <cols>
    <col min="5" max="5" width="18" bestFit="1" customWidth="1"/>
    <col min="6" max="6" width="12.7109375" bestFit="1" customWidth="1"/>
    <col min="7" max="7" width="14.5703125" bestFit="1" customWidth="1"/>
    <col min="8" max="8" width="12.7109375" bestFit="1" customWidth="1"/>
    <col min="9" max="9" width="12" bestFit="1" customWidth="1"/>
    <col min="10" max="10" width="13.42578125" bestFit="1" customWidth="1"/>
    <col min="11" max="13" width="12.7109375" bestFit="1" customWidth="1"/>
  </cols>
  <sheetData>
    <row r="2" spans="1:10" ht="15.75" x14ac:dyDescent="0.25">
      <c r="A2" s="4" t="s">
        <v>18</v>
      </c>
      <c r="B2" s="5" t="s">
        <v>9</v>
      </c>
      <c r="C2" s="5" t="s">
        <v>11</v>
      </c>
      <c r="E2" t="s">
        <v>19</v>
      </c>
    </row>
    <row r="3" spans="1:10" ht="16.5" thickBot="1" x14ac:dyDescent="0.3">
      <c r="A3" s="2">
        <v>65.400000000000006</v>
      </c>
      <c r="B3" s="2">
        <v>96</v>
      </c>
      <c r="C3" s="2">
        <v>17.5</v>
      </c>
    </row>
    <row r="4" spans="1:10" ht="15.75" x14ac:dyDescent="0.25">
      <c r="A4" s="2">
        <v>56</v>
      </c>
      <c r="B4" s="2">
        <v>97</v>
      </c>
      <c r="C4" s="2">
        <v>20</v>
      </c>
      <c r="E4" s="19" t="s">
        <v>20</v>
      </c>
      <c r="F4" s="19"/>
    </row>
    <row r="5" spans="1:10" ht="15.75" x14ac:dyDescent="0.25">
      <c r="A5" s="2">
        <v>55.9</v>
      </c>
      <c r="B5" s="2">
        <v>97</v>
      </c>
      <c r="C5" s="2">
        <v>20</v>
      </c>
      <c r="E5" s="7" t="s">
        <v>21</v>
      </c>
      <c r="F5" s="7">
        <v>0.91825175407589366</v>
      </c>
    </row>
    <row r="6" spans="1:10" ht="15.75" x14ac:dyDescent="0.25">
      <c r="A6" s="2">
        <v>49</v>
      </c>
      <c r="B6" s="2">
        <v>105</v>
      </c>
      <c r="C6" s="2">
        <v>20</v>
      </c>
      <c r="E6" s="7" t="s">
        <v>22</v>
      </c>
      <c r="F6" s="7">
        <v>0.84318628386345551</v>
      </c>
    </row>
    <row r="7" spans="1:10" ht="15.75" x14ac:dyDescent="0.25">
      <c r="A7" s="2">
        <v>46.5</v>
      </c>
      <c r="B7" s="2">
        <v>96</v>
      </c>
      <c r="C7" s="2">
        <v>20</v>
      </c>
      <c r="E7" s="7" t="s">
        <v>23</v>
      </c>
      <c r="F7" s="7">
        <v>0.83916541934713373</v>
      </c>
    </row>
    <row r="8" spans="1:10" ht="15.75" x14ac:dyDescent="0.25">
      <c r="A8" s="2">
        <v>46.2</v>
      </c>
      <c r="B8" s="2">
        <v>105</v>
      </c>
      <c r="C8" s="2">
        <v>20</v>
      </c>
      <c r="E8" s="7" t="s">
        <v>24</v>
      </c>
      <c r="F8" s="7">
        <v>4.0324035403972793</v>
      </c>
    </row>
    <row r="9" spans="1:10" ht="16.5" thickBot="1" x14ac:dyDescent="0.3">
      <c r="A9" s="2">
        <v>45.4</v>
      </c>
      <c r="B9" s="2">
        <v>97</v>
      </c>
      <c r="C9" s="2">
        <v>20</v>
      </c>
      <c r="E9" s="8" t="s">
        <v>25</v>
      </c>
      <c r="F9" s="8">
        <v>81</v>
      </c>
    </row>
    <row r="10" spans="1:10" ht="15.75" x14ac:dyDescent="0.25">
      <c r="A10" s="2">
        <v>59.2</v>
      </c>
      <c r="B10" s="2">
        <v>98</v>
      </c>
      <c r="C10" s="2">
        <v>22.5</v>
      </c>
    </row>
    <row r="11" spans="1:10" ht="16.5" thickBot="1" x14ac:dyDescent="0.3">
      <c r="A11" s="2">
        <v>53.3</v>
      </c>
      <c r="B11" s="2">
        <v>98</v>
      </c>
      <c r="C11" s="2">
        <v>22.5</v>
      </c>
      <c r="E11" t="s">
        <v>26</v>
      </c>
    </row>
    <row r="12" spans="1:10" ht="15.75" x14ac:dyDescent="0.25">
      <c r="A12" s="2">
        <v>43.4</v>
      </c>
      <c r="B12" s="2">
        <v>107</v>
      </c>
      <c r="C12" s="2">
        <v>22.5</v>
      </c>
      <c r="E12" s="10"/>
      <c r="F12" s="10" t="s">
        <v>31</v>
      </c>
      <c r="G12" s="10" t="s">
        <v>32</v>
      </c>
      <c r="H12" s="10" t="s">
        <v>33</v>
      </c>
      <c r="I12" s="10" t="s">
        <v>34</v>
      </c>
      <c r="J12" s="10" t="s">
        <v>35</v>
      </c>
    </row>
    <row r="13" spans="1:10" ht="15.75" x14ac:dyDescent="0.25">
      <c r="A13" s="2">
        <v>41.1</v>
      </c>
      <c r="B13" s="2">
        <v>103</v>
      </c>
      <c r="C13" s="2">
        <v>22.5</v>
      </c>
      <c r="E13" s="7" t="s">
        <v>27</v>
      </c>
      <c r="F13" s="7">
        <v>2</v>
      </c>
      <c r="G13" s="7">
        <v>6819.6496496412283</v>
      </c>
      <c r="H13" s="7">
        <v>3409.8248248206141</v>
      </c>
      <c r="I13" s="7">
        <v>209.70273443453766</v>
      </c>
      <c r="J13" s="7">
        <v>4.1684809718141462E-32</v>
      </c>
    </row>
    <row r="14" spans="1:10" ht="15.75" x14ac:dyDescent="0.25">
      <c r="A14" s="2">
        <v>40.9</v>
      </c>
      <c r="B14" s="2">
        <v>113</v>
      </c>
      <c r="C14" s="2">
        <v>22.5</v>
      </c>
      <c r="E14" s="7" t="s">
        <v>28</v>
      </c>
      <c r="F14" s="7">
        <v>78</v>
      </c>
      <c r="G14" s="7">
        <v>1268.3017083834638</v>
      </c>
      <c r="H14" s="7">
        <v>16.260278312608509</v>
      </c>
      <c r="I14" s="7"/>
      <c r="J14" s="7"/>
    </row>
    <row r="15" spans="1:10" ht="16.5" thickBot="1" x14ac:dyDescent="0.3">
      <c r="A15" s="2">
        <v>40.9</v>
      </c>
      <c r="B15" s="2">
        <v>113</v>
      </c>
      <c r="C15" s="2">
        <v>22.5</v>
      </c>
      <c r="E15" s="8" t="s">
        <v>29</v>
      </c>
      <c r="F15" s="8">
        <v>80</v>
      </c>
      <c r="G15" s="8">
        <v>8087.9513580246921</v>
      </c>
      <c r="H15" s="8"/>
      <c r="I15" s="8"/>
      <c r="J15" s="8"/>
    </row>
    <row r="16" spans="1:10" ht="16.5" thickBot="1" x14ac:dyDescent="0.3">
      <c r="A16" s="2">
        <v>40.4</v>
      </c>
      <c r="B16" s="2">
        <v>103</v>
      </c>
      <c r="C16" s="2">
        <v>22.5</v>
      </c>
    </row>
    <row r="17" spans="1:13" ht="15.75" x14ac:dyDescent="0.25">
      <c r="A17" s="2">
        <v>39.6</v>
      </c>
      <c r="B17" s="2">
        <v>100</v>
      </c>
      <c r="C17" s="2">
        <v>22.5</v>
      </c>
      <c r="E17" s="10"/>
      <c r="F17" s="10" t="s">
        <v>36</v>
      </c>
      <c r="G17" s="10" t="s">
        <v>24</v>
      </c>
      <c r="H17" s="10" t="s">
        <v>37</v>
      </c>
      <c r="I17" s="10" t="s">
        <v>38</v>
      </c>
      <c r="J17" s="10" t="s">
        <v>39</v>
      </c>
      <c r="K17" s="10" t="s">
        <v>40</v>
      </c>
      <c r="L17" s="10" t="s">
        <v>41</v>
      </c>
      <c r="M17" s="10" t="s">
        <v>42</v>
      </c>
    </row>
    <row r="18" spans="1:13" ht="15.75" x14ac:dyDescent="0.25">
      <c r="A18" s="2">
        <v>39.299999999999997</v>
      </c>
      <c r="B18" s="2">
        <v>103</v>
      </c>
      <c r="C18" s="2">
        <v>22.5</v>
      </c>
      <c r="E18" s="7" t="s">
        <v>30</v>
      </c>
      <c r="F18" s="7">
        <v>75.829569889353905</v>
      </c>
      <c r="G18" s="7">
        <v>3.751231739334163</v>
      </c>
      <c r="H18" s="7">
        <v>20.214578879313258</v>
      </c>
      <c r="I18" s="7">
        <v>9.6020950886846504E-33</v>
      </c>
      <c r="J18" s="7">
        <v>68.3614411766671</v>
      </c>
      <c r="K18" s="7">
        <v>83.297698602040711</v>
      </c>
      <c r="L18" s="7">
        <v>68.3614411766671</v>
      </c>
      <c r="M18" s="7">
        <v>83.297698602040711</v>
      </c>
    </row>
    <row r="19" spans="1:13" ht="15.75" x14ac:dyDescent="0.25">
      <c r="A19" s="2">
        <v>38.9</v>
      </c>
      <c r="B19" s="2">
        <v>106</v>
      </c>
      <c r="C19" s="2">
        <v>22.5</v>
      </c>
      <c r="E19" s="7" t="s">
        <v>9</v>
      </c>
      <c r="F19" s="7">
        <v>-9.3937506706219545E-2</v>
      </c>
      <c r="G19" s="7">
        <v>4.3481539245397015E-2</v>
      </c>
      <c r="H19" s="7">
        <v>-2.160399754389188</v>
      </c>
      <c r="I19" s="7">
        <v>3.3811808472701155E-2</v>
      </c>
      <c r="J19" s="7">
        <v>-0.18050260166033874</v>
      </c>
      <c r="K19" s="7">
        <v>-7.3724117521003496E-3</v>
      </c>
      <c r="L19" s="7">
        <v>-0.18050260166033874</v>
      </c>
      <c r="M19" s="7">
        <v>-7.3724117521003496E-3</v>
      </c>
    </row>
    <row r="20" spans="1:13" ht="16.5" thickBot="1" x14ac:dyDescent="0.3">
      <c r="A20" s="2">
        <v>38.799999999999997</v>
      </c>
      <c r="B20" s="2">
        <v>113</v>
      </c>
      <c r="C20" s="2">
        <v>22.5</v>
      </c>
      <c r="E20" s="8" t="s">
        <v>11</v>
      </c>
      <c r="F20" s="8">
        <v>-1.0141906025700052</v>
      </c>
      <c r="G20" s="8">
        <v>7.519361266524946E-2</v>
      </c>
      <c r="H20" s="8">
        <v>-13.487722781521718</v>
      </c>
      <c r="I20" s="8">
        <v>4.3924928823257632E-22</v>
      </c>
      <c r="J20" s="8">
        <v>-1.1638895859379788</v>
      </c>
      <c r="K20" s="8">
        <v>-0.86449161920203155</v>
      </c>
      <c r="L20" s="8">
        <v>-1.1638895859379788</v>
      </c>
      <c r="M20" s="8">
        <v>-0.86449161920203155</v>
      </c>
    </row>
    <row r="21" spans="1:13" ht="15.75" x14ac:dyDescent="0.25">
      <c r="A21" s="2">
        <v>38.200000000000003</v>
      </c>
      <c r="B21" s="2">
        <v>106</v>
      </c>
      <c r="C21" s="2">
        <v>22.5</v>
      </c>
    </row>
    <row r="22" spans="1:13" ht="15.75" x14ac:dyDescent="0.25">
      <c r="A22" s="2">
        <v>42.2</v>
      </c>
      <c r="B22" s="2">
        <v>109</v>
      </c>
      <c r="C22" s="2">
        <v>25</v>
      </c>
    </row>
    <row r="23" spans="1:13" ht="15.75" x14ac:dyDescent="0.25">
      <c r="A23" s="2">
        <v>40.9</v>
      </c>
      <c r="B23" s="2">
        <v>110</v>
      </c>
      <c r="C23" s="2">
        <v>25</v>
      </c>
    </row>
    <row r="24" spans="1:13" ht="15.75" x14ac:dyDescent="0.25">
      <c r="A24" s="2">
        <v>40.700000000000003</v>
      </c>
      <c r="B24" s="2">
        <v>101</v>
      </c>
      <c r="C24" s="2">
        <v>25</v>
      </c>
      <c r="E24" t="s">
        <v>43</v>
      </c>
    </row>
    <row r="25" spans="1:13" ht="16.5" thickBot="1" x14ac:dyDescent="0.3">
      <c r="A25" s="2">
        <v>40</v>
      </c>
      <c r="B25" s="2">
        <v>111</v>
      </c>
      <c r="C25" s="2">
        <v>25</v>
      </c>
      <c r="I25" t="s">
        <v>79</v>
      </c>
    </row>
    <row r="26" spans="1:13" ht="15.75" x14ac:dyDescent="0.25">
      <c r="A26" s="2">
        <v>39.299999999999997</v>
      </c>
      <c r="B26" s="2">
        <v>105</v>
      </c>
      <c r="C26" s="2">
        <v>25</v>
      </c>
      <c r="E26" s="10" t="s">
        <v>44</v>
      </c>
      <c r="F26" s="10" t="s">
        <v>45</v>
      </c>
      <c r="G26" s="10" t="s">
        <v>46</v>
      </c>
      <c r="I26" s="10"/>
      <c r="J26" s="10" t="s">
        <v>9</v>
      </c>
      <c r="K26" s="10" t="s">
        <v>11</v>
      </c>
    </row>
    <row r="27" spans="1:13" ht="16.5" thickBot="1" x14ac:dyDescent="0.3">
      <c r="A27" s="2">
        <v>38.799999999999997</v>
      </c>
      <c r="B27" s="2">
        <v>111</v>
      </c>
      <c r="C27" s="2">
        <v>25</v>
      </c>
      <c r="E27" s="7">
        <v>1</v>
      </c>
      <c r="F27" s="7">
        <v>49.063233700581733</v>
      </c>
      <c r="G27" s="7">
        <v>16.336766299418272</v>
      </c>
      <c r="I27" s="7" t="s">
        <v>9</v>
      </c>
      <c r="J27" s="7">
        <v>1</v>
      </c>
      <c r="K27" s="8">
        <v>0.67881803327949475</v>
      </c>
    </row>
    <row r="28" spans="1:13" ht="16.5" thickBot="1" x14ac:dyDescent="0.3">
      <c r="A28" s="2">
        <v>38.4</v>
      </c>
      <c r="B28" s="2">
        <v>110</v>
      </c>
      <c r="C28" s="2">
        <v>25</v>
      </c>
      <c r="E28" s="7">
        <v>2</v>
      </c>
      <c r="F28" s="7">
        <v>46.433819687450509</v>
      </c>
      <c r="G28" s="7">
        <v>9.5661803125494913</v>
      </c>
      <c r="I28" s="8" t="s">
        <v>11</v>
      </c>
      <c r="J28" s="8">
        <v>0.67881803327949475</v>
      </c>
      <c r="K28" s="8">
        <v>1</v>
      </c>
    </row>
    <row r="29" spans="1:13" ht="15.75" x14ac:dyDescent="0.25">
      <c r="A29" s="2">
        <v>38.4</v>
      </c>
      <c r="B29" s="2">
        <v>110</v>
      </c>
      <c r="C29" s="2">
        <v>25</v>
      </c>
      <c r="E29" s="7">
        <v>3</v>
      </c>
      <c r="F29" s="7">
        <v>46.433819687450509</v>
      </c>
      <c r="G29" s="7">
        <v>9.4661803125494899</v>
      </c>
    </row>
    <row r="30" spans="1:13" ht="16.5" thickBot="1" x14ac:dyDescent="0.3">
      <c r="A30" s="2">
        <v>38.4</v>
      </c>
      <c r="B30" s="2">
        <v>110</v>
      </c>
      <c r="C30" s="2">
        <v>25</v>
      </c>
      <c r="E30" s="7">
        <v>4</v>
      </c>
      <c r="F30" s="7">
        <v>45.682319633800745</v>
      </c>
      <c r="G30" s="7">
        <v>3.3176803661992551</v>
      </c>
      <c r="I30" t="s">
        <v>82</v>
      </c>
    </row>
    <row r="31" spans="1:13" ht="15.75" x14ac:dyDescent="0.25">
      <c r="A31" s="2">
        <v>46.9</v>
      </c>
      <c r="B31" s="2">
        <v>90</v>
      </c>
      <c r="C31" s="2">
        <v>27.5</v>
      </c>
      <c r="E31" s="7">
        <v>5</v>
      </c>
      <c r="F31" s="7">
        <v>46.52775719415672</v>
      </c>
      <c r="G31" s="7">
        <v>-2.7757194156720288E-2</v>
      </c>
      <c r="I31" s="10"/>
      <c r="J31" s="10" t="s">
        <v>9</v>
      </c>
      <c r="K31" s="10" t="s">
        <v>11</v>
      </c>
    </row>
    <row r="32" spans="1:13" ht="15.75" x14ac:dyDescent="0.25">
      <c r="A32" s="2">
        <v>36.299999999999997</v>
      </c>
      <c r="B32" s="2">
        <v>112</v>
      </c>
      <c r="C32" s="2">
        <v>27.5</v>
      </c>
      <c r="E32" s="7">
        <v>6</v>
      </c>
      <c r="F32" s="7">
        <v>45.682319633800745</v>
      </c>
      <c r="G32" s="7">
        <v>0.51768036619925795</v>
      </c>
      <c r="I32" s="7" t="s">
        <v>9</v>
      </c>
      <c r="J32" s="7">
        <f t="array" ref="J32:K33">J27:K28^2</f>
        <v>1</v>
      </c>
      <c r="K32" s="7">
        <v>0.46079392230544125</v>
      </c>
    </row>
    <row r="33" spans="1:11" ht="16.5" thickBot="1" x14ac:dyDescent="0.3">
      <c r="A33" s="2">
        <v>36.1</v>
      </c>
      <c r="B33" s="2">
        <v>103</v>
      </c>
      <c r="C33" s="2">
        <v>27.5</v>
      </c>
      <c r="E33" s="7">
        <v>7</v>
      </c>
      <c r="F33" s="7">
        <v>46.433819687450509</v>
      </c>
      <c r="G33" s="7">
        <v>-1.0338196874505101</v>
      </c>
      <c r="I33" s="8" t="s">
        <v>11</v>
      </c>
      <c r="J33" s="8">
        <v>0.46079392230544125</v>
      </c>
      <c r="K33" s="8">
        <v>1</v>
      </c>
    </row>
    <row r="34" spans="1:11" ht="15.75" x14ac:dyDescent="0.25">
      <c r="A34" s="2">
        <v>36.1</v>
      </c>
      <c r="B34" s="2">
        <v>103</v>
      </c>
      <c r="C34" s="2">
        <v>27.5</v>
      </c>
      <c r="E34" s="7">
        <v>8</v>
      </c>
      <c r="F34" s="7">
        <v>43.80440567431927</v>
      </c>
      <c r="G34" s="7">
        <v>15.395594325680733</v>
      </c>
    </row>
    <row r="35" spans="1:11" ht="15.75" x14ac:dyDescent="0.25">
      <c r="A35" s="2">
        <v>35.4</v>
      </c>
      <c r="B35" s="2">
        <v>111</v>
      </c>
      <c r="C35" s="2">
        <v>27.5</v>
      </c>
      <c r="E35" s="7">
        <v>9</v>
      </c>
      <c r="F35" s="7">
        <v>43.80440567431927</v>
      </c>
      <c r="G35" s="7">
        <v>9.4955943256807274</v>
      </c>
      <c r="I35" t="s">
        <v>81</v>
      </c>
    </row>
    <row r="36" spans="1:11" ht="16.5" thickBot="1" x14ac:dyDescent="0.3">
      <c r="A36" s="2">
        <v>35.299999999999997</v>
      </c>
      <c r="B36" s="2">
        <v>111</v>
      </c>
      <c r="C36" s="2">
        <v>27.5</v>
      </c>
      <c r="E36" s="7">
        <v>10</v>
      </c>
      <c r="F36" s="7">
        <v>42.958968113963294</v>
      </c>
      <c r="G36" s="7">
        <v>0.44103188603670418</v>
      </c>
    </row>
    <row r="37" spans="1:11" ht="15.75" x14ac:dyDescent="0.25">
      <c r="A37" s="2">
        <v>35.1</v>
      </c>
      <c r="B37" s="2">
        <v>102</v>
      </c>
      <c r="C37" s="2">
        <v>27.5</v>
      </c>
      <c r="E37" s="7">
        <v>11</v>
      </c>
      <c r="F37" s="7">
        <v>43.334718140788169</v>
      </c>
      <c r="G37" s="7">
        <v>-2.2347181407881678</v>
      </c>
      <c r="I37" s="10"/>
      <c r="J37" s="10" t="s">
        <v>9</v>
      </c>
      <c r="K37" s="10" t="s">
        <v>11</v>
      </c>
    </row>
    <row r="38" spans="1:11" ht="15.75" x14ac:dyDescent="0.25">
      <c r="A38" s="2">
        <v>35.1</v>
      </c>
      <c r="B38" s="2">
        <v>106</v>
      </c>
      <c r="C38" s="2">
        <v>27.5</v>
      </c>
      <c r="E38" s="7">
        <v>12</v>
      </c>
      <c r="F38" s="7">
        <v>42.395343073725982</v>
      </c>
      <c r="G38" s="7">
        <v>-1.4953430737259836</v>
      </c>
      <c r="I38" s="7" t="s">
        <v>9</v>
      </c>
      <c r="J38" s="7" t="e">
        <f t="array" ref="J38:K39">1/(1-J32:K33)</f>
        <v>#DIV/0!</v>
      </c>
      <c r="K38" s="7">
        <v>1.8545785022966019</v>
      </c>
    </row>
    <row r="39" spans="1:11" ht="16.5" thickBot="1" x14ac:dyDescent="0.3">
      <c r="A39" s="2">
        <v>35</v>
      </c>
      <c r="B39" s="2">
        <v>106</v>
      </c>
      <c r="C39" s="2">
        <v>27.5</v>
      </c>
      <c r="E39" s="7">
        <v>13</v>
      </c>
      <c r="F39" s="7">
        <v>42.395343073725982</v>
      </c>
      <c r="G39" s="7">
        <v>-1.4953430737259836</v>
      </c>
      <c r="I39" s="8" t="s">
        <v>11</v>
      </c>
      <c r="J39" s="8">
        <v>1.8545785022966019</v>
      </c>
      <c r="K39" s="8" t="e">
        <v>#DIV/0!</v>
      </c>
    </row>
    <row r="40" spans="1:11" ht="15.75" x14ac:dyDescent="0.25">
      <c r="A40" s="2">
        <v>33.200000000000003</v>
      </c>
      <c r="B40" s="2">
        <v>109</v>
      </c>
      <c r="C40" s="2">
        <v>30</v>
      </c>
      <c r="E40" s="7">
        <v>14</v>
      </c>
      <c r="F40" s="7">
        <v>43.334718140788169</v>
      </c>
      <c r="G40" s="7">
        <v>-2.9347181407881706</v>
      </c>
    </row>
    <row r="41" spans="1:11" ht="15.75" x14ac:dyDescent="0.25">
      <c r="A41" s="2">
        <v>32.9</v>
      </c>
      <c r="B41" s="2">
        <v>109</v>
      </c>
      <c r="C41" s="2">
        <v>30</v>
      </c>
      <c r="E41" s="7">
        <v>15</v>
      </c>
      <c r="F41" s="7">
        <v>43.616530660906832</v>
      </c>
      <c r="G41" s="7">
        <v>-4.016530660906831</v>
      </c>
    </row>
    <row r="42" spans="1:11" ht="15.75" x14ac:dyDescent="0.25">
      <c r="A42" s="2">
        <v>32.299999999999997</v>
      </c>
      <c r="B42" s="2">
        <v>120</v>
      </c>
      <c r="C42" s="2">
        <v>30</v>
      </c>
      <c r="E42" s="7">
        <v>16</v>
      </c>
      <c r="F42" s="7">
        <v>43.334718140788169</v>
      </c>
      <c r="G42" s="7">
        <v>-4.034718140788172</v>
      </c>
    </row>
    <row r="43" spans="1:11" ht="15.75" x14ac:dyDescent="0.25">
      <c r="A43" s="2">
        <v>32.200000000000003</v>
      </c>
      <c r="B43" s="2">
        <v>106</v>
      </c>
      <c r="C43" s="2">
        <v>30</v>
      </c>
      <c r="E43" s="7">
        <v>17</v>
      </c>
      <c r="F43" s="7">
        <v>43.05290562066952</v>
      </c>
      <c r="G43" s="7">
        <v>-4.1529056206695216</v>
      </c>
    </row>
    <row r="44" spans="1:11" ht="15.75" x14ac:dyDescent="0.25">
      <c r="A44" s="2">
        <v>32.299999999999997</v>
      </c>
      <c r="B44" s="2">
        <v>106</v>
      </c>
      <c r="C44" s="2">
        <v>30</v>
      </c>
      <c r="E44" s="7">
        <v>18</v>
      </c>
      <c r="F44" s="7">
        <v>42.395343073725982</v>
      </c>
      <c r="G44" s="7">
        <v>-3.5953430737259851</v>
      </c>
    </row>
    <row r="45" spans="1:11" ht="15.75" x14ac:dyDescent="0.25">
      <c r="A45" s="2">
        <v>32.299999999999997</v>
      </c>
      <c r="B45" s="2">
        <v>109</v>
      </c>
      <c r="C45" s="2">
        <v>30</v>
      </c>
      <c r="E45" s="7">
        <v>19</v>
      </c>
      <c r="F45" s="7">
        <v>43.05290562066952</v>
      </c>
      <c r="G45" s="7">
        <v>-4.8529056206695174</v>
      </c>
    </row>
    <row r="46" spans="1:11" ht="15.75" x14ac:dyDescent="0.25">
      <c r="A46" s="2">
        <v>32.299999999999997</v>
      </c>
      <c r="B46" s="2">
        <v>106</v>
      </c>
      <c r="C46" s="2">
        <v>30</v>
      </c>
      <c r="E46" s="7">
        <v>20</v>
      </c>
      <c r="F46" s="7">
        <v>40.235616594125844</v>
      </c>
      <c r="G46" s="7">
        <v>1.9643834058741589</v>
      </c>
    </row>
    <row r="47" spans="1:11" ht="15.75" x14ac:dyDescent="0.25">
      <c r="A47" s="2">
        <v>31.5</v>
      </c>
      <c r="B47" s="2">
        <v>105</v>
      </c>
      <c r="C47" s="2">
        <v>30</v>
      </c>
      <c r="E47" s="7">
        <v>21</v>
      </c>
      <c r="F47" s="7">
        <v>40.141679087419618</v>
      </c>
      <c r="G47" s="7">
        <v>0.75832091258038048</v>
      </c>
    </row>
    <row r="48" spans="1:11" ht="15.75" x14ac:dyDescent="0.25">
      <c r="A48" s="2">
        <v>31.5</v>
      </c>
      <c r="B48" s="2">
        <v>108</v>
      </c>
      <c r="C48" s="2">
        <v>30</v>
      </c>
      <c r="E48" s="7">
        <v>22</v>
      </c>
      <c r="F48" s="7">
        <v>40.987116647775593</v>
      </c>
      <c r="G48" s="7">
        <v>-0.28711664777559065</v>
      </c>
    </row>
    <row r="49" spans="1:7" ht="15.75" x14ac:dyDescent="0.25">
      <c r="A49" s="2">
        <v>31.4</v>
      </c>
      <c r="B49" s="2">
        <v>108</v>
      </c>
      <c r="C49" s="2">
        <v>30</v>
      </c>
      <c r="E49" s="7">
        <v>23</v>
      </c>
      <c r="F49" s="7">
        <v>40.047741580713407</v>
      </c>
      <c r="G49" s="7">
        <v>-4.7741580713406506E-2</v>
      </c>
    </row>
    <row r="50" spans="1:7" ht="15.75" x14ac:dyDescent="0.25">
      <c r="A50" s="2">
        <v>31.4</v>
      </c>
      <c r="B50" s="2">
        <v>107</v>
      </c>
      <c r="C50" s="2">
        <v>30</v>
      </c>
      <c r="E50" s="7">
        <v>24</v>
      </c>
      <c r="F50" s="7">
        <v>40.611366620950719</v>
      </c>
      <c r="G50" s="7">
        <v>-1.3113666209507215</v>
      </c>
    </row>
    <row r="51" spans="1:7" ht="15.75" x14ac:dyDescent="0.25">
      <c r="A51" s="2">
        <v>31.2</v>
      </c>
      <c r="B51" s="2">
        <v>120</v>
      </c>
      <c r="C51" s="2">
        <v>30</v>
      </c>
      <c r="E51" s="7">
        <v>25</v>
      </c>
      <c r="F51" s="7">
        <v>40.047741580713407</v>
      </c>
      <c r="G51" s="7">
        <v>-1.2477415807134093</v>
      </c>
    </row>
    <row r="52" spans="1:7" ht="15.75" x14ac:dyDescent="0.25">
      <c r="A52" s="2">
        <v>33.700000000000003</v>
      </c>
      <c r="B52" s="2">
        <v>109</v>
      </c>
      <c r="C52" s="2">
        <v>35</v>
      </c>
      <c r="E52" s="7">
        <v>26</v>
      </c>
      <c r="F52" s="7">
        <v>40.141679087419618</v>
      </c>
      <c r="G52" s="7">
        <v>-1.7416790874196195</v>
      </c>
    </row>
    <row r="53" spans="1:7" ht="15.75" x14ac:dyDescent="0.25">
      <c r="A53" s="2">
        <v>32.6</v>
      </c>
      <c r="B53" s="2">
        <v>109</v>
      </c>
      <c r="C53" s="2">
        <v>35</v>
      </c>
      <c r="E53" s="7">
        <v>27</v>
      </c>
      <c r="F53" s="7">
        <v>40.141679087419618</v>
      </c>
      <c r="G53" s="7">
        <v>-1.7416790874196195</v>
      </c>
    </row>
    <row r="54" spans="1:7" ht="15.75" x14ac:dyDescent="0.25">
      <c r="A54" s="2">
        <v>31.3</v>
      </c>
      <c r="B54" s="2">
        <v>109</v>
      </c>
      <c r="C54" s="2">
        <v>35</v>
      </c>
      <c r="E54" s="7">
        <v>28</v>
      </c>
      <c r="F54" s="7">
        <v>40.141679087419618</v>
      </c>
      <c r="G54" s="7">
        <v>-1.7416790874196195</v>
      </c>
    </row>
    <row r="55" spans="1:7" ht="15.75" x14ac:dyDescent="0.25">
      <c r="A55" s="2">
        <v>31.3</v>
      </c>
      <c r="B55" s="2">
        <v>109</v>
      </c>
      <c r="C55" s="2">
        <v>35</v>
      </c>
      <c r="E55" s="7">
        <v>29</v>
      </c>
      <c r="F55" s="7">
        <v>39.484952715119007</v>
      </c>
      <c r="G55" s="7">
        <v>7.4150472848809912</v>
      </c>
    </row>
    <row r="56" spans="1:7" ht="15.75" x14ac:dyDescent="0.25">
      <c r="A56" s="2">
        <v>30.4</v>
      </c>
      <c r="B56" s="2">
        <v>133</v>
      </c>
      <c r="C56" s="2">
        <v>35</v>
      </c>
      <c r="E56" s="7">
        <v>30</v>
      </c>
      <c r="F56" s="7">
        <v>37.418327567582168</v>
      </c>
      <c r="G56" s="7">
        <v>-1.1183275675821704</v>
      </c>
    </row>
    <row r="57" spans="1:7" ht="15.75" x14ac:dyDescent="0.25">
      <c r="A57" s="2">
        <v>28.9</v>
      </c>
      <c r="B57" s="2">
        <v>125</v>
      </c>
      <c r="C57" s="2">
        <v>35</v>
      </c>
      <c r="E57" s="7">
        <v>31</v>
      </c>
      <c r="F57" s="7">
        <v>38.263765127938143</v>
      </c>
      <c r="G57" s="7">
        <v>-2.1637651279381416</v>
      </c>
    </row>
    <row r="58" spans="1:7" ht="15.75" x14ac:dyDescent="0.25">
      <c r="A58" s="2">
        <v>28</v>
      </c>
      <c r="B58" s="2">
        <v>115</v>
      </c>
      <c r="C58" s="2">
        <v>35</v>
      </c>
      <c r="E58" s="7">
        <v>32</v>
      </c>
      <c r="F58" s="7">
        <v>38.263765127938143</v>
      </c>
      <c r="G58" s="7">
        <v>-2.1637651279381416</v>
      </c>
    </row>
    <row r="59" spans="1:7" ht="15.75" x14ac:dyDescent="0.25">
      <c r="A59" s="2">
        <v>28</v>
      </c>
      <c r="B59" s="2">
        <v>102</v>
      </c>
      <c r="C59" s="2">
        <v>35</v>
      </c>
      <c r="E59" s="7">
        <v>33</v>
      </c>
      <c r="F59" s="7">
        <v>37.512265074288393</v>
      </c>
      <c r="G59" s="7">
        <v>-2.1122650742883948</v>
      </c>
    </row>
    <row r="60" spans="1:7" ht="15.75" x14ac:dyDescent="0.25">
      <c r="A60" s="2">
        <v>28</v>
      </c>
      <c r="B60" s="2">
        <v>109</v>
      </c>
      <c r="C60" s="2">
        <v>35</v>
      </c>
      <c r="E60" s="7">
        <v>34</v>
      </c>
      <c r="F60" s="7">
        <v>37.512265074288393</v>
      </c>
      <c r="G60" s="7">
        <v>-2.2122650742883962</v>
      </c>
    </row>
    <row r="61" spans="1:7" ht="15.75" x14ac:dyDescent="0.25">
      <c r="A61" s="2">
        <v>28</v>
      </c>
      <c r="B61" s="2">
        <v>104</v>
      </c>
      <c r="C61" s="2">
        <v>35</v>
      </c>
      <c r="E61" s="7">
        <v>35</v>
      </c>
      <c r="F61" s="7">
        <v>38.357702634644369</v>
      </c>
      <c r="G61" s="7">
        <v>-3.2577026346443674</v>
      </c>
    </row>
    <row r="62" spans="1:7" ht="15.75" x14ac:dyDescent="0.25">
      <c r="A62" s="2">
        <v>28</v>
      </c>
      <c r="B62" s="2">
        <v>105</v>
      </c>
      <c r="C62" s="2">
        <v>35</v>
      </c>
      <c r="E62" s="7">
        <v>36</v>
      </c>
      <c r="F62" s="7">
        <v>37.981952607819494</v>
      </c>
      <c r="G62" s="7">
        <v>-2.8819526078194926</v>
      </c>
    </row>
    <row r="63" spans="1:7" ht="15.75" x14ac:dyDescent="0.25">
      <c r="A63" s="2">
        <v>27.7</v>
      </c>
      <c r="B63" s="2">
        <v>120</v>
      </c>
      <c r="C63" s="2">
        <v>35</v>
      </c>
      <c r="E63" s="7">
        <v>37</v>
      </c>
      <c r="F63" s="7">
        <v>37.981952607819494</v>
      </c>
      <c r="G63" s="7">
        <v>-2.981952607819494</v>
      </c>
    </row>
    <row r="64" spans="1:7" ht="15.75" x14ac:dyDescent="0.25">
      <c r="A64" s="2">
        <v>25.6</v>
      </c>
      <c r="B64" s="2">
        <v>107</v>
      </c>
      <c r="C64" s="2">
        <v>40</v>
      </c>
      <c r="E64" s="7">
        <v>38</v>
      </c>
      <c r="F64" s="7">
        <v>35.164663581275818</v>
      </c>
      <c r="G64" s="7">
        <v>-1.9646635812758149</v>
      </c>
    </row>
    <row r="65" spans="1:7" ht="15.75" x14ac:dyDescent="0.25">
      <c r="A65" s="2">
        <v>25.3</v>
      </c>
      <c r="B65" s="2">
        <v>114</v>
      </c>
      <c r="C65" s="2">
        <v>40</v>
      </c>
      <c r="E65" s="7">
        <v>39</v>
      </c>
      <c r="F65" s="7">
        <v>35.164663581275818</v>
      </c>
      <c r="G65" s="7">
        <v>-2.2646635812758191</v>
      </c>
    </row>
    <row r="66" spans="1:7" ht="15.75" x14ac:dyDescent="0.25">
      <c r="A66" s="2">
        <v>23.9</v>
      </c>
      <c r="B66" s="2">
        <v>114</v>
      </c>
      <c r="C66" s="2">
        <v>40</v>
      </c>
      <c r="E66" s="7">
        <v>40</v>
      </c>
      <c r="F66" s="7">
        <v>34.131351007507405</v>
      </c>
      <c r="G66" s="7">
        <v>-1.8313510075074078</v>
      </c>
    </row>
    <row r="67" spans="1:7" ht="15.75" x14ac:dyDescent="0.25">
      <c r="A67" s="2">
        <v>23.6</v>
      </c>
      <c r="B67" s="2">
        <v>117</v>
      </c>
      <c r="C67" s="2">
        <v>40</v>
      </c>
      <c r="E67" s="7">
        <v>41</v>
      </c>
      <c r="F67" s="7">
        <v>35.446476101394481</v>
      </c>
      <c r="G67" s="7">
        <v>-3.2464761013944781</v>
      </c>
    </row>
    <row r="68" spans="1:7" ht="15.75" x14ac:dyDescent="0.25">
      <c r="A68" s="2">
        <v>23.6</v>
      </c>
      <c r="B68" s="2">
        <v>122</v>
      </c>
      <c r="C68" s="2">
        <v>40</v>
      </c>
      <c r="E68" s="7">
        <v>42</v>
      </c>
      <c r="F68" s="7">
        <v>35.446476101394481</v>
      </c>
      <c r="G68" s="7">
        <v>-3.1464761013944837</v>
      </c>
    </row>
    <row r="69" spans="1:7" ht="15.75" x14ac:dyDescent="0.25">
      <c r="A69" s="2">
        <v>23.6</v>
      </c>
      <c r="B69" s="2">
        <v>122</v>
      </c>
      <c r="C69" s="2">
        <v>40</v>
      </c>
      <c r="E69" s="7">
        <v>43</v>
      </c>
      <c r="F69" s="7">
        <v>35.164663581275818</v>
      </c>
      <c r="G69" s="7">
        <v>-2.8646635812758205</v>
      </c>
    </row>
    <row r="70" spans="1:7" ht="15.75" x14ac:dyDescent="0.25">
      <c r="A70" s="2">
        <v>23.6</v>
      </c>
      <c r="B70" s="2">
        <v>122</v>
      </c>
      <c r="C70" s="2">
        <v>40</v>
      </c>
      <c r="E70" s="7">
        <v>44</v>
      </c>
      <c r="F70" s="7">
        <v>35.446476101394481</v>
      </c>
      <c r="G70" s="7">
        <v>-3.1464761013944837</v>
      </c>
    </row>
    <row r="71" spans="1:7" ht="15.75" x14ac:dyDescent="0.25">
      <c r="A71" s="2">
        <v>23.6</v>
      </c>
      <c r="B71" s="2">
        <v>122</v>
      </c>
      <c r="C71" s="2">
        <v>40</v>
      </c>
      <c r="E71" s="7">
        <v>45</v>
      </c>
      <c r="F71" s="7">
        <v>35.540413608100692</v>
      </c>
      <c r="G71" s="7">
        <v>-4.0404136081006925</v>
      </c>
    </row>
    <row r="72" spans="1:7" ht="15.75" x14ac:dyDescent="0.25">
      <c r="A72" s="2">
        <v>23.5</v>
      </c>
      <c r="B72" s="2">
        <v>148</v>
      </c>
      <c r="C72" s="2">
        <v>40</v>
      </c>
      <c r="E72" s="7">
        <v>46</v>
      </c>
      <c r="F72" s="7">
        <v>35.258601087982044</v>
      </c>
      <c r="G72" s="7">
        <v>-3.7586010879820435</v>
      </c>
    </row>
    <row r="73" spans="1:7" ht="15.75" x14ac:dyDescent="0.25">
      <c r="A73" s="2">
        <v>23.4</v>
      </c>
      <c r="B73" s="2">
        <v>160</v>
      </c>
      <c r="C73" s="2">
        <v>40</v>
      </c>
      <c r="E73" s="7">
        <v>47</v>
      </c>
      <c r="F73" s="7">
        <v>35.258601087982044</v>
      </c>
      <c r="G73" s="7">
        <v>-3.8586010879820449</v>
      </c>
    </row>
    <row r="74" spans="1:7" ht="15.75" x14ac:dyDescent="0.25">
      <c r="A74" s="2">
        <v>23.4</v>
      </c>
      <c r="B74" s="2">
        <v>121</v>
      </c>
      <c r="C74" s="2">
        <v>40</v>
      </c>
      <c r="E74" s="7">
        <v>48</v>
      </c>
      <c r="F74" s="7">
        <v>35.352538594688255</v>
      </c>
      <c r="G74" s="7">
        <v>-3.9525385946882565</v>
      </c>
    </row>
    <row r="75" spans="1:7" ht="15.75" x14ac:dyDescent="0.25">
      <c r="A75" s="2">
        <v>23.1</v>
      </c>
      <c r="B75" s="2">
        <v>121</v>
      </c>
      <c r="C75" s="2">
        <v>40</v>
      </c>
      <c r="E75" s="7">
        <v>49</v>
      </c>
      <c r="F75" s="7">
        <v>34.131351007507405</v>
      </c>
      <c r="G75" s="7">
        <v>-2.9313510075074056</v>
      </c>
    </row>
    <row r="76" spans="1:7" ht="15.75" x14ac:dyDescent="0.25">
      <c r="A76" s="2">
        <v>22.9</v>
      </c>
      <c r="B76" s="2">
        <v>110</v>
      </c>
      <c r="C76" s="2">
        <v>45</v>
      </c>
      <c r="E76" s="7">
        <v>50</v>
      </c>
      <c r="F76" s="7">
        <v>30.093710568425792</v>
      </c>
      <c r="G76" s="7">
        <v>3.6062894315742113</v>
      </c>
    </row>
    <row r="77" spans="1:7" ht="15.75" x14ac:dyDescent="0.25">
      <c r="A77" s="2">
        <v>22.9</v>
      </c>
      <c r="B77" s="2">
        <v>110</v>
      </c>
      <c r="C77" s="2">
        <v>45</v>
      </c>
      <c r="E77" s="7">
        <v>51</v>
      </c>
      <c r="F77" s="7">
        <v>30.093710568425792</v>
      </c>
      <c r="G77" s="7">
        <v>2.5062894315742099</v>
      </c>
    </row>
    <row r="78" spans="1:7" ht="15.75" x14ac:dyDescent="0.25">
      <c r="A78" s="2">
        <v>19.5</v>
      </c>
      <c r="B78" s="2">
        <v>121</v>
      </c>
      <c r="C78" s="2">
        <v>45</v>
      </c>
      <c r="E78" s="7">
        <v>52</v>
      </c>
      <c r="F78" s="7">
        <v>30.093710568425792</v>
      </c>
      <c r="G78" s="7">
        <v>1.2062894315742092</v>
      </c>
    </row>
    <row r="79" spans="1:7" ht="15.75" x14ac:dyDescent="0.25">
      <c r="A79" s="2">
        <v>18.100000000000001</v>
      </c>
      <c r="B79" s="2">
        <v>165</v>
      </c>
      <c r="C79" s="2">
        <v>45</v>
      </c>
      <c r="E79" s="7">
        <v>53</v>
      </c>
      <c r="F79" s="7">
        <v>30.093710568425792</v>
      </c>
      <c r="G79" s="7">
        <v>1.2062894315742092</v>
      </c>
    </row>
    <row r="80" spans="1:7" ht="15.75" x14ac:dyDescent="0.25">
      <c r="A80" s="2">
        <v>17.2</v>
      </c>
      <c r="B80" s="2">
        <v>140</v>
      </c>
      <c r="C80" s="2">
        <v>45</v>
      </c>
      <c r="E80" s="7">
        <v>54</v>
      </c>
      <c r="F80" s="7">
        <v>27.839210407476521</v>
      </c>
      <c r="G80" s="7">
        <v>2.5607895925234772</v>
      </c>
    </row>
    <row r="81" spans="1:7" ht="15.75" x14ac:dyDescent="0.25">
      <c r="A81" s="2">
        <v>17</v>
      </c>
      <c r="B81" s="2">
        <v>147</v>
      </c>
      <c r="C81" s="2">
        <v>45</v>
      </c>
      <c r="E81" s="7">
        <v>55</v>
      </c>
      <c r="F81" s="7">
        <v>28.590710461126278</v>
      </c>
      <c r="G81" s="7">
        <v>0.30928953887372046</v>
      </c>
    </row>
    <row r="82" spans="1:7" ht="15.75" x14ac:dyDescent="0.25">
      <c r="A82" s="2">
        <v>16.7</v>
      </c>
      <c r="B82" s="2">
        <v>157</v>
      </c>
      <c r="C82" s="2">
        <v>45</v>
      </c>
      <c r="E82" s="7">
        <v>56</v>
      </c>
      <c r="F82" s="7">
        <v>29.530085528188479</v>
      </c>
      <c r="G82" s="7">
        <v>-1.5300855281884793</v>
      </c>
    </row>
    <row r="83" spans="1:7" ht="15.75" x14ac:dyDescent="0.25">
      <c r="A83" s="2">
        <v>13.2</v>
      </c>
      <c r="B83" s="2">
        <v>130</v>
      </c>
      <c r="C83" s="2">
        <v>55</v>
      </c>
      <c r="E83" s="7">
        <v>57</v>
      </c>
      <c r="F83" s="7">
        <v>30.75127311536933</v>
      </c>
      <c r="G83" s="7">
        <v>-2.7512731153693295</v>
      </c>
    </row>
    <row r="84" spans="1:7" x14ac:dyDescent="0.25">
      <c r="E84" s="7">
        <v>58</v>
      </c>
      <c r="F84" s="7">
        <v>30.093710568425792</v>
      </c>
      <c r="G84" s="7">
        <v>-2.0937105684257915</v>
      </c>
    </row>
    <row r="85" spans="1:7" x14ac:dyDescent="0.25">
      <c r="E85" s="7">
        <v>59</v>
      </c>
      <c r="F85" s="7">
        <v>30.563398101956892</v>
      </c>
      <c r="G85" s="7">
        <v>-2.5633981019568921</v>
      </c>
    </row>
    <row r="86" spans="1:7" x14ac:dyDescent="0.25">
      <c r="E86" s="7">
        <v>60</v>
      </c>
      <c r="F86" s="7">
        <v>30.469460595250666</v>
      </c>
      <c r="G86" s="7">
        <v>-2.4694605952506663</v>
      </c>
    </row>
    <row r="87" spans="1:7" x14ac:dyDescent="0.25">
      <c r="E87" s="7">
        <v>61</v>
      </c>
      <c r="F87" s="7">
        <v>29.060397994657379</v>
      </c>
      <c r="G87" s="7">
        <v>-1.3603979946573794</v>
      </c>
    </row>
    <row r="88" spans="1:7" x14ac:dyDescent="0.25">
      <c r="E88" s="7">
        <v>62</v>
      </c>
      <c r="F88" s="7">
        <v>25.210632568988203</v>
      </c>
      <c r="G88" s="7">
        <v>0.38936743101179871</v>
      </c>
    </row>
    <row r="89" spans="1:7" x14ac:dyDescent="0.25">
      <c r="E89" s="7">
        <v>63</v>
      </c>
      <c r="F89" s="7">
        <v>24.553070022044665</v>
      </c>
      <c r="G89" s="7">
        <v>0.746929977955336</v>
      </c>
    </row>
    <row r="90" spans="1:7" x14ac:dyDescent="0.25">
      <c r="E90" s="7">
        <v>64</v>
      </c>
      <c r="F90" s="7">
        <v>24.553070022044665</v>
      </c>
      <c r="G90" s="7">
        <v>-0.65307002204466613</v>
      </c>
    </row>
    <row r="91" spans="1:7" x14ac:dyDescent="0.25">
      <c r="E91" s="7">
        <v>65</v>
      </c>
      <c r="F91" s="7">
        <v>24.271257501926016</v>
      </c>
      <c r="G91" s="7">
        <v>-0.6712575019260143</v>
      </c>
    </row>
    <row r="92" spans="1:7" x14ac:dyDescent="0.25">
      <c r="E92" s="7">
        <v>66</v>
      </c>
      <c r="F92" s="7">
        <v>23.801569968394915</v>
      </c>
      <c r="G92" s="7">
        <v>-0.2015699683949137</v>
      </c>
    </row>
    <row r="93" spans="1:7" x14ac:dyDescent="0.25">
      <c r="E93" s="7">
        <v>67</v>
      </c>
      <c r="F93" s="7">
        <v>23.801569968394915</v>
      </c>
      <c r="G93" s="7">
        <v>-0.2015699683949137</v>
      </c>
    </row>
    <row r="94" spans="1:7" x14ac:dyDescent="0.25">
      <c r="E94" s="7">
        <v>68</v>
      </c>
      <c r="F94" s="7">
        <v>23.801569968394915</v>
      </c>
      <c r="G94" s="7">
        <v>-0.2015699683949137</v>
      </c>
    </row>
    <row r="95" spans="1:7" x14ac:dyDescent="0.25">
      <c r="E95" s="7">
        <v>69</v>
      </c>
      <c r="F95" s="7">
        <v>23.801569968394915</v>
      </c>
      <c r="G95" s="7">
        <v>-0.2015699683949137</v>
      </c>
    </row>
    <row r="96" spans="1:7" x14ac:dyDescent="0.25">
      <c r="E96" s="7">
        <v>70</v>
      </c>
      <c r="F96" s="7">
        <v>21.359194794033201</v>
      </c>
      <c r="G96" s="7">
        <v>2.1408052059667995</v>
      </c>
    </row>
    <row r="97" spans="5:7" x14ac:dyDescent="0.25">
      <c r="E97" s="7">
        <v>71</v>
      </c>
      <c r="F97" s="7">
        <v>20.231944713558569</v>
      </c>
      <c r="G97" s="7">
        <v>3.1680552864414295</v>
      </c>
    </row>
    <row r="98" spans="5:7" x14ac:dyDescent="0.25">
      <c r="E98" s="7">
        <v>72</v>
      </c>
      <c r="F98" s="7">
        <v>23.895507475101127</v>
      </c>
      <c r="G98" s="7">
        <v>-0.49550747510112814</v>
      </c>
    </row>
    <row r="99" spans="5:7" x14ac:dyDescent="0.25">
      <c r="E99" s="7">
        <v>73</v>
      </c>
      <c r="F99" s="7">
        <v>23.895507475101127</v>
      </c>
      <c r="G99" s="7">
        <v>-0.79550747510112529</v>
      </c>
    </row>
    <row r="100" spans="5:7" x14ac:dyDescent="0.25">
      <c r="E100" s="7">
        <v>74</v>
      </c>
      <c r="F100" s="7">
        <v>19.85786703601952</v>
      </c>
      <c r="G100" s="7">
        <v>3.0421329639804782</v>
      </c>
    </row>
    <row r="101" spans="5:7" x14ac:dyDescent="0.25">
      <c r="E101" s="7">
        <v>75</v>
      </c>
      <c r="F101" s="7">
        <v>19.85786703601952</v>
      </c>
      <c r="G101" s="7">
        <v>3.0421329639804782</v>
      </c>
    </row>
    <row r="102" spans="5:7" x14ac:dyDescent="0.25">
      <c r="E102" s="7">
        <v>76</v>
      </c>
      <c r="F102" s="7">
        <v>18.824554462251108</v>
      </c>
      <c r="G102" s="7">
        <v>0.67544553774889238</v>
      </c>
    </row>
    <row r="103" spans="5:7" x14ac:dyDescent="0.25">
      <c r="E103" s="7">
        <v>77</v>
      </c>
      <c r="F103" s="7">
        <v>14.691304167177449</v>
      </c>
      <c r="G103" s="7">
        <v>3.4086958328225521</v>
      </c>
    </row>
    <row r="104" spans="5:7" x14ac:dyDescent="0.25">
      <c r="E104" s="7">
        <v>78</v>
      </c>
      <c r="F104" s="7">
        <v>17.039741834832938</v>
      </c>
      <c r="G104" s="7">
        <v>0.16025816516706115</v>
      </c>
    </row>
    <row r="105" spans="5:7" x14ac:dyDescent="0.25">
      <c r="E105" s="7">
        <v>79</v>
      </c>
      <c r="F105" s="7">
        <v>16.382179287889407</v>
      </c>
      <c r="G105" s="7">
        <v>0.61782071211059275</v>
      </c>
    </row>
    <row r="106" spans="5:7" x14ac:dyDescent="0.25">
      <c r="E106" s="7">
        <v>80</v>
      </c>
      <c r="F106" s="7">
        <v>15.442804220827206</v>
      </c>
      <c r="G106" s="7">
        <v>1.2571957791727932</v>
      </c>
    </row>
    <row r="107" spans="5:7" ht="15.75" thickBot="1" x14ac:dyDescent="0.3">
      <c r="E107" s="8">
        <v>81</v>
      </c>
      <c r="F107" s="8">
        <v>7.8372108761950798</v>
      </c>
      <c r="G107" s="8">
        <v>5.3627891238049195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E18B-7CD2-4A08-9DCA-694029051B07}">
  <dimension ref="A2:M107"/>
  <sheetViews>
    <sheetView workbookViewId="0">
      <selection activeCell="M33" sqref="M33"/>
    </sheetView>
  </sheetViews>
  <sheetFormatPr defaultRowHeight="15" x14ac:dyDescent="0.25"/>
  <cols>
    <col min="5" max="5" width="18" bestFit="1" customWidth="1"/>
    <col min="6" max="6" width="12.7109375" bestFit="1" customWidth="1"/>
    <col min="7" max="7" width="14.5703125" bestFit="1" customWidth="1"/>
    <col min="8" max="8" width="12.7109375" bestFit="1" customWidth="1"/>
    <col min="9" max="9" width="12" bestFit="1" customWidth="1"/>
    <col min="10" max="10" width="13.42578125" bestFit="1" customWidth="1"/>
    <col min="11" max="13" width="12.7109375" bestFit="1" customWidth="1"/>
  </cols>
  <sheetData>
    <row r="2" spans="1:10" ht="15.75" x14ac:dyDescent="0.25">
      <c r="A2" s="4" t="s">
        <v>18</v>
      </c>
      <c r="B2" s="5" t="s">
        <v>10</v>
      </c>
      <c r="C2" s="5" t="s">
        <v>11</v>
      </c>
      <c r="E2" t="s">
        <v>19</v>
      </c>
    </row>
    <row r="3" spans="1:10" ht="16.5" thickBot="1" x14ac:dyDescent="0.3">
      <c r="A3" s="2">
        <v>65.400000000000006</v>
      </c>
      <c r="B3" s="2">
        <v>49</v>
      </c>
      <c r="C3" s="2">
        <v>17.5</v>
      </c>
    </row>
    <row r="4" spans="1:10" ht="15.75" x14ac:dyDescent="0.25">
      <c r="A4" s="2">
        <v>56</v>
      </c>
      <c r="B4" s="2">
        <v>55</v>
      </c>
      <c r="C4" s="2">
        <v>20</v>
      </c>
      <c r="E4" s="19" t="s">
        <v>20</v>
      </c>
      <c r="F4" s="19"/>
    </row>
    <row r="5" spans="1:10" ht="15.75" x14ac:dyDescent="0.25">
      <c r="A5" s="2">
        <v>55.9</v>
      </c>
      <c r="B5" s="2">
        <v>55</v>
      </c>
      <c r="C5" s="2">
        <v>20</v>
      </c>
      <c r="E5" s="7" t="s">
        <v>21</v>
      </c>
      <c r="F5" s="7">
        <v>0.91531204250524201</v>
      </c>
    </row>
    <row r="6" spans="1:10" ht="15.75" x14ac:dyDescent="0.25">
      <c r="A6" s="2">
        <v>49</v>
      </c>
      <c r="B6" s="2">
        <v>70</v>
      </c>
      <c r="C6" s="2">
        <v>20</v>
      </c>
      <c r="E6" s="7" t="s">
        <v>22</v>
      </c>
      <c r="F6" s="7">
        <v>0.83779613515511786</v>
      </c>
    </row>
    <row r="7" spans="1:10" ht="15.75" x14ac:dyDescent="0.25">
      <c r="A7" s="2">
        <v>46.5</v>
      </c>
      <c r="B7" s="2">
        <v>53</v>
      </c>
      <c r="C7" s="2">
        <v>20</v>
      </c>
      <c r="E7" s="7" t="s">
        <v>23</v>
      </c>
      <c r="F7" s="7">
        <v>0.8336370616975568</v>
      </c>
    </row>
    <row r="8" spans="1:10" ht="15.75" x14ac:dyDescent="0.25">
      <c r="A8" s="2">
        <v>46.2</v>
      </c>
      <c r="B8" s="2">
        <v>70</v>
      </c>
      <c r="C8" s="2">
        <v>20</v>
      </c>
      <c r="E8" s="7" t="s">
        <v>24</v>
      </c>
      <c r="F8" s="7">
        <v>4.1011208113883688</v>
      </c>
    </row>
    <row r="9" spans="1:10" ht="16.5" thickBot="1" x14ac:dyDescent="0.3">
      <c r="A9" s="2">
        <v>45.4</v>
      </c>
      <c r="B9" s="2">
        <v>55</v>
      </c>
      <c r="C9" s="2">
        <v>20</v>
      </c>
      <c r="E9" s="8" t="s">
        <v>25</v>
      </c>
      <c r="F9" s="8">
        <v>81</v>
      </c>
    </row>
    <row r="10" spans="1:10" ht="15.75" x14ac:dyDescent="0.25">
      <c r="A10" s="2">
        <v>59.2</v>
      </c>
      <c r="B10" s="2">
        <v>62</v>
      </c>
      <c r="C10" s="2">
        <v>22.5</v>
      </c>
    </row>
    <row r="11" spans="1:10" ht="16.5" thickBot="1" x14ac:dyDescent="0.3">
      <c r="A11" s="2">
        <v>53.3</v>
      </c>
      <c r="B11" s="2">
        <v>62</v>
      </c>
      <c r="C11" s="2">
        <v>22.5</v>
      </c>
      <c r="E11" t="s">
        <v>26</v>
      </c>
    </row>
    <row r="12" spans="1:10" ht="15.75" x14ac:dyDescent="0.25">
      <c r="A12" s="2">
        <v>43.4</v>
      </c>
      <c r="B12" s="2">
        <v>80</v>
      </c>
      <c r="C12" s="2">
        <v>22.5</v>
      </c>
      <c r="E12" s="10"/>
      <c r="F12" s="10" t="s">
        <v>31</v>
      </c>
      <c r="G12" s="10" t="s">
        <v>32</v>
      </c>
      <c r="H12" s="10" t="s">
        <v>33</v>
      </c>
      <c r="I12" s="10" t="s">
        <v>34</v>
      </c>
      <c r="J12" s="10" t="s">
        <v>35</v>
      </c>
    </row>
    <row r="13" spans="1:10" ht="15.75" x14ac:dyDescent="0.25">
      <c r="A13" s="2">
        <v>41.1</v>
      </c>
      <c r="B13" s="2">
        <v>73</v>
      </c>
      <c r="C13" s="2">
        <v>22.5</v>
      </c>
      <c r="E13" s="7" t="s">
        <v>27</v>
      </c>
      <c r="F13" s="7">
        <v>2</v>
      </c>
      <c r="G13" s="7">
        <v>6776.0543890756744</v>
      </c>
      <c r="H13" s="7">
        <v>3388.0271945378372</v>
      </c>
      <c r="I13" s="7">
        <v>201.4381673475923</v>
      </c>
      <c r="J13" s="7">
        <v>1.557351769959411E-31</v>
      </c>
    </row>
    <row r="14" spans="1:10" ht="15.75" x14ac:dyDescent="0.25">
      <c r="A14" s="2">
        <v>40.9</v>
      </c>
      <c r="B14" s="2">
        <v>92</v>
      </c>
      <c r="C14" s="2">
        <v>22.5</v>
      </c>
      <c r="E14" s="7" t="s">
        <v>28</v>
      </c>
      <c r="F14" s="7">
        <v>78</v>
      </c>
      <c r="G14" s="7">
        <v>1311.8969689490177</v>
      </c>
      <c r="H14" s="7">
        <v>16.81919190960279</v>
      </c>
      <c r="I14" s="7"/>
      <c r="J14" s="7"/>
    </row>
    <row r="15" spans="1:10" ht="16.5" thickBot="1" x14ac:dyDescent="0.3">
      <c r="A15" s="2">
        <v>40.9</v>
      </c>
      <c r="B15" s="2">
        <v>92</v>
      </c>
      <c r="C15" s="2">
        <v>22.5</v>
      </c>
      <c r="E15" s="8" t="s">
        <v>29</v>
      </c>
      <c r="F15" s="8">
        <v>80</v>
      </c>
      <c r="G15" s="8">
        <v>8087.9513580246921</v>
      </c>
      <c r="H15" s="8"/>
      <c r="I15" s="8"/>
      <c r="J15" s="8"/>
    </row>
    <row r="16" spans="1:10" ht="16.5" thickBot="1" x14ac:dyDescent="0.3">
      <c r="A16" s="2">
        <v>40.4</v>
      </c>
      <c r="B16" s="2">
        <v>73</v>
      </c>
      <c r="C16" s="2">
        <v>22.5</v>
      </c>
    </row>
    <row r="17" spans="1:13" ht="15.75" x14ac:dyDescent="0.25">
      <c r="A17" s="2">
        <v>39.6</v>
      </c>
      <c r="B17" s="2">
        <v>66</v>
      </c>
      <c r="C17" s="2">
        <v>22.5</v>
      </c>
      <c r="E17" s="10"/>
      <c r="F17" s="10" t="s">
        <v>36</v>
      </c>
      <c r="G17" s="10" t="s">
        <v>24</v>
      </c>
      <c r="H17" s="10" t="s">
        <v>37</v>
      </c>
      <c r="I17" s="10" t="s">
        <v>38</v>
      </c>
      <c r="J17" s="10" t="s">
        <v>39</v>
      </c>
      <c r="K17" s="10" t="s">
        <v>40</v>
      </c>
      <c r="L17" s="10" t="s">
        <v>41</v>
      </c>
      <c r="M17" s="10" t="s">
        <v>42</v>
      </c>
    </row>
    <row r="18" spans="1:13" ht="15.75" x14ac:dyDescent="0.25">
      <c r="A18" s="2">
        <v>39.299999999999997</v>
      </c>
      <c r="B18" s="2">
        <v>73</v>
      </c>
      <c r="C18" s="2">
        <v>22.5</v>
      </c>
      <c r="E18" s="7" t="s">
        <v>30</v>
      </c>
      <c r="F18" s="7">
        <v>67.423455598866965</v>
      </c>
      <c r="G18" s="7">
        <v>2.0153428746524686</v>
      </c>
      <c r="H18" s="7">
        <v>33.455079255679337</v>
      </c>
      <c r="I18" s="7">
        <v>5.1444781490473803E-48</v>
      </c>
      <c r="J18" s="7">
        <v>63.411216144214571</v>
      </c>
      <c r="K18" s="7">
        <v>71.435695053519368</v>
      </c>
      <c r="L18" s="7">
        <v>63.411216144214571</v>
      </c>
      <c r="M18" s="7">
        <v>71.435695053519368</v>
      </c>
    </row>
    <row r="19" spans="1:13" ht="15.75" x14ac:dyDescent="0.25">
      <c r="A19" s="2">
        <v>38.9</v>
      </c>
      <c r="B19" s="2">
        <v>78</v>
      </c>
      <c r="C19" s="2">
        <v>22.5</v>
      </c>
      <c r="E19" s="7" t="s">
        <v>10</v>
      </c>
      <c r="F19" s="7">
        <v>-2.004295297218538E-2</v>
      </c>
      <c r="G19" s="7">
        <v>1.4463875596383041E-2</v>
      </c>
      <c r="H19" s="7">
        <v>-1.3857249281926547</v>
      </c>
      <c r="I19" s="7">
        <v>0.16978034516960075</v>
      </c>
      <c r="J19" s="7">
        <v>-4.8838317306901524E-2</v>
      </c>
      <c r="K19" s="7">
        <v>8.7524113625307605E-3</v>
      </c>
      <c r="L19" s="7">
        <v>-4.8838317306901524E-2</v>
      </c>
      <c r="M19" s="7">
        <v>8.7524113625307605E-3</v>
      </c>
    </row>
    <row r="20" spans="1:13" ht="16.5" thickBot="1" x14ac:dyDescent="0.3">
      <c r="A20" s="2">
        <v>38.799999999999997</v>
      </c>
      <c r="B20" s="2">
        <v>92</v>
      </c>
      <c r="C20" s="2">
        <v>22.5</v>
      </c>
      <c r="E20" s="8" t="s">
        <v>11</v>
      </c>
      <c r="F20" s="8">
        <v>-1.0078451019832193</v>
      </c>
      <c r="G20" s="8">
        <v>0.10117257833470554</v>
      </c>
      <c r="H20" s="8">
        <v>-9.9616429527870896</v>
      </c>
      <c r="I20" s="8">
        <v>1.4948496039512008E-15</v>
      </c>
      <c r="J20" s="8">
        <v>-1.2092642330049892</v>
      </c>
      <c r="K20" s="8">
        <v>-0.80642597096144952</v>
      </c>
      <c r="L20" s="8">
        <v>-1.2092642330049892</v>
      </c>
      <c r="M20" s="8">
        <v>-0.80642597096144952</v>
      </c>
    </row>
    <row r="21" spans="1:13" ht="15.75" x14ac:dyDescent="0.25">
      <c r="A21" s="2">
        <v>38.200000000000003</v>
      </c>
      <c r="B21" s="2">
        <v>78</v>
      </c>
      <c r="C21" s="2">
        <v>22.5</v>
      </c>
    </row>
    <row r="22" spans="1:13" ht="15.75" x14ac:dyDescent="0.25">
      <c r="A22" s="2">
        <v>42.2</v>
      </c>
      <c r="B22" s="2">
        <v>90</v>
      </c>
      <c r="C22" s="2">
        <v>25</v>
      </c>
    </row>
    <row r="23" spans="1:13" ht="15.75" x14ac:dyDescent="0.25">
      <c r="A23" s="2">
        <v>40.9</v>
      </c>
      <c r="B23" s="2">
        <v>92</v>
      </c>
      <c r="C23" s="2">
        <v>25</v>
      </c>
    </row>
    <row r="24" spans="1:13" ht="15.75" x14ac:dyDescent="0.25">
      <c r="A24" s="2">
        <v>40.700000000000003</v>
      </c>
      <c r="B24" s="2">
        <v>74</v>
      </c>
      <c r="C24" s="2">
        <v>25</v>
      </c>
      <c r="E24" t="s">
        <v>43</v>
      </c>
    </row>
    <row r="25" spans="1:13" ht="16.5" thickBot="1" x14ac:dyDescent="0.3">
      <c r="A25" s="2">
        <v>40</v>
      </c>
      <c r="B25" s="2">
        <v>95</v>
      </c>
      <c r="C25" s="2">
        <v>25</v>
      </c>
      <c r="I25" t="s">
        <v>79</v>
      </c>
    </row>
    <row r="26" spans="1:13" ht="15.75" x14ac:dyDescent="0.25">
      <c r="A26" s="2">
        <v>39.299999999999997</v>
      </c>
      <c r="B26" s="2">
        <v>81</v>
      </c>
      <c r="C26" s="2">
        <v>25</v>
      </c>
      <c r="E26" s="10" t="s">
        <v>44</v>
      </c>
      <c r="F26" s="10" t="s">
        <v>45</v>
      </c>
      <c r="G26" s="10" t="s">
        <v>46</v>
      </c>
      <c r="I26" s="10"/>
      <c r="J26" s="10" t="s">
        <v>10</v>
      </c>
      <c r="K26" s="10" t="s">
        <v>11</v>
      </c>
    </row>
    <row r="27" spans="1:13" ht="16.5" thickBot="1" x14ac:dyDescent="0.3">
      <c r="A27" s="2">
        <v>38.799999999999997</v>
      </c>
      <c r="B27" s="2">
        <v>95</v>
      </c>
      <c r="C27" s="2">
        <v>25</v>
      </c>
      <c r="E27" s="7">
        <v>1</v>
      </c>
      <c r="F27" s="7">
        <v>48.804061618523534</v>
      </c>
      <c r="G27" s="7">
        <v>16.595938381476472</v>
      </c>
      <c r="I27" s="7" t="s">
        <v>10</v>
      </c>
      <c r="J27" s="7">
        <v>1</v>
      </c>
      <c r="K27" s="8">
        <v>0.83181528762749968</v>
      </c>
    </row>
    <row r="28" spans="1:13" ht="16.5" thickBot="1" x14ac:dyDescent="0.3">
      <c r="A28" s="2">
        <v>38.4</v>
      </c>
      <c r="B28" s="2">
        <v>92</v>
      </c>
      <c r="C28" s="2">
        <v>25</v>
      </c>
      <c r="E28" s="7">
        <v>2</v>
      </c>
      <c r="F28" s="7">
        <v>46.164191145732389</v>
      </c>
      <c r="G28" s="7">
        <v>9.8358088542676114</v>
      </c>
      <c r="I28" s="8" t="s">
        <v>11</v>
      </c>
      <c r="J28" s="8">
        <v>0.83181528762749968</v>
      </c>
      <c r="K28" s="8">
        <v>1</v>
      </c>
    </row>
    <row r="29" spans="1:13" ht="16.5" thickBot="1" x14ac:dyDescent="0.3">
      <c r="A29" s="2">
        <v>38.4</v>
      </c>
      <c r="B29" s="2">
        <v>92</v>
      </c>
      <c r="C29" s="2">
        <v>25</v>
      </c>
      <c r="E29" s="7">
        <v>3</v>
      </c>
      <c r="F29" s="7">
        <v>46.164191145732389</v>
      </c>
      <c r="G29" s="7">
        <v>9.73580885426761</v>
      </c>
      <c r="I29" s="7" t="s">
        <v>80</v>
      </c>
    </row>
    <row r="30" spans="1:13" ht="15.75" x14ac:dyDescent="0.25">
      <c r="A30" s="2">
        <v>38.4</v>
      </c>
      <c r="B30" s="2">
        <v>92</v>
      </c>
      <c r="C30" s="2">
        <v>25</v>
      </c>
      <c r="E30" s="7">
        <v>4</v>
      </c>
      <c r="F30" s="7">
        <v>45.863546851149607</v>
      </c>
      <c r="G30" s="7">
        <v>3.1364531488503928</v>
      </c>
      <c r="I30" s="10"/>
      <c r="J30" s="10" t="s">
        <v>10</v>
      </c>
      <c r="K30" s="10" t="s">
        <v>11</v>
      </c>
    </row>
    <row r="31" spans="1:13" ht="15.75" x14ac:dyDescent="0.25">
      <c r="A31" s="2">
        <v>46.9</v>
      </c>
      <c r="B31" s="2">
        <v>52</v>
      </c>
      <c r="C31" s="2">
        <v>27.5</v>
      </c>
      <c r="E31" s="7">
        <v>5</v>
      </c>
      <c r="F31" s="7">
        <v>46.204277051676755</v>
      </c>
      <c r="G31" s="7">
        <v>0.2957229483232453</v>
      </c>
      <c r="I31" s="7" t="s">
        <v>10</v>
      </c>
      <c r="J31" s="7">
        <f t="array" ref="J31:K32">J27:K28^2</f>
        <v>1</v>
      </c>
      <c r="K31" s="7">
        <v>0.69191667273082003</v>
      </c>
    </row>
    <row r="32" spans="1:13" ht="16.5" thickBot="1" x14ac:dyDescent="0.3">
      <c r="A32" s="2">
        <v>36.299999999999997</v>
      </c>
      <c r="B32" s="2">
        <v>103</v>
      </c>
      <c r="C32" s="2">
        <v>27.5</v>
      </c>
      <c r="E32" s="7">
        <v>6</v>
      </c>
      <c r="F32" s="7">
        <v>45.863546851149607</v>
      </c>
      <c r="G32" s="7">
        <v>0.33645314885039568</v>
      </c>
      <c r="I32" s="8" t="s">
        <v>11</v>
      </c>
      <c r="J32" s="8">
        <v>0.69191667273082003</v>
      </c>
      <c r="K32" s="8">
        <v>1</v>
      </c>
    </row>
    <row r="33" spans="1:11" ht="16.5" thickBot="1" x14ac:dyDescent="0.3">
      <c r="A33" s="2">
        <v>36.1</v>
      </c>
      <c r="B33" s="2">
        <v>84</v>
      </c>
      <c r="C33" s="2">
        <v>27.5</v>
      </c>
      <c r="E33" s="7">
        <v>7</v>
      </c>
      <c r="F33" s="7">
        <v>46.164191145732389</v>
      </c>
      <c r="G33" s="7">
        <v>-0.76419114573239</v>
      </c>
      <c r="I33" s="7" t="s">
        <v>81</v>
      </c>
    </row>
    <row r="34" spans="1:11" ht="15.75" x14ac:dyDescent="0.25">
      <c r="A34" s="2">
        <v>36.1</v>
      </c>
      <c r="B34" s="2">
        <v>84</v>
      </c>
      <c r="C34" s="2">
        <v>27.5</v>
      </c>
      <c r="E34" s="7">
        <v>8</v>
      </c>
      <c r="F34" s="7">
        <v>43.504277719969039</v>
      </c>
      <c r="G34" s="7">
        <v>15.695722280030964</v>
      </c>
      <c r="I34" s="10"/>
      <c r="J34" s="10" t="s">
        <v>10</v>
      </c>
      <c r="K34" s="10" t="s">
        <v>11</v>
      </c>
    </row>
    <row r="35" spans="1:11" ht="15.75" x14ac:dyDescent="0.25">
      <c r="A35" s="2">
        <v>35.4</v>
      </c>
      <c r="B35" s="2">
        <v>102</v>
      </c>
      <c r="C35" s="2">
        <v>27.5</v>
      </c>
      <c r="E35" s="7">
        <v>9</v>
      </c>
      <c r="F35" s="7">
        <v>43.504277719969039</v>
      </c>
      <c r="G35" s="7">
        <v>9.795722280030958</v>
      </c>
      <c r="I35" s="7" t="s">
        <v>10</v>
      </c>
      <c r="J35" s="7" t="e">
        <f t="array" ref="J35:K36">1/(1-J31:K32)</f>
        <v>#DIV/0!</v>
      </c>
      <c r="K35" s="7">
        <v>3.2458750977013286</v>
      </c>
    </row>
    <row r="36" spans="1:11" ht="16.5" thickBot="1" x14ac:dyDescent="0.3">
      <c r="A36" s="2">
        <v>35.299999999999997</v>
      </c>
      <c r="B36" s="2">
        <v>102</v>
      </c>
      <c r="C36" s="2">
        <v>27.5</v>
      </c>
      <c r="E36" s="7">
        <v>10</v>
      </c>
      <c r="F36" s="7">
        <v>43.143504566469701</v>
      </c>
      <c r="G36" s="7">
        <v>0.25649543353029713</v>
      </c>
      <c r="I36" s="8" t="s">
        <v>11</v>
      </c>
      <c r="J36" s="8">
        <v>3.2458750977013286</v>
      </c>
      <c r="K36" s="8" t="e">
        <v>#DIV/0!</v>
      </c>
    </row>
    <row r="37" spans="1:11" ht="15.75" x14ac:dyDescent="0.25">
      <c r="A37" s="2">
        <v>35.1</v>
      </c>
      <c r="B37" s="2">
        <v>81</v>
      </c>
      <c r="C37" s="2">
        <v>27.5</v>
      </c>
      <c r="E37" s="7">
        <v>11</v>
      </c>
      <c r="F37" s="7">
        <v>43.283805237275004</v>
      </c>
      <c r="G37" s="7">
        <v>-2.1838052372750028</v>
      </c>
    </row>
    <row r="38" spans="1:11" ht="15.75" x14ac:dyDescent="0.25">
      <c r="A38" s="2">
        <v>35.1</v>
      </c>
      <c r="B38" s="2">
        <v>90</v>
      </c>
      <c r="C38" s="2">
        <v>27.5</v>
      </c>
      <c r="E38" s="7">
        <v>12</v>
      </c>
      <c r="F38" s="7">
        <v>42.902989130803476</v>
      </c>
      <c r="G38" s="7">
        <v>-2.0029891308034777</v>
      </c>
    </row>
    <row r="39" spans="1:11" ht="15.75" x14ac:dyDescent="0.25">
      <c r="A39" s="2">
        <v>35</v>
      </c>
      <c r="B39" s="2">
        <v>90</v>
      </c>
      <c r="C39" s="2">
        <v>27.5</v>
      </c>
      <c r="E39" s="7">
        <v>13</v>
      </c>
      <c r="F39" s="7">
        <v>42.902989130803476</v>
      </c>
      <c r="G39" s="7">
        <v>-2.0029891308034777</v>
      </c>
    </row>
    <row r="40" spans="1:11" ht="15.75" x14ac:dyDescent="0.25">
      <c r="A40" s="2">
        <v>33.200000000000003</v>
      </c>
      <c r="B40" s="2">
        <v>102</v>
      </c>
      <c r="C40" s="2">
        <v>30</v>
      </c>
      <c r="E40" s="7">
        <v>14</v>
      </c>
      <c r="F40" s="7">
        <v>43.283805237275004</v>
      </c>
      <c r="G40" s="7">
        <v>-2.8838052372750056</v>
      </c>
    </row>
    <row r="41" spans="1:11" ht="15.75" x14ac:dyDescent="0.25">
      <c r="A41" s="2">
        <v>32.9</v>
      </c>
      <c r="B41" s="2">
        <v>102</v>
      </c>
      <c r="C41" s="2">
        <v>30</v>
      </c>
      <c r="E41" s="7">
        <v>15</v>
      </c>
      <c r="F41" s="7">
        <v>43.424105908080293</v>
      </c>
      <c r="G41" s="7">
        <v>-3.8241059080802913</v>
      </c>
    </row>
    <row r="42" spans="1:11" ht="15.75" x14ac:dyDescent="0.25">
      <c r="A42" s="2">
        <v>32.299999999999997</v>
      </c>
      <c r="B42" s="2">
        <v>130</v>
      </c>
      <c r="C42" s="2">
        <v>30</v>
      </c>
      <c r="E42" s="7">
        <v>16</v>
      </c>
      <c r="F42" s="7">
        <v>43.283805237275004</v>
      </c>
      <c r="G42" s="7">
        <v>-3.983805237275007</v>
      </c>
    </row>
    <row r="43" spans="1:11" ht="15.75" x14ac:dyDescent="0.25">
      <c r="A43" s="2">
        <v>32.200000000000003</v>
      </c>
      <c r="B43" s="2">
        <v>95</v>
      </c>
      <c r="C43" s="2">
        <v>30</v>
      </c>
      <c r="E43" s="7">
        <v>17</v>
      </c>
      <c r="F43" s="7">
        <v>43.183590472414068</v>
      </c>
      <c r="G43" s="7">
        <v>-4.283590472414069</v>
      </c>
    </row>
    <row r="44" spans="1:11" ht="15.75" x14ac:dyDescent="0.25">
      <c r="A44" s="2">
        <v>32.299999999999997</v>
      </c>
      <c r="B44" s="2">
        <v>95</v>
      </c>
      <c r="C44" s="2">
        <v>30</v>
      </c>
      <c r="E44" s="7">
        <v>18</v>
      </c>
      <c r="F44" s="7">
        <v>42.902989130803476</v>
      </c>
      <c r="G44" s="7">
        <v>-4.1029891308034792</v>
      </c>
    </row>
    <row r="45" spans="1:11" ht="15.75" x14ac:dyDescent="0.25">
      <c r="A45" s="2">
        <v>32.299999999999997</v>
      </c>
      <c r="B45" s="2">
        <v>102</v>
      </c>
      <c r="C45" s="2">
        <v>30</v>
      </c>
      <c r="E45" s="7">
        <v>19</v>
      </c>
      <c r="F45" s="7">
        <v>43.183590472414068</v>
      </c>
      <c r="G45" s="7">
        <v>-4.9835904724140647</v>
      </c>
    </row>
    <row r="46" spans="1:11" ht="15.75" x14ac:dyDescent="0.25">
      <c r="A46" s="2">
        <v>32.299999999999997</v>
      </c>
      <c r="B46" s="2">
        <v>95</v>
      </c>
      <c r="C46" s="2">
        <v>30</v>
      </c>
      <c r="E46" s="7">
        <v>20</v>
      </c>
      <c r="F46" s="7">
        <v>40.423462281789796</v>
      </c>
      <c r="G46" s="7">
        <v>1.7765377182102071</v>
      </c>
    </row>
    <row r="47" spans="1:11" ht="15.75" x14ac:dyDescent="0.25">
      <c r="A47" s="2">
        <v>31.5</v>
      </c>
      <c r="B47" s="2">
        <v>93</v>
      </c>
      <c r="C47" s="2">
        <v>30</v>
      </c>
      <c r="E47" s="7">
        <v>21</v>
      </c>
      <c r="F47" s="7">
        <v>40.38337637584543</v>
      </c>
      <c r="G47" s="7">
        <v>0.51662362415456897</v>
      </c>
    </row>
    <row r="48" spans="1:11" ht="15.75" x14ac:dyDescent="0.25">
      <c r="A48" s="2">
        <v>31.5</v>
      </c>
      <c r="B48" s="2">
        <v>100</v>
      </c>
      <c r="C48" s="2">
        <v>30</v>
      </c>
      <c r="E48" s="7">
        <v>22</v>
      </c>
      <c r="F48" s="7">
        <v>40.744149529344767</v>
      </c>
      <c r="G48" s="7">
        <v>-4.414952934476446E-2</v>
      </c>
    </row>
    <row r="49" spans="1:7" ht="15.75" x14ac:dyDescent="0.25">
      <c r="A49" s="2">
        <v>31.4</v>
      </c>
      <c r="B49" s="2">
        <v>100</v>
      </c>
      <c r="C49" s="2">
        <v>30</v>
      </c>
      <c r="E49" s="7">
        <v>23</v>
      </c>
      <c r="F49" s="7">
        <v>40.323247516928873</v>
      </c>
      <c r="G49" s="7">
        <v>-0.32324751692887332</v>
      </c>
    </row>
    <row r="50" spans="1:7" ht="15.75" x14ac:dyDescent="0.25">
      <c r="A50" s="2">
        <v>31.4</v>
      </c>
      <c r="B50" s="2">
        <v>98</v>
      </c>
      <c r="C50" s="2">
        <v>30</v>
      </c>
      <c r="E50" s="7">
        <v>24</v>
      </c>
      <c r="F50" s="7">
        <v>40.603848858539465</v>
      </c>
      <c r="G50" s="7">
        <v>-1.3038488585394674</v>
      </c>
    </row>
    <row r="51" spans="1:7" ht="15.75" x14ac:dyDescent="0.25">
      <c r="A51" s="2">
        <v>31.2</v>
      </c>
      <c r="B51" s="2">
        <v>130</v>
      </c>
      <c r="C51" s="2">
        <v>30</v>
      </c>
      <c r="E51" s="7">
        <v>25</v>
      </c>
      <c r="F51" s="7">
        <v>40.323247516928873</v>
      </c>
      <c r="G51" s="7">
        <v>-1.5232475169288762</v>
      </c>
    </row>
    <row r="52" spans="1:7" ht="15.75" x14ac:dyDescent="0.25">
      <c r="A52" s="2">
        <v>33.700000000000003</v>
      </c>
      <c r="B52" s="2">
        <v>115</v>
      </c>
      <c r="C52" s="2">
        <v>35</v>
      </c>
      <c r="E52" s="7">
        <v>26</v>
      </c>
      <c r="F52" s="7">
        <v>40.38337637584543</v>
      </c>
      <c r="G52" s="7">
        <v>-1.983376375845431</v>
      </c>
    </row>
    <row r="53" spans="1:7" ht="15.75" x14ac:dyDescent="0.25">
      <c r="A53" s="2">
        <v>32.6</v>
      </c>
      <c r="B53" s="2">
        <v>115</v>
      </c>
      <c r="C53" s="2">
        <v>35</v>
      </c>
      <c r="E53" s="7">
        <v>27</v>
      </c>
      <c r="F53" s="7">
        <v>40.38337637584543</v>
      </c>
      <c r="G53" s="7">
        <v>-1.983376375845431</v>
      </c>
    </row>
    <row r="54" spans="1:7" ht="15.75" x14ac:dyDescent="0.25">
      <c r="A54" s="2">
        <v>31.3</v>
      </c>
      <c r="B54" s="2">
        <v>115</v>
      </c>
      <c r="C54" s="2">
        <v>35</v>
      </c>
      <c r="E54" s="7">
        <v>28</v>
      </c>
      <c r="F54" s="7">
        <v>40.38337637584543</v>
      </c>
      <c r="G54" s="7">
        <v>-1.983376375845431</v>
      </c>
    </row>
    <row r="55" spans="1:7" ht="15.75" x14ac:dyDescent="0.25">
      <c r="A55" s="2">
        <v>31.3</v>
      </c>
      <c r="B55" s="2">
        <v>115</v>
      </c>
      <c r="C55" s="2">
        <v>35</v>
      </c>
      <c r="E55" s="7">
        <v>29</v>
      </c>
      <c r="F55" s="7">
        <v>38.665481739774791</v>
      </c>
      <c r="G55" s="7">
        <v>8.2345182602252081</v>
      </c>
    </row>
    <row r="56" spans="1:7" ht="15.75" x14ac:dyDescent="0.25">
      <c r="A56" s="2">
        <v>30.4</v>
      </c>
      <c r="B56" s="2">
        <v>180</v>
      </c>
      <c r="C56" s="2">
        <v>35</v>
      </c>
      <c r="E56" s="7">
        <v>30</v>
      </c>
      <c r="F56" s="7">
        <v>37.643291138193348</v>
      </c>
      <c r="G56" s="7">
        <v>-1.3432911381933508</v>
      </c>
    </row>
    <row r="57" spans="1:7" ht="15.75" x14ac:dyDescent="0.25">
      <c r="A57" s="2">
        <v>28.9</v>
      </c>
      <c r="B57" s="2">
        <v>160</v>
      </c>
      <c r="C57" s="2">
        <v>35</v>
      </c>
      <c r="E57" s="7">
        <v>31</v>
      </c>
      <c r="F57" s="7">
        <v>38.024107244664862</v>
      </c>
      <c r="G57" s="7">
        <v>-1.9241072446648602</v>
      </c>
    </row>
    <row r="58" spans="1:7" ht="15.75" x14ac:dyDescent="0.25">
      <c r="A58" s="2">
        <v>28</v>
      </c>
      <c r="B58" s="2">
        <v>130</v>
      </c>
      <c r="C58" s="2">
        <v>35</v>
      </c>
      <c r="E58" s="7">
        <v>32</v>
      </c>
      <c r="F58" s="7">
        <v>38.024107244664862</v>
      </c>
      <c r="G58" s="7">
        <v>-1.9241072446648602</v>
      </c>
    </row>
    <row r="59" spans="1:7" ht="15.75" x14ac:dyDescent="0.25">
      <c r="A59" s="2">
        <v>28</v>
      </c>
      <c r="B59" s="2">
        <v>96</v>
      </c>
      <c r="C59" s="2">
        <v>35</v>
      </c>
      <c r="E59" s="7">
        <v>33</v>
      </c>
      <c r="F59" s="7">
        <v>37.663334091165524</v>
      </c>
      <c r="G59" s="7">
        <v>-2.2633340911655253</v>
      </c>
    </row>
    <row r="60" spans="1:7" ht="15.75" x14ac:dyDescent="0.25">
      <c r="A60" s="2">
        <v>28</v>
      </c>
      <c r="B60" s="2">
        <v>115</v>
      </c>
      <c r="C60" s="2">
        <v>35</v>
      </c>
      <c r="E60" s="7">
        <v>34</v>
      </c>
      <c r="F60" s="7">
        <v>37.663334091165524</v>
      </c>
      <c r="G60" s="7">
        <v>-2.3633340911655267</v>
      </c>
    </row>
    <row r="61" spans="1:7" ht="15.75" x14ac:dyDescent="0.25">
      <c r="A61" s="2">
        <v>28</v>
      </c>
      <c r="B61" s="2">
        <v>100</v>
      </c>
      <c r="C61" s="2">
        <v>35</v>
      </c>
      <c r="E61" s="7">
        <v>35</v>
      </c>
      <c r="F61" s="7">
        <v>38.084236103581418</v>
      </c>
      <c r="G61" s="7">
        <v>-2.9842361035814164</v>
      </c>
    </row>
    <row r="62" spans="1:7" ht="15.75" x14ac:dyDescent="0.25">
      <c r="A62" s="2">
        <v>28</v>
      </c>
      <c r="B62" s="2">
        <v>100</v>
      </c>
      <c r="C62" s="2">
        <v>35</v>
      </c>
      <c r="E62" s="7">
        <v>36</v>
      </c>
      <c r="F62" s="7">
        <v>37.903849526831749</v>
      </c>
      <c r="G62" s="7">
        <v>-2.8038495268317476</v>
      </c>
    </row>
    <row r="63" spans="1:7" ht="15.75" x14ac:dyDescent="0.25">
      <c r="A63" s="2">
        <v>27.7</v>
      </c>
      <c r="B63" s="2">
        <v>145</v>
      </c>
      <c r="C63" s="2">
        <v>35</v>
      </c>
      <c r="E63" s="7">
        <v>37</v>
      </c>
      <c r="F63" s="7">
        <v>37.903849526831749</v>
      </c>
      <c r="G63" s="7">
        <v>-2.903849526831749</v>
      </c>
    </row>
    <row r="64" spans="1:7" ht="15.75" x14ac:dyDescent="0.25">
      <c r="A64" s="2">
        <v>25.6</v>
      </c>
      <c r="B64" s="2">
        <v>120</v>
      </c>
      <c r="C64" s="2">
        <v>40</v>
      </c>
      <c r="E64" s="7">
        <v>38</v>
      </c>
      <c r="F64" s="7">
        <v>35.143721336207477</v>
      </c>
      <c r="G64" s="7">
        <v>-1.9437213362074743</v>
      </c>
    </row>
    <row r="65" spans="1:7" ht="15.75" x14ac:dyDescent="0.25">
      <c r="A65" s="2">
        <v>25.3</v>
      </c>
      <c r="B65" s="2">
        <v>140</v>
      </c>
      <c r="C65" s="2">
        <v>40</v>
      </c>
      <c r="E65" s="7">
        <v>39</v>
      </c>
      <c r="F65" s="7">
        <v>35.143721336207477</v>
      </c>
      <c r="G65" s="7">
        <v>-2.2437213362074786</v>
      </c>
    </row>
    <row r="66" spans="1:7" ht="15.75" x14ac:dyDescent="0.25">
      <c r="A66" s="2">
        <v>23.9</v>
      </c>
      <c r="B66" s="2">
        <v>140</v>
      </c>
      <c r="C66" s="2">
        <v>40</v>
      </c>
      <c r="E66" s="7">
        <v>40</v>
      </c>
      <c r="F66" s="7">
        <v>34.582518652986295</v>
      </c>
      <c r="G66" s="7">
        <v>-2.2825186529862975</v>
      </c>
    </row>
    <row r="67" spans="1:7" ht="15.75" x14ac:dyDescent="0.25">
      <c r="A67" s="2">
        <v>23.6</v>
      </c>
      <c r="B67" s="2">
        <v>150</v>
      </c>
      <c r="C67" s="2">
        <v>40</v>
      </c>
      <c r="E67" s="7">
        <v>41</v>
      </c>
      <c r="F67" s="7">
        <v>35.28402200701278</v>
      </c>
      <c r="G67" s="7">
        <v>-3.0840220070127771</v>
      </c>
    </row>
    <row r="68" spans="1:7" ht="15.75" x14ac:dyDescent="0.25">
      <c r="A68" s="2">
        <v>23.6</v>
      </c>
      <c r="B68" s="2">
        <v>165</v>
      </c>
      <c r="C68" s="2">
        <v>40</v>
      </c>
      <c r="E68" s="7">
        <v>42</v>
      </c>
      <c r="F68" s="7">
        <v>35.28402200701278</v>
      </c>
      <c r="G68" s="7">
        <v>-2.9840220070127828</v>
      </c>
    </row>
    <row r="69" spans="1:7" ht="15.75" x14ac:dyDescent="0.25">
      <c r="A69" s="2">
        <v>23.6</v>
      </c>
      <c r="B69" s="2">
        <v>165</v>
      </c>
      <c r="C69" s="2">
        <v>40</v>
      </c>
      <c r="E69" s="7">
        <v>43</v>
      </c>
      <c r="F69" s="7">
        <v>35.143721336207477</v>
      </c>
      <c r="G69" s="7">
        <v>-2.84372133620748</v>
      </c>
    </row>
    <row r="70" spans="1:7" ht="15.75" x14ac:dyDescent="0.25">
      <c r="A70" s="2">
        <v>23.6</v>
      </c>
      <c r="B70" s="2">
        <v>165</v>
      </c>
      <c r="C70" s="2">
        <v>40</v>
      </c>
      <c r="E70" s="7">
        <v>44</v>
      </c>
      <c r="F70" s="7">
        <v>35.28402200701278</v>
      </c>
      <c r="G70" s="7">
        <v>-2.9840220070127828</v>
      </c>
    </row>
    <row r="71" spans="1:7" ht="15.75" x14ac:dyDescent="0.25">
      <c r="A71" s="2">
        <v>23.6</v>
      </c>
      <c r="B71" s="2">
        <v>165</v>
      </c>
      <c r="C71" s="2">
        <v>40</v>
      </c>
      <c r="E71" s="7">
        <v>45</v>
      </c>
      <c r="F71" s="7">
        <v>35.324107912957146</v>
      </c>
      <c r="G71" s="7">
        <v>-3.824107912957146</v>
      </c>
    </row>
    <row r="72" spans="1:7" ht="15.75" x14ac:dyDescent="0.25">
      <c r="A72" s="2">
        <v>23.5</v>
      </c>
      <c r="B72" s="2">
        <v>245</v>
      </c>
      <c r="C72" s="2">
        <v>40</v>
      </c>
      <c r="E72" s="7">
        <v>46</v>
      </c>
      <c r="F72" s="7">
        <v>35.183807242151858</v>
      </c>
      <c r="G72" s="7">
        <v>-3.6838072421518575</v>
      </c>
    </row>
    <row r="73" spans="1:7" ht="15.75" x14ac:dyDescent="0.25">
      <c r="A73" s="2">
        <v>23.4</v>
      </c>
      <c r="B73" s="2">
        <v>280</v>
      </c>
      <c r="C73" s="2">
        <v>40</v>
      </c>
      <c r="E73" s="7">
        <v>47</v>
      </c>
      <c r="F73" s="7">
        <v>35.183807242151858</v>
      </c>
      <c r="G73" s="7">
        <v>-3.7838072421518589</v>
      </c>
    </row>
    <row r="74" spans="1:7" ht="15.75" x14ac:dyDescent="0.25">
      <c r="A74" s="2">
        <v>23.4</v>
      </c>
      <c r="B74" s="2">
        <v>162</v>
      </c>
      <c r="C74" s="2">
        <v>40</v>
      </c>
      <c r="E74" s="7">
        <v>48</v>
      </c>
      <c r="F74" s="7">
        <v>35.223893148096224</v>
      </c>
      <c r="G74" s="7">
        <v>-3.823893148096225</v>
      </c>
    </row>
    <row r="75" spans="1:7" ht="15.75" x14ac:dyDescent="0.25">
      <c r="A75" s="2">
        <v>23.1</v>
      </c>
      <c r="B75" s="2">
        <v>162</v>
      </c>
      <c r="C75" s="2">
        <v>40</v>
      </c>
      <c r="E75" s="7">
        <v>49</v>
      </c>
      <c r="F75" s="7">
        <v>34.582518652986295</v>
      </c>
      <c r="G75" s="7">
        <v>-3.3825186529862954</v>
      </c>
    </row>
    <row r="76" spans="1:7" ht="15.75" x14ac:dyDescent="0.25">
      <c r="A76" s="2">
        <v>22.9</v>
      </c>
      <c r="B76" s="2">
        <v>140</v>
      </c>
      <c r="C76" s="2">
        <v>45</v>
      </c>
      <c r="E76" s="7">
        <v>50</v>
      </c>
      <c r="F76" s="7">
        <v>29.843937437652976</v>
      </c>
      <c r="G76" s="7">
        <v>3.8560625623470273</v>
      </c>
    </row>
    <row r="77" spans="1:7" ht="15.75" x14ac:dyDescent="0.25">
      <c r="A77" s="2">
        <v>22.9</v>
      </c>
      <c r="B77" s="2">
        <v>140</v>
      </c>
      <c r="C77" s="2">
        <v>45</v>
      </c>
      <c r="E77" s="7">
        <v>51</v>
      </c>
      <c r="F77" s="7">
        <v>29.843937437652976</v>
      </c>
      <c r="G77" s="7">
        <v>2.7560625623470258</v>
      </c>
    </row>
    <row r="78" spans="1:7" ht="15.75" x14ac:dyDescent="0.25">
      <c r="A78" s="2">
        <v>19.5</v>
      </c>
      <c r="B78" s="2">
        <v>175</v>
      </c>
      <c r="C78" s="2">
        <v>45</v>
      </c>
      <c r="E78" s="7">
        <v>52</v>
      </c>
      <c r="F78" s="7">
        <v>29.843937437652976</v>
      </c>
      <c r="G78" s="7">
        <v>1.4560625623470251</v>
      </c>
    </row>
    <row r="79" spans="1:7" ht="15.75" x14ac:dyDescent="0.25">
      <c r="A79" s="2">
        <v>18.100000000000001</v>
      </c>
      <c r="B79" s="2">
        <v>322</v>
      </c>
      <c r="C79" s="2">
        <v>45</v>
      </c>
      <c r="E79" s="7">
        <v>53</v>
      </c>
      <c r="F79" s="7">
        <v>29.843937437652976</v>
      </c>
      <c r="G79" s="7">
        <v>1.4560625623470251</v>
      </c>
    </row>
    <row r="80" spans="1:7" ht="15.75" x14ac:dyDescent="0.25">
      <c r="A80" s="2">
        <v>17.2</v>
      </c>
      <c r="B80" s="2">
        <v>238</v>
      </c>
      <c r="C80" s="2">
        <v>45</v>
      </c>
      <c r="E80" s="7">
        <v>54</v>
      </c>
      <c r="F80" s="7">
        <v>28.54114549446092</v>
      </c>
      <c r="G80" s="7">
        <v>1.8588545055390782</v>
      </c>
    </row>
    <row r="81" spans="1:7" ht="15.75" x14ac:dyDescent="0.25">
      <c r="A81" s="2">
        <v>17</v>
      </c>
      <c r="B81" s="2">
        <v>263</v>
      </c>
      <c r="C81" s="2">
        <v>45</v>
      </c>
      <c r="E81" s="7">
        <v>55</v>
      </c>
      <c r="F81" s="7">
        <v>28.942004553904631</v>
      </c>
      <c r="G81" s="7">
        <v>-4.2004553904632758E-2</v>
      </c>
    </row>
    <row r="82" spans="1:7" ht="15.75" x14ac:dyDescent="0.25">
      <c r="A82" s="2">
        <v>16.7</v>
      </c>
      <c r="B82" s="2">
        <v>295</v>
      </c>
      <c r="C82" s="2">
        <v>45</v>
      </c>
      <c r="E82" s="7">
        <v>56</v>
      </c>
      <c r="F82" s="7">
        <v>29.543293143070194</v>
      </c>
      <c r="G82" s="7">
        <v>-1.5432931430701942</v>
      </c>
    </row>
    <row r="83" spans="1:7" ht="15.75" x14ac:dyDescent="0.25">
      <c r="A83" s="2">
        <v>13.2</v>
      </c>
      <c r="B83" s="2">
        <v>236</v>
      </c>
      <c r="C83" s="2">
        <v>55</v>
      </c>
      <c r="E83" s="7">
        <v>57</v>
      </c>
      <c r="F83" s="7">
        <v>30.224753544124489</v>
      </c>
      <c r="G83" s="7">
        <v>-2.2247535441244892</v>
      </c>
    </row>
    <row r="84" spans="1:7" x14ac:dyDescent="0.25">
      <c r="E84" s="7">
        <v>58</v>
      </c>
      <c r="F84" s="7">
        <v>29.843937437652976</v>
      </c>
      <c r="G84" s="7">
        <v>-1.8439374376529756</v>
      </c>
    </row>
    <row r="85" spans="1:7" x14ac:dyDescent="0.25">
      <c r="E85" s="7">
        <v>59</v>
      </c>
      <c r="F85" s="7">
        <v>30.144581732235757</v>
      </c>
      <c r="G85" s="7">
        <v>-2.144581732235757</v>
      </c>
    </row>
    <row r="86" spans="1:7" x14ac:dyDescent="0.25">
      <c r="E86" s="7">
        <v>60</v>
      </c>
      <c r="F86" s="7">
        <v>30.144581732235757</v>
      </c>
      <c r="G86" s="7">
        <v>-2.144581732235757</v>
      </c>
    </row>
    <row r="87" spans="1:7" x14ac:dyDescent="0.25">
      <c r="E87" s="7">
        <v>61</v>
      </c>
      <c r="F87" s="7">
        <v>29.242648848487413</v>
      </c>
      <c r="G87" s="7">
        <v>-1.5426488484874135</v>
      </c>
    </row>
    <row r="88" spans="1:7" x14ac:dyDescent="0.25">
      <c r="E88" s="7">
        <v>62</v>
      </c>
      <c r="F88" s="7">
        <v>24.704497162875938</v>
      </c>
      <c r="G88" s="7">
        <v>0.89550283712406298</v>
      </c>
    </row>
    <row r="89" spans="1:7" x14ac:dyDescent="0.25">
      <c r="E89" s="7">
        <v>63</v>
      </c>
      <c r="F89" s="7">
        <v>24.303638103432235</v>
      </c>
      <c r="G89" s="7">
        <v>0.99636189656776608</v>
      </c>
    </row>
    <row r="90" spans="1:7" x14ac:dyDescent="0.25">
      <c r="E90" s="7">
        <v>64</v>
      </c>
      <c r="F90" s="7">
        <v>24.303638103432235</v>
      </c>
      <c r="G90" s="7">
        <v>-0.40363810343223605</v>
      </c>
    </row>
    <row r="91" spans="1:7" x14ac:dyDescent="0.25">
      <c r="E91" s="7">
        <v>65</v>
      </c>
      <c r="F91" s="7">
        <v>24.10320857371039</v>
      </c>
      <c r="G91" s="7">
        <v>-0.50320857371038841</v>
      </c>
    </row>
    <row r="92" spans="1:7" x14ac:dyDescent="0.25">
      <c r="E92" s="7">
        <v>66</v>
      </c>
      <c r="F92" s="7">
        <v>23.802564279127608</v>
      </c>
      <c r="G92" s="7">
        <v>-0.20256427912760699</v>
      </c>
    </row>
    <row r="93" spans="1:7" x14ac:dyDescent="0.25">
      <c r="E93" s="7">
        <v>67</v>
      </c>
      <c r="F93" s="7">
        <v>23.802564279127608</v>
      </c>
      <c r="G93" s="7">
        <v>-0.20256427912760699</v>
      </c>
    </row>
    <row r="94" spans="1:7" x14ac:dyDescent="0.25">
      <c r="E94" s="7">
        <v>68</v>
      </c>
      <c r="F94" s="7">
        <v>23.802564279127608</v>
      </c>
      <c r="G94" s="7">
        <v>-0.20256427912760699</v>
      </c>
    </row>
    <row r="95" spans="1:7" x14ac:dyDescent="0.25">
      <c r="E95" s="7">
        <v>69</v>
      </c>
      <c r="F95" s="7">
        <v>23.802564279127608</v>
      </c>
      <c r="G95" s="7">
        <v>-0.20256427912760699</v>
      </c>
    </row>
    <row r="96" spans="1:7" x14ac:dyDescent="0.25">
      <c r="E96" s="7">
        <v>70</v>
      </c>
      <c r="F96" s="7">
        <v>22.199128041352772</v>
      </c>
      <c r="G96" s="7">
        <v>1.3008719586472282</v>
      </c>
    </row>
    <row r="97" spans="5:7" x14ac:dyDescent="0.25">
      <c r="E97" s="7">
        <v>71</v>
      </c>
      <c r="F97" s="7">
        <v>21.49762468732628</v>
      </c>
      <c r="G97" s="7">
        <v>1.9023753126737191</v>
      </c>
    </row>
    <row r="98" spans="5:7" x14ac:dyDescent="0.25">
      <c r="E98" s="7">
        <v>72</v>
      </c>
      <c r="F98" s="7">
        <v>23.862693138044165</v>
      </c>
      <c r="G98" s="7">
        <v>-0.46269313804416612</v>
      </c>
    </row>
    <row r="99" spans="5:7" x14ac:dyDescent="0.25">
      <c r="E99" s="7">
        <v>73</v>
      </c>
      <c r="F99" s="7">
        <v>23.862693138044165</v>
      </c>
      <c r="G99" s="7">
        <v>-0.76269313804416328</v>
      </c>
    </row>
    <row r="100" spans="5:7" x14ac:dyDescent="0.25">
      <c r="E100" s="7">
        <v>74</v>
      </c>
      <c r="F100" s="7">
        <v>19.264412593516141</v>
      </c>
      <c r="G100" s="7">
        <v>3.6355874064838574</v>
      </c>
    </row>
    <row r="101" spans="5:7" x14ac:dyDescent="0.25">
      <c r="E101" s="7">
        <v>75</v>
      </c>
      <c r="F101" s="7">
        <v>19.264412593516141</v>
      </c>
      <c r="G101" s="7">
        <v>3.6355874064838574</v>
      </c>
    </row>
    <row r="102" spans="5:7" x14ac:dyDescent="0.25">
      <c r="E102" s="7">
        <v>76</v>
      </c>
      <c r="F102" s="7">
        <v>18.562909239489656</v>
      </c>
      <c r="G102" s="7">
        <v>0.93709076051034401</v>
      </c>
    </row>
    <row r="103" spans="5:7" x14ac:dyDescent="0.25">
      <c r="E103" s="7">
        <v>77</v>
      </c>
      <c r="F103" s="7">
        <v>15.616595152578405</v>
      </c>
      <c r="G103" s="7">
        <v>2.4834048474215962</v>
      </c>
    </row>
    <row r="104" spans="5:7" x14ac:dyDescent="0.25">
      <c r="E104" s="7">
        <v>78</v>
      </c>
      <c r="F104" s="7">
        <v>17.300203202241974</v>
      </c>
      <c r="G104" s="7">
        <v>-0.10020320224197476</v>
      </c>
    </row>
    <row r="105" spans="5:7" x14ac:dyDescent="0.25">
      <c r="E105" s="7">
        <v>79</v>
      </c>
      <c r="F105" s="7">
        <v>16.799129377937341</v>
      </c>
      <c r="G105" s="7">
        <v>0.20087062206265927</v>
      </c>
    </row>
    <row r="106" spans="5:7" x14ac:dyDescent="0.25">
      <c r="E106" s="7">
        <v>80</v>
      </c>
      <c r="F106" s="7">
        <v>16.157754882827412</v>
      </c>
      <c r="G106" s="7">
        <v>0.5422451171725875</v>
      </c>
    </row>
    <row r="107" spans="5:7" ht="15.75" thickBot="1" x14ac:dyDescent="0.3">
      <c r="E107" s="8">
        <v>81</v>
      </c>
      <c r="F107" s="8">
        <v>7.2618380883541533</v>
      </c>
      <c r="G107" s="8">
        <v>5.9381619116458459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16E7-73E5-4C84-8AED-005045DB8BC3}">
  <dimension ref="B2:K122"/>
  <sheetViews>
    <sheetView tabSelected="1" workbookViewId="0">
      <selection activeCell="B16" sqref="B16"/>
    </sheetView>
  </sheetViews>
  <sheetFormatPr defaultRowHeight="15" x14ac:dyDescent="0.25"/>
  <cols>
    <col min="2" max="2" width="17.42578125" bestFit="1" customWidth="1"/>
    <col min="3" max="3" width="12" bestFit="1" customWidth="1"/>
    <col min="6" max="6" width="17.42578125" bestFit="1" customWidth="1"/>
    <col min="7" max="7" width="12" bestFit="1" customWidth="1"/>
    <col min="10" max="10" width="17.42578125" bestFit="1" customWidth="1"/>
    <col min="11" max="11" width="12" bestFit="1" customWidth="1"/>
  </cols>
  <sheetData>
    <row r="2" spans="2:11" x14ac:dyDescent="0.25">
      <c r="B2" t="s">
        <v>50</v>
      </c>
      <c r="F2" t="s">
        <v>51</v>
      </c>
      <c r="G2" t="s">
        <v>52</v>
      </c>
      <c r="J2" t="s">
        <v>53</v>
      </c>
      <c r="K2" t="s">
        <v>54</v>
      </c>
    </row>
    <row r="3" spans="2:11" ht="15.75" thickBot="1" x14ac:dyDescent="0.3"/>
    <row r="4" spans="2:11" x14ac:dyDescent="0.25">
      <c r="B4" s="19" t="s">
        <v>20</v>
      </c>
      <c r="C4" s="19"/>
      <c r="F4" s="19" t="s">
        <v>20</v>
      </c>
      <c r="G4" s="19"/>
      <c r="J4" s="19" t="s">
        <v>20</v>
      </c>
      <c r="K4" s="19"/>
    </row>
    <row r="5" spans="2:11" x14ac:dyDescent="0.25">
      <c r="B5" s="7" t="s">
        <v>21</v>
      </c>
      <c r="C5" s="7">
        <v>0.93970174740566537</v>
      </c>
      <c r="F5" s="7" t="s">
        <v>21</v>
      </c>
      <c r="G5" s="7">
        <v>0.91825175407589366</v>
      </c>
      <c r="J5" s="7" t="s">
        <v>21</v>
      </c>
      <c r="K5" s="7">
        <v>0.91531204250524201</v>
      </c>
    </row>
    <row r="6" spans="2:11" x14ac:dyDescent="0.25">
      <c r="B6" s="7" t="s">
        <v>22</v>
      </c>
      <c r="C6" s="7">
        <v>0.88303937407726096</v>
      </c>
      <c r="F6" s="7" t="s">
        <v>22</v>
      </c>
      <c r="G6" s="7">
        <v>0.84318628386345551</v>
      </c>
      <c r="J6" s="7" t="s">
        <v>22</v>
      </c>
      <c r="K6" s="7">
        <v>0.83779613515511786</v>
      </c>
    </row>
    <row r="7" spans="2:11" x14ac:dyDescent="0.25">
      <c r="B7" s="7" t="s">
        <v>23</v>
      </c>
      <c r="C7" s="7">
        <v>0.87848246657377771</v>
      </c>
      <c r="F7" s="7" t="s">
        <v>23</v>
      </c>
      <c r="G7" s="7">
        <v>0.83916541934713373</v>
      </c>
      <c r="J7" s="7" t="s">
        <v>23</v>
      </c>
      <c r="K7" s="7">
        <v>0.8336370616975568</v>
      </c>
    </row>
    <row r="8" spans="2:11" x14ac:dyDescent="0.25">
      <c r="B8" s="7" t="s">
        <v>24</v>
      </c>
      <c r="C8" s="7">
        <v>3.5050461828241759</v>
      </c>
      <c r="F8" s="7" t="s">
        <v>24</v>
      </c>
      <c r="G8" s="7">
        <v>4.0324035403972793</v>
      </c>
      <c r="J8" s="7" t="s">
        <v>24</v>
      </c>
      <c r="K8" s="7">
        <v>4.1011208113883688</v>
      </c>
    </row>
    <row r="9" spans="2:11" ht="15.75" thickBot="1" x14ac:dyDescent="0.3">
      <c r="B9" s="8" t="s">
        <v>25</v>
      </c>
      <c r="C9" s="8">
        <v>81</v>
      </c>
      <c r="F9" s="8" t="s">
        <v>25</v>
      </c>
      <c r="G9" s="8">
        <v>81</v>
      </c>
      <c r="J9" s="8" t="s">
        <v>25</v>
      </c>
      <c r="K9" s="8">
        <v>81</v>
      </c>
    </row>
    <row r="13" spans="2:11" x14ac:dyDescent="0.25">
      <c r="B13" t="s">
        <v>77</v>
      </c>
    </row>
    <row r="14" spans="2:11" x14ac:dyDescent="0.25">
      <c r="B14" t="s">
        <v>78</v>
      </c>
    </row>
    <row r="17" spans="2:10" x14ac:dyDescent="0.25">
      <c r="B17" s="20"/>
      <c r="C17" s="20"/>
      <c r="D17" s="20"/>
      <c r="E17" s="20"/>
      <c r="F17" s="20"/>
      <c r="G17" s="20"/>
      <c r="H17" s="20"/>
      <c r="I17" s="20"/>
      <c r="J17" s="20"/>
    </row>
    <row r="18" spans="2:10" x14ac:dyDescent="0.25">
      <c r="B18" s="20"/>
      <c r="C18" s="20"/>
      <c r="D18" s="20"/>
      <c r="E18" s="20"/>
      <c r="F18" s="20"/>
      <c r="G18" s="20"/>
      <c r="H18" s="20"/>
      <c r="I18" s="20"/>
      <c r="J18" s="20"/>
    </row>
    <row r="19" spans="2:10" x14ac:dyDescent="0.25">
      <c r="B19" s="21"/>
      <c r="C19" s="21"/>
      <c r="D19" s="20"/>
      <c r="E19" s="20"/>
      <c r="F19" s="20"/>
      <c r="G19" s="20"/>
      <c r="H19" s="20"/>
      <c r="I19" s="20"/>
      <c r="J19" s="20"/>
    </row>
    <row r="20" spans="2:10" x14ac:dyDescent="0.25">
      <c r="B20" s="7"/>
      <c r="C20" s="7"/>
      <c r="D20" s="20"/>
      <c r="E20" s="20"/>
      <c r="F20" s="20"/>
      <c r="G20" s="20"/>
      <c r="H20" s="20"/>
      <c r="I20" s="20"/>
      <c r="J20" s="20"/>
    </row>
    <row r="21" spans="2:10" x14ac:dyDescent="0.25">
      <c r="B21" s="7"/>
      <c r="C21" s="7"/>
      <c r="D21" s="20"/>
      <c r="E21" s="20"/>
      <c r="F21" s="20"/>
      <c r="G21" s="20"/>
      <c r="H21" s="20"/>
      <c r="I21" s="20"/>
      <c r="J21" s="20"/>
    </row>
    <row r="22" spans="2:10" x14ac:dyDescent="0.25">
      <c r="B22" s="7"/>
      <c r="C22" s="7"/>
      <c r="D22" s="20"/>
      <c r="E22" s="20"/>
      <c r="F22" s="20"/>
      <c r="G22" s="20"/>
      <c r="H22" s="20"/>
      <c r="I22" s="20"/>
      <c r="J22" s="20"/>
    </row>
    <row r="23" spans="2:10" x14ac:dyDescent="0.25">
      <c r="B23" s="7"/>
      <c r="C23" s="7"/>
      <c r="D23" s="20"/>
      <c r="E23" s="20"/>
      <c r="F23" s="20"/>
      <c r="G23" s="20"/>
      <c r="H23" s="20"/>
      <c r="I23" s="20"/>
      <c r="J23" s="20"/>
    </row>
    <row r="24" spans="2:10" x14ac:dyDescent="0.25">
      <c r="B24" s="7"/>
      <c r="C24" s="7"/>
      <c r="D24" s="20"/>
      <c r="E24" s="20"/>
      <c r="F24" s="20"/>
      <c r="G24" s="20"/>
      <c r="H24" s="20"/>
      <c r="I24" s="20"/>
      <c r="J24" s="20"/>
    </row>
    <row r="25" spans="2:10" x14ac:dyDescent="0.25">
      <c r="B25" s="20"/>
      <c r="C25" s="20"/>
      <c r="D25" s="20"/>
      <c r="E25" s="20"/>
      <c r="F25" s="20"/>
      <c r="G25" s="20"/>
      <c r="H25" s="20"/>
      <c r="I25" s="20"/>
      <c r="J25" s="20"/>
    </row>
    <row r="26" spans="2:10" x14ac:dyDescent="0.25">
      <c r="B26" s="20"/>
      <c r="C26" s="20"/>
      <c r="D26" s="20"/>
      <c r="E26" s="20"/>
      <c r="F26" s="20"/>
      <c r="G26" s="20"/>
      <c r="H26" s="20"/>
      <c r="I26" s="20"/>
      <c r="J26" s="20"/>
    </row>
    <row r="27" spans="2:10" x14ac:dyDescent="0.25">
      <c r="B27" s="12"/>
      <c r="C27" s="12"/>
      <c r="D27" s="12"/>
      <c r="E27" s="12"/>
      <c r="F27" s="12"/>
      <c r="G27" s="12"/>
      <c r="H27" s="20"/>
      <c r="I27" s="20"/>
      <c r="J27" s="20"/>
    </row>
    <row r="28" spans="2:10" x14ac:dyDescent="0.25">
      <c r="B28" s="7"/>
      <c r="C28" s="7"/>
      <c r="D28" s="7"/>
      <c r="E28" s="7"/>
      <c r="F28" s="7"/>
      <c r="G28" s="7"/>
      <c r="H28" s="20"/>
      <c r="I28" s="20"/>
      <c r="J28" s="20"/>
    </row>
    <row r="29" spans="2:10" x14ac:dyDescent="0.25">
      <c r="B29" s="7"/>
      <c r="C29" s="7"/>
      <c r="D29" s="7"/>
      <c r="E29" s="7"/>
      <c r="F29" s="7"/>
      <c r="G29" s="7"/>
      <c r="H29" s="20"/>
      <c r="I29" s="20"/>
      <c r="J29" s="20"/>
    </row>
    <row r="30" spans="2:10" x14ac:dyDescent="0.25">
      <c r="B30" s="7"/>
      <c r="C30" s="7"/>
      <c r="D30" s="7"/>
      <c r="E30" s="7"/>
      <c r="F30" s="7"/>
      <c r="G30" s="7"/>
      <c r="H30" s="20"/>
      <c r="I30" s="20"/>
      <c r="J30" s="20"/>
    </row>
    <row r="31" spans="2:10" x14ac:dyDescent="0.25">
      <c r="B31" s="20"/>
      <c r="C31" s="20"/>
      <c r="D31" s="20"/>
      <c r="E31" s="20"/>
      <c r="F31" s="20"/>
      <c r="G31" s="20"/>
      <c r="H31" s="20"/>
      <c r="I31" s="20"/>
      <c r="J31" s="20"/>
    </row>
    <row r="32" spans="2:10" x14ac:dyDescent="0.25">
      <c r="B32" s="12"/>
      <c r="C32" s="12"/>
      <c r="D32" s="12"/>
      <c r="E32" s="12"/>
      <c r="F32" s="12"/>
      <c r="G32" s="12"/>
      <c r="H32" s="12"/>
      <c r="I32" s="12"/>
      <c r="J32" s="12"/>
    </row>
    <row r="33" spans="2:10" x14ac:dyDescent="0.25">
      <c r="B33" s="7"/>
      <c r="C33" s="7"/>
      <c r="D33" s="7"/>
      <c r="E33" s="7"/>
      <c r="F33" s="7"/>
      <c r="G33" s="7"/>
      <c r="H33" s="7"/>
      <c r="I33" s="7"/>
      <c r="J33" s="7"/>
    </row>
    <row r="34" spans="2:10" x14ac:dyDescent="0.25">
      <c r="B34" s="7"/>
      <c r="C34" s="7"/>
      <c r="D34" s="7"/>
      <c r="E34" s="7"/>
      <c r="F34" s="7"/>
      <c r="G34" s="7"/>
      <c r="H34" s="7"/>
      <c r="I34" s="7"/>
      <c r="J34" s="7"/>
    </row>
    <row r="35" spans="2:10" x14ac:dyDescent="0.25">
      <c r="B35" s="7"/>
      <c r="C35" s="7"/>
      <c r="D35" s="7"/>
      <c r="E35" s="7"/>
      <c r="F35" s="7"/>
      <c r="G35" s="7"/>
      <c r="H35" s="7"/>
      <c r="I35" s="7"/>
      <c r="J35" s="7"/>
    </row>
    <row r="36" spans="2:10" x14ac:dyDescent="0.25">
      <c r="B36" s="20"/>
      <c r="C36" s="20"/>
      <c r="D36" s="20"/>
      <c r="E36" s="20"/>
      <c r="F36" s="20"/>
      <c r="G36" s="20"/>
      <c r="H36" s="20"/>
      <c r="I36" s="20"/>
      <c r="J36" s="20"/>
    </row>
    <row r="37" spans="2:10" x14ac:dyDescent="0.25">
      <c r="B37" s="20"/>
      <c r="C37" s="20"/>
      <c r="D37" s="20"/>
      <c r="E37" s="20"/>
      <c r="F37" s="20"/>
      <c r="G37" s="20"/>
      <c r="H37" s="20"/>
      <c r="I37" s="20"/>
      <c r="J37" s="20"/>
    </row>
    <row r="38" spans="2:10" x14ac:dyDescent="0.25">
      <c r="B38" s="20"/>
      <c r="C38" s="20"/>
      <c r="D38" s="20"/>
      <c r="E38" s="20"/>
      <c r="F38" s="20"/>
      <c r="G38" s="20"/>
      <c r="H38" s="20"/>
      <c r="I38" s="20"/>
      <c r="J38" s="20"/>
    </row>
    <row r="39" spans="2:10" x14ac:dyDescent="0.25">
      <c r="B39" s="20"/>
      <c r="C39" s="20"/>
      <c r="D39" s="20"/>
      <c r="E39" s="20"/>
      <c r="F39" s="20"/>
      <c r="G39" s="20"/>
      <c r="H39" s="20"/>
      <c r="I39" s="20"/>
      <c r="J39" s="20"/>
    </row>
    <row r="40" spans="2:10" x14ac:dyDescent="0.25">
      <c r="B40" s="20"/>
      <c r="C40" s="20"/>
      <c r="D40" s="20"/>
      <c r="E40" s="20"/>
      <c r="F40" s="20"/>
      <c r="G40" s="20"/>
      <c r="H40" s="20"/>
      <c r="I40" s="20"/>
      <c r="J40" s="20"/>
    </row>
    <row r="41" spans="2:10" x14ac:dyDescent="0.25">
      <c r="B41" s="12"/>
      <c r="C41" s="12"/>
      <c r="D41" s="12"/>
      <c r="E41" s="20"/>
      <c r="F41" s="20"/>
      <c r="G41" s="20"/>
      <c r="H41" s="20"/>
      <c r="I41" s="20"/>
      <c r="J41" s="20"/>
    </row>
    <row r="42" spans="2:10" x14ac:dyDescent="0.25">
      <c r="B42" s="7"/>
      <c r="C42" s="7"/>
      <c r="D42" s="7"/>
      <c r="E42" s="20"/>
      <c r="F42" s="20"/>
      <c r="G42" s="20"/>
      <c r="H42" s="20"/>
      <c r="I42" s="20"/>
      <c r="J42" s="20"/>
    </row>
    <row r="43" spans="2:10" x14ac:dyDescent="0.25">
      <c r="B43" s="7"/>
      <c r="C43" s="7"/>
      <c r="D43" s="7"/>
      <c r="E43" s="20"/>
      <c r="F43" s="20"/>
      <c r="G43" s="20"/>
      <c r="H43" s="20"/>
      <c r="I43" s="20"/>
      <c r="J43" s="20"/>
    </row>
    <row r="44" spans="2:10" x14ac:dyDescent="0.25">
      <c r="B44" s="7"/>
      <c r="C44" s="7"/>
      <c r="D44" s="7"/>
      <c r="E44" s="20"/>
      <c r="F44" s="20"/>
      <c r="G44" s="20"/>
      <c r="H44" s="20"/>
      <c r="I44" s="20"/>
      <c r="J44" s="20"/>
    </row>
    <row r="45" spans="2:10" x14ac:dyDescent="0.25">
      <c r="B45" s="7"/>
      <c r="C45" s="7"/>
      <c r="D45" s="7"/>
      <c r="E45" s="20"/>
      <c r="F45" s="20"/>
      <c r="G45" s="20"/>
      <c r="H45" s="20"/>
      <c r="I45" s="20"/>
      <c r="J45" s="20"/>
    </row>
    <row r="46" spans="2:10" x14ac:dyDescent="0.25">
      <c r="B46" s="7"/>
      <c r="C46" s="7"/>
      <c r="D46" s="7"/>
      <c r="E46" s="20"/>
      <c r="F46" s="20"/>
      <c r="G46" s="20"/>
      <c r="H46" s="20"/>
      <c r="I46" s="20"/>
      <c r="J46" s="20"/>
    </row>
    <row r="47" spans="2:10" x14ac:dyDescent="0.25">
      <c r="B47" s="7"/>
      <c r="C47" s="7"/>
      <c r="D47" s="7"/>
      <c r="E47" s="20"/>
      <c r="F47" s="20"/>
      <c r="G47" s="20"/>
      <c r="H47" s="20"/>
      <c r="I47" s="20"/>
      <c r="J47" s="20"/>
    </row>
    <row r="48" spans="2:10" x14ac:dyDescent="0.25">
      <c r="B48" s="7"/>
      <c r="C48" s="7"/>
      <c r="D48" s="7"/>
      <c r="E48" s="20"/>
      <c r="F48" s="20"/>
      <c r="G48" s="20"/>
      <c r="H48" s="20"/>
      <c r="I48" s="20"/>
      <c r="J48" s="20"/>
    </row>
    <row r="49" spans="2:10" x14ac:dyDescent="0.25">
      <c r="B49" s="7"/>
      <c r="C49" s="7"/>
      <c r="D49" s="7"/>
      <c r="E49" s="20"/>
      <c r="F49" s="20"/>
      <c r="G49" s="20"/>
      <c r="H49" s="20"/>
      <c r="I49" s="20"/>
      <c r="J49" s="20"/>
    </row>
    <row r="50" spans="2:10" x14ac:dyDescent="0.25">
      <c r="B50" s="7"/>
      <c r="C50" s="7"/>
      <c r="D50" s="7"/>
      <c r="E50" s="20"/>
      <c r="F50" s="20"/>
      <c r="G50" s="20"/>
      <c r="H50" s="20"/>
      <c r="I50" s="20"/>
      <c r="J50" s="20"/>
    </row>
    <row r="51" spans="2:10" x14ac:dyDescent="0.25">
      <c r="B51" s="7"/>
      <c r="C51" s="7"/>
      <c r="D51" s="7"/>
      <c r="E51" s="20"/>
      <c r="F51" s="20"/>
      <c r="G51" s="20"/>
      <c r="H51" s="20"/>
      <c r="I51" s="20"/>
      <c r="J51" s="20"/>
    </row>
    <row r="52" spans="2:10" x14ac:dyDescent="0.25">
      <c r="B52" s="7"/>
      <c r="C52" s="7"/>
      <c r="D52" s="7"/>
      <c r="E52" s="20"/>
      <c r="F52" s="20"/>
      <c r="G52" s="20"/>
      <c r="H52" s="20"/>
      <c r="I52" s="20"/>
      <c r="J52" s="20"/>
    </row>
    <row r="53" spans="2:10" x14ac:dyDescent="0.25">
      <c r="B53" s="7"/>
      <c r="C53" s="7"/>
      <c r="D53" s="7"/>
      <c r="E53" s="20"/>
      <c r="F53" s="20"/>
      <c r="G53" s="20"/>
      <c r="H53" s="20"/>
      <c r="I53" s="20"/>
      <c r="J53" s="20"/>
    </row>
    <row r="54" spans="2:10" x14ac:dyDescent="0.25">
      <c r="B54" s="7"/>
      <c r="C54" s="7"/>
      <c r="D54" s="7"/>
      <c r="E54" s="20"/>
      <c r="F54" s="20"/>
      <c r="G54" s="20"/>
      <c r="H54" s="20"/>
      <c r="I54" s="20"/>
      <c r="J54" s="20"/>
    </row>
    <row r="55" spans="2:10" x14ac:dyDescent="0.25">
      <c r="B55" s="7"/>
      <c r="C55" s="7"/>
      <c r="D55" s="7"/>
      <c r="E55" s="20"/>
      <c r="F55" s="20"/>
      <c r="G55" s="20"/>
      <c r="H55" s="20"/>
      <c r="I55" s="20"/>
      <c r="J55" s="20"/>
    </row>
    <row r="56" spans="2:10" x14ac:dyDescent="0.25">
      <c r="B56" s="7"/>
      <c r="C56" s="7"/>
      <c r="D56" s="7"/>
      <c r="E56" s="20"/>
      <c r="F56" s="20"/>
      <c r="G56" s="20"/>
      <c r="H56" s="20"/>
      <c r="I56" s="20"/>
      <c r="J56" s="20"/>
    </row>
    <row r="57" spans="2:10" x14ac:dyDescent="0.25">
      <c r="B57" s="7"/>
      <c r="C57" s="7"/>
      <c r="D57" s="7"/>
      <c r="E57" s="20"/>
      <c r="F57" s="20"/>
      <c r="G57" s="20"/>
      <c r="H57" s="20"/>
      <c r="I57" s="20"/>
      <c r="J57" s="20"/>
    </row>
    <row r="58" spans="2:10" x14ac:dyDescent="0.25">
      <c r="B58" s="7"/>
      <c r="C58" s="7"/>
      <c r="D58" s="7"/>
      <c r="E58" s="20"/>
      <c r="F58" s="20"/>
      <c r="G58" s="20"/>
      <c r="H58" s="20"/>
      <c r="I58" s="20"/>
      <c r="J58" s="20"/>
    </row>
    <row r="59" spans="2:10" x14ac:dyDescent="0.25">
      <c r="B59" s="7"/>
      <c r="C59" s="7"/>
      <c r="D59" s="7"/>
      <c r="E59" s="20"/>
      <c r="F59" s="20"/>
      <c r="G59" s="20"/>
      <c r="H59" s="20"/>
      <c r="I59" s="20"/>
      <c r="J59" s="20"/>
    </row>
    <row r="60" spans="2:10" x14ac:dyDescent="0.25">
      <c r="B60" s="7"/>
      <c r="C60" s="7"/>
      <c r="D60" s="7"/>
      <c r="E60" s="20"/>
      <c r="F60" s="20"/>
      <c r="G60" s="20"/>
      <c r="H60" s="20"/>
      <c r="I60" s="20"/>
      <c r="J60" s="20"/>
    </row>
    <row r="61" spans="2:10" x14ac:dyDescent="0.25">
      <c r="B61" s="7"/>
      <c r="C61" s="7"/>
      <c r="D61" s="7"/>
      <c r="E61" s="20"/>
      <c r="F61" s="20"/>
      <c r="G61" s="20"/>
      <c r="H61" s="20"/>
      <c r="I61" s="20"/>
      <c r="J61" s="20"/>
    </row>
    <row r="62" spans="2:10" x14ac:dyDescent="0.25">
      <c r="B62" s="7"/>
      <c r="C62" s="7"/>
      <c r="D62" s="7"/>
      <c r="E62" s="20"/>
      <c r="F62" s="20"/>
      <c r="G62" s="20"/>
      <c r="H62" s="20"/>
      <c r="I62" s="20"/>
      <c r="J62" s="20"/>
    </row>
    <row r="63" spans="2:10" x14ac:dyDescent="0.25">
      <c r="B63" s="7"/>
      <c r="C63" s="7"/>
      <c r="D63" s="7"/>
      <c r="E63" s="20"/>
      <c r="F63" s="20"/>
      <c r="G63" s="20"/>
      <c r="H63" s="20"/>
      <c r="I63" s="20"/>
      <c r="J63" s="20"/>
    </row>
    <row r="64" spans="2:10" x14ac:dyDescent="0.25">
      <c r="B64" s="7"/>
      <c r="C64" s="7"/>
      <c r="D64" s="7"/>
      <c r="E64" s="20"/>
      <c r="F64" s="20"/>
      <c r="G64" s="20"/>
      <c r="H64" s="20"/>
      <c r="I64" s="20"/>
      <c r="J64" s="20"/>
    </row>
    <row r="65" spans="2:10" x14ac:dyDescent="0.25">
      <c r="B65" s="7"/>
      <c r="C65" s="7"/>
      <c r="D65" s="7"/>
      <c r="E65" s="20"/>
      <c r="F65" s="20"/>
      <c r="G65" s="20"/>
      <c r="H65" s="20"/>
      <c r="I65" s="20"/>
      <c r="J65" s="20"/>
    </row>
    <row r="66" spans="2:10" x14ac:dyDescent="0.25">
      <c r="B66" s="7"/>
      <c r="C66" s="7"/>
      <c r="D66" s="7"/>
      <c r="E66" s="20"/>
      <c r="F66" s="20"/>
      <c r="G66" s="20"/>
      <c r="H66" s="20"/>
      <c r="I66" s="20"/>
      <c r="J66" s="20"/>
    </row>
    <row r="67" spans="2:10" x14ac:dyDescent="0.25">
      <c r="B67" s="7"/>
      <c r="C67" s="7"/>
      <c r="D67" s="7"/>
      <c r="E67" s="20"/>
      <c r="F67" s="20"/>
      <c r="G67" s="20"/>
      <c r="H67" s="20"/>
      <c r="I67" s="20"/>
      <c r="J67" s="20"/>
    </row>
    <row r="68" spans="2:10" x14ac:dyDescent="0.25">
      <c r="B68" s="7"/>
      <c r="C68" s="7"/>
      <c r="D68" s="7"/>
      <c r="E68" s="20"/>
      <c r="F68" s="20"/>
      <c r="G68" s="20"/>
      <c r="H68" s="20"/>
      <c r="I68" s="20"/>
      <c r="J68" s="20"/>
    </row>
    <row r="69" spans="2:10" x14ac:dyDescent="0.25">
      <c r="B69" s="7"/>
      <c r="C69" s="7"/>
      <c r="D69" s="7"/>
      <c r="E69" s="20"/>
      <c r="F69" s="20"/>
      <c r="G69" s="20"/>
      <c r="H69" s="20"/>
      <c r="I69" s="20"/>
      <c r="J69" s="20"/>
    </row>
    <row r="70" spans="2:10" x14ac:dyDescent="0.25">
      <c r="B70" s="7"/>
      <c r="C70" s="7"/>
      <c r="D70" s="7"/>
      <c r="E70" s="20"/>
      <c r="F70" s="20"/>
      <c r="G70" s="20"/>
      <c r="H70" s="20"/>
      <c r="I70" s="20"/>
      <c r="J70" s="20"/>
    </row>
    <row r="71" spans="2:10" x14ac:dyDescent="0.25">
      <c r="B71" s="7"/>
      <c r="C71" s="7"/>
      <c r="D71" s="7"/>
      <c r="E71" s="20"/>
      <c r="F71" s="20"/>
      <c r="G71" s="20"/>
      <c r="H71" s="20"/>
      <c r="I71" s="20"/>
      <c r="J71" s="20"/>
    </row>
    <row r="72" spans="2:10" x14ac:dyDescent="0.25">
      <c r="B72" s="7"/>
      <c r="C72" s="7"/>
      <c r="D72" s="7"/>
      <c r="E72" s="20"/>
      <c r="F72" s="20"/>
      <c r="G72" s="20"/>
      <c r="H72" s="20"/>
      <c r="I72" s="20"/>
      <c r="J72" s="20"/>
    </row>
    <row r="73" spans="2:10" x14ac:dyDescent="0.25">
      <c r="B73" s="7"/>
      <c r="C73" s="7"/>
      <c r="D73" s="7"/>
      <c r="E73" s="20"/>
      <c r="F73" s="20"/>
      <c r="G73" s="20"/>
      <c r="H73" s="20"/>
      <c r="I73" s="20"/>
      <c r="J73" s="20"/>
    </row>
    <row r="74" spans="2:10" x14ac:dyDescent="0.25">
      <c r="B74" s="7"/>
      <c r="C74" s="7"/>
      <c r="D74" s="7"/>
      <c r="E74" s="20"/>
      <c r="F74" s="20"/>
      <c r="G74" s="20"/>
      <c r="H74" s="20"/>
      <c r="I74" s="20"/>
      <c r="J74" s="20"/>
    </row>
    <row r="75" spans="2:10" x14ac:dyDescent="0.25">
      <c r="B75" s="7"/>
      <c r="C75" s="7"/>
      <c r="D75" s="7"/>
      <c r="E75" s="20"/>
      <c r="F75" s="20"/>
      <c r="G75" s="20"/>
      <c r="H75" s="20"/>
      <c r="I75" s="20"/>
      <c r="J75" s="20"/>
    </row>
    <row r="76" spans="2:10" x14ac:dyDescent="0.25">
      <c r="B76" s="7"/>
      <c r="C76" s="7"/>
      <c r="D76" s="7"/>
      <c r="E76" s="20"/>
      <c r="F76" s="20"/>
      <c r="G76" s="20"/>
      <c r="H76" s="20"/>
      <c r="I76" s="20"/>
      <c r="J76" s="20"/>
    </row>
    <row r="77" spans="2:10" x14ac:dyDescent="0.25">
      <c r="B77" s="7"/>
      <c r="C77" s="7"/>
      <c r="D77" s="7"/>
      <c r="E77" s="20"/>
      <c r="F77" s="20"/>
      <c r="G77" s="20"/>
      <c r="H77" s="20"/>
      <c r="I77" s="20"/>
      <c r="J77" s="20"/>
    </row>
    <row r="78" spans="2:10" x14ac:dyDescent="0.25">
      <c r="B78" s="7"/>
      <c r="C78" s="7"/>
      <c r="D78" s="7"/>
      <c r="E78" s="20"/>
      <c r="F78" s="20"/>
      <c r="G78" s="20"/>
      <c r="H78" s="20"/>
      <c r="I78" s="20"/>
      <c r="J78" s="20"/>
    </row>
    <row r="79" spans="2:10" x14ac:dyDescent="0.25">
      <c r="B79" s="7"/>
      <c r="C79" s="7"/>
      <c r="D79" s="7"/>
      <c r="E79" s="20"/>
      <c r="F79" s="20"/>
      <c r="G79" s="20"/>
      <c r="H79" s="20"/>
      <c r="I79" s="20"/>
      <c r="J79" s="20"/>
    </row>
    <row r="80" spans="2:10" x14ac:dyDescent="0.25">
      <c r="B80" s="7"/>
      <c r="C80" s="7"/>
      <c r="D80" s="7"/>
      <c r="E80" s="20"/>
      <c r="F80" s="20"/>
      <c r="G80" s="20"/>
      <c r="H80" s="20"/>
      <c r="I80" s="20"/>
      <c r="J80" s="20"/>
    </row>
    <row r="81" spans="2:10" x14ac:dyDescent="0.25">
      <c r="B81" s="7"/>
      <c r="C81" s="7"/>
      <c r="D81" s="7"/>
      <c r="E81" s="20"/>
      <c r="F81" s="20"/>
      <c r="G81" s="20"/>
      <c r="H81" s="20"/>
      <c r="I81" s="20"/>
      <c r="J81" s="20"/>
    </row>
    <row r="82" spans="2:10" x14ac:dyDescent="0.25">
      <c r="B82" s="7"/>
      <c r="C82" s="7"/>
      <c r="D82" s="7"/>
      <c r="E82" s="20"/>
      <c r="F82" s="20"/>
      <c r="G82" s="20"/>
      <c r="H82" s="20"/>
      <c r="I82" s="20"/>
      <c r="J82" s="20"/>
    </row>
    <row r="83" spans="2:10" x14ac:dyDescent="0.25">
      <c r="B83" s="7"/>
      <c r="C83" s="7"/>
      <c r="D83" s="7"/>
      <c r="E83" s="20"/>
      <c r="F83" s="20"/>
      <c r="G83" s="20"/>
      <c r="H83" s="20"/>
      <c r="I83" s="20"/>
      <c r="J83" s="20"/>
    </row>
    <row r="84" spans="2:10" x14ac:dyDescent="0.25">
      <c r="B84" s="7"/>
      <c r="C84" s="7"/>
      <c r="D84" s="7"/>
      <c r="E84" s="20"/>
      <c r="F84" s="20"/>
      <c r="G84" s="20"/>
      <c r="H84" s="20"/>
      <c r="I84" s="20"/>
      <c r="J84" s="20"/>
    </row>
    <row r="85" spans="2:10" x14ac:dyDescent="0.25">
      <c r="B85" s="7"/>
      <c r="C85" s="7"/>
      <c r="D85" s="7"/>
      <c r="E85" s="20"/>
      <c r="F85" s="20"/>
      <c r="G85" s="20"/>
      <c r="H85" s="20"/>
      <c r="I85" s="20"/>
      <c r="J85" s="20"/>
    </row>
    <row r="86" spans="2:10" x14ac:dyDescent="0.25">
      <c r="B86" s="7"/>
      <c r="C86" s="7"/>
      <c r="D86" s="7"/>
      <c r="E86" s="20"/>
      <c r="F86" s="20"/>
      <c r="G86" s="20"/>
      <c r="H86" s="20"/>
      <c r="I86" s="20"/>
      <c r="J86" s="20"/>
    </row>
    <row r="87" spans="2:10" x14ac:dyDescent="0.25">
      <c r="B87" s="7"/>
      <c r="C87" s="7"/>
      <c r="D87" s="7"/>
      <c r="E87" s="20"/>
      <c r="F87" s="20"/>
      <c r="G87" s="20"/>
      <c r="H87" s="20"/>
      <c r="I87" s="20"/>
      <c r="J87" s="20"/>
    </row>
    <row r="88" spans="2:10" x14ac:dyDescent="0.25">
      <c r="B88" s="7"/>
      <c r="C88" s="7"/>
      <c r="D88" s="7"/>
      <c r="E88" s="20"/>
      <c r="F88" s="20"/>
      <c r="G88" s="20"/>
      <c r="H88" s="20"/>
      <c r="I88" s="20"/>
      <c r="J88" s="20"/>
    </row>
    <row r="89" spans="2:10" x14ac:dyDescent="0.25">
      <c r="B89" s="7"/>
      <c r="C89" s="7"/>
      <c r="D89" s="7"/>
      <c r="E89" s="20"/>
      <c r="F89" s="20"/>
      <c r="G89" s="20"/>
      <c r="H89" s="20"/>
      <c r="I89" s="20"/>
      <c r="J89" s="20"/>
    </row>
    <row r="90" spans="2:10" x14ac:dyDescent="0.25">
      <c r="B90" s="7"/>
      <c r="C90" s="7"/>
      <c r="D90" s="7"/>
      <c r="E90" s="20"/>
      <c r="F90" s="20"/>
      <c r="G90" s="20"/>
      <c r="H90" s="20"/>
      <c r="I90" s="20"/>
      <c r="J90" s="20"/>
    </row>
    <row r="91" spans="2:10" x14ac:dyDescent="0.25">
      <c r="B91" s="7"/>
      <c r="C91" s="7"/>
      <c r="D91" s="7"/>
      <c r="E91" s="20"/>
      <c r="F91" s="20"/>
      <c r="G91" s="20"/>
      <c r="H91" s="20"/>
      <c r="I91" s="20"/>
      <c r="J91" s="20"/>
    </row>
    <row r="92" spans="2:10" x14ac:dyDescent="0.25">
      <c r="B92" s="7"/>
      <c r="C92" s="7"/>
      <c r="D92" s="7"/>
      <c r="E92" s="20"/>
      <c r="F92" s="20"/>
      <c r="G92" s="20"/>
      <c r="H92" s="20"/>
      <c r="I92" s="20"/>
      <c r="J92" s="20"/>
    </row>
    <row r="93" spans="2:10" x14ac:dyDescent="0.25">
      <c r="B93" s="7"/>
      <c r="C93" s="7"/>
      <c r="D93" s="7"/>
      <c r="E93" s="20"/>
      <c r="F93" s="20"/>
      <c r="G93" s="20"/>
      <c r="H93" s="20"/>
      <c r="I93" s="20"/>
      <c r="J93" s="20"/>
    </row>
    <row r="94" spans="2:10" x14ac:dyDescent="0.25">
      <c r="B94" s="7"/>
      <c r="C94" s="7"/>
      <c r="D94" s="7"/>
      <c r="E94" s="20"/>
      <c r="F94" s="20"/>
      <c r="G94" s="20"/>
      <c r="H94" s="20"/>
      <c r="I94" s="20"/>
      <c r="J94" s="20"/>
    </row>
    <row r="95" spans="2:10" x14ac:dyDescent="0.25">
      <c r="B95" s="7"/>
      <c r="C95" s="7"/>
      <c r="D95" s="7"/>
      <c r="E95" s="20"/>
      <c r="F95" s="20"/>
      <c r="G95" s="20"/>
      <c r="H95" s="20"/>
      <c r="I95" s="20"/>
      <c r="J95" s="20"/>
    </row>
    <row r="96" spans="2:10" x14ac:dyDescent="0.25">
      <c r="B96" s="7"/>
      <c r="C96" s="7"/>
      <c r="D96" s="7"/>
      <c r="E96" s="20"/>
      <c r="F96" s="20"/>
      <c r="G96" s="20"/>
      <c r="H96" s="20"/>
      <c r="I96" s="20"/>
      <c r="J96" s="20"/>
    </row>
    <row r="97" spans="2:10" x14ac:dyDescent="0.25">
      <c r="B97" s="7"/>
      <c r="C97" s="7"/>
      <c r="D97" s="7"/>
      <c r="E97" s="20"/>
      <c r="F97" s="20"/>
      <c r="G97" s="20"/>
      <c r="H97" s="20"/>
      <c r="I97" s="20"/>
      <c r="J97" s="20"/>
    </row>
    <row r="98" spans="2:10" x14ac:dyDescent="0.25">
      <c r="B98" s="7"/>
      <c r="C98" s="7"/>
      <c r="D98" s="7"/>
      <c r="E98" s="20"/>
      <c r="F98" s="20"/>
      <c r="G98" s="20"/>
      <c r="H98" s="20"/>
      <c r="I98" s="20"/>
      <c r="J98" s="20"/>
    </row>
    <row r="99" spans="2:10" x14ac:dyDescent="0.25">
      <c r="B99" s="7"/>
      <c r="C99" s="7"/>
      <c r="D99" s="7"/>
      <c r="E99" s="20"/>
      <c r="F99" s="20"/>
      <c r="G99" s="20"/>
      <c r="H99" s="20"/>
      <c r="I99" s="20"/>
      <c r="J99" s="20"/>
    </row>
    <row r="100" spans="2:10" x14ac:dyDescent="0.25">
      <c r="B100" s="7"/>
      <c r="C100" s="7"/>
      <c r="D100" s="7"/>
      <c r="E100" s="20"/>
      <c r="F100" s="20"/>
      <c r="G100" s="20"/>
      <c r="H100" s="20"/>
      <c r="I100" s="20"/>
      <c r="J100" s="20"/>
    </row>
    <row r="101" spans="2:10" x14ac:dyDescent="0.25">
      <c r="B101" s="7"/>
      <c r="C101" s="7"/>
      <c r="D101" s="7"/>
      <c r="E101" s="20"/>
      <c r="F101" s="20"/>
      <c r="G101" s="20"/>
      <c r="H101" s="20"/>
      <c r="I101" s="20"/>
      <c r="J101" s="20"/>
    </row>
    <row r="102" spans="2:10" x14ac:dyDescent="0.25">
      <c r="B102" s="7"/>
      <c r="C102" s="7"/>
      <c r="D102" s="7"/>
      <c r="E102" s="20"/>
      <c r="F102" s="20"/>
      <c r="G102" s="20"/>
      <c r="H102" s="20"/>
      <c r="I102" s="20"/>
      <c r="J102" s="20"/>
    </row>
    <row r="103" spans="2:10" x14ac:dyDescent="0.25">
      <c r="B103" s="7"/>
      <c r="C103" s="7"/>
      <c r="D103" s="7"/>
      <c r="E103" s="20"/>
      <c r="F103" s="20"/>
      <c r="G103" s="20"/>
      <c r="H103" s="20"/>
      <c r="I103" s="20"/>
      <c r="J103" s="20"/>
    </row>
    <row r="104" spans="2:10" x14ac:dyDescent="0.25">
      <c r="B104" s="7"/>
      <c r="C104" s="7"/>
      <c r="D104" s="7"/>
      <c r="E104" s="20"/>
      <c r="F104" s="20"/>
      <c r="G104" s="20"/>
      <c r="H104" s="20"/>
      <c r="I104" s="20"/>
      <c r="J104" s="20"/>
    </row>
    <row r="105" spans="2:10" x14ac:dyDescent="0.25">
      <c r="B105" s="7"/>
      <c r="C105" s="7"/>
      <c r="D105" s="7"/>
      <c r="E105" s="20"/>
      <c r="F105" s="20"/>
      <c r="G105" s="20"/>
      <c r="H105" s="20"/>
      <c r="I105" s="20"/>
      <c r="J105" s="20"/>
    </row>
    <row r="106" spans="2:10" x14ac:dyDescent="0.25">
      <c r="B106" s="7"/>
      <c r="C106" s="7"/>
      <c r="D106" s="7"/>
      <c r="E106" s="20"/>
      <c r="F106" s="20"/>
      <c r="G106" s="20"/>
      <c r="H106" s="20"/>
      <c r="I106" s="20"/>
      <c r="J106" s="20"/>
    </row>
    <row r="107" spans="2:10" x14ac:dyDescent="0.25">
      <c r="B107" s="7"/>
      <c r="C107" s="7"/>
      <c r="D107" s="7"/>
      <c r="E107" s="20"/>
      <c r="F107" s="20"/>
      <c r="G107" s="20"/>
      <c r="H107" s="20"/>
      <c r="I107" s="20"/>
      <c r="J107" s="20"/>
    </row>
    <row r="108" spans="2:10" x14ac:dyDescent="0.25">
      <c r="B108" s="7"/>
      <c r="C108" s="7"/>
      <c r="D108" s="7"/>
      <c r="E108" s="20"/>
      <c r="F108" s="20"/>
      <c r="G108" s="20"/>
      <c r="H108" s="20"/>
      <c r="I108" s="20"/>
      <c r="J108" s="20"/>
    </row>
    <row r="109" spans="2:10" x14ac:dyDescent="0.25">
      <c r="B109" s="7"/>
      <c r="C109" s="7"/>
      <c r="D109" s="7"/>
      <c r="E109" s="20"/>
      <c r="F109" s="20"/>
      <c r="G109" s="20"/>
      <c r="H109" s="20"/>
      <c r="I109" s="20"/>
      <c r="J109" s="20"/>
    </row>
    <row r="110" spans="2:10" x14ac:dyDescent="0.25">
      <c r="B110" s="7"/>
      <c r="C110" s="7"/>
      <c r="D110" s="7"/>
      <c r="E110" s="20"/>
      <c r="F110" s="20"/>
      <c r="G110" s="20"/>
      <c r="H110" s="20"/>
      <c r="I110" s="20"/>
      <c r="J110" s="20"/>
    </row>
    <row r="111" spans="2:10" x14ac:dyDescent="0.25">
      <c r="B111" s="7"/>
      <c r="C111" s="7"/>
      <c r="D111" s="7"/>
      <c r="E111" s="20"/>
      <c r="F111" s="20"/>
      <c r="G111" s="20"/>
      <c r="H111" s="20"/>
      <c r="I111" s="20"/>
      <c r="J111" s="20"/>
    </row>
    <row r="112" spans="2:10" x14ac:dyDescent="0.25">
      <c r="B112" s="7"/>
      <c r="C112" s="7"/>
      <c r="D112" s="7"/>
      <c r="E112" s="20"/>
      <c r="F112" s="20"/>
      <c r="G112" s="20"/>
      <c r="H112" s="20"/>
      <c r="I112" s="20"/>
      <c r="J112" s="20"/>
    </row>
    <row r="113" spans="2:10" x14ac:dyDescent="0.25">
      <c r="B113" s="7"/>
      <c r="C113" s="7"/>
      <c r="D113" s="7"/>
      <c r="E113" s="20"/>
      <c r="F113" s="20"/>
      <c r="G113" s="20"/>
      <c r="H113" s="20"/>
      <c r="I113" s="20"/>
      <c r="J113" s="20"/>
    </row>
    <row r="114" spans="2:10" x14ac:dyDescent="0.25">
      <c r="B114" s="7"/>
      <c r="C114" s="7"/>
      <c r="D114" s="7"/>
      <c r="E114" s="20"/>
      <c r="F114" s="20"/>
      <c r="G114" s="20"/>
      <c r="H114" s="20"/>
      <c r="I114" s="20"/>
      <c r="J114" s="20"/>
    </row>
    <row r="115" spans="2:10" x14ac:dyDescent="0.25">
      <c r="B115" s="7"/>
      <c r="C115" s="7"/>
      <c r="D115" s="7"/>
      <c r="E115" s="20"/>
      <c r="F115" s="20"/>
      <c r="G115" s="20"/>
      <c r="H115" s="20"/>
      <c r="I115" s="20"/>
      <c r="J115" s="20"/>
    </row>
    <row r="116" spans="2:10" x14ac:dyDescent="0.25">
      <c r="B116" s="7"/>
      <c r="C116" s="7"/>
      <c r="D116" s="7"/>
      <c r="E116" s="20"/>
      <c r="F116" s="20"/>
      <c r="G116" s="20"/>
      <c r="H116" s="20"/>
      <c r="I116" s="20"/>
      <c r="J116" s="20"/>
    </row>
    <row r="117" spans="2:10" x14ac:dyDescent="0.25">
      <c r="B117" s="7"/>
      <c r="C117" s="7"/>
      <c r="D117" s="7"/>
      <c r="E117" s="20"/>
      <c r="F117" s="20"/>
      <c r="G117" s="20"/>
      <c r="H117" s="20"/>
      <c r="I117" s="20"/>
      <c r="J117" s="20"/>
    </row>
    <row r="118" spans="2:10" x14ac:dyDescent="0.25">
      <c r="B118" s="7"/>
      <c r="C118" s="7"/>
      <c r="D118" s="7"/>
      <c r="E118" s="20"/>
      <c r="F118" s="20"/>
      <c r="G118" s="20"/>
      <c r="H118" s="20"/>
      <c r="I118" s="20"/>
      <c r="J118" s="20"/>
    </row>
    <row r="119" spans="2:10" x14ac:dyDescent="0.25">
      <c r="B119" s="7"/>
      <c r="C119" s="7"/>
      <c r="D119" s="7"/>
      <c r="E119" s="20"/>
      <c r="F119" s="20"/>
      <c r="G119" s="20"/>
      <c r="H119" s="20"/>
      <c r="I119" s="20"/>
      <c r="J119" s="20"/>
    </row>
    <row r="120" spans="2:10" x14ac:dyDescent="0.25">
      <c r="B120" s="7"/>
      <c r="C120" s="7"/>
      <c r="D120" s="7"/>
      <c r="E120" s="20"/>
      <c r="F120" s="20"/>
      <c r="G120" s="20"/>
      <c r="H120" s="20"/>
      <c r="I120" s="20"/>
      <c r="J120" s="20"/>
    </row>
    <row r="121" spans="2:10" x14ac:dyDescent="0.25">
      <c r="B121" s="7"/>
      <c r="C121" s="7"/>
      <c r="D121" s="7"/>
      <c r="E121" s="20"/>
      <c r="F121" s="20"/>
      <c r="G121" s="20"/>
      <c r="H121" s="20"/>
      <c r="I121" s="20"/>
      <c r="J121" s="20"/>
    </row>
    <row r="122" spans="2:10" x14ac:dyDescent="0.25">
      <c r="B122" s="7"/>
      <c r="C122" s="7"/>
      <c r="D122" s="7"/>
      <c r="E122" s="20"/>
      <c r="F122" s="20"/>
      <c r="G122" s="20"/>
      <c r="H122" s="20"/>
      <c r="I122" s="20"/>
      <c r="J12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MCT</vt:lpstr>
      <vt:lpstr>DATA</vt:lpstr>
      <vt:lpstr>MODEL</vt:lpstr>
      <vt:lpstr>DROP X2</vt:lpstr>
      <vt:lpstr>DROP X1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pateldaksh3120@gmail.com</cp:lastModifiedBy>
  <dcterms:created xsi:type="dcterms:W3CDTF">2015-06-05T18:17:20Z</dcterms:created>
  <dcterms:modified xsi:type="dcterms:W3CDTF">2022-04-01T13:21:36Z</dcterms:modified>
</cp:coreProperties>
</file>