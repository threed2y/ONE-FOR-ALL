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\Desktop\"/>
    </mc:Choice>
  </mc:AlternateContent>
  <xr:revisionPtr revIDLastSave="0" documentId="13_ncr:1_{FC4FB6BB-1A21-4971-9650-15ABF2131A7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1" sheetId="1" r:id="rId1"/>
    <sheet name="2" sheetId="4" r:id="rId2"/>
    <sheet name="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7" i="4" l="1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O13" i="4"/>
  <c r="F13" i="4"/>
  <c r="O12" i="4"/>
  <c r="F12" i="4"/>
  <c r="O11" i="4"/>
  <c r="F11" i="4"/>
  <c r="F10" i="4"/>
  <c r="F9" i="4"/>
  <c r="O8" i="4"/>
  <c r="O9" i="4" s="1"/>
  <c r="F8" i="4"/>
  <c r="F7" i="4"/>
  <c r="O14" i="4" l="1"/>
  <c r="K66" i="3"/>
  <c r="K65" i="3"/>
  <c r="K64" i="3"/>
  <c r="K67" i="3" s="1"/>
  <c r="K61" i="3"/>
  <c r="K60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31" i="3"/>
  <c r="G29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3" i="3"/>
  <c r="K62" i="3" l="1"/>
</calcChain>
</file>

<file path=xl/sharedStrings.xml><?xml version="1.0" encoding="utf-8"?>
<sst xmlns="http://schemas.openxmlformats.org/spreadsheetml/2006/main" count="201" uniqueCount="85">
  <si>
    <t xml:space="preserve">City </t>
  </si>
  <si>
    <t>Number of weekly riders</t>
  </si>
  <si>
    <t>Price per week ($)</t>
  </si>
  <si>
    <t>Population of city</t>
  </si>
  <si>
    <t>Monthly income of riders ($)</t>
  </si>
  <si>
    <t>Average parking rates per month ($)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</si>
  <si>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</si>
  <si>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</si>
  <si>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</si>
  <si>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</si>
  <si>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</si>
  <si>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</si>
  <si>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</si>
  <si>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</si>
  <si>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</si>
  <si>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</si>
  <si>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</si>
  <si>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</si>
  <si>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</si>
  <si>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</si>
  <si>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</si>
  <si>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</si>
  <si>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</si>
  <si>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</si>
  <si>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</si>
  <si>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</si>
  <si>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</si>
  <si>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</si>
  <si>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</si>
  <si>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</si>
  <si>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</si>
  <si>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</si>
  <si>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</si>
  <si>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Squared Residuals</t>
  </si>
  <si>
    <t xml:space="preserve">H0: </t>
  </si>
  <si>
    <t>Heteroscedasticity is present(residuals are not distributed with equal variance)</t>
  </si>
  <si>
    <t>Homoscedasticity is present(residuals are distributed with equal variance)</t>
  </si>
  <si>
    <t>Predicted square</t>
  </si>
  <si>
    <t>LM  =</t>
  </si>
  <si>
    <t>d.f =</t>
  </si>
  <si>
    <t>p - value =</t>
  </si>
  <si>
    <t>F  =</t>
  </si>
  <si>
    <t>p-value =</t>
  </si>
  <si>
    <t>df2 =</t>
  </si>
  <si>
    <t>df1 =</t>
  </si>
  <si>
    <t>log of dep</t>
  </si>
  <si>
    <t>Predicted log of dep</t>
  </si>
  <si>
    <t>White test after transformation</t>
  </si>
  <si>
    <t>DATA :</t>
  </si>
  <si>
    <t>X1=Price per week, X2=Population of city</t>
  </si>
  <si>
    <t>X3=Monthly incom of riders ,X4=Average parking rates per month</t>
  </si>
  <si>
    <t>Y=Number of weekly riders</t>
  </si>
  <si>
    <t>X1</t>
  </si>
  <si>
    <t>X2</t>
  </si>
  <si>
    <t>X3</t>
  </si>
  <si>
    <t>X4</t>
  </si>
  <si>
    <t>Predicted Value</t>
  </si>
  <si>
    <t xml:space="preserve">H1: </t>
  </si>
  <si>
    <t>Interpretation:</t>
  </si>
  <si>
    <t>1)</t>
  </si>
  <si>
    <t>Informal method</t>
  </si>
  <si>
    <t>2)</t>
  </si>
  <si>
    <t>Formal method</t>
  </si>
  <si>
    <t xml:space="preserve">Residual square </t>
  </si>
  <si>
    <t>X1 &amp; X2 =</t>
  </si>
  <si>
    <t>Y =</t>
  </si>
  <si>
    <t>White Test :</t>
  </si>
  <si>
    <t>Interpretation :</t>
  </si>
  <si>
    <t>The p-values of two versions of the test are 0.017997 and 0.014422 ,</t>
  </si>
  <si>
    <t>which means there is  hetroscedasticity.</t>
  </si>
  <si>
    <t>&lt;0.05</t>
  </si>
  <si>
    <t>Predicted value</t>
  </si>
  <si>
    <t>Y= log of dependent variable</t>
  </si>
  <si>
    <t xml:space="preserve">Fix the Heteroscedasticity : using transform the dependent variable </t>
  </si>
  <si>
    <t>LM =</t>
  </si>
  <si>
    <t>df =</t>
  </si>
  <si>
    <t>F =</t>
  </si>
  <si>
    <t>&gt;0.05</t>
  </si>
  <si>
    <t>The p-values of two versions of the test are 0.297362443 and 0.323268041 ,</t>
  </si>
  <si>
    <t>There seems to be no evident pattern.However,it does seems to look</t>
  </si>
  <si>
    <t xml:space="preserve">as if there's more variation in residuals. </t>
  </si>
  <si>
    <t>That is we reject H0. and conclude that heteroscedasticity is present.</t>
  </si>
  <si>
    <t xml:space="preserve">Predicted value &amp; Predicted  square </t>
  </si>
  <si>
    <t>So we cannnot rej H0 of constant variance.and data is now free of heteroscedasticity.</t>
  </si>
  <si>
    <t>HETEROSCEDASTICITY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</si>
</sst>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venir Medium"/>
    </font>
    <font>
      <i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theme="1"/>
      <name val="Avenir Medium"/>
    </font>
    <font>
      <b/>
      <sz val="14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5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3" borderId="4" applyNumberFormat="0" applyAlignment="0" applyProtection="0"/>
  </cellStyleXfs>
  <cellXfs count="49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0" fillId="0" borderId="0" xfId="0" applyBorder="1"/>
    <xf numFmtId="0" fontId="3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"/>
    </xf>
    <xf numFmtId="0" fontId="4" fillId="3" borderId="4" xfId="2" applyAlignment="1">
      <alignment horizontal="center" vertical="center" wrapText="1"/>
    </xf>
    <xf numFmtId="0" fontId="4" fillId="3" borderId="4" xfId="2" applyAlignment="1">
      <alignment horizontal="center"/>
    </xf>
    <xf numFmtId="0" fontId="6" fillId="3" borderId="4" xfId="2" applyFont="1" applyAlignment="1">
      <alignment horizontal="center" vertical="center" wrapText="1"/>
    </xf>
    <xf numFmtId="0" fontId="6" fillId="3" borderId="4" xfId="2" applyFont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/>
    </xf>
    <xf numFmtId="0" fontId="8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9" fillId="0" borderId="3" xfId="0" applyFont="1" applyFill="1" applyBorder="1" applyAlignment="1">
      <alignment horizontal="centerContinuous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0" fillId="4" borderId="0" xfId="0" applyFill="1"/>
    <xf numFmtId="0" fontId="4" fillId="3" borderId="4" xfId="2"/>
    <xf numFmtId="0" fontId="13" fillId="0" borderId="0" xfId="0" applyFont="1"/>
    <xf numFmtId="0" fontId="0" fillId="4" borderId="0" xfId="0" applyFill="1" applyAlignment="1">
      <alignment horizontal="right"/>
    </xf>
    <xf numFmtId="0" fontId="14" fillId="0" borderId="0" xfId="0" applyFont="1"/>
    <xf numFmtId="0" fontId="15" fillId="0" borderId="0" xfId="0" applyFont="1"/>
    <xf numFmtId="0" fontId="0" fillId="0" borderId="2" xfId="0" applyBorder="1"/>
  </cellXfs>
  <cellStyles count="3">
    <cellStyle name="Normal" xfId="0" builtinId="0"/>
    <cellStyle name="Normal 2" xfId="1" xr:uid="{00000000-0005-0000-0000-000001000000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/>
              <a:t>Predicted value vs Residuals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'1'!$M$30:$M$56</c:f>
              <c:numCache>
                <c:formatCode>General</c:formatCode>
                <c:ptCount val="27"/>
                <c:pt idx="0">
                  <c:v>188848.91437411567</c:v>
                </c:pt>
                <c:pt idx="1">
                  <c:v>187778.95482738264</c:v>
                </c:pt>
                <c:pt idx="2">
                  <c:v>188493.83232660394</c:v>
                </c:pt>
                <c:pt idx="3">
                  <c:v>181358.58585173383</c:v>
                </c:pt>
                <c:pt idx="4">
                  <c:v>179755.16166812909</c:v>
                </c:pt>
                <c:pt idx="5">
                  <c:v>180691.27153467014</c:v>
                </c:pt>
                <c:pt idx="6">
                  <c:v>178521.21984697063</c:v>
                </c:pt>
                <c:pt idx="7">
                  <c:v>174553.05948624009</c:v>
                </c:pt>
                <c:pt idx="8">
                  <c:v>174018.07971287359</c:v>
                </c:pt>
                <c:pt idx="9">
                  <c:v>173435.69560240986</c:v>
                </c:pt>
                <c:pt idx="10">
                  <c:v>173150.81424982677</c:v>
                </c:pt>
                <c:pt idx="11">
                  <c:v>164482.88936694516</c:v>
                </c:pt>
                <c:pt idx="12">
                  <c:v>163981.42598460862</c:v>
                </c:pt>
                <c:pt idx="13">
                  <c:v>165916.90243958571</c:v>
                </c:pt>
                <c:pt idx="14">
                  <c:v>166144.20450253767</c:v>
                </c:pt>
                <c:pt idx="15">
                  <c:v>162808.6866959499</c:v>
                </c:pt>
                <c:pt idx="16">
                  <c:v>145052.91059496789</c:v>
                </c:pt>
                <c:pt idx="17">
                  <c:v>119572.66688362251</c:v>
                </c:pt>
                <c:pt idx="18">
                  <c:v>139910.41333053104</c:v>
                </c:pt>
                <c:pt idx="19">
                  <c:v>139417.94152506121</c:v>
                </c:pt>
                <c:pt idx="20">
                  <c:v>141874.82895483889</c:v>
                </c:pt>
                <c:pt idx="21">
                  <c:v>138044.05835206644</c:v>
                </c:pt>
                <c:pt idx="22">
                  <c:v>133915.03931461673</c:v>
                </c:pt>
                <c:pt idx="23">
                  <c:v>127179.76334015554</c:v>
                </c:pt>
                <c:pt idx="24">
                  <c:v>133969.26014448254</c:v>
                </c:pt>
                <c:pt idx="25">
                  <c:v>143180.19893509345</c:v>
                </c:pt>
                <c:pt idx="26">
                  <c:v>154647.2201539799</c:v>
                </c:pt>
              </c:numCache>
            </c:numRef>
          </c:xVal>
          <c:yVal>
            <c:numRef>
              <c:f>'1'!$N$30:$N$56</c:f>
              <c:numCache>
                <c:formatCode>General</c:formatCode>
                <c:ptCount val="27"/>
                <c:pt idx="0">
                  <c:v>3151.0856258843269</c:v>
                </c:pt>
                <c:pt idx="1">
                  <c:v>2621.0451726173633</c:v>
                </c:pt>
                <c:pt idx="2">
                  <c:v>2706.167673396063</c:v>
                </c:pt>
                <c:pt idx="3">
                  <c:v>-3758.5858517338347</c:v>
                </c:pt>
                <c:pt idx="4">
                  <c:v>-2955.1616681290907</c:v>
                </c:pt>
                <c:pt idx="5">
                  <c:v>-2291.2715346701443</c:v>
                </c:pt>
                <c:pt idx="6">
                  <c:v>2278.7801530293655</c:v>
                </c:pt>
                <c:pt idx="7">
                  <c:v>646.94051375990966</c:v>
                </c:pt>
                <c:pt idx="8">
                  <c:v>381.92028712641331</c:v>
                </c:pt>
                <c:pt idx="9">
                  <c:v>484.30439759013825</c:v>
                </c:pt>
                <c:pt idx="10">
                  <c:v>-350.81424982676981</c:v>
                </c:pt>
                <c:pt idx="11">
                  <c:v>-1282.8893669451645</c:v>
                </c:pt>
                <c:pt idx="12">
                  <c:v>-2381.4259846086206</c:v>
                </c:pt>
                <c:pt idx="13">
                  <c:v>-4316.9024395857123</c:v>
                </c:pt>
                <c:pt idx="14">
                  <c:v>-5344.2045025376719</c:v>
                </c:pt>
                <c:pt idx="15">
                  <c:v>-3608.6866959499021</c:v>
                </c:pt>
                <c:pt idx="16">
                  <c:v>3747.0894050321076</c:v>
                </c:pt>
                <c:pt idx="17">
                  <c:v>-3876.6668836225144</c:v>
                </c:pt>
                <c:pt idx="18">
                  <c:v>7289.5866694689612</c:v>
                </c:pt>
                <c:pt idx="19">
                  <c:v>10982.058474938793</c:v>
                </c:pt>
                <c:pt idx="20">
                  <c:v>10125.171045161114</c:v>
                </c:pt>
                <c:pt idx="21">
                  <c:v>-2044.0583520664368</c:v>
                </c:pt>
                <c:pt idx="22">
                  <c:v>-7675.0393146167335</c:v>
                </c:pt>
                <c:pt idx="23">
                  <c:v>-3291.7633401555358</c:v>
                </c:pt>
                <c:pt idx="24">
                  <c:v>-7889.2601444825414</c:v>
                </c:pt>
                <c:pt idx="25">
                  <c:v>8499.8010649065545</c:v>
                </c:pt>
                <c:pt idx="26">
                  <c:v>-1847.2201539798989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B2-4DDF-AC32-542ACAB9E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593487"/>
        <c:axId val="1174587663"/>
      </c:scatterChart>
      <c:valAx>
        <c:axId val="117459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87663"/>
        <c:crosses val="autoZero"/>
        <c:crossBetween val="midCat"/>
      </c:valAx>
      <c:valAx>
        <c:axId val="1174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9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34</xdr:row>
      <xdr:rowOff>152399</xdr:rowOff>
    </xdr:from>
    <xdr:to>
      <xdr:col>8</xdr:col>
      <xdr:colOff>744855</xdr:colOff>
      <xdr:row>46</xdr:row>
      <xdr:rowOff>165734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257175</xdr:colOff>
      <xdr:row>52</xdr:row>
      <xdr:rowOff>9525</xdr:rowOff>
    </xdr:from>
    <xdr:ext cx="238125" cy="25045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181350" y="10391775"/>
          <a:ext cx="238125" cy="250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IN" sz="16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opLeftCell="B36" zoomScale="115" zoomScaleNormal="115" workbookViewId="0">
      <selection activeCell="I1" sqref="I1"/>
    </sheetView>
  </sheetViews>
  <sheetFormatPr defaultRowHeight="15"/>
  <cols>
    <col min="3" max="4" width="16" customWidth="1"/>
    <col min="5" max="5" width="13.42578125" customWidth="1"/>
    <col min="6" max="6" width="15.85546875" customWidth="1"/>
    <col min="7" max="7" width="11.7109375" customWidth="1"/>
    <col min="8" max="8" width="15.28515625" customWidth="1"/>
    <col min="9" max="9" width="14.85546875" customWidth="1"/>
    <col min="11" max="11" width="23.42578125" customWidth="1"/>
    <col min="12" max="12" width="25.140625" customWidth="1"/>
    <col min="13" max="13" width="31.42578125" customWidth="1"/>
    <col min="14" max="14" width="15.85546875" customWidth="1"/>
    <col min="15" max="15" width="17.42578125" customWidth="1"/>
    <col min="16" max="16" width="15.85546875" customWidth="1"/>
    <col min="17" max="17" width="13.85546875" customWidth="1"/>
  </cols>
  <sheetData>
    <row r="1" spans="2:17" ht="28.5">
      <c r="B1" s="16" t="s">
        <v>48</v>
      </c>
      <c r="I1" s="46" t="s">
        <v>84</v>
      </c>
    </row>
    <row r="2" spans="2:17" ht="51.75" customHeight="1">
      <c r="C2" s="1" t="s">
        <v>0</v>
      </c>
      <c r="D2" s="14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K2" s="19"/>
      <c r="L2" s="17" t="s">
        <v>51</v>
      </c>
      <c r="M2" s="17" t="s">
        <v>49</v>
      </c>
      <c r="N2" s="17"/>
      <c r="O2" s="17"/>
      <c r="P2" s="17"/>
    </row>
    <row r="3" spans="2:17" ht="15.75">
      <c r="C3" s="2">
        <v>1</v>
      </c>
      <c r="D3" s="15">
        <v>192000</v>
      </c>
      <c r="E3" s="13">
        <v>15</v>
      </c>
      <c r="F3" s="13">
        <v>1800000</v>
      </c>
      <c r="G3" s="13">
        <v>5800</v>
      </c>
      <c r="H3" s="13">
        <v>50</v>
      </c>
      <c r="K3" s="17"/>
      <c r="L3" s="17"/>
      <c r="M3" s="17" t="s">
        <v>50</v>
      </c>
      <c r="N3" s="17"/>
      <c r="O3" s="17"/>
      <c r="P3" s="17"/>
    </row>
    <row r="4" spans="2:17" ht="15.75">
      <c r="C4" s="2">
        <v>2</v>
      </c>
      <c r="D4" s="15">
        <v>190400</v>
      </c>
      <c r="E4" s="13">
        <v>15</v>
      </c>
      <c r="F4" s="13">
        <v>1790000</v>
      </c>
      <c r="G4" s="13">
        <v>6200</v>
      </c>
      <c r="H4" s="13">
        <v>50</v>
      </c>
      <c r="P4" s="17"/>
    </row>
    <row r="5" spans="2:17" ht="15.75">
      <c r="C5" s="2">
        <v>3</v>
      </c>
      <c r="D5" s="15">
        <v>191200</v>
      </c>
      <c r="E5" s="13">
        <v>15</v>
      </c>
      <c r="F5" s="13">
        <v>1780000</v>
      </c>
      <c r="G5" s="13">
        <v>6400</v>
      </c>
      <c r="H5" s="13">
        <v>60</v>
      </c>
      <c r="L5" s="17" t="s">
        <v>6</v>
      </c>
    </row>
    <row r="6" spans="2:17" ht="16.5" thickBot="1">
      <c r="C6" s="2">
        <v>4</v>
      </c>
      <c r="D6" s="15">
        <v>177600</v>
      </c>
      <c r="E6" s="13">
        <v>25</v>
      </c>
      <c r="F6" s="13">
        <v>1778000</v>
      </c>
      <c r="G6" s="13">
        <v>6500</v>
      </c>
      <c r="H6" s="13">
        <v>60</v>
      </c>
    </row>
    <row r="7" spans="2:17" ht="15.75">
      <c r="C7" s="2">
        <v>5</v>
      </c>
      <c r="D7" s="15">
        <v>176800</v>
      </c>
      <c r="E7" s="13">
        <v>25</v>
      </c>
      <c r="F7" s="13">
        <v>1750000</v>
      </c>
      <c r="G7" s="13">
        <v>6550</v>
      </c>
      <c r="H7" s="13">
        <v>60</v>
      </c>
      <c r="L7" s="20" t="s">
        <v>7</v>
      </c>
      <c r="M7" s="6"/>
    </row>
    <row r="8" spans="2:17" ht="15.75">
      <c r="C8" s="2">
        <v>6</v>
      </c>
      <c r="D8" s="15">
        <v>178400</v>
      </c>
      <c r="E8" s="13">
        <v>25</v>
      </c>
      <c r="F8" s="13">
        <v>1740000</v>
      </c>
      <c r="G8" s="13">
        <v>6580</v>
      </c>
      <c r="H8" s="13">
        <v>70</v>
      </c>
      <c r="L8" s="3" t="s">
        <v>8</v>
      </c>
      <c r="M8" s="3">
        <v>0.9723643429967247</v>
      </c>
    </row>
    <row r="9" spans="2:17" ht="15.75">
      <c r="C9" s="2">
        <v>7</v>
      </c>
      <c r="D9" s="15">
        <v>180800</v>
      </c>
      <c r="E9" s="13">
        <v>25</v>
      </c>
      <c r="F9" s="13">
        <v>1725000</v>
      </c>
      <c r="G9" s="13">
        <v>8200</v>
      </c>
      <c r="H9" s="13">
        <v>75</v>
      </c>
      <c r="L9" s="3" t="s">
        <v>9</v>
      </c>
      <c r="M9">
        <v>0.94549241553145202</v>
      </c>
    </row>
    <row r="10" spans="2:17" ht="15.75">
      <c r="C10" s="2">
        <v>8</v>
      </c>
      <c r="D10" s="15">
        <v>175200</v>
      </c>
      <c r="E10" s="13">
        <v>30</v>
      </c>
      <c r="F10" s="13">
        <v>1725000</v>
      </c>
      <c r="G10" s="13">
        <v>8600</v>
      </c>
      <c r="H10" s="13">
        <v>75</v>
      </c>
      <c r="L10" s="3" t="s">
        <v>10</v>
      </c>
      <c r="M10">
        <v>0.93558194562807973</v>
      </c>
    </row>
    <row r="11" spans="2:17" ht="15.75">
      <c r="C11" s="2">
        <v>9</v>
      </c>
      <c r="D11" s="15">
        <v>174400</v>
      </c>
      <c r="E11" s="13">
        <v>30</v>
      </c>
      <c r="F11" s="13">
        <v>1720000</v>
      </c>
      <c r="G11" s="13">
        <v>8800</v>
      </c>
      <c r="H11" s="13">
        <v>75</v>
      </c>
      <c r="L11" s="3" t="s">
        <v>11</v>
      </c>
      <c r="M11" s="3">
        <v>5406.3701680351205</v>
      </c>
    </row>
    <row r="12" spans="2:17" ht="16.5" thickBot="1">
      <c r="C12" s="2">
        <v>10</v>
      </c>
      <c r="D12" s="15">
        <v>173920</v>
      </c>
      <c r="E12" s="13">
        <v>30</v>
      </c>
      <c r="F12" s="13">
        <v>1705000</v>
      </c>
      <c r="G12" s="13">
        <v>9200</v>
      </c>
      <c r="H12" s="13">
        <v>80</v>
      </c>
      <c r="L12" s="4" t="s">
        <v>12</v>
      </c>
      <c r="M12" s="4">
        <v>27</v>
      </c>
    </row>
    <row r="13" spans="2:17" ht="15.75">
      <c r="C13" s="2">
        <v>11</v>
      </c>
      <c r="D13" s="15">
        <v>172800</v>
      </c>
      <c r="E13" s="13">
        <v>30</v>
      </c>
      <c r="F13" s="13">
        <v>1710000</v>
      </c>
      <c r="G13" s="13">
        <v>9630</v>
      </c>
      <c r="H13" s="13">
        <v>80</v>
      </c>
    </row>
    <row r="14" spans="2:17" ht="16.5" thickBot="1">
      <c r="C14" s="2">
        <v>12</v>
      </c>
      <c r="D14" s="15">
        <v>163200</v>
      </c>
      <c r="E14" s="13">
        <v>40</v>
      </c>
      <c r="F14" s="13">
        <v>1700000</v>
      </c>
      <c r="G14" s="13">
        <v>10570</v>
      </c>
      <c r="H14" s="13">
        <v>80</v>
      </c>
      <c r="L14" s="17" t="s">
        <v>13</v>
      </c>
    </row>
    <row r="15" spans="2:17" ht="15.75">
      <c r="C15" s="2">
        <v>13</v>
      </c>
      <c r="D15" s="15">
        <v>161600</v>
      </c>
      <c r="E15" s="13">
        <v>40</v>
      </c>
      <c r="F15" s="13">
        <v>1695000</v>
      </c>
      <c r="G15" s="13">
        <v>11330</v>
      </c>
      <c r="H15" s="13">
        <v>85</v>
      </c>
      <c r="L15" s="5"/>
      <c r="M15" s="5" t="s">
        <v>18</v>
      </c>
      <c r="N15" s="5" t="s">
        <v>19</v>
      </c>
      <c r="O15" s="5" t="s">
        <v>20</v>
      </c>
      <c r="P15" s="5" t="s">
        <v>21</v>
      </c>
      <c r="Q15" s="5" t="s">
        <v>22</v>
      </c>
    </row>
    <row r="16" spans="2:17" ht="15.75">
      <c r="C16" s="2">
        <v>14</v>
      </c>
      <c r="D16" s="15">
        <v>161600</v>
      </c>
      <c r="E16" s="13">
        <v>40</v>
      </c>
      <c r="F16" s="13">
        <v>1695000</v>
      </c>
      <c r="G16" s="13">
        <v>11600</v>
      </c>
      <c r="H16" s="13">
        <v>100</v>
      </c>
      <c r="L16" s="3" t="s">
        <v>14</v>
      </c>
      <c r="M16" s="3">
        <v>4</v>
      </c>
      <c r="N16" s="3">
        <v>11154120959.187813</v>
      </c>
      <c r="O16" s="3">
        <v>2788530239.7969532</v>
      </c>
      <c r="P16" s="3">
        <v>95.403389016873732</v>
      </c>
      <c r="Q16" s="3">
        <v>1.4386230749298869E-13</v>
      </c>
    </row>
    <row r="17" spans="1:20" ht="15.75">
      <c r="C17" s="2">
        <v>15</v>
      </c>
      <c r="D17" s="15">
        <v>160800</v>
      </c>
      <c r="E17" s="13">
        <v>40</v>
      </c>
      <c r="F17" s="13">
        <v>1690000</v>
      </c>
      <c r="G17" s="13">
        <v>11800</v>
      </c>
      <c r="H17" s="13">
        <v>105</v>
      </c>
      <c r="L17" s="3" t="s">
        <v>15</v>
      </c>
      <c r="M17" s="3">
        <v>22</v>
      </c>
      <c r="N17" s="3">
        <v>643034444.66404212</v>
      </c>
      <c r="O17" s="3">
        <v>29228838.393820096</v>
      </c>
      <c r="P17" s="3"/>
      <c r="Q17" s="3"/>
    </row>
    <row r="18" spans="1:20" ht="16.5" thickBot="1">
      <c r="C18" s="2">
        <v>16</v>
      </c>
      <c r="D18" s="15">
        <v>159200</v>
      </c>
      <c r="E18" s="13">
        <v>40</v>
      </c>
      <c r="F18" s="13">
        <v>1630000</v>
      </c>
      <c r="G18" s="13">
        <v>11830</v>
      </c>
      <c r="H18" s="13">
        <v>105</v>
      </c>
      <c r="L18" s="4" t="s">
        <v>16</v>
      </c>
      <c r="M18" s="4">
        <v>26</v>
      </c>
      <c r="N18" s="4">
        <v>11797155403.851854</v>
      </c>
      <c r="O18" s="4"/>
      <c r="P18" s="4"/>
      <c r="Q18" s="4"/>
    </row>
    <row r="19" spans="1:20" ht="16.5" thickBot="1">
      <c r="C19" s="2">
        <v>17</v>
      </c>
      <c r="D19" s="15">
        <v>148800</v>
      </c>
      <c r="E19" s="13">
        <v>65</v>
      </c>
      <c r="F19" s="13">
        <v>1640000</v>
      </c>
      <c r="G19" s="13">
        <v>12650</v>
      </c>
      <c r="H19" s="13">
        <v>105</v>
      </c>
    </row>
    <row r="20" spans="1:20" ht="15.75">
      <c r="C20" s="2">
        <v>18</v>
      </c>
      <c r="D20" s="15">
        <v>115696</v>
      </c>
      <c r="E20" s="13">
        <v>102</v>
      </c>
      <c r="F20" s="13">
        <v>1635000</v>
      </c>
      <c r="G20" s="13">
        <v>13000</v>
      </c>
      <c r="H20" s="13">
        <v>110</v>
      </c>
      <c r="L20" s="5"/>
      <c r="M20" s="5" t="s">
        <v>23</v>
      </c>
      <c r="N20" s="5" t="s">
        <v>11</v>
      </c>
      <c r="O20" s="5" t="s">
        <v>24</v>
      </c>
      <c r="P20" s="5" t="s">
        <v>25</v>
      </c>
      <c r="Q20" s="5" t="s">
        <v>26</v>
      </c>
      <c r="R20" s="5" t="s">
        <v>27</v>
      </c>
      <c r="S20" s="5" t="s">
        <v>28</v>
      </c>
      <c r="T20" s="5" t="s">
        <v>29</v>
      </c>
    </row>
    <row r="21" spans="1:20" ht="15.75">
      <c r="C21" s="2">
        <v>19</v>
      </c>
      <c r="D21" s="15">
        <v>147200</v>
      </c>
      <c r="E21" s="13">
        <v>75</v>
      </c>
      <c r="F21" s="13">
        <v>1630000</v>
      </c>
      <c r="G21" s="13">
        <v>13224</v>
      </c>
      <c r="H21" s="13">
        <v>125</v>
      </c>
      <c r="L21" s="3" t="s">
        <v>17</v>
      </c>
      <c r="M21" s="3">
        <v>100222.56066171579</v>
      </c>
      <c r="N21" s="3">
        <v>135917.8740467575</v>
      </c>
      <c r="O21" s="3">
        <v>0.73737587027912121</v>
      </c>
      <c r="P21" s="3">
        <v>0.46868594035493305</v>
      </c>
      <c r="Q21" s="3">
        <v>-181653.85777062614</v>
      </c>
      <c r="R21" s="3">
        <v>382098.97909405775</v>
      </c>
      <c r="S21" s="3">
        <v>-181653.85777062614</v>
      </c>
      <c r="T21" s="3">
        <v>382098.97909405775</v>
      </c>
    </row>
    <row r="22" spans="1:20" ht="15.75">
      <c r="C22" s="2">
        <v>20</v>
      </c>
      <c r="D22" s="15">
        <v>150400</v>
      </c>
      <c r="E22" s="13">
        <v>75</v>
      </c>
      <c r="F22" s="13">
        <v>1620000</v>
      </c>
      <c r="G22" s="13">
        <v>13766</v>
      </c>
      <c r="H22" s="13">
        <v>130</v>
      </c>
      <c r="L22" s="3" t="s">
        <v>52</v>
      </c>
      <c r="M22" s="3">
        <v>-689.52272281917146</v>
      </c>
      <c r="N22" s="3">
        <v>95.402867283151068</v>
      </c>
      <c r="O22" s="3">
        <v>-7.227484272277704</v>
      </c>
      <c r="P22" s="3">
        <v>3.0523499772437099E-7</v>
      </c>
      <c r="Q22" s="3">
        <v>-887.37615987852064</v>
      </c>
      <c r="R22" s="3">
        <v>-491.66928575982234</v>
      </c>
      <c r="S22" s="3">
        <v>-887.37615987852064</v>
      </c>
      <c r="T22" s="3">
        <v>-491.66928575982234</v>
      </c>
    </row>
    <row r="23" spans="1:20" ht="15.75">
      <c r="C23" s="2">
        <v>21</v>
      </c>
      <c r="D23" s="15">
        <v>152000</v>
      </c>
      <c r="E23" s="13">
        <v>75</v>
      </c>
      <c r="F23" s="13">
        <v>1615000</v>
      </c>
      <c r="G23" s="13">
        <v>14010</v>
      </c>
      <c r="H23" s="13">
        <v>150</v>
      </c>
      <c r="L23" s="3" t="s">
        <v>53</v>
      </c>
      <c r="M23" s="3">
        <v>5.4941280009836287E-2</v>
      </c>
      <c r="N23" s="3">
        <v>7.2339148634055953E-2</v>
      </c>
      <c r="O23" s="3">
        <v>0.75949580617501122</v>
      </c>
      <c r="P23" s="3">
        <v>0.45561780315595468</v>
      </c>
      <c r="Q23" s="3">
        <v>-9.5080932097438647E-2</v>
      </c>
      <c r="R23" s="3">
        <v>0.20496349211711121</v>
      </c>
      <c r="S23" s="3">
        <v>-9.5080932097438647E-2</v>
      </c>
      <c r="T23" s="3">
        <v>0.20496349211711121</v>
      </c>
    </row>
    <row r="24" spans="1:20" ht="15.75">
      <c r="C24" s="2">
        <v>22</v>
      </c>
      <c r="D24" s="15">
        <v>136000</v>
      </c>
      <c r="E24" s="13">
        <v>80</v>
      </c>
      <c r="F24" s="13">
        <v>1605000</v>
      </c>
      <c r="G24" s="13">
        <v>14468</v>
      </c>
      <c r="H24" s="13">
        <v>155</v>
      </c>
      <c r="L24" s="3" t="s">
        <v>54</v>
      </c>
      <c r="M24" s="3">
        <v>-1.3013668665867064</v>
      </c>
      <c r="N24" s="3">
        <v>1.627450021412028</v>
      </c>
      <c r="O24" s="3">
        <v>-0.79963553378898766</v>
      </c>
      <c r="P24" s="3">
        <v>0.43247165513329455</v>
      </c>
      <c r="Q24" s="3">
        <v>-4.6764916353529413</v>
      </c>
      <c r="R24" s="3">
        <v>2.0737579021795289</v>
      </c>
      <c r="S24" s="3">
        <v>-4.6764916353529413</v>
      </c>
      <c r="T24" s="3">
        <v>2.0737579021795289</v>
      </c>
    </row>
    <row r="25" spans="1:20" ht="16.5" thickBot="1">
      <c r="C25" s="2">
        <v>23</v>
      </c>
      <c r="D25" s="15">
        <v>126240</v>
      </c>
      <c r="E25" s="13">
        <v>86</v>
      </c>
      <c r="F25" s="13">
        <v>1590000</v>
      </c>
      <c r="G25" s="13">
        <v>15000</v>
      </c>
      <c r="H25" s="13">
        <v>165</v>
      </c>
      <c r="L25" s="4" t="s">
        <v>55</v>
      </c>
      <c r="M25" s="4">
        <v>152.4563672637006</v>
      </c>
      <c r="N25" s="4">
        <v>73.86296236669105</v>
      </c>
      <c r="O25" s="4">
        <v>2.0640434986459697</v>
      </c>
      <c r="P25" s="4">
        <v>5.1003698192174263E-2</v>
      </c>
      <c r="Q25" s="4">
        <v>-0.72604110418856749</v>
      </c>
      <c r="R25" s="4">
        <v>305.63877563158974</v>
      </c>
      <c r="S25" s="4">
        <v>-0.72604110418856749</v>
      </c>
      <c r="T25" s="4">
        <v>305.63877563158974</v>
      </c>
    </row>
    <row r="26" spans="1:20" ht="15.75">
      <c r="C26" s="2">
        <v>24</v>
      </c>
      <c r="D26" s="15">
        <v>123888</v>
      </c>
      <c r="E26" s="13">
        <v>98</v>
      </c>
      <c r="F26" s="13">
        <v>1595000</v>
      </c>
      <c r="G26" s="13">
        <v>15200</v>
      </c>
      <c r="H26" s="13">
        <v>175</v>
      </c>
    </row>
    <row r="27" spans="1:20" ht="15.75">
      <c r="C27" s="2">
        <v>25</v>
      </c>
      <c r="D27" s="15">
        <v>126080</v>
      </c>
      <c r="E27" s="13">
        <v>87</v>
      </c>
      <c r="F27" s="13">
        <v>1590000</v>
      </c>
      <c r="G27" s="13">
        <v>15600</v>
      </c>
      <c r="H27" s="13">
        <v>175</v>
      </c>
      <c r="L27" s="17" t="s">
        <v>30</v>
      </c>
    </row>
    <row r="28" spans="1:20" ht="16.5" thickBot="1">
      <c r="C28" s="2">
        <v>26</v>
      </c>
      <c r="D28" s="15">
        <v>151680</v>
      </c>
      <c r="E28" s="13">
        <v>77</v>
      </c>
      <c r="F28" s="13">
        <v>1600000</v>
      </c>
      <c r="G28" s="13">
        <v>16000</v>
      </c>
      <c r="H28" s="13">
        <v>190</v>
      </c>
    </row>
    <row r="29" spans="1:20" ht="15.75">
      <c r="C29" s="2">
        <v>27</v>
      </c>
      <c r="D29" s="15">
        <v>152800</v>
      </c>
      <c r="E29" s="13">
        <v>63</v>
      </c>
      <c r="F29" s="13">
        <v>1610000</v>
      </c>
      <c r="G29" s="13">
        <v>16200</v>
      </c>
      <c r="H29" s="13">
        <v>200</v>
      </c>
      <c r="L29" s="5" t="s">
        <v>31</v>
      </c>
      <c r="M29" s="5" t="s">
        <v>56</v>
      </c>
      <c r="N29" s="5" t="s">
        <v>32</v>
      </c>
      <c r="O29" s="9"/>
    </row>
    <row r="30" spans="1:20">
      <c r="L30" s="3">
        <v>1</v>
      </c>
      <c r="M30" s="3">
        <v>188848.91437411567</v>
      </c>
      <c r="N30" s="3">
        <v>3151.0856258843269</v>
      </c>
    </row>
    <row r="31" spans="1:20" ht="21">
      <c r="A31" s="27" t="s">
        <v>59</v>
      </c>
      <c r="B31" s="26" t="s">
        <v>60</v>
      </c>
      <c r="C31" s="26"/>
      <c r="L31" s="3">
        <v>2</v>
      </c>
      <c r="M31" s="3">
        <v>187778.95482738264</v>
      </c>
      <c r="N31" s="3">
        <v>2621.0451726173633</v>
      </c>
    </row>
    <row r="32" spans="1:20" ht="15.75">
      <c r="D32" s="24" t="s">
        <v>34</v>
      </c>
      <c r="E32" s="23" t="s">
        <v>36</v>
      </c>
      <c r="F32" s="23"/>
      <c r="G32" s="23"/>
      <c r="H32" s="23"/>
      <c r="I32" s="23"/>
      <c r="J32" s="22"/>
      <c r="L32" s="3">
        <v>3</v>
      </c>
      <c r="M32" s="3">
        <v>188493.83232660394</v>
      </c>
      <c r="N32" s="3">
        <v>2706.167673396063</v>
      </c>
    </row>
    <row r="33" spans="4:14" ht="15.75">
      <c r="D33" s="24" t="s">
        <v>57</v>
      </c>
      <c r="E33" s="23" t="s">
        <v>35</v>
      </c>
      <c r="F33" s="23"/>
      <c r="G33" s="23"/>
      <c r="H33" s="23"/>
      <c r="I33" s="23"/>
      <c r="J33" s="22"/>
      <c r="L33" s="3">
        <v>4</v>
      </c>
      <c r="M33" s="3">
        <v>181358.58585173383</v>
      </c>
      <c r="N33" s="3">
        <v>-3758.5858517338347</v>
      </c>
    </row>
    <row r="34" spans="4:14">
      <c r="L34" s="3">
        <v>5</v>
      </c>
      <c r="M34" s="3">
        <v>179755.16166812909</v>
      </c>
      <c r="N34" s="3">
        <v>-2955.1616681290907</v>
      </c>
    </row>
    <row r="35" spans="4:14">
      <c r="L35" s="3">
        <v>6</v>
      </c>
      <c r="M35" s="3">
        <v>180691.27153467014</v>
      </c>
      <c r="N35" s="3">
        <v>-2291.2715346701443</v>
      </c>
    </row>
    <row r="36" spans="4:14">
      <c r="L36" s="3">
        <v>7</v>
      </c>
      <c r="M36" s="3">
        <v>178521.21984697063</v>
      </c>
      <c r="N36" s="3">
        <v>2278.7801530293655</v>
      </c>
    </row>
    <row r="37" spans="4:14">
      <c r="L37" s="3">
        <v>8</v>
      </c>
      <c r="M37" s="3">
        <v>174553.05948624009</v>
      </c>
      <c r="N37" s="3">
        <v>646.94051375990966</v>
      </c>
    </row>
    <row r="38" spans="4:14">
      <c r="L38" s="3">
        <v>9</v>
      </c>
      <c r="M38" s="3">
        <v>174018.07971287359</v>
      </c>
      <c r="N38" s="3">
        <v>381.92028712641331</v>
      </c>
    </row>
    <row r="39" spans="4:14">
      <c r="L39" s="3">
        <v>10</v>
      </c>
      <c r="M39" s="3">
        <v>173435.69560240986</v>
      </c>
      <c r="N39" s="3">
        <v>484.30439759013825</v>
      </c>
    </row>
    <row r="40" spans="4:14">
      <c r="L40" s="3">
        <v>11</v>
      </c>
      <c r="M40" s="3">
        <v>173150.81424982677</v>
      </c>
      <c r="N40" s="3">
        <v>-350.81424982676981</v>
      </c>
    </row>
    <row r="41" spans="4:14">
      <c r="L41" s="3">
        <v>12</v>
      </c>
      <c r="M41" s="3">
        <v>164482.88936694516</v>
      </c>
      <c r="N41" s="3">
        <v>-1282.8893669451645</v>
      </c>
    </row>
    <row r="42" spans="4:14">
      <c r="L42" s="3">
        <v>13</v>
      </c>
      <c r="M42" s="3">
        <v>163981.42598460862</v>
      </c>
      <c r="N42" s="3">
        <v>-2381.4259846086206</v>
      </c>
    </row>
    <row r="43" spans="4:14">
      <c r="L43" s="3">
        <v>14</v>
      </c>
      <c r="M43" s="3">
        <v>165916.90243958571</v>
      </c>
      <c r="N43" s="3">
        <v>-4316.9024395857123</v>
      </c>
    </row>
    <row r="44" spans="4:14">
      <c r="L44" s="3">
        <v>15</v>
      </c>
      <c r="M44" s="3">
        <v>166144.20450253767</v>
      </c>
      <c r="N44" s="3">
        <v>-5344.2045025376719</v>
      </c>
    </row>
    <row r="45" spans="4:14">
      <c r="L45" s="3">
        <v>16</v>
      </c>
      <c r="M45" s="3">
        <v>162808.6866959499</v>
      </c>
      <c r="N45" s="3">
        <v>-3608.6866959499021</v>
      </c>
    </row>
    <row r="46" spans="4:14">
      <c r="L46" s="3">
        <v>17</v>
      </c>
      <c r="M46" s="3">
        <v>145052.91059496789</v>
      </c>
      <c r="N46" s="3">
        <v>3747.0894050321076</v>
      </c>
    </row>
    <row r="47" spans="4:14">
      <c r="L47" s="3">
        <v>18</v>
      </c>
      <c r="M47" s="3">
        <v>119572.66688362251</v>
      </c>
      <c r="N47" s="3">
        <v>-3876.6668836225144</v>
      </c>
    </row>
    <row r="48" spans="4:14">
      <c r="L48" s="3">
        <v>19</v>
      </c>
      <c r="M48" s="3">
        <v>139910.41333053104</v>
      </c>
      <c r="N48" s="3">
        <v>7289.5866694689612</v>
      </c>
    </row>
    <row r="49" spans="4:14" ht="15.75">
      <c r="D49" s="25" t="s">
        <v>58</v>
      </c>
      <c r="E49" t="s">
        <v>79</v>
      </c>
      <c r="L49" s="3">
        <v>20</v>
      </c>
      <c r="M49" s="3">
        <v>139417.94152506121</v>
      </c>
      <c r="N49" s="3">
        <v>10982.058474938793</v>
      </c>
    </row>
    <row r="50" spans="4:14">
      <c r="E50" t="s">
        <v>80</v>
      </c>
      <c r="L50" s="3">
        <v>21</v>
      </c>
      <c r="M50" s="3">
        <v>141874.82895483889</v>
      </c>
      <c r="N50" s="3">
        <v>10125.171045161114</v>
      </c>
    </row>
    <row r="51" spans="4:14">
      <c r="E51" t="s">
        <v>81</v>
      </c>
      <c r="L51" s="3">
        <v>22</v>
      </c>
      <c r="M51" s="3">
        <v>138044.05835206644</v>
      </c>
      <c r="N51" s="3">
        <v>-2044.0583520664368</v>
      </c>
    </row>
    <row r="52" spans="4:14">
      <c r="D52" s="7"/>
      <c r="L52" s="3">
        <v>23</v>
      </c>
      <c r="M52" s="3">
        <v>133915.03931461673</v>
      </c>
      <c r="N52" s="3">
        <v>-7675.0393146167335</v>
      </c>
    </row>
    <row r="53" spans="4:14">
      <c r="D53" s="8"/>
      <c r="L53" s="3">
        <v>24</v>
      </c>
      <c r="M53" s="3">
        <v>127179.76334015554</v>
      </c>
      <c r="N53" s="3">
        <v>-3291.7633401555358</v>
      </c>
    </row>
    <row r="54" spans="4:14">
      <c r="D54" s="3"/>
      <c r="E54" s="3"/>
      <c r="F54" s="7"/>
      <c r="G54" s="7"/>
      <c r="H54" s="7"/>
      <c r="I54" s="7"/>
      <c r="L54" s="3">
        <v>25</v>
      </c>
      <c r="M54" s="3">
        <v>133969.26014448254</v>
      </c>
      <c r="N54" s="3">
        <v>-7889.2601444825414</v>
      </c>
    </row>
    <row r="55" spans="4:14">
      <c r="D55" s="3"/>
      <c r="E55" s="3"/>
      <c r="F55" s="7"/>
      <c r="G55" s="7"/>
      <c r="H55" s="7"/>
      <c r="I55" s="7"/>
      <c r="L55" s="3">
        <v>26</v>
      </c>
      <c r="M55" s="3">
        <v>143180.19893509345</v>
      </c>
      <c r="N55" s="3">
        <v>8499.8010649065545</v>
      </c>
    </row>
    <row r="56" spans="4:14" ht="15.75" thickBot="1">
      <c r="D56" s="3"/>
      <c r="E56" s="3"/>
      <c r="F56" s="7"/>
      <c r="G56" s="7"/>
      <c r="H56" s="7"/>
      <c r="I56" s="7"/>
      <c r="L56" s="4">
        <v>27</v>
      </c>
      <c r="M56" s="4">
        <v>154647.2201539799</v>
      </c>
      <c r="N56" s="4">
        <v>-1847.2201539798989</v>
      </c>
    </row>
    <row r="57" spans="4:14">
      <c r="D57" s="3"/>
      <c r="E57" s="3"/>
      <c r="F57" s="7"/>
      <c r="G57" s="7"/>
      <c r="H57" s="7"/>
      <c r="I57" s="7"/>
      <c r="J57" s="7"/>
    </row>
    <row r="58" spans="4:14">
      <c r="D58" s="3"/>
      <c r="E58" s="3"/>
      <c r="F58" s="7"/>
      <c r="G58" s="7"/>
      <c r="H58" s="7"/>
      <c r="I58" s="7"/>
      <c r="J58" s="7"/>
    </row>
    <row r="59" spans="4:14">
      <c r="D59" s="7"/>
    </row>
    <row r="60" spans="4:14">
      <c r="D60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33"/>
  <sheetViews>
    <sheetView topLeftCell="D12" zoomScaleNormal="100" workbookViewId="0">
      <selection activeCell="O8" sqref="O8"/>
    </sheetView>
  </sheetViews>
  <sheetFormatPr defaultRowHeight="15"/>
  <cols>
    <col min="3" max="3" width="33.42578125" customWidth="1"/>
    <col min="4" max="4" width="21.85546875" customWidth="1"/>
    <col min="5" max="5" width="14.140625" customWidth="1"/>
    <col min="6" max="6" width="17.85546875" customWidth="1"/>
    <col min="8" max="8" width="23" customWidth="1"/>
    <col min="9" max="9" width="13" customWidth="1"/>
    <col min="10" max="10" width="16.28515625" customWidth="1"/>
    <col min="11" max="11" width="10.28515625" customWidth="1"/>
    <col min="13" max="13" width="12.7109375" customWidth="1"/>
  </cols>
  <sheetData>
    <row r="1" spans="2:16" ht="21">
      <c r="B1" s="26" t="s">
        <v>61</v>
      </c>
      <c r="C1" s="26" t="s">
        <v>62</v>
      </c>
      <c r="D1" s="26"/>
    </row>
    <row r="2" spans="2:16" ht="18.75">
      <c r="C2" s="40" t="s">
        <v>66</v>
      </c>
    </row>
    <row r="3" spans="2:16" ht="15.75">
      <c r="C3" s="41" t="s">
        <v>64</v>
      </c>
      <c r="D3" s="25" t="s">
        <v>82</v>
      </c>
      <c r="E3" s="25"/>
      <c r="G3" s="24" t="s">
        <v>34</v>
      </c>
      <c r="H3" s="23" t="s">
        <v>36</v>
      </c>
      <c r="I3" s="23"/>
      <c r="J3" s="23"/>
      <c r="K3" s="23"/>
      <c r="L3" s="23"/>
      <c r="M3" s="22"/>
    </row>
    <row r="4" spans="2:16" ht="15.75">
      <c r="C4" s="41" t="s">
        <v>65</v>
      </c>
      <c r="D4" s="25" t="s">
        <v>63</v>
      </c>
      <c r="E4" s="25"/>
      <c r="G4" s="24" t="s">
        <v>57</v>
      </c>
      <c r="H4" s="23" t="s">
        <v>35</v>
      </c>
      <c r="I4" s="23"/>
      <c r="J4" s="23"/>
      <c r="K4" s="23"/>
      <c r="L4" s="23"/>
      <c r="M4" s="22"/>
    </row>
    <row r="5" spans="2:16" ht="15.75" thickBot="1"/>
    <row r="6" spans="2:16" ht="15.75" thickBot="1">
      <c r="B6" s="7"/>
      <c r="C6" s="36" t="s">
        <v>71</v>
      </c>
      <c r="D6" s="37" t="s">
        <v>37</v>
      </c>
      <c r="E6" s="38" t="s">
        <v>32</v>
      </c>
      <c r="F6" s="39" t="s">
        <v>33</v>
      </c>
      <c r="H6" s="17" t="s">
        <v>6</v>
      </c>
    </row>
    <row r="7" spans="2:16" ht="15.75" thickBot="1">
      <c r="C7" s="29">
        <v>188848.91437411567</v>
      </c>
      <c r="D7" s="21">
        <v>35663912460.282074</v>
      </c>
      <c r="E7" s="30">
        <v>3151.0856258843269</v>
      </c>
      <c r="F7" s="31">
        <f t="shared" ref="F7:F33" si="0">E7*E7</f>
        <v>9929340.6216548197</v>
      </c>
      <c r="N7" t="s">
        <v>38</v>
      </c>
      <c r="O7">
        <f>I13*I10</f>
        <v>8.0351462054871394</v>
      </c>
    </row>
    <row r="8" spans="2:16">
      <c r="C8" s="29">
        <v>187778.95482738264</v>
      </c>
      <c r="D8" s="21">
        <v>35260935876.064209</v>
      </c>
      <c r="E8" s="30">
        <v>2621.0451726173633</v>
      </c>
      <c r="F8" s="31">
        <f t="shared" si="0"/>
        <v>6869877.7969007837</v>
      </c>
      <c r="H8" s="6" t="s">
        <v>7</v>
      </c>
      <c r="I8" s="6"/>
      <c r="N8" t="s">
        <v>39</v>
      </c>
      <c r="O8">
        <f>I17</f>
        <v>2</v>
      </c>
    </row>
    <row r="9" spans="2:16">
      <c r="C9" s="29">
        <v>188493.83232660394</v>
      </c>
      <c r="D9" s="21">
        <v>35529924825.169876</v>
      </c>
      <c r="E9" s="30">
        <v>2706.167673396063</v>
      </c>
      <c r="F9" s="31">
        <f t="shared" si="0"/>
        <v>7323343.4765338609</v>
      </c>
      <c r="H9" s="3" t="s">
        <v>8</v>
      </c>
      <c r="I9" s="3">
        <v>0.54552544176292528</v>
      </c>
      <c r="N9" s="42" t="s">
        <v>40</v>
      </c>
      <c r="O9" s="42">
        <f>_xlfn.CHISQ.DIST.RT(O7,O8)</f>
        <v>1.799658785361365E-2</v>
      </c>
      <c r="P9" t="s">
        <v>70</v>
      </c>
    </row>
    <row r="10" spans="2:16">
      <c r="C10" s="29">
        <v>181358.58585173383</v>
      </c>
      <c r="D10" s="21">
        <v>32890936662.140713</v>
      </c>
      <c r="E10" s="30">
        <v>-3758.5858517338347</v>
      </c>
      <c r="F10" s="31">
        <f t="shared" si="0"/>
        <v>14126967.604853755</v>
      </c>
      <c r="H10" s="3" t="s">
        <v>9</v>
      </c>
      <c r="I10" s="3">
        <v>0.29759800761063482</v>
      </c>
    </row>
    <row r="11" spans="2:16">
      <c r="C11" s="29">
        <v>179755.16166812909</v>
      </c>
      <c r="D11" s="21">
        <v>32311918146.335224</v>
      </c>
      <c r="E11" s="30">
        <v>-2955.1616681290907</v>
      </c>
      <c r="F11" s="31">
        <f t="shared" si="0"/>
        <v>8732980.4847795106</v>
      </c>
      <c r="H11" s="3" t="s">
        <v>10</v>
      </c>
      <c r="I11" s="3">
        <v>0.23906450824485437</v>
      </c>
      <c r="N11" t="s">
        <v>41</v>
      </c>
      <c r="O11">
        <f>(I10/I17)/((1-I10)/I18)</f>
        <v>5.0842339999343205</v>
      </c>
    </row>
    <row r="12" spans="2:16">
      <c r="C12" s="29">
        <v>180691.27153467014</v>
      </c>
      <c r="D12" s="21">
        <v>32649335608.815899</v>
      </c>
      <c r="E12" s="30">
        <v>-2291.2715346701443</v>
      </c>
      <c r="F12" s="31">
        <f t="shared" si="0"/>
        <v>5249925.2455896782</v>
      </c>
      <c r="H12" s="3" t="s">
        <v>11</v>
      </c>
      <c r="I12" s="3">
        <v>28418771.363474883</v>
      </c>
      <c r="N12" t="s">
        <v>44</v>
      </c>
      <c r="O12">
        <f>I17</f>
        <v>2</v>
      </c>
    </row>
    <row r="13" spans="2:16" ht="15.75" thickBot="1">
      <c r="C13" s="29">
        <v>178521.21984697063</v>
      </c>
      <c r="D13" s="21">
        <v>31869825935.650421</v>
      </c>
      <c r="E13" s="30">
        <v>2278.7801530293655</v>
      </c>
      <c r="F13" s="31">
        <f t="shared" si="0"/>
        <v>5192838.9858405385</v>
      </c>
      <c r="H13" s="4" t="s">
        <v>12</v>
      </c>
      <c r="I13" s="4">
        <v>27</v>
      </c>
      <c r="N13" t="s">
        <v>43</v>
      </c>
      <c r="O13">
        <f>I18</f>
        <v>24</v>
      </c>
    </row>
    <row r="14" spans="2:16">
      <c r="C14" s="29">
        <v>174553.05948624009</v>
      </c>
      <c r="D14" s="21">
        <v>30468770576.00687</v>
      </c>
      <c r="E14" s="30">
        <v>646.94051375990966</v>
      </c>
      <c r="F14" s="31">
        <f t="shared" si="0"/>
        <v>418532.02834393585</v>
      </c>
      <c r="N14" s="42" t="s">
        <v>42</v>
      </c>
      <c r="O14" s="42">
        <f>_xlfn.F.DIST.RT(O11,O12,O13)</f>
        <v>1.4422110459201973E-2</v>
      </c>
      <c r="P14" t="s">
        <v>70</v>
      </c>
    </row>
    <row r="15" spans="2:16" ht="15.75" thickBot="1">
      <c r="C15" s="29">
        <v>174018.07971287359</v>
      </c>
      <c r="D15" s="21">
        <v>30282292066.956024</v>
      </c>
      <c r="E15" s="30">
        <v>381.92028712641331</v>
      </c>
      <c r="F15" s="31">
        <f t="shared" si="0"/>
        <v>145863.10571872198</v>
      </c>
      <c r="H15" s="17" t="s">
        <v>13</v>
      </c>
    </row>
    <row r="16" spans="2:16">
      <c r="C16" s="29">
        <v>173435.69560240986</v>
      </c>
      <c r="D16" s="21">
        <v>30079940509.09177</v>
      </c>
      <c r="E16" s="30">
        <v>484.30439759013825</v>
      </c>
      <c r="F16" s="31">
        <f t="shared" si="0"/>
        <v>234550.7495251467</v>
      </c>
      <c r="H16" s="5"/>
      <c r="I16" s="5" t="s">
        <v>18</v>
      </c>
      <c r="J16" s="5" t="s">
        <v>19</v>
      </c>
      <c r="K16" s="5" t="s">
        <v>20</v>
      </c>
      <c r="L16" s="5" t="s">
        <v>21</v>
      </c>
      <c r="M16" s="5" t="s">
        <v>22</v>
      </c>
    </row>
    <row r="17" spans="3:16">
      <c r="C17" s="29">
        <v>173150.81424982677</v>
      </c>
      <c r="D17" s="21">
        <v>29981204475.378014</v>
      </c>
      <c r="E17" s="30">
        <v>-350.81424982676981</v>
      </c>
      <c r="F17" s="31">
        <f t="shared" si="0"/>
        <v>123070.63788151926</v>
      </c>
      <c r="H17" s="3" t="s">
        <v>14</v>
      </c>
      <c r="I17" s="3">
        <v>2</v>
      </c>
      <c r="J17" s="3">
        <v>8212324890277300</v>
      </c>
      <c r="K17" s="3">
        <v>4106162445138650</v>
      </c>
      <c r="L17" s="3">
        <v>5.0842339999343205</v>
      </c>
      <c r="M17" s="3">
        <v>1.4422110459201973E-2</v>
      </c>
    </row>
    <row r="18" spans="3:16">
      <c r="C18" s="29">
        <v>164482.88936694516</v>
      </c>
      <c r="D18" s="21">
        <v>27054620894.498722</v>
      </c>
      <c r="E18" s="30">
        <v>-1282.8893669451645</v>
      </c>
      <c r="F18" s="31">
        <f t="shared" si="0"/>
        <v>1645805.1278209649</v>
      </c>
      <c r="H18" s="3" t="s">
        <v>15</v>
      </c>
      <c r="I18" s="3">
        <v>24</v>
      </c>
      <c r="J18" s="3">
        <v>1.9383037579427044E+16</v>
      </c>
      <c r="K18" s="3">
        <v>807626565809460.13</v>
      </c>
      <c r="L18" s="3"/>
      <c r="M18" s="3"/>
    </row>
    <row r="19" spans="3:16" ht="15.75" thickBot="1">
      <c r="C19" s="29">
        <v>163981.42598460862</v>
      </c>
      <c r="D19" s="21">
        <v>26889908067.945675</v>
      </c>
      <c r="E19" s="30">
        <v>-2381.4259846086206</v>
      </c>
      <c r="F19" s="31">
        <f t="shared" si="0"/>
        <v>5671189.7201691382</v>
      </c>
      <c r="H19" s="4" t="s">
        <v>16</v>
      </c>
      <c r="I19" s="4">
        <v>26</v>
      </c>
      <c r="J19" s="4">
        <v>2.7595362469704344E+16</v>
      </c>
      <c r="K19" s="4"/>
      <c r="L19" s="4"/>
      <c r="M19" s="4"/>
    </row>
    <row r="20" spans="3:16" ht="15.75" thickBot="1">
      <c r="C20" s="29">
        <v>165916.90243958571</v>
      </c>
      <c r="D20" s="21">
        <v>27528418515.147003</v>
      </c>
      <c r="E20" s="30">
        <v>-4316.9024395857123</v>
      </c>
      <c r="F20" s="31">
        <f t="shared" si="0"/>
        <v>18635646.672901075</v>
      </c>
    </row>
    <row r="21" spans="3:16">
      <c r="C21" s="29">
        <v>166144.20450253767</v>
      </c>
      <c r="D21" s="21">
        <v>27603896689.781059</v>
      </c>
      <c r="E21" s="30">
        <v>-5344.2045025376719</v>
      </c>
      <c r="F21" s="31">
        <f t="shared" si="0"/>
        <v>28560521.764943924</v>
      </c>
      <c r="H21" s="5"/>
      <c r="I21" s="5" t="s">
        <v>23</v>
      </c>
      <c r="J21" s="5" t="s">
        <v>11</v>
      </c>
      <c r="K21" s="5" t="s">
        <v>24</v>
      </c>
      <c r="L21" s="5" t="s">
        <v>25</v>
      </c>
      <c r="M21" s="5" t="s">
        <v>26</v>
      </c>
      <c r="N21" s="5" t="s">
        <v>27</v>
      </c>
      <c r="O21" s="5" t="s">
        <v>28</v>
      </c>
      <c r="P21" s="5" t="s">
        <v>29</v>
      </c>
    </row>
    <row r="22" spans="3:16">
      <c r="C22" s="29">
        <v>162808.6866959499</v>
      </c>
      <c r="D22" s="21">
        <v>26506668463.659973</v>
      </c>
      <c r="E22" s="30">
        <v>-3608.6866959499021</v>
      </c>
      <c r="F22" s="31">
        <f t="shared" si="0"/>
        <v>13022619.669525821</v>
      </c>
      <c r="H22" s="3" t="s">
        <v>17</v>
      </c>
      <c r="I22" s="3">
        <v>-99654802.284242928</v>
      </c>
      <c r="J22" s="3">
        <v>380326362.39121646</v>
      </c>
      <c r="K22" s="3">
        <v>-0.26202444042449691</v>
      </c>
      <c r="L22" s="3">
        <v>0.79553844438260013</v>
      </c>
      <c r="M22" s="3">
        <v>-884609834.57269382</v>
      </c>
      <c r="N22" s="3">
        <v>685300230.00420785</v>
      </c>
      <c r="O22" s="3">
        <v>-884609834.57269382</v>
      </c>
      <c r="P22" s="3">
        <v>685300230.00420785</v>
      </c>
    </row>
    <row r="23" spans="3:16">
      <c r="C23" s="29">
        <v>145052.91059496789</v>
      </c>
      <c r="D23" s="21">
        <v>21040346872.071747</v>
      </c>
      <c r="E23" s="30">
        <v>3747.0894050321076</v>
      </c>
      <c r="F23" s="31">
        <f t="shared" si="0"/>
        <v>14040679.009303873</v>
      </c>
      <c r="H23" s="3" t="s">
        <v>71</v>
      </c>
      <c r="I23" s="3">
        <v>2499.9880565996768</v>
      </c>
      <c r="J23" s="3">
        <v>4903.6475408307533</v>
      </c>
      <c r="K23" s="3">
        <v>0.50982213460148895</v>
      </c>
      <c r="L23" s="3">
        <v>0.61483260134743767</v>
      </c>
      <c r="M23" s="3">
        <v>-7620.6430496517187</v>
      </c>
      <c r="N23" s="3">
        <v>12620.619162851073</v>
      </c>
      <c r="O23" s="3">
        <v>-7620.6430496517187</v>
      </c>
      <c r="P23" s="3">
        <v>12620.619162851073</v>
      </c>
    </row>
    <row r="24" spans="3:16" ht="15.75" thickBot="1">
      <c r="C24" s="29">
        <v>119572.66688362251</v>
      </c>
      <c r="D24" s="21">
        <v>14297622665.661757</v>
      </c>
      <c r="E24" s="30">
        <v>-3876.6668836225144</v>
      </c>
      <c r="F24" s="31">
        <f t="shared" si="0"/>
        <v>15028546.126575498</v>
      </c>
      <c r="H24" s="4" t="s">
        <v>37</v>
      </c>
      <c r="I24" s="4">
        <v>-1.0629395175055678E-2</v>
      </c>
      <c r="J24" s="4">
        <v>1.5590510502459964E-2</v>
      </c>
      <c r="K24" s="4">
        <v>-0.68178621690280816</v>
      </c>
      <c r="L24" s="4">
        <v>0.50190117043643934</v>
      </c>
      <c r="M24" s="4">
        <v>-4.2806627376129426E-2</v>
      </c>
      <c r="N24" s="4">
        <v>2.154783702601807E-2</v>
      </c>
      <c r="O24" s="4">
        <v>-4.2806627376129426E-2</v>
      </c>
      <c r="P24" s="4">
        <v>2.154783702601807E-2</v>
      </c>
    </row>
    <row r="25" spans="3:16">
      <c r="C25" s="29">
        <v>139910.41333053104</v>
      </c>
      <c r="D25" s="21">
        <v>19574923758.320038</v>
      </c>
      <c r="E25" s="30">
        <v>7289.5866694689612</v>
      </c>
      <c r="F25" s="31">
        <f t="shared" si="0"/>
        <v>53138073.811699584</v>
      </c>
    </row>
    <row r="26" spans="3:16">
      <c r="C26" s="29">
        <v>139417.94152506121</v>
      </c>
      <c r="D26" s="21">
        <v>19437362419.085384</v>
      </c>
      <c r="E26" s="30">
        <v>10982.058474938793</v>
      </c>
      <c r="F26" s="31">
        <f t="shared" si="0"/>
        <v>120605608.34697495</v>
      </c>
    </row>
    <row r="27" spans="3:16" ht="15.75">
      <c r="C27" s="29">
        <v>141874.82895483889</v>
      </c>
      <c r="D27" s="21">
        <v>20128467090.96479</v>
      </c>
      <c r="E27" s="30">
        <v>10125.171045161114</v>
      </c>
      <c r="F27" s="31">
        <f t="shared" si="0"/>
        <v>102519088.69376901</v>
      </c>
      <c r="H27" s="41" t="s">
        <v>67</v>
      </c>
      <c r="I27" t="s">
        <v>68</v>
      </c>
    </row>
    <row r="28" spans="3:16">
      <c r="C28" s="29">
        <v>138044.05835206644</v>
      </c>
      <c r="D28" s="21">
        <v>19056162046.308723</v>
      </c>
      <c r="E28" s="30">
        <v>-2044.0583520664368</v>
      </c>
      <c r="F28" s="31">
        <f t="shared" si="0"/>
        <v>4178174.5466525573</v>
      </c>
      <c r="I28" t="s">
        <v>69</v>
      </c>
    </row>
    <row r="29" spans="3:16">
      <c r="C29" s="29">
        <v>133915.03931461673</v>
      </c>
      <c r="D29" s="21">
        <v>17933237754.635345</v>
      </c>
      <c r="E29" s="30">
        <v>-7675.0393146167335</v>
      </c>
      <c r="F29" s="31">
        <f t="shared" si="0"/>
        <v>58906228.480912499</v>
      </c>
      <c r="I29" t="s">
        <v>81</v>
      </c>
    </row>
    <row r="30" spans="3:16">
      <c r="C30" s="29">
        <v>127179.76334015554</v>
      </c>
      <c r="D30" s="21">
        <v>16174692203.257971</v>
      </c>
      <c r="E30" s="30">
        <v>-3291.7633401555358</v>
      </c>
      <c r="F30" s="31">
        <f t="shared" si="0"/>
        <v>10835705.88759193</v>
      </c>
    </row>
    <row r="31" spans="3:16">
      <c r="C31" s="29">
        <v>133969.26014448254</v>
      </c>
      <c r="D31" s="21">
        <v>17947762663.660038</v>
      </c>
      <c r="E31" s="30">
        <v>-7889.2601444825414</v>
      </c>
      <c r="F31" s="31">
        <f t="shared" si="0"/>
        <v>62240425.627320692</v>
      </c>
    </row>
    <row r="32" spans="3:16">
      <c r="C32" s="29">
        <v>143180.19893509345</v>
      </c>
      <c r="D32" s="21">
        <v>20500569367.092934</v>
      </c>
      <c r="E32" s="30">
        <v>8499.8010649065545</v>
      </c>
      <c r="F32" s="31">
        <f t="shared" si="0"/>
        <v>72246618.142986596</v>
      </c>
    </row>
    <row r="33" spans="3:6" ht="15.75" thickBot="1">
      <c r="C33" s="32">
        <v>154647.2201539799</v>
      </c>
      <c r="D33" s="33">
        <v>23915762701.353527</v>
      </c>
      <c r="E33" s="34">
        <v>-1847.2201539798989</v>
      </c>
      <c r="F33" s="35">
        <f t="shared" si="0"/>
        <v>3412222.2972695213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86"/>
  <sheetViews>
    <sheetView tabSelected="1" topLeftCell="A65" zoomScaleNormal="100" workbookViewId="0">
      <selection activeCell="G3" sqref="G3"/>
    </sheetView>
  </sheetViews>
  <sheetFormatPr defaultRowHeight="15"/>
  <cols>
    <col min="2" max="2" width="38.28515625" bestFit="1" customWidth="1"/>
    <col min="3" max="3" width="16.140625" customWidth="1"/>
    <col min="4" max="4" width="16.85546875" customWidth="1"/>
    <col min="5" max="5" width="12.28515625" customWidth="1"/>
    <col min="6" max="6" width="14.28515625" customWidth="1"/>
    <col min="7" max="7" width="10.42578125" customWidth="1"/>
    <col min="10" max="10" width="21.5703125" customWidth="1"/>
    <col min="11" max="11" width="19.7109375" customWidth="1"/>
    <col min="12" max="12" width="11.28515625" customWidth="1"/>
    <col min="13" max="13" width="18.140625" customWidth="1"/>
    <col min="14" max="14" width="15.7109375" customWidth="1"/>
    <col min="15" max="15" width="15.140625" customWidth="1"/>
  </cols>
  <sheetData>
    <row r="1" spans="2:15" ht="28.5">
      <c r="D1" s="46" t="s">
        <v>73</v>
      </c>
      <c r="E1" s="44"/>
      <c r="F1" s="44"/>
      <c r="G1" s="44"/>
      <c r="H1" s="44"/>
      <c r="I1" s="44"/>
      <c r="J1" s="44"/>
    </row>
    <row r="2" spans="2:15" ht="46.5" customHeight="1">
      <c r="B2" s="14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43" t="s">
        <v>45</v>
      </c>
      <c r="J2" s="17" t="s">
        <v>72</v>
      </c>
      <c r="K2" s="17" t="s">
        <v>49</v>
      </c>
      <c r="L2" s="17"/>
      <c r="M2" s="17"/>
    </row>
    <row r="3" spans="2:15">
      <c r="B3" s="15">
        <v>192000</v>
      </c>
      <c r="C3" s="11">
        <v>15</v>
      </c>
      <c r="D3" s="11">
        <v>1800000</v>
      </c>
      <c r="E3" s="11">
        <v>5800</v>
      </c>
      <c r="F3" s="11">
        <v>50</v>
      </c>
      <c r="G3" s="43">
        <f>LOG10(B3)</f>
        <v>5.2833012287035492</v>
      </c>
      <c r="J3" s="17"/>
      <c r="K3" s="17" t="s">
        <v>50</v>
      </c>
      <c r="L3" s="17"/>
      <c r="M3" s="17"/>
    </row>
    <row r="4" spans="2:15">
      <c r="B4" s="15">
        <v>190400</v>
      </c>
      <c r="C4" s="11">
        <v>15</v>
      </c>
      <c r="D4" s="11">
        <v>1790000</v>
      </c>
      <c r="E4" s="11">
        <v>6200</v>
      </c>
      <c r="F4" s="11">
        <v>50</v>
      </c>
      <c r="G4" s="43">
        <f t="shared" ref="G4:G28" si="0">LOG10(B4)</f>
        <v>5.2796669440484552</v>
      </c>
      <c r="J4" s="17" t="s">
        <v>6</v>
      </c>
    </row>
    <row r="5" spans="2:15" ht="15.75" thickBot="1">
      <c r="B5" s="15">
        <v>191200</v>
      </c>
      <c r="C5" s="11">
        <v>15</v>
      </c>
      <c r="D5" s="11">
        <v>1780000</v>
      </c>
      <c r="E5" s="11">
        <v>6400</v>
      </c>
      <c r="F5" s="11">
        <v>60</v>
      </c>
      <c r="G5" s="43">
        <f t="shared" si="0"/>
        <v>5.2814878879400808</v>
      </c>
    </row>
    <row r="6" spans="2:15">
      <c r="B6" s="15">
        <v>177600</v>
      </c>
      <c r="C6" s="11">
        <v>25</v>
      </c>
      <c r="D6" s="11">
        <v>1778000</v>
      </c>
      <c r="E6" s="11">
        <v>6500</v>
      </c>
      <c r="F6" s="11">
        <v>60</v>
      </c>
      <c r="G6" s="43">
        <f t="shared" si="0"/>
        <v>5.2494429614425826</v>
      </c>
      <c r="J6" s="6" t="s">
        <v>7</v>
      </c>
      <c r="K6" s="6"/>
    </row>
    <row r="7" spans="2:15">
      <c r="B7" s="15">
        <v>176800</v>
      </c>
      <c r="C7" s="11">
        <v>25</v>
      </c>
      <c r="D7" s="11">
        <v>1750000</v>
      </c>
      <c r="E7" s="11">
        <v>6550</v>
      </c>
      <c r="F7" s="11">
        <v>60</v>
      </c>
      <c r="G7" s="43">
        <f t="shared" si="0"/>
        <v>5.2474822606770539</v>
      </c>
      <c r="J7" s="3" t="s">
        <v>8</v>
      </c>
      <c r="K7" s="3">
        <v>0.99890059872078885</v>
      </c>
    </row>
    <row r="8" spans="2:15">
      <c r="B8" s="15">
        <v>178400</v>
      </c>
      <c r="C8" s="11">
        <v>25</v>
      </c>
      <c r="D8" s="11">
        <v>1740000</v>
      </c>
      <c r="E8" s="11">
        <v>6580</v>
      </c>
      <c r="F8" s="11">
        <v>70</v>
      </c>
      <c r="G8" s="43">
        <f t="shared" si="0"/>
        <v>5.2513948500401044</v>
      </c>
      <c r="J8" s="3" t="s">
        <v>9</v>
      </c>
      <c r="K8" s="3">
        <v>0.99780240612475035</v>
      </c>
    </row>
    <row r="9" spans="2:15">
      <c r="B9" s="15">
        <v>180800</v>
      </c>
      <c r="C9" s="11">
        <v>25</v>
      </c>
      <c r="D9" s="11">
        <v>1725000</v>
      </c>
      <c r="E9" s="11">
        <v>8200</v>
      </c>
      <c r="F9" s="11">
        <v>75</v>
      </c>
      <c r="G9" s="43">
        <f t="shared" si="0"/>
        <v>5.2571984261393441</v>
      </c>
      <c r="J9" s="3" t="s">
        <v>10</v>
      </c>
      <c r="K9" s="3">
        <v>0.99740284360197762</v>
      </c>
    </row>
    <row r="10" spans="2:15">
      <c r="B10" s="15">
        <v>175200</v>
      </c>
      <c r="C10" s="11">
        <v>30</v>
      </c>
      <c r="D10" s="11">
        <v>1725000</v>
      </c>
      <c r="E10" s="11">
        <v>8600</v>
      </c>
      <c r="F10" s="11">
        <v>75</v>
      </c>
      <c r="G10" s="43">
        <f t="shared" si="0"/>
        <v>5.2435341018320623</v>
      </c>
      <c r="J10" s="3" t="s">
        <v>11</v>
      </c>
      <c r="K10" s="3">
        <v>3.0798989254325611E-3</v>
      </c>
    </row>
    <row r="11" spans="2:15" ht="15.75" thickBot="1">
      <c r="B11" s="15">
        <v>174400</v>
      </c>
      <c r="C11" s="11">
        <v>30</v>
      </c>
      <c r="D11" s="11">
        <v>1720000</v>
      </c>
      <c r="E11" s="11">
        <v>8800</v>
      </c>
      <c r="F11" s="11">
        <v>75</v>
      </c>
      <c r="G11" s="43">
        <f t="shared" si="0"/>
        <v>5.2415464805965488</v>
      </c>
      <c r="J11" s="4" t="s">
        <v>12</v>
      </c>
      <c r="K11" s="4">
        <v>27</v>
      </c>
    </row>
    <row r="12" spans="2:15">
      <c r="B12" s="15">
        <v>173920</v>
      </c>
      <c r="C12" s="11">
        <v>30</v>
      </c>
      <c r="D12" s="11">
        <v>1705000</v>
      </c>
      <c r="E12" s="11">
        <v>9200</v>
      </c>
      <c r="F12" s="11">
        <v>80</v>
      </c>
      <c r="G12" s="43">
        <f t="shared" si="0"/>
        <v>5.2403495267422189</v>
      </c>
    </row>
    <row r="13" spans="2:15" ht="15.75" thickBot="1">
      <c r="B13" s="15">
        <v>172800</v>
      </c>
      <c r="C13" s="11">
        <v>30</v>
      </c>
      <c r="D13" s="11">
        <v>1710000</v>
      </c>
      <c r="E13" s="11">
        <v>9630</v>
      </c>
      <c r="F13" s="11">
        <v>80</v>
      </c>
      <c r="G13" s="43">
        <f t="shared" si="0"/>
        <v>5.2375437381428744</v>
      </c>
      <c r="J13" s="17" t="s">
        <v>13</v>
      </c>
    </row>
    <row r="14" spans="2:15">
      <c r="B14" s="15">
        <v>163200</v>
      </c>
      <c r="C14" s="11">
        <v>40</v>
      </c>
      <c r="D14" s="11">
        <v>1700000</v>
      </c>
      <c r="E14" s="11">
        <v>10570</v>
      </c>
      <c r="F14" s="11">
        <v>80</v>
      </c>
      <c r="G14" s="43">
        <f t="shared" si="0"/>
        <v>5.2127201544178421</v>
      </c>
      <c r="J14" s="5"/>
      <c r="K14" s="5" t="s">
        <v>18</v>
      </c>
      <c r="L14" s="5" t="s">
        <v>19</v>
      </c>
      <c r="M14" s="5" t="s">
        <v>20</v>
      </c>
      <c r="N14" s="5" t="s">
        <v>21</v>
      </c>
      <c r="O14" s="5" t="s">
        <v>22</v>
      </c>
    </row>
    <row r="15" spans="2:15">
      <c r="B15" s="15">
        <v>161600</v>
      </c>
      <c r="C15" s="11">
        <v>40</v>
      </c>
      <c r="D15" s="11">
        <v>1695000</v>
      </c>
      <c r="E15" s="11">
        <v>11330</v>
      </c>
      <c r="F15" s="11">
        <v>85</v>
      </c>
      <c r="G15" s="43">
        <f t="shared" si="0"/>
        <v>5.2084413564385672</v>
      </c>
      <c r="J15" s="3" t="s">
        <v>14</v>
      </c>
      <c r="K15" s="3">
        <v>4</v>
      </c>
      <c r="L15" s="3">
        <v>9.4752945685747145E-2</v>
      </c>
      <c r="M15" s="3">
        <v>2.3688236421436786E-2</v>
      </c>
      <c r="N15" s="3">
        <v>2497.2372263563748</v>
      </c>
      <c r="O15" s="3">
        <v>6.9139668132511385E-29</v>
      </c>
    </row>
    <row r="16" spans="2:15">
      <c r="B16" s="15">
        <v>161600</v>
      </c>
      <c r="C16" s="11">
        <v>40</v>
      </c>
      <c r="D16" s="11">
        <v>1695000</v>
      </c>
      <c r="E16" s="11">
        <v>11600</v>
      </c>
      <c r="F16" s="11">
        <v>100</v>
      </c>
      <c r="G16" s="43">
        <f t="shared" si="0"/>
        <v>5.2084413564385672</v>
      </c>
      <c r="J16" s="3" t="s">
        <v>15</v>
      </c>
      <c r="K16" s="3">
        <v>22</v>
      </c>
      <c r="L16" s="3">
        <v>2.0868710259937416E-4</v>
      </c>
      <c r="M16" s="3">
        <v>9.4857773908806435E-6</v>
      </c>
      <c r="N16" s="3"/>
      <c r="O16" s="3"/>
    </row>
    <row r="17" spans="2:18" ht="15.75" thickBot="1">
      <c r="B17" s="15">
        <v>160800</v>
      </c>
      <c r="C17" s="11">
        <v>40</v>
      </c>
      <c r="D17" s="11">
        <v>1690000</v>
      </c>
      <c r="E17" s="11">
        <v>11800</v>
      </c>
      <c r="F17" s="11">
        <v>105</v>
      </c>
      <c r="G17" s="43">
        <f t="shared" si="0"/>
        <v>5.2062860444124324</v>
      </c>
      <c r="J17" s="4" t="s">
        <v>16</v>
      </c>
      <c r="K17" s="4">
        <v>26</v>
      </c>
      <c r="L17" s="4">
        <v>9.4961632788346517E-2</v>
      </c>
      <c r="M17" s="4"/>
      <c r="N17" s="4"/>
      <c r="O17" s="4"/>
    </row>
    <row r="18" spans="2:18" ht="15.75" thickBot="1">
      <c r="B18" s="15">
        <v>159200</v>
      </c>
      <c r="C18" s="11">
        <v>40</v>
      </c>
      <c r="D18" s="11">
        <v>1630000</v>
      </c>
      <c r="E18" s="11">
        <v>11830</v>
      </c>
      <c r="F18" s="11">
        <v>105</v>
      </c>
      <c r="G18" s="43">
        <f t="shared" si="0"/>
        <v>5.2019430634016501</v>
      </c>
    </row>
    <row r="19" spans="2:18">
      <c r="B19" s="15">
        <v>148800</v>
      </c>
      <c r="C19" s="11">
        <v>65</v>
      </c>
      <c r="D19" s="11">
        <v>1640000</v>
      </c>
      <c r="E19" s="11">
        <v>12650</v>
      </c>
      <c r="F19" s="11">
        <v>105</v>
      </c>
      <c r="G19" s="43">
        <f t="shared" si="0"/>
        <v>5.1726029312098598</v>
      </c>
      <c r="J19" s="5"/>
      <c r="K19" s="5" t="s">
        <v>23</v>
      </c>
      <c r="L19" s="5" t="s">
        <v>11</v>
      </c>
      <c r="M19" s="5" t="s">
        <v>24</v>
      </c>
      <c r="N19" s="5" t="s">
        <v>25</v>
      </c>
      <c r="O19" s="5" t="s">
        <v>26</v>
      </c>
      <c r="P19" s="5" t="s">
        <v>27</v>
      </c>
      <c r="Q19" s="5" t="s">
        <v>28</v>
      </c>
      <c r="R19" s="5" t="s">
        <v>29</v>
      </c>
    </row>
    <row r="20" spans="2:18">
      <c r="B20" s="15">
        <v>115696</v>
      </c>
      <c r="C20" s="11">
        <v>102</v>
      </c>
      <c r="D20" s="11">
        <v>1635000</v>
      </c>
      <c r="E20" s="11">
        <v>13000</v>
      </c>
      <c r="F20" s="11">
        <v>110</v>
      </c>
      <c r="G20" s="43">
        <f t="shared" si="0"/>
        <v>5.0633183441898018</v>
      </c>
      <c r="J20" s="3" t="s">
        <v>17</v>
      </c>
      <c r="K20" s="3">
        <v>4.8616575775562643</v>
      </c>
      <c r="L20" s="3">
        <v>7.7957596331656109E-2</v>
      </c>
      <c r="M20" s="3">
        <v>62.362846038418695</v>
      </c>
      <c r="N20" s="3">
        <v>3.0078017012236121E-26</v>
      </c>
      <c r="O20" s="3">
        <v>4.6999834180855089</v>
      </c>
      <c r="P20" s="3">
        <v>5.0233317370270196</v>
      </c>
      <c r="Q20" s="3">
        <v>4.6999834180855089</v>
      </c>
      <c r="R20" s="3">
        <v>5.0233317370270196</v>
      </c>
    </row>
    <row r="21" spans="2:18">
      <c r="B21" s="15">
        <v>147200</v>
      </c>
      <c r="C21" s="11">
        <v>75</v>
      </c>
      <c r="D21" s="11">
        <v>1630000</v>
      </c>
      <c r="E21" s="11">
        <v>13224</v>
      </c>
      <c r="F21" s="11">
        <v>125</v>
      </c>
      <c r="G21" s="43">
        <f t="shared" si="0"/>
        <v>5.1679078100014797</v>
      </c>
      <c r="J21" s="3" t="s">
        <v>52</v>
      </c>
      <c r="K21" s="3">
        <v>2.9557891463938127E-6</v>
      </c>
      <c r="L21" s="3">
        <v>1.1116832106178471E-7</v>
      </c>
      <c r="M21" s="3">
        <v>26.588412221779038</v>
      </c>
      <c r="N21" s="3">
        <v>3.2277821294074979E-18</v>
      </c>
      <c r="O21" s="3">
        <v>2.7252401593396694E-6</v>
      </c>
      <c r="P21" s="3">
        <v>3.186338133447956E-6</v>
      </c>
      <c r="Q21" s="3">
        <v>2.7252401593396694E-6</v>
      </c>
      <c r="R21" s="3">
        <v>3.186338133447956E-6</v>
      </c>
    </row>
    <row r="22" spans="2:18">
      <c r="B22" s="15">
        <v>150400</v>
      </c>
      <c r="C22" s="11">
        <v>75</v>
      </c>
      <c r="D22" s="11">
        <v>1620000</v>
      </c>
      <c r="E22" s="11">
        <v>13766</v>
      </c>
      <c r="F22" s="11">
        <v>130</v>
      </c>
      <c r="G22" s="43">
        <f t="shared" si="0"/>
        <v>5.1772478362556233</v>
      </c>
      <c r="J22" s="3" t="s">
        <v>53</v>
      </c>
      <c r="K22" s="3">
        <v>-1.8293542537462084E-4</v>
      </c>
      <c r="L22" s="3">
        <v>9.3935785215613817E-5</v>
      </c>
      <c r="M22" s="3">
        <v>-1.9474519210620671</v>
      </c>
      <c r="N22" s="3">
        <v>6.4355585014451683E-2</v>
      </c>
      <c r="O22" s="3">
        <v>-3.7774632044569947E-4</v>
      </c>
      <c r="P22" s="3">
        <v>1.1875469696457811E-5</v>
      </c>
      <c r="Q22" s="3">
        <v>-3.7774632044569947E-4</v>
      </c>
      <c r="R22" s="3">
        <v>1.1875469696457811E-5</v>
      </c>
    </row>
    <row r="23" spans="2:18">
      <c r="B23" s="15">
        <v>152000</v>
      </c>
      <c r="C23" s="11">
        <v>75</v>
      </c>
      <c r="D23" s="11">
        <v>1615000</v>
      </c>
      <c r="E23" s="11">
        <v>14010</v>
      </c>
      <c r="F23" s="11">
        <v>150</v>
      </c>
      <c r="G23" s="43">
        <f t="shared" si="0"/>
        <v>5.1818435879447726</v>
      </c>
      <c r="J23" s="3" t="s">
        <v>54</v>
      </c>
      <c r="K23" s="3">
        <v>-8.0464750865754009E-8</v>
      </c>
      <c r="L23" s="3">
        <v>4.1714814386698797E-8</v>
      </c>
      <c r="M23" s="3">
        <v>-1.9289250605274426</v>
      </c>
      <c r="N23" s="3">
        <v>6.674048799631227E-2</v>
      </c>
      <c r="O23" s="3">
        <v>-1.6697598095494405E-7</v>
      </c>
      <c r="P23" s="3">
        <v>6.0464792234360192E-9</v>
      </c>
      <c r="Q23" s="3">
        <v>-1.6697598095494405E-7</v>
      </c>
      <c r="R23" s="3">
        <v>6.0464792234360192E-9</v>
      </c>
    </row>
    <row r="24" spans="2:18" ht="15.75" thickBot="1">
      <c r="B24" s="15">
        <v>136000</v>
      </c>
      <c r="C24" s="11">
        <v>80</v>
      </c>
      <c r="D24" s="11">
        <v>1605000</v>
      </c>
      <c r="E24" s="11">
        <v>14468</v>
      </c>
      <c r="F24" s="11">
        <v>155</v>
      </c>
      <c r="G24" s="43">
        <f t="shared" si="0"/>
        <v>5.1335389083702179</v>
      </c>
      <c r="J24" s="4" t="s">
        <v>55</v>
      </c>
      <c r="K24" s="4">
        <v>8.9732704339467174E-7</v>
      </c>
      <c r="L24" s="4">
        <v>7.4947686645605538E-7</v>
      </c>
      <c r="M24" s="4">
        <v>1.1972711681385637</v>
      </c>
      <c r="N24" s="4">
        <v>0.2439427925090826</v>
      </c>
      <c r="O24" s="4">
        <v>-6.5699284496564361E-7</v>
      </c>
      <c r="P24" s="4">
        <v>2.4516469317549872E-6</v>
      </c>
      <c r="Q24" s="4">
        <v>-6.5699284496564361E-7</v>
      </c>
      <c r="R24" s="4">
        <v>2.4516469317549872E-6</v>
      </c>
    </row>
    <row r="25" spans="2:18">
      <c r="B25" s="15">
        <v>126240</v>
      </c>
      <c r="C25" s="11">
        <v>86</v>
      </c>
      <c r="D25" s="11">
        <v>1590000</v>
      </c>
      <c r="E25" s="11">
        <v>15000</v>
      </c>
      <c r="F25" s="11">
        <v>165</v>
      </c>
      <c r="G25" s="43">
        <f t="shared" si="0"/>
        <v>5.1011969858653448</v>
      </c>
    </row>
    <row r="26" spans="2:18">
      <c r="B26" s="15">
        <v>123888</v>
      </c>
      <c r="C26" s="11">
        <v>98</v>
      </c>
      <c r="D26" s="11">
        <v>1595000</v>
      </c>
      <c r="E26" s="11">
        <v>15200</v>
      </c>
      <c r="F26" s="11">
        <v>175</v>
      </c>
      <c r="G26" s="43">
        <f t="shared" si="0"/>
        <v>5.0930292419194565</v>
      </c>
    </row>
    <row r="27" spans="2:18">
      <c r="B27" s="15">
        <v>126080</v>
      </c>
      <c r="C27" s="11">
        <v>87</v>
      </c>
      <c r="D27" s="11">
        <v>1590000</v>
      </c>
      <c r="E27" s="11">
        <v>15600</v>
      </c>
      <c r="F27" s="11">
        <v>175</v>
      </c>
      <c r="G27" s="43">
        <f t="shared" si="0"/>
        <v>5.10064620014548</v>
      </c>
    </row>
    <row r="28" spans="2:18">
      <c r="B28" s="15">
        <v>151680</v>
      </c>
      <c r="C28" s="11">
        <v>77</v>
      </c>
      <c r="D28" s="11">
        <v>1600000</v>
      </c>
      <c r="E28" s="11">
        <v>16000</v>
      </c>
      <c r="F28" s="11">
        <v>190</v>
      </c>
      <c r="G28" s="43">
        <f t="shared" si="0"/>
        <v>5.1809283199939911</v>
      </c>
      <c r="J28" s="17" t="s">
        <v>30</v>
      </c>
    </row>
    <row r="29" spans="2:18" ht="15.75" thickBot="1">
      <c r="B29" s="15">
        <v>152800</v>
      </c>
      <c r="C29" s="11">
        <v>63</v>
      </c>
      <c r="D29" s="11">
        <v>1610000</v>
      </c>
      <c r="E29" s="11">
        <v>16200</v>
      </c>
      <c r="F29" s="11">
        <v>200</v>
      </c>
      <c r="G29" s="43">
        <f>LOG10(B29)</f>
        <v>5.184123354239671</v>
      </c>
    </row>
    <row r="30" spans="2:18">
      <c r="J30" s="5" t="s">
        <v>31</v>
      </c>
      <c r="K30" s="5" t="s">
        <v>46</v>
      </c>
      <c r="L30" s="5" t="s">
        <v>32</v>
      </c>
      <c r="M30" s="9" t="s">
        <v>33</v>
      </c>
      <c r="N30" s="7" t="s">
        <v>37</v>
      </c>
    </row>
    <row r="31" spans="2:18">
      <c r="J31" s="3">
        <v>1</v>
      </c>
      <c r="K31" s="3">
        <v>5.2867930075765885</v>
      </c>
      <c r="L31" s="3">
        <v>-3.4917788730393085E-3</v>
      </c>
      <c r="M31" s="7">
        <f>L31^2</f>
        <v>1.2192519698203662E-5</v>
      </c>
      <c r="N31" s="7">
        <f>K31^2</f>
        <v>27.95018030496071</v>
      </c>
    </row>
    <row r="32" spans="2:18">
      <c r="J32" s="3">
        <v>2</v>
      </c>
      <c r="K32" s="3">
        <v>5.283227323268374</v>
      </c>
      <c r="L32" s="3">
        <v>-3.5603792199188078E-3</v>
      </c>
      <c r="M32" s="7">
        <f t="shared" ref="M32:M57" si="1">L32^2</f>
        <v>1.2676300189629658E-5</v>
      </c>
      <c r="N32" s="7">
        <f t="shared" ref="N32:N57" si="2">K32^2</f>
        <v>27.912490949329509</v>
      </c>
    </row>
    <row r="33" spans="10:14">
      <c r="J33" s="3">
        <v>3</v>
      </c>
      <c r="K33" s="3">
        <v>5.2865760675028257</v>
      </c>
      <c r="L33" s="3">
        <v>-5.0881795627448767E-3</v>
      </c>
      <c r="M33" s="7">
        <f t="shared" si="1"/>
        <v>2.5889571262734646E-5</v>
      </c>
      <c r="N33" s="7">
        <f t="shared" si="2"/>
        <v>27.94788651749364</v>
      </c>
    </row>
    <row r="34" spans="10:14">
      <c r="J34" s="3">
        <v>4</v>
      </c>
      <c r="K34" s="3">
        <v>5.2447986430641942</v>
      </c>
      <c r="L34" s="3">
        <v>4.6443183783884123E-3</v>
      </c>
      <c r="M34" s="7">
        <f t="shared" si="1"/>
        <v>2.1569693199836372E-5</v>
      </c>
      <c r="N34" s="7">
        <f t="shared" si="2"/>
        <v>27.507912806288012</v>
      </c>
    </row>
    <row r="35" spans="10:14">
      <c r="J35" s="3">
        <v>5</v>
      </c>
      <c r="K35" s="3">
        <v>5.2447318911234904</v>
      </c>
      <c r="L35" s="3">
        <v>2.7503695535635586E-3</v>
      </c>
      <c r="M35" s="7">
        <f t="shared" si="1"/>
        <v>7.5645326811694087E-6</v>
      </c>
      <c r="N35" s="7">
        <f t="shared" si="2"/>
        <v>27.507212609767784</v>
      </c>
    </row>
    <row r="36" spans="10:14">
      <c r="J36" s="3">
        <v>6</v>
      </c>
      <c r="K36" s="3">
        <v>5.2502927210776802</v>
      </c>
      <c r="L36" s="3">
        <v>1.1021289624242314E-3</v>
      </c>
      <c r="M36" s="7">
        <f t="shared" si="1"/>
        <v>1.2146882498143129E-6</v>
      </c>
      <c r="N36" s="7">
        <f t="shared" si="2"/>
        <v>27.56557365700127</v>
      </c>
    </row>
    <row r="37" spans="10:14">
      <c r="J37" s="3">
        <v>7</v>
      </c>
      <c r="K37" s="3">
        <v>5.2600472561023111</v>
      </c>
      <c r="L37" s="3">
        <v>-2.8488299629669811E-3</v>
      </c>
      <c r="M37" s="7">
        <f t="shared" si="1"/>
        <v>8.1158321578984512E-6</v>
      </c>
      <c r="N37" s="7">
        <f t="shared" si="2"/>
        <v>27.668097136429452</v>
      </c>
    </row>
    <row r="38" spans="10:14">
      <c r="J38" s="3">
        <v>8</v>
      </c>
      <c r="K38" s="3">
        <v>5.2429390905729907</v>
      </c>
      <c r="L38" s="3">
        <v>5.9501125907157615E-4</v>
      </c>
      <c r="M38" s="7">
        <f t="shared" si="1"/>
        <v>3.5403839842194229E-7</v>
      </c>
      <c r="N38" s="7">
        <f t="shared" si="2"/>
        <v>27.488410307458338</v>
      </c>
    </row>
    <row r="39" spans="10:14">
      <c r="J39" s="3">
        <v>9</v>
      </c>
      <c r="K39" s="3">
        <v>5.2411562484188829</v>
      </c>
      <c r="L39" s="3">
        <v>3.9023217766587237E-4</v>
      </c>
      <c r="M39" s="7">
        <f t="shared" si="1"/>
        <v>1.5228115248584897E-7</v>
      </c>
      <c r="N39" s="7">
        <f t="shared" si="2"/>
        <v>27.469718820340301</v>
      </c>
    </row>
    <row r="40" spans="10:14">
      <c r="J40" s="3">
        <v>10</v>
      </c>
      <c r="K40" s="3">
        <v>5.2413033717089581</v>
      </c>
      <c r="L40" s="3">
        <v>-9.538449667392257E-4</v>
      </c>
      <c r="M40" s="7">
        <f t="shared" si="1"/>
        <v>9.0982022057375453E-7</v>
      </c>
      <c r="N40" s="7">
        <f t="shared" si="2"/>
        <v>27.471261034287693</v>
      </c>
    </row>
    <row r="41" spans="10:14">
      <c r="J41" s="3">
        <v>11</v>
      </c>
      <c r="K41" s="3">
        <v>5.237976414739328</v>
      </c>
      <c r="L41" s="3">
        <v>-4.3267659645351841E-4</v>
      </c>
      <c r="M41" s="7">
        <f t="shared" si="1"/>
        <v>1.8720903711860083E-7</v>
      </c>
      <c r="N41" s="7">
        <f t="shared" si="2"/>
        <v>27.436396921365464</v>
      </c>
    </row>
    <row r="42" spans="10:14">
      <c r="J42" s="3">
        <v>12</v>
      </c>
      <c r="K42" s="3">
        <v>5.2094196196096494</v>
      </c>
      <c r="L42" s="3">
        <v>3.3005348081927011E-3</v>
      </c>
      <c r="M42" s="7">
        <f t="shared" si="1"/>
        <v>1.089353002009163E-5</v>
      </c>
      <c r="N42" s="7">
        <f t="shared" si="2"/>
        <v>27.138052773173943</v>
      </c>
    </row>
    <row r="43" spans="10:14">
      <c r="J43" s="3">
        <v>13</v>
      </c>
      <c r="K43" s="3">
        <v>5.2057746492827279</v>
      </c>
      <c r="L43" s="3">
        <v>2.6667071558392763E-3</v>
      </c>
      <c r="M43" s="7">
        <f t="shared" si="1"/>
        <v>7.1113270550044024E-6</v>
      </c>
      <c r="N43" s="7">
        <f t="shared" si="2"/>
        <v>27.100089699114708</v>
      </c>
    </row>
    <row r="44" spans="10:14">
      <c r="J44" s="3">
        <v>14</v>
      </c>
      <c r="K44" s="3">
        <v>5.2060169275844448</v>
      </c>
      <c r="L44" s="3">
        <v>2.4244288541224179E-3</v>
      </c>
      <c r="M44" s="7">
        <f t="shared" si="1"/>
        <v>5.8778552687013408E-6</v>
      </c>
      <c r="N44" s="7">
        <f t="shared" si="2"/>
        <v>27.102612250295781</v>
      </c>
    </row>
    <row r="45" spans="10:14">
      <c r="J45" s="3">
        <v>15</v>
      </c>
      <c r="K45" s="3">
        <v>5.2042340854303371</v>
      </c>
      <c r="L45" s="3">
        <v>2.0519589820953144E-3</v>
      </c>
      <c r="M45" s="7">
        <f t="shared" si="1"/>
        <v>4.2105356642016383E-6</v>
      </c>
      <c r="N45" s="7">
        <f t="shared" si="2"/>
        <v>27.084052415954936</v>
      </c>
    </row>
    <row r="46" spans="10:14">
      <c r="J46" s="3">
        <v>16</v>
      </c>
      <c r="K46" s="3">
        <v>5.204359627659354</v>
      </c>
      <c r="L46" s="3">
        <v>-2.4165642577038682E-3</v>
      </c>
      <c r="M46" s="7">
        <f t="shared" si="1"/>
        <v>5.8397828116118475E-6</v>
      </c>
      <c r="N46" s="7">
        <f t="shared" si="2"/>
        <v>27.085359134010609</v>
      </c>
    </row>
    <row r="47" spans="10:14">
      <c r="J47" s="3">
        <v>17</v>
      </c>
      <c r="K47" s="3">
        <v>5.1689771955694184</v>
      </c>
      <c r="L47" s="3">
        <v>3.6257356404414409E-3</v>
      </c>
      <c r="M47" s="7">
        <f t="shared" si="1"/>
        <v>1.3145958934367305E-5</v>
      </c>
      <c r="N47" s="7">
        <f t="shared" si="2"/>
        <v>26.718325248316688</v>
      </c>
    </row>
    <row r="48" spans="10:14">
      <c r="J48" s="3">
        <v>18</v>
      </c>
      <c r="K48" s="3">
        <v>5.0650765291478548</v>
      </c>
      <c r="L48" s="3">
        <v>-1.7581849580530218E-3</v>
      </c>
      <c r="M48" s="7">
        <f t="shared" si="1"/>
        <v>3.091214346723906E-6</v>
      </c>
      <c r="N48" s="7">
        <f t="shared" si="2"/>
        <v>25.65500024612448</v>
      </c>
    </row>
    <row r="49" spans="2:14">
      <c r="J49" s="3">
        <v>19</v>
      </c>
      <c r="K49" s="3">
        <v>5.1637382919130079</v>
      </c>
      <c r="L49" s="3">
        <v>4.1695180884717686E-3</v>
      </c>
      <c r="M49" s="7">
        <f t="shared" si="1"/>
        <v>1.7384881090093272E-5</v>
      </c>
      <c r="N49" s="7">
        <f t="shared" si="2"/>
        <v>26.664193147368668</v>
      </c>
    </row>
    <row r="50" spans="2:14">
      <c r="J50" s="3">
        <v>20</v>
      </c>
      <c r="K50" s="3">
        <v>5.1744878159476464</v>
      </c>
      <c r="L50" s="3">
        <v>2.7600203079769514E-3</v>
      </c>
      <c r="M50" s="7">
        <f t="shared" si="1"/>
        <v>7.6177121004451855E-6</v>
      </c>
      <c r="N50" s="7">
        <f t="shared" si="2"/>
        <v>26.775324157390642</v>
      </c>
    </row>
    <row r="51" spans="2:14">
      <c r="J51" s="3">
        <v>21</v>
      </c>
      <c r="K51" s="3">
        <v>5.1798383501347933</v>
      </c>
      <c r="L51" s="3">
        <v>2.0052378099792989E-3</v>
      </c>
      <c r="M51" s="7">
        <f t="shared" si="1"/>
        <v>4.0209786745705746E-6</v>
      </c>
      <c r="N51" s="7">
        <f t="shared" si="2"/>
        <v>26.830725333527138</v>
      </c>
    </row>
    <row r="52" spans="2:14">
      <c r="J52" s="3">
        <v>22</v>
      </c>
      <c r="K52" s="3">
        <v>5.1328466699601529</v>
      </c>
      <c r="L52" s="3">
        <v>6.9223841006493814E-4</v>
      </c>
      <c r="M52" s="7">
        <f t="shared" si="1"/>
        <v>4.7919401636923342E-7</v>
      </c>
      <c r="N52" s="7">
        <f t="shared" si="2"/>
        <v>26.34611493732103</v>
      </c>
    </row>
    <row r="53" spans="2:14">
      <c r="J53" s="3">
        <v>23</v>
      </c>
      <c r="K53" s="3">
        <v>5.1045849045891725</v>
      </c>
      <c r="L53" s="3">
        <v>-3.3879187238277098E-3</v>
      </c>
      <c r="M53" s="7">
        <f t="shared" si="1"/>
        <v>1.1477993279262377E-5</v>
      </c>
      <c r="N53" s="7">
        <f t="shared" si="2"/>
        <v>26.056787048159652</v>
      </c>
    </row>
    <row r="54" spans="2:14">
      <c r="J54" s="3">
        <v>24</v>
      </c>
      <c r="K54" s="3">
        <v>5.0952148050667105</v>
      </c>
      <c r="L54" s="3">
        <v>-2.1855631472540438E-3</v>
      </c>
      <c r="M54" s="7">
        <f t="shared" si="1"/>
        <v>4.776686270635001E-6</v>
      </c>
      <c r="N54" s="7">
        <f t="shared" si="2"/>
        <v>25.961213909770997</v>
      </c>
    </row>
    <row r="55" spans="2:14">
      <c r="J55" s="3">
        <v>25</v>
      </c>
      <c r="K55" s="3">
        <v>5.1044674391264122</v>
      </c>
      <c r="L55" s="3">
        <v>-3.8212389809322289E-3</v>
      </c>
      <c r="M55" s="7">
        <f t="shared" si="1"/>
        <v>1.4601867349395979E-5</v>
      </c>
      <c r="N55" s="7">
        <f t="shared" si="2"/>
        <v>26.055587837101754</v>
      </c>
    </row>
    <row r="56" spans="2:14" ht="18.75">
      <c r="B56" s="28"/>
      <c r="C56" s="28"/>
      <c r="J56" s="3">
        <v>26</v>
      </c>
      <c r="K56" s="3">
        <v>5.1815192788365403</v>
      </c>
      <c r="L56" s="3">
        <v>-5.9095884254922737E-4</v>
      </c>
      <c r="M56" s="7">
        <f t="shared" si="1"/>
        <v>3.492323535871225E-7</v>
      </c>
      <c r="N56" s="7">
        <f t="shared" si="2"/>
        <v>26.848142036954741</v>
      </c>
    </row>
    <row r="57" spans="2:14" ht="19.5" thickBot="1">
      <c r="B57" s="47" t="s">
        <v>47</v>
      </c>
      <c r="C57" s="24" t="s">
        <v>34</v>
      </c>
      <c r="D57" s="23" t="s">
        <v>36</v>
      </c>
      <c r="E57" s="23"/>
      <c r="F57" s="23"/>
      <c r="G57" s="23"/>
      <c r="H57" s="23"/>
      <c r="I57" s="22"/>
      <c r="J57" s="4">
        <v>27</v>
      </c>
      <c r="K57" s="4">
        <v>5.1867656765357673</v>
      </c>
      <c r="L57" s="4">
        <v>-2.6423222960962889E-3</v>
      </c>
      <c r="M57" s="7">
        <f t="shared" si="1"/>
        <v>6.9818671164475643E-6</v>
      </c>
      <c r="N57" s="7">
        <f t="shared" si="2"/>
        <v>26.902538183289536</v>
      </c>
    </row>
    <row r="58" spans="2:14" ht="16.5" thickBot="1">
      <c r="C58" s="24" t="s">
        <v>57</v>
      </c>
      <c r="D58" s="23" t="s">
        <v>35</v>
      </c>
      <c r="E58" s="23"/>
      <c r="F58" s="23"/>
      <c r="G58" s="23"/>
      <c r="H58" s="23"/>
      <c r="I58" s="22"/>
    </row>
    <row r="59" spans="2:14">
      <c r="B59" s="5" t="s">
        <v>46</v>
      </c>
      <c r="C59" t="s">
        <v>37</v>
      </c>
      <c r="D59" t="s">
        <v>33</v>
      </c>
    </row>
    <row r="60" spans="2:14">
      <c r="B60" s="3">
        <v>5.2867930075765885</v>
      </c>
      <c r="C60">
        <v>27.95018030496071</v>
      </c>
      <c r="D60">
        <v>1.2192519698203662E-5</v>
      </c>
      <c r="F60" s="17" t="s">
        <v>6</v>
      </c>
      <c r="J60" s="18" t="s">
        <v>74</v>
      </c>
      <c r="K60">
        <f>G67*G64</f>
        <v>2.4256070762045883</v>
      </c>
    </row>
    <row r="61" spans="2:14" ht="15.75" thickBot="1">
      <c r="B61" s="3">
        <v>5.283227323268374</v>
      </c>
      <c r="C61">
        <v>27.912490949329509</v>
      </c>
      <c r="D61">
        <v>1.2676300189629658E-5</v>
      </c>
      <c r="J61" s="18" t="s">
        <v>75</v>
      </c>
      <c r="K61">
        <f>G71</f>
        <v>2</v>
      </c>
    </row>
    <row r="62" spans="2:14">
      <c r="B62" s="3">
        <v>5.2865760675028257</v>
      </c>
      <c r="C62">
        <v>27.94788651749364</v>
      </c>
      <c r="D62">
        <v>2.5889571262734646E-5</v>
      </c>
      <c r="F62" s="6" t="s">
        <v>7</v>
      </c>
      <c r="G62" s="6"/>
      <c r="J62" s="45" t="s">
        <v>42</v>
      </c>
      <c r="K62" s="42">
        <f>_xlfn.CHISQ.DIST.RT(K60,K61)</f>
        <v>0.29736244278997565</v>
      </c>
      <c r="L62" t="s">
        <v>77</v>
      </c>
    </row>
    <row r="63" spans="2:14">
      <c r="B63" s="3">
        <v>5.2447986430641942</v>
      </c>
      <c r="C63">
        <v>27.507912806288012</v>
      </c>
      <c r="D63">
        <v>2.1569693199836372E-5</v>
      </c>
      <c r="F63" s="3" t="s">
        <v>8</v>
      </c>
      <c r="G63" s="3">
        <v>0.29972870919998379</v>
      </c>
      <c r="J63" s="18"/>
    </row>
    <row r="64" spans="2:14">
      <c r="B64" s="3">
        <v>5.2447318911234904</v>
      </c>
      <c r="C64">
        <v>27.507212609767784</v>
      </c>
      <c r="D64">
        <v>7.5645326811694087E-6</v>
      </c>
      <c r="F64" s="3" t="s">
        <v>9</v>
      </c>
      <c r="G64" s="3">
        <v>8.9837299118688457E-2</v>
      </c>
      <c r="J64" s="18" t="s">
        <v>76</v>
      </c>
      <c r="K64">
        <f>(G64/G71)/((1-G64)/G72)</f>
        <v>1.1844559092351146</v>
      </c>
    </row>
    <row r="65" spans="2:14">
      <c r="B65" s="3">
        <v>5.2502927210776802</v>
      </c>
      <c r="C65">
        <v>27.56557365700127</v>
      </c>
      <c r="D65">
        <v>1.2146882498143129E-6</v>
      </c>
      <c r="F65" s="3" t="s">
        <v>10</v>
      </c>
      <c r="G65" s="3">
        <v>1.399040737857917E-2</v>
      </c>
      <c r="J65" s="18" t="s">
        <v>44</v>
      </c>
      <c r="K65">
        <f>G71</f>
        <v>2</v>
      </c>
    </row>
    <row r="66" spans="2:14">
      <c r="B66" s="3">
        <v>5.2600472561023111</v>
      </c>
      <c r="C66">
        <v>27.668097136429452</v>
      </c>
      <c r="D66">
        <v>8.1158321578984512E-6</v>
      </c>
      <c r="F66" s="3" t="s">
        <v>11</v>
      </c>
      <c r="G66" s="3">
        <v>6.7143243713617058E-6</v>
      </c>
      <c r="J66" s="18" t="s">
        <v>43</v>
      </c>
      <c r="K66">
        <f>G72</f>
        <v>24</v>
      </c>
    </row>
    <row r="67" spans="2:14" ht="15.75" thickBot="1">
      <c r="B67" s="3">
        <v>5.2429390905729907</v>
      </c>
      <c r="C67">
        <v>27.488410307458338</v>
      </c>
      <c r="D67">
        <v>3.5403839842194229E-7</v>
      </c>
      <c r="F67" s="4" t="s">
        <v>12</v>
      </c>
      <c r="G67" s="4">
        <v>27</v>
      </c>
      <c r="J67" s="45" t="s">
        <v>42</v>
      </c>
      <c r="K67" s="42">
        <f>_xlfn.F.DIST.RT(K64,K65,K66)</f>
        <v>0.32316804131162891</v>
      </c>
      <c r="L67" t="s">
        <v>77</v>
      </c>
    </row>
    <row r="68" spans="2:14">
      <c r="B68" s="3">
        <v>5.2411562484188829</v>
      </c>
      <c r="C68">
        <v>27.469718820340301</v>
      </c>
      <c r="D68">
        <v>1.5228115248584897E-7</v>
      </c>
    </row>
    <row r="69" spans="2:14" ht="15.75" thickBot="1">
      <c r="B69" s="3">
        <v>5.2413033717089581</v>
      </c>
      <c r="C69">
        <v>27.471261034287693</v>
      </c>
      <c r="D69">
        <v>9.0982022057375453E-7</v>
      </c>
      <c r="F69" s="17" t="s">
        <v>13</v>
      </c>
    </row>
    <row r="70" spans="2:14">
      <c r="B70" s="3">
        <v>5.237976414739328</v>
      </c>
      <c r="C70">
        <v>27.436396921365464</v>
      </c>
      <c r="D70">
        <v>1.8720903711860083E-7</v>
      </c>
      <c r="F70" s="5"/>
      <c r="G70" s="5" t="s">
        <v>18</v>
      </c>
      <c r="H70" s="5" t="s">
        <v>19</v>
      </c>
      <c r="I70" s="5" t="s">
        <v>20</v>
      </c>
      <c r="J70" s="5" t="s">
        <v>21</v>
      </c>
      <c r="K70" s="5" t="s">
        <v>22</v>
      </c>
    </row>
    <row r="71" spans="2:14">
      <c r="B71" s="3">
        <v>5.2094196196096494</v>
      </c>
      <c r="C71">
        <v>27.138052773173943</v>
      </c>
      <c r="D71">
        <v>1.089353002009163E-5</v>
      </c>
      <c r="F71" s="3" t="s">
        <v>14</v>
      </c>
      <c r="G71" s="3">
        <v>2</v>
      </c>
      <c r="H71" s="3">
        <v>1.067956421154806E-10</v>
      </c>
      <c r="I71" s="3">
        <v>5.3397821057740302E-11</v>
      </c>
      <c r="J71" s="3">
        <v>1.1844559092351146</v>
      </c>
      <c r="K71" s="3">
        <v>0.32316804131162891</v>
      </c>
    </row>
    <row r="72" spans="2:14">
      <c r="B72" s="3">
        <v>5.2057746492827279</v>
      </c>
      <c r="C72">
        <v>27.100089699114708</v>
      </c>
      <c r="D72">
        <v>7.1113270550044024E-6</v>
      </c>
      <c r="F72" s="3" t="s">
        <v>15</v>
      </c>
      <c r="G72" s="3">
        <v>24</v>
      </c>
      <c r="H72" s="3">
        <v>1.0819716423326822E-9</v>
      </c>
      <c r="I72" s="3">
        <v>4.5082151763861761E-11</v>
      </c>
      <c r="J72" s="3"/>
      <c r="K72" s="3"/>
    </row>
    <row r="73" spans="2:14" ht="15.75" thickBot="1">
      <c r="B73" s="3">
        <v>5.2060169275844448</v>
      </c>
      <c r="C73">
        <v>27.102612250295781</v>
      </c>
      <c r="D73">
        <v>5.8778552687013408E-6</v>
      </c>
      <c r="F73" s="4" t="s">
        <v>16</v>
      </c>
      <c r="G73" s="4">
        <v>26</v>
      </c>
      <c r="H73" s="4">
        <v>1.1887672844481628E-9</v>
      </c>
      <c r="I73" s="4"/>
      <c r="J73" s="4"/>
      <c r="K73" s="4"/>
    </row>
    <row r="74" spans="2:14" ht="15.75" thickBot="1">
      <c r="B74" s="3">
        <v>5.2042340854303371</v>
      </c>
      <c r="C74">
        <v>27.084052415954936</v>
      </c>
      <c r="D74">
        <v>4.2105356642016383E-6</v>
      </c>
    </row>
    <row r="75" spans="2:14">
      <c r="B75" s="3">
        <v>5.204359627659354</v>
      </c>
      <c r="C75">
        <v>27.085359134010609</v>
      </c>
      <c r="D75">
        <v>5.8397828116118475E-6</v>
      </c>
      <c r="F75" s="5"/>
      <c r="G75" s="5" t="s">
        <v>23</v>
      </c>
      <c r="H75" s="5" t="s">
        <v>11</v>
      </c>
      <c r="I75" s="5" t="s">
        <v>24</v>
      </c>
      <c r="J75" s="5" t="s">
        <v>25</v>
      </c>
      <c r="K75" s="5" t="s">
        <v>26</v>
      </c>
      <c r="L75" s="5" t="s">
        <v>27</v>
      </c>
      <c r="M75" s="5" t="s">
        <v>28</v>
      </c>
      <c r="N75" s="5" t="s">
        <v>29</v>
      </c>
    </row>
    <row r="76" spans="2:14">
      <c r="B76" s="3">
        <v>5.1689771955694184</v>
      </c>
      <c r="C76">
        <v>26.718325248316688</v>
      </c>
      <c r="D76">
        <v>1.3145958934367305E-5</v>
      </c>
      <c r="F76" s="3" t="s">
        <v>17</v>
      </c>
      <c r="G76" s="3">
        <v>1.1844459303220565E-2</v>
      </c>
      <c r="H76" s="3">
        <v>8.9425180766760388E-3</v>
      </c>
      <c r="I76" s="3">
        <v>1.3245105239555957</v>
      </c>
      <c r="J76" s="3">
        <v>0.19780862404739064</v>
      </c>
      <c r="K76" s="3">
        <v>-6.6119908925637294E-3</v>
      </c>
      <c r="L76" s="3">
        <v>3.0300909499004859E-2</v>
      </c>
      <c r="M76" s="3">
        <v>-6.6119908925637294E-3</v>
      </c>
      <c r="N76" s="3">
        <v>3.0300909499004859E-2</v>
      </c>
    </row>
    <row r="77" spans="2:14">
      <c r="B77" s="3">
        <v>5.0650765291478548</v>
      </c>
      <c r="C77">
        <v>25.65500024612448</v>
      </c>
      <c r="D77">
        <v>3.091214346723906E-6</v>
      </c>
      <c r="F77" s="3" t="s">
        <v>46</v>
      </c>
      <c r="G77" s="3">
        <v>-4.5845146488995474E-3</v>
      </c>
      <c r="H77" s="3">
        <v>3.4505909390397534E-3</v>
      </c>
      <c r="I77" s="3">
        <v>-1.3286172513324188</v>
      </c>
      <c r="J77" s="3">
        <v>0.19646962896992706</v>
      </c>
      <c r="K77" s="3">
        <v>-1.1706184324750391E-2</v>
      </c>
      <c r="L77" s="3">
        <v>2.5371550269512972E-3</v>
      </c>
      <c r="M77" s="3">
        <v>-1.1706184324750391E-2</v>
      </c>
      <c r="N77" s="3">
        <v>2.5371550269512972E-3</v>
      </c>
    </row>
    <row r="78" spans="2:14" ht="15.75" thickBot="1">
      <c r="B78" s="3">
        <v>5.1637382919130079</v>
      </c>
      <c r="C78">
        <v>26.664193147368668</v>
      </c>
      <c r="D78">
        <v>1.7384881090093272E-5</v>
      </c>
      <c r="F78" s="4" t="s">
        <v>37</v>
      </c>
      <c r="G78" s="4">
        <v>4.4383062557161235E-4</v>
      </c>
      <c r="H78" s="4">
        <v>3.3283080181309378E-4</v>
      </c>
      <c r="I78" s="4">
        <v>1.3335022574648971</v>
      </c>
      <c r="J78" s="4">
        <v>0.19488608220884762</v>
      </c>
      <c r="K78" s="4">
        <v>-2.4309838755593431E-4</v>
      </c>
      <c r="L78" s="4">
        <v>1.1307596386991589E-3</v>
      </c>
      <c r="M78" s="4">
        <v>-2.4309838755593431E-4</v>
      </c>
      <c r="N78" s="4">
        <v>1.1307596386991589E-3</v>
      </c>
    </row>
    <row r="79" spans="2:14">
      <c r="B79" s="3">
        <v>5.1744878159476464</v>
      </c>
      <c r="C79">
        <v>26.775324157390642</v>
      </c>
      <c r="D79">
        <v>7.6177121004451855E-6</v>
      </c>
    </row>
    <row r="80" spans="2:14" ht="15.75">
      <c r="B80" s="3">
        <v>5.1798383501347933</v>
      </c>
      <c r="C80">
        <v>26.830725333527138</v>
      </c>
      <c r="D80">
        <v>4.0209786745705746E-6</v>
      </c>
      <c r="F80" s="41" t="s">
        <v>67</v>
      </c>
      <c r="G80" t="s">
        <v>78</v>
      </c>
    </row>
    <row r="81" spans="2:7">
      <c r="B81" s="3">
        <v>5.1328466699601529</v>
      </c>
      <c r="C81">
        <v>26.34611493732103</v>
      </c>
      <c r="D81">
        <v>4.7919401636923342E-7</v>
      </c>
      <c r="G81" t="s">
        <v>83</v>
      </c>
    </row>
    <row r="82" spans="2:7">
      <c r="B82" s="3">
        <v>5.1045849045891725</v>
      </c>
      <c r="C82">
        <v>26.056787048159652</v>
      </c>
      <c r="D82">
        <v>1.1477993279262377E-5</v>
      </c>
    </row>
    <row r="83" spans="2:7">
      <c r="B83" s="3">
        <v>5.0952148050667105</v>
      </c>
      <c r="C83">
        <v>25.961213909770997</v>
      </c>
      <c r="D83">
        <v>4.776686270635001E-6</v>
      </c>
    </row>
    <row r="84" spans="2:7">
      <c r="B84" s="3">
        <v>5.1044674391264122</v>
      </c>
      <c r="C84">
        <v>26.055587837101754</v>
      </c>
      <c r="D84">
        <v>1.4601867349395979E-5</v>
      </c>
    </row>
    <row r="85" spans="2:7">
      <c r="B85" s="3">
        <v>5.1815192788365403</v>
      </c>
      <c r="C85" s="7">
        <v>26.848142036954741</v>
      </c>
      <c r="D85" s="7">
        <v>3.492323535871225E-7</v>
      </c>
    </row>
    <row r="86" spans="2:7" ht="15.75" thickBot="1">
      <c r="B86" s="4">
        <v>5.1867656765357673</v>
      </c>
      <c r="C86" s="48">
        <v>26.902538183289536</v>
      </c>
      <c r="D86" s="48">
        <v>6.9818671164475643E-6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pateldaksh3120@gmail.com</cp:lastModifiedBy>
  <dcterms:created xsi:type="dcterms:W3CDTF">2022-03-23T09:24:17Z</dcterms:created>
  <dcterms:modified xsi:type="dcterms:W3CDTF">2022-04-19T17:17:20Z</dcterms:modified>
</cp:coreProperties>
</file>