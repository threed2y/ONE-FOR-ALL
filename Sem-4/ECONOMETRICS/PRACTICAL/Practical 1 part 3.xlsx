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\Sem 4\Econometrics Practical\"/>
    </mc:Choice>
  </mc:AlternateContent>
  <xr:revisionPtr revIDLastSave="0" documentId="8_{B2007819-2D4C-40B3-AFC6-4E68E81AEA5F}" xr6:coauthVersionLast="47" xr6:coauthVersionMax="47" xr10:uidLastSave="{00000000-0000-0000-0000-000000000000}"/>
  <bookViews>
    <workbookView minimized="1" xWindow="4644" yWindow="2724" windowWidth="17280" windowHeight="8880" activeTab="3" xr2:uid="{5CEF20FF-8916-4FD9-9845-16299EABBFE9}"/>
  </bookViews>
  <sheets>
    <sheet name="Sheet1" sheetId="1" r:id="rId1"/>
    <sheet name="Sheet3" sheetId="3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M41" i="1"/>
  <c r="N41" i="1"/>
  <c r="M42" i="1"/>
  <c r="N42" i="1"/>
  <c r="O42" i="1"/>
  <c r="L40" i="1"/>
  <c r="L41" i="1"/>
  <c r="L42" i="1"/>
  <c r="L39" i="1"/>
  <c r="O34" i="1"/>
  <c r="V15" i="1"/>
  <c r="S19" i="1"/>
  <c r="S15" i="1"/>
  <c r="P23" i="1"/>
  <c r="P19" i="1"/>
  <c r="P15" i="1"/>
  <c r="M27" i="1"/>
  <c r="M23" i="1"/>
  <c r="M19" i="1"/>
  <c r="M15" i="1"/>
</calcChain>
</file>

<file path=xl/sharedStrings.xml><?xml version="1.0" encoding="utf-8"?>
<sst xmlns="http://schemas.openxmlformats.org/spreadsheetml/2006/main" count="154" uniqueCount="43">
  <si>
    <t>Observation</t>
  </si>
  <si>
    <t>Y</t>
  </si>
  <si>
    <t>X1</t>
  </si>
  <si>
    <t>X2</t>
  </si>
  <si>
    <t>X3</t>
  </si>
  <si>
    <t>X4</t>
  </si>
  <si>
    <t>X5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</si>
  <si>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</si>
  <si>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</si>
  <si>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</si>
  <si>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</si>
  <si>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</si>
  <si>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</si>
  <si>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</si>
  <si>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</si>
  <si>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</si>
  <si>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</si>
  <si>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</si>
  <si>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</si>
  <si>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</si>
  <si>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</si>
  <si>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</si>
  <si>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</si>
  <si>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</si>
  <si>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</si>
  <si>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</si>
  <si>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</si>
  <si>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</si>
  <si>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</si>
  <si>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</si>
  <si>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</si>
  <si>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R2 for X1 = X2</t>
  </si>
  <si>
    <t>R Square =</t>
  </si>
  <si>
    <t>R2 for X1 = X3</t>
  </si>
  <si>
    <t>R2 for X1 = X4</t>
  </si>
  <si>
    <t>R2 for X1 = X5</t>
  </si>
  <si>
    <t>R2 for X2 = X3</t>
  </si>
  <si>
    <t>R2 for X2 = X4</t>
  </si>
  <si>
    <t>R2 for X2 = X5</t>
  </si>
  <si>
    <t>R2 for X3 = X4</t>
  </si>
  <si>
    <t>R2 for X3 = X5</t>
  </si>
  <si>
    <t>R2 for X4 = X5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</si>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</sst>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9361-3643-49BE-91A1-9BE489069952}">
  <dimension ref="B2:V49"/>
  <sheetViews>
    <sheetView topLeftCell="A22" workbookViewId="0">
      <selection activeCell="C22" sqref="C22"/>
    </sheetView>
  </sheetViews>
  <sheetFormatPr defaultRowHeight="14.4" x14ac:dyDescent="0.3"/>
  <cols>
    <col min="2" max="2" width="11.21875" bestFit="1" customWidth="1"/>
    <col min="3" max="3" width="7.88671875" bestFit="1" customWidth="1"/>
    <col min="4" max="4" width="8" bestFit="1" customWidth="1"/>
    <col min="5" max="5" width="10.33203125" bestFit="1" customWidth="1"/>
    <col min="6" max="6" width="6.44140625" bestFit="1" customWidth="1"/>
    <col min="7" max="7" width="5" bestFit="1" customWidth="1"/>
    <col min="8" max="8" width="7.88671875" bestFit="1" customWidth="1"/>
    <col min="9" max="9" width="3" bestFit="1" customWidth="1"/>
    <col min="11" max="11" width="3" bestFit="1" customWidth="1"/>
    <col min="12" max="15" width="12" bestFit="1" customWidth="1"/>
  </cols>
  <sheetData>
    <row r="2" spans="2:22" ht="1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</row>
    <row r="3" spans="2:22" x14ac:dyDescent="0.3">
      <c r="B3" s="2">
        <v>1959</v>
      </c>
      <c r="C3" s="3">
        <v>64630</v>
      </c>
      <c r="D3" s="2">
        <v>82.908000000000001</v>
      </c>
      <c r="E3" s="3">
        <v>509300</v>
      </c>
      <c r="F3" s="3">
        <v>3740</v>
      </c>
      <c r="G3" s="2">
        <v>2552</v>
      </c>
      <c r="H3" s="3">
        <v>120287</v>
      </c>
      <c r="I3" s="2">
        <v>1</v>
      </c>
      <c r="K3" s="6"/>
      <c r="L3" s="6" t="s">
        <v>2</v>
      </c>
      <c r="M3" s="6" t="s">
        <v>3</v>
      </c>
      <c r="N3" s="6" t="s">
        <v>4</v>
      </c>
      <c r="O3" s="6" t="s">
        <v>5</v>
      </c>
      <c r="P3" s="6" t="s">
        <v>6</v>
      </c>
    </row>
    <row r="4" spans="2:22" x14ac:dyDescent="0.3">
      <c r="B4" s="2">
        <v>1960</v>
      </c>
      <c r="C4" s="3">
        <v>65778</v>
      </c>
      <c r="D4" s="2">
        <v>84.073999999999998</v>
      </c>
      <c r="E4" s="3">
        <v>529500</v>
      </c>
      <c r="F4" s="3">
        <v>3852</v>
      </c>
      <c r="G4" s="2">
        <v>2514</v>
      </c>
      <c r="H4" s="3">
        <v>121836</v>
      </c>
      <c r="I4" s="2">
        <v>2</v>
      </c>
      <c r="K4" s="4" t="s">
        <v>2</v>
      </c>
      <c r="L4" s="4">
        <v>1</v>
      </c>
      <c r="M4" s="4"/>
      <c r="N4" s="4"/>
      <c r="O4" s="4"/>
      <c r="P4" s="4"/>
    </row>
    <row r="5" spans="2:22" x14ac:dyDescent="0.3">
      <c r="B5" s="2">
        <v>1961</v>
      </c>
      <c r="C5" s="3">
        <v>65746</v>
      </c>
      <c r="D5" s="2">
        <v>85.015000000000001</v>
      </c>
      <c r="E5" s="3">
        <v>548200</v>
      </c>
      <c r="F5" s="3">
        <v>4714</v>
      </c>
      <c r="G5" s="2">
        <v>2573</v>
      </c>
      <c r="H5" s="3">
        <v>123404</v>
      </c>
      <c r="I5" s="2">
        <v>3</v>
      </c>
      <c r="K5" s="4" t="s">
        <v>3</v>
      </c>
      <c r="L5" s="4">
        <v>0.96938259976454244</v>
      </c>
      <c r="M5" s="4">
        <v>1</v>
      </c>
      <c r="N5" s="4"/>
      <c r="O5" s="4"/>
      <c r="P5" s="4"/>
    </row>
    <row r="6" spans="2:22" x14ac:dyDescent="0.3">
      <c r="B6" s="2">
        <v>1962</v>
      </c>
      <c r="C6" s="3">
        <v>66702</v>
      </c>
      <c r="D6" s="2">
        <v>86.186000000000007</v>
      </c>
      <c r="E6" s="3">
        <v>589700</v>
      </c>
      <c r="F6" s="3">
        <v>3911</v>
      </c>
      <c r="G6" s="2">
        <v>2827</v>
      </c>
      <c r="H6" s="3">
        <v>124864</v>
      </c>
      <c r="I6" s="2">
        <v>4</v>
      </c>
      <c r="K6" s="4" t="s">
        <v>4</v>
      </c>
      <c r="L6" s="4">
        <v>0.69190191798418188</v>
      </c>
      <c r="M6" s="4">
        <v>0.55252319329444477</v>
      </c>
      <c r="N6" s="4">
        <v>1</v>
      </c>
      <c r="O6" s="4"/>
      <c r="P6" s="4"/>
    </row>
    <row r="7" spans="2:22" x14ac:dyDescent="0.3">
      <c r="B7" s="2">
        <v>1963</v>
      </c>
      <c r="C7" s="3">
        <v>67762</v>
      </c>
      <c r="D7" s="2">
        <v>87.102999999999994</v>
      </c>
      <c r="E7" s="3">
        <v>622200</v>
      </c>
      <c r="F7" s="3">
        <v>4070</v>
      </c>
      <c r="G7" s="2">
        <v>2737</v>
      </c>
      <c r="H7" s="3">
        <v>127274</v>
      </c>
      <c r="I7" s="2">
        <v>5</v>
      </c>
      <c r="K7" s="4" t="s">
        <v>5</v>
      </c>
      <c r="L7" s="4">
        <v>-0.86934680551850696</v>
      </c>
      <c r="M7" s="4">
        <v>-0.8554049731551544</v>
      </c>
      <c r="N7" s="4">
        <v>-0.66410666920280514</v>
      </c>
      <c r="O7" s="4">
        <v>1</v>
      </c>
      <c r="P7" s="4"/>
    </row>
    <row r="8" spans="2:22" ht="15" thickBot="1" x14ac:dyDescent="0.35">
      <c r="B8" s="2">
        <v>1964</v>
      </c>
      <c r="C8" s="3">
        <v>69305</v>
      </c>
      <c r="D8" s="2">
        <v>88.438000000000002</v>
      </c>
      <c r="E8" s="3">
        <v>668500</v>
      </c>
      <c r="F8" s="3">
        <v>3786</v>
      </c>
      <c r="G8" s="2">
        <v>2738</v>
      </c>
      <c r="H8" s="3">
        <v>129427</v>
      </c>
      <c r="I8" s="2">
        <v>6</v>
      </c>
      <c r="K8" s="5" t="s">
        <v>6</v>
      </c>
      <c r="L8" s="5">
        <v>0.98902361729858201</v>
      </c>
      <c r="M8" s="5">
        <v>0.96001048039574122</v>
      </c>
      <c r="N8" s="5">
        <v>0.699219571804926</v>
      </c>
      <c r="O8" s="5">
        <v>-0.87095575994669827</v>
      </c>
      <c r="P8" s="5">
        <v>1</v>
      </c>
    </row>
    <row r="9" spans="2:22" x14ac:dyDescent="0.3">
      <c r="B9" s="2">
        <v>1965</v>
      </c>
      <c r="C9" s="3">
        <v>71088</v>
      </c>
      <c r="D9" s="2">
        <v>90.055000000000007</v>
      </c>
      <c r="E9" s="3">
        <v>724400</v>
      </c>
      <c r="F9" s="3">
        <v>3366</v>
      </c>
      <c r="G9" s="2">
        <v>2722</v>
      </c>
      <c r="H9" s="3">
        <v>131541</v>
      </c>
      <c r="I9" s="2">
        <v>7</v>
      </c>
    </row>
    <row r="10" spans="2:22" x14ac:dyDescent="0.3">
      <c r="B10" s="2">
        <v>1966</v>
      </c>
      <c r="C10" s="3">
        <v>72895</v>
      </c>
      <c r="D10" s="2">
        <v>92.623999999999995</v>
      </c>
      <c r="E10" s="3">
        <v>792900</v>
      </c>
      <c r="F10" s="3">
        <v>2875</v>
      </c>
      <c r="G10" s="2">
        <v>3123</v>
      </c>
      <c r="H10" s="3">
        <v>133650</v>
      </c>
      <c r="I10" s="2">
        <v>8</v>
      </c>
    </row>
    <row r="11" spans="2:22" x14ac:dyDescent="0.3">
      <c r="B11" s="2">
        <v>1967</v>
      </c>
      <c r="C11" s="3">
        <v>74372</v>
      </c>
      <c r="D11" s="2">
        <v>95.491</v>
      </c>
      <c r="E11" s="3">
        <v>838000</v>
      </c>
      <c r="F11" s="3">
        <v>2975</v>
      </c>
      <c r="G11" s="2">
        <v>3446</v>
      </c>
      <c r="H11" s="3">
        <v>135905</v>
      </c>
      <c r="I11" s="2">
        <v>9</v>
      </c>
    </row>
    <row r="12" spans="2:22" x14ac:dyDescent="0.3">
      <c r="B12" s="2">
        <v>1968</v>
      </c>
      <c r="C12" s="3">
        <v>75920</v>
      </c>
      <c r="D12" s="2">
        <v>99.56</v>
      </c>
      <c r="E12" s="3">
        <v>916100</v>
      </c>
      <c r="F12" s="3">
        <v>2817</v>
      </c>
      <c r="G12" s="2">
        <v>3535</v>
      </c>
      <c r="H12" s="3">
        <v>138171</v>
      </c>
      <c r="I12" s="2">
        <v>10</v>
      </c>
      <c r="L12" s="8"/>
    </row>
    <row r="13" spans="2:22" x14ac:dyDescent="0.3">
      <c r="B13" s="2">
        <v>1969</v>
      </c>
      <c r="C13" s="3">
        <v>77902</v>
      </c>
      <c r="D13" s="2">
        <v>104.504</v>
      </c>
      <c r="E13" s="3">
        <v>990700</v>
      </c>
      <c r="F13" s="3">
        <v>2832</v>
      </c>
      <c r="G13" s="2">
        <v>3506</v>
      </c>
      <c r="H13" s="3">
        <v>140461</v>
      </c>
      <c r="I13" s="2">
        <v>11</v>
      </c>
      <c r="L13" t="s">
        <v>31</v>
      </c>
      <c r="O13" t="s">
        <v>36</v>
      </c>
      <c r="R13" t="s">
        <v>39</v>
      </c>
      <c r="U13" t="s">
        <v>41</v>
      </c>
    </row>
    <row r="14" spans="2:22" x14ac:dyDescent="0.3">
      <c r="B14" s="2">
        <v>1970</v>
      </c>
      <c r="C14" s="3">
        <v>78678</v>
      </c>
      <c r="D14" s="2">
        <v>110.04600000000001</v>
      </c>
      <c r="E14" s="3">
        <v>1044900</v>
      </c>
      <c r="F14" s="3">
        <v>4093</v>
      </c>
      <c r="G14" s="2">
        <v>3188</v>
      </c>
      <c r="H14" s="3">
        <v>143070</v>
      </c>
      <c r="I14" s="2">
        <v>12</v>
      </c>
    </row>
    <row r="15" spans="2:22" x14ac:dyDescent="0.3">
      <c r="B15" s="2">
        <v>1971</v>
      </c>
      <c r="C15" s="3">
        <v>79367</v>
      </c>
      <c r="D15" s="2">
        <v>115.54900000000001</v>
      </c>
      <c r="E15" s="3">
        <v>1134700</v>
      </c>
      <c r="F15" s="3">
        <v>5016</v>
      </c>
      <c r="G15" s="2">
        <v>2816</v>
      </c>
      <c r="H15" s="3">
        <v>145826</v>
      </c>
      <c r="I15" s="2">
        <v>13</v>
      </c>
      <c r="L15" t="s">
        <v>32</v>
      </c>
      <c r="M15">
        <f>L5^2</f>
        <v>0.93970262472626309</v>
      </c>
      <c r="O15" t="s">
        <v>32</v>
      </c>
      <c r="P15">
        <f>M6^2</f>
        <v>0.30528187912829036</v>
      </c>
      <c r="R15" t="s">
        <v>32</v>
      </c>
      <c r="S15">
        <f>Sheet1!N7^2</f>
        <v>0.44103766807964406</v>
      </c>
      <c r="U15" t="s">
        <v>32</v>
      </c>
      <c r="V15">
        <f>O8^2</f>
        <v>0.75856393578433068</v>
      </c>
    </row>
    <row r="16" spans="2:22" x14ac:dyDescent="0.3">
      <c r="B16" s="2">
        <v>1972</v>
      </c>
      <c r="C16" s="3">
        <v>82153</v>
      </c>
      <c r="D16" s="2">
        <v>120.556</v>
      </c>
      <c r="E16" s="3">
        <v>1246800</v>
      </c>
      <c r="F16" s="3">
        <v>4882</v>
      </c>
      <c r="G16" s="2">
        <v>2449</v>
      </c>
      <c r="H16" s="3">
        <v>148592</v>
      </c>
      <c r="I16" s="2">
        <v>14</v>
      </c>
    </row>
    <row r="17" spans="2:19" x14ac:dyDescent="0.3">
      <c r="B17" s="2">
        <v>1973</v>
      </c>
      <c r="C17" s="3">
        <v>85064</v>
      </c>
      <c r="D17" s="2">
        <v>127.307</v>
      </c>
      <c r="E17" s="3">
        <v>1395300</v>
      </c>
      <c r="F17" s="3">
        <v>4365</v>
      </c>
      <c r="G17" s="2">
        <v>2327</v>
      </c>
      <c r="H17" s="3">
        <v>151476</v>
      </c>
      <c r="I17" s="2">
        <v>15</v>
      </c>
      <c r="L17" t="s">
        <v>33</v>
      </c>
      <c r="O17" t="s">
        <v>37</v>
      </c>
      <c r="R17" t="s">
        <v>40</v>
      </c>
    </row>
    <row r="18" spans="2:19" x14ac:dyDescent="0.3">
      <c r="B18" s="2">
        <v>1974</v>
      </c>
      <c r="C18" s="3">
        <v>86794</v>
      </c>
      <c r="D18" s="2">
        <v>138.82</v>
      </c>
      <c r="E18" s="3">
        <v>1515500</v>
      </c>
      <c r="F18" s="3">
        <v>5156</v>
      </c>
      <c r="G18" s="2">
        <v>2229</v>
      </c>
      <c r="H18" s="3">
        <v>154378</v>
      </c>
      <c r="I18" s="2">
        <v>16</v>
      </c>
    </row>
    <row r="19" spans="2:19" x14ac:dyDescent="0.3">
      <c r="B19" s="2">
        <v>1975</v>
      </c>
      <c r="C19" s="3">
        <v>85846</v>
      </c>
      <c r="D19" s="2">
        <v>151.857</v>
      </c>
      <c r="E19" s="3">
        <v>1651300</v>
      </c>
      <c r="F19" s="3">
        <v>7929</v>
      </c>
      <c r="G19" s="2">
        <v>2180</v>
      </c>
      <c r="H19" s="3">
        <v>157344</v>
      </c>
      <c r="I19" s="2">
        <v>17</v>
      </c>
      <c r="L19" t="s">
        <v>32</v>
      </c>
      <c r="M19">
        <f>L6^2</f>
        <v>0.47872826411018954</v>
      </c>
      <c r="O19" t="s">
        <v>32</v>
      </c>
      <c r="P19">
        <f>M7^2</f>
        <v>0.73171766809857042</v>
      </c>
      <c r="R19" t="s">
        <v>32</v>
      </c>
      <c r="S19">
        <f>N8^2</f>
        <v>0.48890800959506409</v>
      </c>
    </row>
    <row r="20" spans="2:19" x14ac:dyDescent="0.3">
      <c r="B20" s="2">
        <v>1976</v>
      </c>
      <c r="C20" s="3">
        <v>88752</v>
      </c>
      <c r="D20" s="2">
        <v>160.68</v>
      </c>
      <c r="E20" s="3">
        <v>1842100</v>
      </c>
      <c r="F20" s="3">
        <v>7406</v>
      </c>
      <c r="G20" s="2">
        <v>2144</v>
      </c>
      <c r="H20" s="3">
        <v>160319</v>
      </c>
      <c r="I20" s="2">
        <v>18</v>
      </c>
    </row>
    <row r="21" spans="2:19" x14ac:dyDescent="0.3">
      <c r="B21" s="2">
        <v>1977</v>
      </c>
      <c r="C21" s="3">
        <v>92017</v>
      </c>
      <c r="D21" s="2">
        <v>170.88399999999999</v>
      </c>
      <c r="E21" s="3">
        <v>2051200</v>
      </c>
      <c r="F21" s="3">
        <v>6991</v>
      </c>
      <c r="G21" s="2">
        <v>2133</v>
      </c>
      <c r="H21" s="3">
        <v>163377</v>
      </c>
      <c r="I21" s="2">
        <v>19</v>
      </c>
      <c r="L21" t="s">
        <v>34</v>
      </c>
      <c r="O21" t="s">
        <v>38</v>
      </c>
    </row>
    <row r="22" spans="2:19" x14ac:dyDescent="0.3">
      <c r="B22" s="2">
        <v>1978</v>
      </c>
      <c r="C22" s="3">
        <v>96048</v>
      </c>
      <c r="D22" s="2">
        <v>182.863</v>
      </c>
      <c r="E22" s="3">
        <v>2316300</v>
      </c>
      <c r="F22" s="3">
        <v>6202</v>
      </c>
      <c r="G22" s="2">
        <v>2117</v>
      </c>
      <c r="H22" s="3">
        <v>166422</v>
      </c>
      <c r="I22" s="2">
        <v>20</v>
      </c>
    </row>
    <row r="23" spans="2:19" x14ac:dyDescent="0.3">
      <c r="B23" s="2">
        <v>1979</v>
      </c>
      <c r="C23" s="3">
        <v>98824</v>
      </c>
      <c r="D23" s="2">
        <v>198.077</v>
      </c>
      <c r="E23" s="3">
        <v>2595300</v>
      </c>
      <c r="F23" s="3">
        <v>6137</v>
      </c>
      <c r="G23" s="2">
        <v>2088</v>
      </c>
      <c r="H23" s="3">
        <v>169440</v>
      </c>
      <c r="I23" s="2">
        <v>21</v>
      </c>
      <c r="L23" t="s">
        <v>32</v>
      </c>
      <c r="M23">
        <f>L7^2</f>
        <v>0.75576386826523279</v>
      </c>
      <c r="O23" t="s">
        <v>32</v>
      </c>
      <c r="P23">
        <f>M8^2</f>
        <v>0.92162012246966185</v>
      </c>
    </row>
    <row r="24" spans="2:19" x14ac:dyDescent="0.3">
      <c r="B24" s="2">
        <v>1980</v>
      </c>
      <c r="C24" s="3">
        <v>99303</v>
      </c>
      <c r="D24" s="2">
        <v>216.07300000000001</v>
      </c>
      <c r="E24" s="3">
        <v>2823700</v>
      </c>
      <c r="F24" s="3">
        <v>7637</v>
      </c>
      <c r="G24" s="2">
        <v>2102</v>
      </c>
      <c r="H24" s="3">
        <v>172437</v>
      </c>
      <c r="I24" s="2">
        <v>22</v>
      </c>
    </row>
    <row r="25" spans="2:19" x14ac:dyDescent="0.3">
      <c r="B25" s="2">
        <v>1981</v>
      </c>
      <c r="C25" s="3">
        <v>100397</v>
      </c>
      <c r="D25" s="2">
        <v>236.38499999999999</v>
      </c>
      <c r="E25" s="3">
        <v>3161400</v>
      </c>
      <c r="F25" s="3">
        <v>8273</v>
      </c>
      <c r="G25" s="2">
        <v>2142</v>
      </c>
      <c r="H25" s="3">
        <v>174929</v>
      </c>
      <c r="I25" s="2">
        <v>23</v>
      </c>
      <c r="L25" t="s">
        <v>35</v>
      </c>
    </row>
    <row r="26" spans="2:19" x14ac:dyDescent="0.3">
      <c r="B26" s="2">
        <v>1982</v>
      </c>
      <c r="C26" s="3">
        <v>99526</v>
      </c>
      <c r="D26" s="2">
        <v>250.798</v>
      </c>
      <c r="E26" s="3">
        <v>3291500</v>
      </c>
      <c r="F26" s="3">
        <v>10678</v>
      </c>
      <c r="G26" s="2">
        <v>2179</v>
      </c>
      <c r="H26" s="3">
        <v>177176</v>
      </c>
      <c r="I26" s="2">
        <v>24</v>
      </c>
    </row>
    <row r="27" spans="2:19" x14ac:dyDescent="0.3">
      <c r="B27" s="2">
        <v>1983</v>
      </c>
      <c r="C27" s="3">
        <v>100834</v>
      </c>
      <c r="D27" s="2">
        <v>260.68</v>
      </c>
      <c r="E27" s="3">
        <v>3573800</v>
      </c>
      <c r="F27" s="3">
        <v>10717</v>
      </c>
      <c r="G27" s="2">
        <v>2199</v>
      </c>
      <c r="H27" s="3">
        <v>179234</v>
      </c>
      <c r="I27" s="2">
        <v>25</v>
      </c>
      <c r="L27" t="s">
        <v>32</v>
      </c>
      <c r="M27">
        <f>L8^2</f>
        <v>0.97816771557437199</v>
      </c>
    </row>
    <row r="28" spans="2:19" x14ac:dyDescent="0.3">
      <c r="B28" s="2">
        <v>1984</v>
      </c>
      <c r="C28" s="3">
        <v>105005</v>
      </c>
      <c r="D28" s="2">
        <v>270.49599999999998</v>
      </c>
      <c r="E28" s="3">
        <v>3969500</v>
      </c>
      <c r="F28" s="3">
        <v>8539</v>
      </c>
      <c r="G28" s="2">
        <v>2219</v>
      </c>
      <c r="H28" s="3">
        <v>181192</v>
      </c>
      <c r="I28" s="2">
        <v>26</v>
      </c>
    </row>
    <row r="29" spans="2:19" x14ac:dyDescent="0.3">
      <c r="B29" s="2">
        <v>1985</v>
      </c>
      <c r="C29" s="3">
        <v>107150</v>
      </c>
      <c r="D29" s="2">
        <v>278.75900000000001</v>
      </c>
      <c r="E29" s="3">
        <v>4246800</v>
      </c>
      <c r="F29" s="3">
        <v>8312</v>
      </c>
      <c r="G29" s="2">
        <v>2234</v>
      </c>
      <c r="H29" s="3">
        <v>183174</v>
      </c>
      <c r="I29" s="2">
        <v>27</v>
      </c>
    </row>
    <row r="30" spans="2:19" x14ac:dyDescent="0.3">
      <c r="B30" s="2">
        <v>1986</v>
      </c>
      <c r="C30" s="3">
        <v>109597</v>
      </c>
      <c r="D30" s="2">
        <v>284.89499999999998</v>
      </c>
      <c r="E30" s="3">
        <v>4480600</v>
      </c>
      <c r="F30" s="3">
        <v>8237</v>
      </c>
      <c r="G30" s="2">
        <v>2244</v>
      </c>
      <c r="H30" s="3">
        <v>185284</v>
      </c>
      <c r="I30" s="2">
        <v>28</v>
      </c>
      <c r="L30" t="s">
        <v>2</v>
      </c>
      <c r="M30" t="s">
        <v>3</v>
      </c>
      <c r="N30" t="s">
        <v>4</v>
      </c>
      <c r="O30" t="s">
        <v>5</v>
      </c>
    </row>
    <row r="31" spans="2:19" x14ac:dyDescent="0.3">
      <c r="B31" s="2">
        <v>1987</v>
      </c>
      <c r="C31" s="3">
        <v>112440</v>
      </c>
      <c r="D31" s="2">
        <v>292.69099999999997</v>
      </c>
      <c r="E31" s="3">
        <v>4757400</v>
      </c>
      <c r="F31" s="3">
        <v>7425</v>
      </c>
      <c r="G31" s="2">
        <v>2257</v>
      </c>
      <c r="H31" s="3">
        <v>187419</v>
      </c>
      <c r="I31" s="2">
        <v>29</v>
      </c>
      <c r="K31" t="s">
        <v>3</v>
      </c>
      <c r="L31">
        <v>0.93970262472626309</v>
      </c>
    </row>
    <row r="32" spans="2:19" x14ac:dyDescent="0.3">
      <c r="B32" s="2">
        <v>1988</v>
      </c>
      <c r="C32" s="3">
        <v>114968</v>
      </c>
      <c r="D32" s="2">
        <v>302.68</v>
      </c>
      <c r="E32" s="3">
        <v>5127400</v>
      </c>
      <c r="F32" s="3">
        <v>6701</v>
      </c>
      <c r="G32" s="2">
        <v>2224</v>
      </c>
      <c r="H32" s="3">
        <v>189233</v>
      </c>
      <c r="I32" s="2">
        <v>30</v>
      </c>
      <c r="K32" t="s">
        <v>4</v>
      </c>
      <c r="L32">
        <v>0.47872826411018954</v>
      </c>
      <c r="M32">
        <v>0.30528187912829036</v>
      </c>
    </row>
    <row r="33" spans="2:15" x14ac:dyDescent="0.3">
      <c r="B33" s="2">
        <v>1989</v>
      </c>
      <c r="C33" s="3">
        <v>117342</v>
      </c>
      <c r="D33" s="2">
        <v>314.17899999999997</v>
      </c>
      <c r="E33" s="3">
        <v>5510600</v>
      </c>
      <c r="F33" s="3">
        <v>6528</v>
      </c>
      <c r="G33" s="2">
        <v>2208</v>
      </c>
      <c r="H33" s="3">
        <v>190862</v>
      </c>
      <c r="I33" s="2">
        <v>31</v>
      </c>
      <c r="K33" t="s">
        <v>5</v>
      </c>
      <c r="L33">
        <v>0.75576386826523279</v>
      </c>
      <c r="M33">
        <v>0.73171766809857042</v>
      </c>
      <c r="N33">
        <v>0.44103766807964406</v>
      </c>
    </row>
    <row r="34" spans="2:15" x14ac:dyDescent="0.3">
      <c r="B34" s="2">
        <v>1990</v>
      </c>
      <c r="C34" s="3">
        <v>118793</v>
      </c>
      <c r="D34" s="2">
        <v>326.35700000000003</v>
      </c>
      <c r="E34" s="3">
        <v>5837900</v>
      </c>
      <c r="F34" s="3">
        <v>7047</v>
      </c>
      <c r="G34" s="2">
        <v>2167</v>
      </c>
      <c r="H34" s="3">
        <v>192644</v>
      </c>
      <c r="I34" s="2">
        <v>32</v>
      </c>
      <c r="K34" t="s">
        <v>6</v>
      </c>
      <c r="L34">
        <v>0.97816771557437199</v>
      </c>
      <c r="M34">
        <v>0.92162012246966185</v>
      </c>
      <c r="N34">
        <v>0.48890800959506409</v>
      </c>
      <c r="O34">
        <f>V15</f>
        <v>0.75856393578433068</v>
      </c>
    </row>
    <row r="35" spans="2:15" x14ac:dyDescent="0.3">
      <c r="B35" s="2">
        <v>1991</v>
      </c>
      <c r="C35" s="3">
        <v>117718</v>
      </c>
      <c r="D35" s="2">
        <v>337.74700000000001</v>
      </c>
      <c r="E35" s="3">
        <v>6026300</v>
      </c>
      <c r="F35" s="3">
        <v>8628</v>
      </c>
      <c r="G35" s="2">
        <v>2118</v>
      </c>
      <c r="H35" s="3">
        <v>194936</v>
      </c>
      <c r="I35" s="2">
        <v>33</v>
      </c>
    </row>
    <row r="36" spans="2:15" x14ac:dyDescent="0.3">
      <c r="B36" s="2">
        <v>1992</v>
      </c>
      <c r="C36" s="3">
        <v>118492</v>
      </c>
      <c r="D36" s="2">
        <v>345.47699999999998</v>
      </c>
      <c r="E36" s="3">
        <v>6367400</v>
      </c>
      <c r="F36" s="3">
        <v>9613</v>
      </c>
      <c r="G36" s="2">
        <v>1966</v>
      </c>
      <c r="H36" s="3">
        <v>197205</v>
      </c>
      <c r="I36" s="2">
        <v>34</v>
      </c>
    </row>
    <row r="37" spans="2:15" x14ac:dyDescent="0.3">
      <c r="B37" s="2">
        <v>1993</v>
      </c>
      <c r="C37" s="3">
        <v>120259</v>
      </c>
      <c r="D37" s="2">
        <v>353.51600000000002</v>
      </c>
      <c r="E37" s="3">
        <v>6689300</v>
      </c>
      <c r="F37" s="3">
        <v>8940</v>
      </c>
      <c r="G37" s="2">
        <v>1760</v>
      </c>
      <c r="H37" s="3">
        <v>199622</v>
      </c>
      <c r="I37" s="2">
        <v>35</v>
      </c>
      <c r="K37" t="s">
        <v>42</v>
      </c>
    </row>
    <row r="38" spans="2:15" x14ac:dyDescent="0.3">
      <c r="B38" s="2">
        <v>1994</v>
      </c>
      <c r="C38" s="3">
        <v>123060</v>
      </c>
      <c r="D38" s="2">
        <v>361.02600000000001</v>
      </c>
      <c r="E38" s="3">
        <v>7098400</v>
      </c>
      <c r="F38" s="3">
        <v>7996</v>
      </c>
      <c r="G38" s="2">
        <v>1673</v>
      </c>
      <c r="H38" s="3">
        <v>201970</v>
      </c>
      <c r="I38" s="2">
        <v>36</v>
      </c>
      <c r="L38" t="s">
        <v>2</v>
      </c>
      <c r="M38" t="s">
        <v>3</v>
      </c>
      <c r="N38" t="s">
        <v>4</v>
      </c>
      <c r="O38" t="s">
        <v>5</v>
      </c>
    </row>
    <row r="39" spans="2:15" x14ac:dyDescent="0.3">
      <c r="B39" s="2">
        <v>1995</v>
      </c>
      <c r="C39" s="3">
        <v>124900</v>
      </c>
      <c r="D39" s="2">
        <v>368.44400000000002</v>
      </c>
      <c r="E39" s="3">
        <v>7433400</v>
      </c>
      <c r="F39" s="3">
        <v>7404</v>
      </c>
      <c r="G39" s="2">
        <v>1579</v>
      </c>
      <c r="H39" s="3">
        <v>204420</v>
      </c>
      <c r="I39" s="2">
        <v>37</v>
      </c>
      <c r="K39" t="s">
        <v>3</v>
      </c>
      <c r="L39">
        <f>1/(1-L31)</f>
        <v>16.58446981249546</v>
      </c>
    </row>
    <row r="40" spans="2:15" x14ac:dyDescent="0.3">
      <c r="B40" s="2">
        <v>1996</v>
      </c>
      <c r="C40" s="3">
        <v>126708</v>
      </c>
      <c r="D40" s="2">
        <v>375.42899999999997</v>
      </c>
      <c r="E40" s="3">
        <v>7851900</v>
      </c>
      <c r="F40" s="3">
        <v>7236</v>
      </c>
      <c r="G40" s="2">
        <v>1502</v>
      </c>
      <c r="H40" s="3">
        <v>207087</v>
      </c>
      <c r="I40" s="2">
        <v>38</v>
      </c>
      <c r="K40" t="s">
        <v>4</v>
      </c>
      <c r="L40">
        <f t="shared" ref="L40:O42" si="0">1/(1-L32)</f>
        <v>1.9183852320191517</v>
      </c>
      <c r="M40">
        <f t="shared" si="0"/>
        <v>1.4394327281188988</v>
      </c>
    </row>
    <row r="41" spans="2:15" x14ac:dyDescent="0.3">
      <c r="B41" s="2">
        <v>1997</v>
      </c>
      <c r="C41" s="3">
        <v>129558</v>
      </c>
      <c r="D41" s="2">
        <v>381.66300000000001</v>
      </c>
      <c r="E41" s="3">
        <v>8337300</v>
      </c>
      <c r="F41" s="3">
        <v>6739</v>
      </c>
      <c r="G41" s="2">
        <v>1457</v>
      </c>
      <c r="H41" s="3">
        <v>209846</v>
      </c>
      <c r="I41" s="2">
        <v>39</v>
      </c>
      <c r="K41" t="s">
        <v>5</v>
      </c>
      <c r="L41">
        <f t="shared" si="0"/>
        <v>4.094398289463447</v>
      </c>
      <c r="M41">
        <f t="shared" si="0"/>
        <v>3.7274165350829476</v>
      </c>
      <c r="N41">
        <f t="shared" si="0"/>
        <v>1.7890293189604154</v>
      </c>
    </row>
    <row r="42" spans="2:15" x14ac:dyDescent="0.3">
      <c r="B42" s="2">
        <v>1998</v>
      </c>
      <c r="C42" s="3">
        <v>131463</v>
      </c>
      <c r="D42" s="2">
        <v>385.88099999999997</v>
      </c>
      <c r="E42" s="3">
        <v>8768300</v>
      </c>
      <c r="F42" s="3">
        <v>6210</v>
      </c>
      <c r="G42" s="2">
        <v>1423</v>
      </c>
      <c r="H42" s="3">
        <v>212638</v>
      </c>
      <c r="I42" s="2">
        <v>40</v>
      </c>
      <c r="K42" t="s">
        <v>6</v>
      </c>
      <c r="L42">
        <f t="shared" si="0"/>
        <v>45.803727200720303</v>
      </c>
      <c r="M42">
        <f t="shared" si="0"/>
        <v>12.75837665876595</v>
      </c>
      <c r="N42">
        <f t="shared" si="0"/>
        <v>1.9565949354982153</v>
      </c>
      <c r="O42">
        <f t="shared" si="0"/>
        <v>4.141883290090095</v>
      </c>
    </row>
    <row r="43" spans="2:15" x14ac:dyDescent="0.3">
      <c r="B43" s="2">
        <v>1999</v>
      </c>
      <c r="C43" s="3">
        <v>133488</v>
      </c>
      <c r="D43" s="2">
        <v>391.452</v>
      </c>
      <c r="E43" s="3">
        <v>9302200</v>
      </c>
      <c r="F43" s="3">
        <v>5880</v>
      </c>
      <c r="G43" s="2">
        <v>1380</v>
      </c>
      <c r="H43" s="3">
        <v>215404</v>
      </c>
      <c r="I43" s="2">
        <v>41</v>
      </c>
    </row>
    <row r="44" spans="2:15" x14ac:dyDescent="0.3">
      <c r="B44" s="2">
        <v>2000</v>
      </c>
      <c r="C44" s="3">
        <v>136891</v>
      </c>
      <c r="D44" s="2">
        <v>399.98599999999999</v>
      </c>
      <c r="E44" s="3">
        <v>9855900</v>
      </c>
      <c r="F44" s="3">
        <v>5692</v>
      </c>
      <c r="G44" s="2">
        <v>1405</v>
      </c>
      <c r="H44" s="3">
        <v>218061</v>
      </c>
      <c r="I44" s="2">
        <v>42</v>
      </c>
    </row>
    <row r="45" spans="2:15" x14ac:dyDescent="0.3">
      <c r="B45" s="2">
        <v>2001</v>
      </c>
      <c r="C45" s="3">
        <v>136933</v>
      </c>
      <c r="D45" s="2">
        <v>409.58199999999999</v>
      </c>
      <c r="E45" s="3">
        <v>10171600</v>
      </c>
      <c r="F45" s="3">
        <v>6801</v>
      </c>
      <c r="G45" s="2">
        <v>1412</v>
      </c>
      <c r="H45" s="3">
        <v>220800</v>
      </c>
      <c r="I45" s="2">
        <v>43</v>
      </c>
    </row>
    <row r="46" spans="2:15" x14ac:dyDescent="0.3">
      <c r="B46" s="2">
        <v>2002</v>
      </c>
      <c r="C46" s="3">
        <v>136485</v>
      </c>
      <c r="D46" s="2">
        <v>416.70400000000001</v>
      </c>
      <c r="E46" s="3">
        <v>10500200</v>
      </c>
      <c r="F46" s="3">
        <v>8378</v>
      </c>
      <c r="G46" s="2">
        <v>1425</v>
      </c>
      <c r="H46" s="3">
        <v>223532</v>
      </c>
      <c r="I46" s="2">
        <v>44</v>
      </c>
    </row>
    <row r="47" spans="2:15" x14ac:dyDescent="0.3">
      <c r="B47" s="2">
        <v>2003</v>
      </c>
      <c r="C47" s="3">
        <v>137736</v>
      </c>
      <c r="D47" s="2">
        <v>425.553</v>
      </c>
      <c r="E47" s="3">
        <v>11017600</v>
      </c>
      <c r="F47" s="3">
        <v>8774</v>
      </c>
      <c r="G47" s="2">
        <v>1423</v>
      </c>
      <c r="H47" s="3">
        <v>226223</v>
      </c>
      <c r="I47" s="2">
        <v>45</v>
      </c>
    </row>
    <row r="48" spans="2:15" x14ac:dyDescent="0.3">
      <c r="B48" s="2">
        <v>2004</v>
      </c>
      <c r="C48" s="3">
        <v>139252</v>
      </c>
      <c r="D48" s="2">
        <v>437.79500000000002</v>
      </c>
      <c r="E48" s="3">
        <v>11762100</v>
      </c>
      <c r="F48" s="3">
        <v>8149</v>
      </c>
      <c r="G48" s="2">
        <v>1411</v>
      </c>
      <c r="H48" s="3">
        <v>228892</v>
      </c>
      <c r="I48" s="2">
        <v>46</v>
      </c>
    </row>
    <row r="49" spans="2:9" x14ac:dyDescent="0.3">
      <c r="B49" s="2">
        <v>2005</v>
      </c>
      <c r="C49" s="3">
        <v>141730</v>
      </c>
      <c r="D49" s="2">
        <v>451.94600000000003</v>
      </c>
      <c r="E49" s="3">
        <v>12502400</v>
      </c>
      <c r="F49" s="3">
        <v>7591</v>
      </c>
      <c r="G49" s="2">
        <v>1378</v>
      </c>
      <c r="H49" s="3">
        <v>231552</v>
      </c>
      <c r="I49" s="2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5F24-F550-43BD-89C2-B0A69930CF06}">
  <dimension ref="B2:M49"/>
  <sheetViews>
    <sheetView topLeftCell="A3" workbookViewId="0">
      <selection activeCell="E25" sqref="E25"/>
    </sheetView>
  </sheetViews>
  <sheetFormatPr defaultRowHeight="14.4" x14ac:dyDescent="0.3"/>
  <cols>
    <col min="2" max="2" width="8" bestFit="1" customWidth="1"/>
    <col min="3" max="3" width="10.33203125" bestFit="1" customWidth="1"/>
    <col min="5" max="5" width="17.44140625" bestFit="1" customWidth="1"/>
    <col min="6" max="6" width="12" bestFit="1" customWidth="1"/>
    <col min="7" max="7" width="13.44140625" bestFit="1" customWidth="1"/>
    <col min="8" max="9" width="12" bestFit="1" customWidth="1"/>
    <col min="10" max="10" width="12.44140625" bestFit="1" customWidth="1"/>
    <col min="11" max="11" width="12" bestFit="1" customWidth="1"/>
    <col min="12" max="13" width="12.109375" bestFit="1" customWidth="1"/>
  </cols>
  <sheetData>
    <row r="2" spans="2:10" x14ac:dyDescent="0.3">
      <c r="B2" s="1" t="s">
        <v>2</v>
      </c>
      <c r="C2" s="1" t="s">
        <v>3</v>
      </c>
      <c r="E2" t="s">
        <v>7</v>
      </c>
    </row>
    <row r="3" spans="2:10" ht="15" thickBot="1" x14ac:dyDescent="0.35">
      <c r="B3" s="2">
        <v>82.908000000000001</v>
      </c>
      <c r="C3" s="3">
        <v>509300</v>
      </c>
    </row>
    <row r="4" spans="2:10" x14ac:dyDescent="0.3">
      <c r="B4" s="2">
        <v>84.073999999999998</v>
      </c>
      <c r="C4" s="3">
        <v>529500</v>
      </c>
      <c r="E4" s="7" t="s">
        <v>8</v>
      </c>
      <c r="F4" s="7"/>
    </row>
    <row r="5" spans="2:10" x14ac:dyDescent="0.3">
      <c r="B5" s="2">
        <v>85.015000000000001</v>
      </c>
      <c r="C5" s="3">
        <v>548200</v>
      </c>
      <c r="E5" s="4" t="s">
        <v>9</v>
      </c>
      <c r="F5" s="4">
        <v>0.96938259976454211</v>
      </c>
    </row>
    <row r="6" spans="2:10" x14ac:dyDescent="0.3">
      <c r="B6" s="2">
        <v>86.186000000000007</v>
      </c>
      <c r="C6" s="3">
        <v>589700</v>
      </c>
      <c r="E6" s="4" t="s">
        <v>10</v>
      </c>
      <c r="F6" s="4">
        <v>0.93970262472626254</v>
      </c>
    </row>
    <row r="7" spans="2:10" x14ac:dyDescent="0.3">
      <c r="B7" s="2">
        <v>87.102999999999994</v>
      </c>
      <c r="C7" s="3">
        <v>622200</v>
      </c>
      <c r="E7" s="4" t="s">
        <v>11</v>
      </c>
      <c r="F7" s="4">
        <v>0.93836268305351278</v>
      </c>
    </row>
    <row r="8" spans="2:10" x14ac:dyDescent="0.3">
      <c r="B8" s="2">
        <v>88.438000000000002</v>
      </c>
      <c r="C8" s="3">
        <v>668500</v>
      </c>
      <c r="E8" s="4" t="s">
        <v>12</v>
      </c>
      <c r="F8" s="4">
        <v>30.977623037977981</v>
      </c>
    </row>
    <row r="9" spans="2:10" ht="15" thickBot="1" x14ac:dyDescent="0.35">
      <c r="B9" s="2">
        <v>90.055000000000007</v>
      </c>
      <c r="C9" s="3">
        <v>724400</v>
      </c>
      <c r="E9" s="5" t="s">
        <v>13</v>
      </c>
      <c r="F9" s="5">
        <v>47</v>
      </c>
    </row>
    <row r="10" spans="2:10" x14ac:dyDescent="0.3">
      <c r="B10" s="2">
        <v>92.623999999999995</v>
      </c>
      <c r="C10" s="3">
        <v>792900</v>
      </c>
    </row>
    <row r="11" spans="2:10" ht="15" thickBot="1" x14ac:dyDescent="0.35">
      <c r="B11" s="2">
        <v>95.491</v>
      </c>
      <c r="C11" s="3">
        <v>838000</v>
      </c>
      <c r="E11" t="s">
        <v>14</v>
      </c>
    </row>
    <row r="12" spans="2:10" x14ac:dyDescent="0.3">
      <c r="B12" s="2">
        <v>99.56</v>
      </c>
      <c r="C12" s="3">
        <v>916100</v>
      </c>
      <c r="E12" s="6"/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</row>
    <row r="13" spans="2:10" x14ac:dyDescent="0.3">
      <c r="B13" s="2">
        <v>104.504</v>
      </c>
      <c r="C13" s="3">
        <v>990700</v>
      </c>
      <c r="E13" s="4" t="s">
        <v>15</v>
      </c>
      <c r="F13" s="4">
        <v>1</v>
      </c>
      <c r="G13" s="4">
        <v>672977.78288411326</v>
      </c>
      <c r="H13" s="4">
        <v>672977.78288411326</v>
      </c>
      <c r="I13" s="4">
        <v>701.30114156228922</v>
      </c>
      <c r="J13" s="4">
        <v>4.390856133236038E-29</v>
      </c>
    </row>
    <row r="14" spans="2:10" x14ac:dyDescent="0.3">
      <c r="B14" s="2">
        <v>110.04600000000001</v>
      </c>
      <c r="C14" s="3">
        <v>1044900</v>
      </c>
      <c r="E14" s="4" t="s">
        <v>16</v>
      </c>
      <c r="F14" s="4">
        <v>45</v>
      </c>
      <c r="G14" s="4">
        <v>43182.590808737885</v>
      </c>
      <c r="H14" s="4">
        <v>959.61312908306411</v>
      </c>
      <c r="I14" s="4"/>
      <c r="J14" s="4"/>
    </row>
    <row r="15" spans="2:10" ht="15" thickBot="1" x14ac:dyDescent="0.35">
      <c r="B15" s="2">
        <v>115.54900000000001</v>
      </c>
      <c r="C15" s="3">
        <v>1134700</v>
      </c>
      <c r="E15" s="5" t="s">
        <v>17</v>
      </c>
      <c r="F15" s="5">
        <v>46</v>
      </c>
      <c r="G15" s="5">
        <v>716160.37369285116</v>
      </c>
      <c r="H15" s="5"/>
      <c r="I15" s="5"/>
      <c r="J15" s="5"/>
    </row>
    <row r="16" spans="2:10" ht="15" thickBot="1" x14ac:dyDescent="0.35">
      <c r="B16" s="2">
        <v>120.556</v>
      </c>
      <c r="C16" s="3">
        <v>1246800</v>
      </c>
    </row>
    <row r="17" spans="2:13" x14ac:dyDescent="0.3">
      <c r="B17" s="2">
        <v>127.307</v>
      </c>
      <c r="C17" s="3">
        <v>1395300</v>
      </c>
      <c r="E17" s="6"/>
      <c r="F17" s="6" t="s">
        <v>24</v>
      </c>
      <c r="G17" s="6" t="s">
        <v>12</v>
      </c>
      <c r="H17" s="6" t="s">
        <v>25</v>
      </c>
      <c r="I17" s="6" t="s">
        <v>26</v>
      </c>
      <c r="J17" s="6" t="s">
        <v>27</v>
      </c>
      <c r="K17" s="6" t="s">
        <v>28</v>
      </c>
      <c r="L17" s="6" t="s">
        <v>29</v>
      </c>
      <c r="M17" s="6" t="s">
        <v>30</v>
      </c>
    </row>
    <row r="18" spans="2:13" x14ac:dyDescent="0.3">
      <c r="B18" s="2">
        <v>138.82</v>
      </c>
      <c r="C18" s="3">
        <v>1515500</v>
      </c>
      <c r="E18" s="4" t="s">
        <v>18</v>
      </c>
      <c r="F18" s="4">
        <v>95.371327070515065</v>
      </c>
      <c r="G18" s="4">
        <v>7.1309662437518009</v>
      </c>
      <c r="H18" s="4">
        <v>13.374250250319168</v>
      </c>
      <c r="I18" s="4">
        <v>2.7650532601439731E-17</v>
      </c>
      <c r="J18" s="4">
        <v>81.008823792979655</v>
      </c>
      <c r="K18" s="4">
        <v>109.73383034805047</v>
      </c>
      <c r="L18" s="4">
        <v>81.008823792979655</v>
      </c>
      <c r="M18" s="4">
        <v>109.73383034805047</v>
      </c>
    </row>
    <row r="19" spans="2:13" ht="15" thickBot="1" x14ac:dyDescent="0.35">
      <c r="B19" s="2">
        <v>151.857</v>
      </c>
      <c r="C19" s="3">
        <v>1651300</v>
      </c>
      <c r="E19" s="5" t="s">
        <v>3</v>
      </c>
      <c r="F19" s="5">
        <v>3.3496328209219242E-5</v>
      </c>
      <c r="G19" s="5">
        <v>1.2648671987813209E-6</v>
      </c>
      <c r="H19" s="5">
        <v>26.482090959029069</v>
      </c>
      <c r="I19" s="5">
        <v>4.390856133236038E-29</v>
      </c>
      <c r="J19" s="5">
        <v>3.0948754897669558E-5</v>
      </c>
      <c r="K19" s="5">
        <v>3.6043901520768926E-5</v>
      </c>
      <c r="L19" s="5">
        <v>3.0948754897669558E-5</v>
      </c>
      <c r="M19" s="5">
        <v>3.6043901520768926E-5</v>
      </c>
    </row>
    <row r="20" spans="2:13" x14ac:dyDescent="0.3">
      <c r="B20" s="2">
        <v>160.68</v>
      </c>
      <c r="C20" s="3">
        <v>1842100</v>
      </c>
    </row>
    <row r="21" spans="2:13" x14ac:dyDescent="0.3">
      <c r="B21" s="2">
        <v>170.88399999999999</v>
      </c>
      <c r="C21" s="3">
        <v>2051200</v>
      </c>
    </row>
    <row r="22" spans="2:13" x14ac:dyDescent="0.3">
      <c r="B22" s="2">
        <v>182.863</v>
      </c>
      <c r="C22" s="3">
        <v>2316300</v>
      </c>
    </row>
    <row r="23" spans="2:13" x14ac:dyDescent="0.3">
      <c r="B23" s="2">
        <v>198.077</v>
      </c>
      <c r="C23" s="3">
        <v>2595300</v>
      </c>
    </row>
    <row r="24" spans="2:13" x14ac:dyDescent="0.3">
      <c r="B24" s="2">
        <v>216.07300000000001</v>
      </c>
      <c r="C24" s="3">
        <v>2823700</v>
      </c>
    </row>
    <row r="25" spans="2:13" x14ac:dyDescent="0.3">
      <c r="B25" s="2">
        <v>236.38499999999999</v>
      </c>
      <c r="C25" s="3">
        <v>3161400</v>
      </c>
    </row>
    <row r="26" spans="2:13" x14ac:dyDescent="0.3">
      <c r="B26" s="2">
        <v>250.798</v>
      </c>
      <c r="C26" s="3">
        <v>3291500</v>
      </c>
    </row>
    <row r="27" spans="2:13" x14ac:dyDescent="0.3">
      <c r="B27" s="2">
        <v>260.68</v>
      </c>
      <c r="C27" s="3">
        <v>3573800</v>
      </c>
    </row>
    <row r="28" spans="2:13" x14ac:dyDescent="0.3">
      <c r="B28" s="2">
        <v>270.49599999999998</v>
      </c>
      <c r="C28" s="3">
        <v>3969500</v>
      </c>
    </row>
    <row r="29" spans="2:13" x14ac:dyDescent="0.3">
      <c r="B29" s="2">
        <v>278.75900000000001</v>
      </c>
      <c r="C29" s="3">
        <v>4246800</v>
      </c>
    </row>
    <row r="30" spans="2:13" x14ac:dyDescent="0.3">
      <c r="B30" s="2">
        <v>284.89499999999998</v>
      </c>
      <c r="C30" s="3">
        <v>4480600</v>
      </c>
    </row>
    <row r="31" spans="2:13" x14ac:dyDescent="0.3">
      <c r="B31" s="2">
        <v>292.69099999999997</v>
      </c>
      <c r="C31" s="3">
        <v>4757400</v>
      </c>
    </row>
    <row r="32" spans="2:13" x14ac:dyDescent="0.3">
      <c r="B32" s="2">
        <v>302.68</v>
      </c>
      <c r="C32" s="3">
        <v>5127400</v>
      </c>
    </row>
    <row r="33" spans="2:3" x14ac:dyDescent="0.3">
      <c r="B33" s="2">
        <v>314.17899999999997</v>
      </c>
      <c r="C33" s="3">
        <v>5510600</v>
      </c>
    </row>
    <row r="34" spans="2:3" x14ac:dyDescent="0.3">
      <c r="B34" s="2">
        <v>326.35700000000003</v>
      </c>
      <c r="C34" s="3">
        <v>5837900</v>
      </c>
    </row>
    <row r="35" spans="2:3" x14ac:dyDescent="0.3">
      <c r="B35" s="2">
        <v>337.74700000000001</v>
      </c>
      <c r="C35" s="3">
        <v>6026300</v>
      </c>
    </row>
    <row r="36" spans="2:3" x14ac:dyDescent="0.3">
      <c r="B36" s="2">
        <v>345.47699999999998</v>
      </c>
      <c r="C36" s="3">
        <v>6367400</v>
      </c>
    </row>
    <row r="37" spans="2:3" x14ac:dyDescent="0.3">
      <c r="B37" s="2">
        <v>353.51600000000002</v>
      </c>
      <c r="C37" s="3">
        <v>6689300</v>
      </c>
    </row>
    <row r="38" spans="2:3" x14ac:dyDescent="0.3">
      <c r="B38" s="2">
        <v>361.02600000000001</v>
      </c>
      <c r="C38" s="3">
        <v>7098400</v>
      </c>
    </row>
    <row r="39" spans="2:3" x14ac:dyDescent="0.3">
      <c r="B39" s="2">
        <v>368.44400000000002</v>
      </c>
      <c r="C39" s="3">
        <v>7433400</v>
      </c>
    </row>
    <row r="40" spans="2:3" x14ac:dyDescent="0.3">
      <c r="B40" s="2">
        <v>375.42899999999997</v>
      </c>
      <c r="C40" s="3">
        <v>7851900</v>
      </c>
    </row>
    <row r="41" spans="2:3" x14ac:dyDescent="0.3">
      <c r="B41" s="2">
        <v>381.66300000000001</v>
      </c>
      <c r="C41" s="3">
        <v>8337300</v>
      </c>
    </row>
    <row r="42" spans="2:3" x14ac:dyDescent="0.3">
      <c r="B42" s="2">
        <v>385.88099999999997</v>
      </c>
      <c r="C42" s="3">
        <v>8768300</v>
      </c>
    </row>
    <row r="43" spans="2:3" x14ac:dyDescent="0.3">
      <c r="B43" s="2">
        <v>391.452</v>
      </c>
      <c r="C43" s="3">
        <v>9302200</v>
      </c>
    </row>
    <row r="44" spans="2:3" x14ac:dyDescent="0.3">
      <c r="B44" s="2">
        <v>399.98599999999999</v>
      </c>
      <c r="C44" s="3">
        <v>9855900</v>
      </c>
    </row>
    <row r="45" spans="2:3" x14ac:dyDescent="0.3">
      <c r="B45" s="2">
        <v>409.58199999999999</v>
      </c>
      <c r="C45" s="3">
        <v>10171600</v>
      </c>
    </row>
    <row r="46" spans="2:3" x14ac:dyDescent="0.3">
      <c r="B46" s="2">
        <v>416.70400000000001</v>
      </c>
      <c r="C46" s="3">
        <v>10500200</v>
      </c>
    </row>
    <row r="47" spans="2:3" x14ac:dyDescent="0.3">
      <c r="B47" s="2">
        <v>425.553</v>
      </c>
      <c r="C47" s="3">
        <v>11017600</v>
      </c>
    </row>
    <row r="48" spans="2:3" x14ac:dyDescent="0.3">
      <c r="B48" s="2">
        <v>437.79500000000002</v>
      </c>
      <c r="C48" s="3">
        <v>11762100</v>
      </c>
    </row>
    <row r="49" spans="2:3" x14ac:dyDescent="0.3">
      <c r="B49" s="2">
        <v>451.94600000000003</v>
      </c>
      <c r="C49" s="3">
        <v>12502400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8C6C-8A98-41F7-B7A9-46A96D3EE28E}">
  <dimension ref="B1:O49"/>
  <sheetViews>
    <sheetView topLeftCell="A20" workbookViewId="0">
      <selection activeCell="R10" sqref="R10"/>
    </sheetView>
  </sheetViews>
  <sheetFormatPr defaultRowHeight="14.4" x14ac:dyDescent="0.3"/>
  <cols>
    <col min="7" max="7" width="17.44140625" bestFit="1" customWidth="1"/>
    <col min="8" max="8" width="12.6640625" bestFit="1" customWidth="1"/>
    <col min="9" max="9" width="13.44140625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" bestFit="1" customWidth="1"/>
    <col min="14" max="14" width="12.6640625" bestFit="1" customWidth="1"/>
    <col min="15" max="15" width="12.109375" bestFit="1" customWidth="1"/>
  </cols>
  <sheetData>
    <row r="1" spans="2:10" ht="15" thickBot="1" x14ac:dyDescent="0.35"/>
    <row r="2" spans="2:10" x14ac:dyDescent="0.3">
      <c r="B2" s="1" t="s">
        <v>1</v>
      </c>
      <c r="C2" s="1" t="s">
        <v>2</v>
      </c>
      <c r="D2" s="1" t="s">
        <v>4</v>
      </c>
      <c r="E2" s="1" t="s">
        <v>5</v>
      </c>
      <c r="G2" s="6"/>
      <c r="H2" s="6" t="s">
        <v>2</v>
      </c>
      <c r="I2" s="6" t="s">
        <v>4</v>
      </c>
      <c r="J2" s="6" t="s">
        <v>5</v>
      </c>
    </row>
    <row r="3" spans="2:10" x14ac:dyDescent="0.3">
      <c r="B3" s="3">
        <v>64630</v>
      </c>
      <c r="C3" s="2">
        <v>82.908000000000001</v>
      </c>
      <c r="D3" s="3">
        <v>3740</v>
      </c>
      <c r="E3" s="2">
        <v>2552</v>
      </c>
      <c r="G3" s="4" t="s">
        <v>2</v>
      </c>
      <c r="H3" s="4">
        <v>1</v>
      </c>
      <c r="I3" s="4"/>
      <c r="J3" s="4"/>
    </row>
    <row r="4" spans="2:10" x14ac:dyDescent="0.3">
      <c r="B4" s="3">
        <v>65778</v>
      </c>
      <c r="C4" s="2">
        <v>84.073999999999998</v>
      </c>
      <c r="D4" s="3">
        <v>3852</v>
      </c>
      <c r="E4" s="2">
        <v>2514</v>
      </c>
      <c r="G4" s="4" t="s">
        <v>4</v>
      </c>
      <c r="H4" s="4">
        <v>0.69190191798418188</v>
      </c>
      <c r="I4" s="4">
        <v>1</v>
      </c>
      <c r="J4" s="4"/>
    </row>
    <row r="5" spans="2:10" ht="15" thickBot="1" x14ac:dyDescent="0.35">
      <c r="B5" s="3">
        <v>65746</v>
      </c>
      <c r="C5" s="2">
        <v>85.015000000000001</v>
      </c>
      <c r="D5" s="3">
        <v>4714</v>
      </c>
      <c r="E5" s="2">
        <v>2573</v>
      </c>
      <c r="G5" s="5" t="s">
        <v>5</v>
      </c>
      <c r="H5" s="5">
        <v>-0.86934680551850696</v>
      </c>
      <c r="I5" s="5">
        <v>-0.66410666920280514</v>
      </c>
      <c r="J5" s="5">
        <v>1</v>
      </c>
    </row>
    <row r="6" spans="2:10" x14ac:dyDescent="0.3">
      <c r="B6" s="3">
        <v>66702</v>
      </c>
      <c r="C6" s="2">
        <v>86.186000000000007</v>
      </c>
      <c r="D6" s="3">
        <v>3911</v>
      </c>
      <c r="E6" s="2">
        <v>2827</v>
      </c>
    </row>
    <row r="7" spans="2:10" x14ac:dyDescent="0.3">
      <c r="B7" s="3">
        <v>67762</v>
      </c>
      <c r="C7" s="2">
        <v>87.102999999999994</v>
      </c>
      <c r="D7" s="3">
        <v>4070</v>
      </c>
      <c r="E7" s="2">
        <v>2737</v>
      </c>
    </row>
    <row r="8" spans="2:10" x14ac:dyDescent="0.3">
      <c r="B8" s="3">
        <v>69305</v>
      </c>
      <c r="C8" s="2">
        <v>88.438000000000002</v>
      </c>
      <c r="D8" s="3">
        <v>3786</v>
      </c>
      <c r="E8" s="2">
        <v>2738</v>
      </c>
    </row>
    <row r="9" spans="2:10" x14ac:dyDescent="0.3">
      <c r="B9" s="3">
        <v>71088</v>
      </c>
      <c r="C9" s="2">
        <v>90.055000000000007</v>
      </c>
      <c r="D9" s="3">
        <v>3366</v>
      </c>
      <c r="E9" s="2">
        <v>2722</v>
      </c>
      <c r="G9" t="s">
        <v>7</v>
      </c>
    </row>
    <row r="10" spans="2:10" ht="15" thickBot="1" x14ac:dyDescent="0.35">
      <c r="B10" s="3">
        <v>72895</v>
      </c>
      <c r="C10" s="2">
        <v>92.623999999999995</v>
      </c>
      <c r="D10" s="3">
        <v>2875</v>
      </c>
      <c r="E10" s="2">
        <v>3123</v>
      </c>
    </row>
    <row r="11" spans="2:10" x14ac:dyDescent="0.3">
      <c r="B11" s="3">
        <v>74372</v>
      </c>
      <c r="C11" s="2">
        <v>95.491</v>
      </c>
      <c r="D11" s="3">
        <v>2975</v>
      </c>
      <c r="E11" s="2">
        <v>3446</v>
      </c>
      <c r="G11" s="7" t="s">
        <v>8</v>
      </c>
      <c r="H11" s="7"/>
    </row>
    <row r="12" spans="2:10" x14ac:dyDescent="0.3">
      <c r="B12" s="3">
        <v>75920</v>
      </c>
      <c r="C12" s="2">
        <v>99.56</v>
      </c>
      <c r="D12" s="3">
        <v>2817</v>
      </c>
      <c r="E12" s="2">
        <v>3535</v>
      </c>
      <c r="G12" s="4" t="s">
        <v>9</v>
      </c>
      <c r="H12" s="4">
        <v>0.99237075835902977</v>
      </c>
    </row>
    <row r="13" spans="2:10" x14ac:dyDescent="0.3">
      <c r="B13" s="3">
        <v>77902</v>
      </c>
      <c r="C13" s="2">
        <v>104.504</v>
      </c>
      <c r="D13" s="3">
        <v>2832</v>
      </c>
      <c r="E13" s="2">
        <v>3506</v>
      </c>
      <c r="G13" s="4" t="s">
        <v>10</v>
      </c>
      <c r="H13" s="4">
        <v>0.9847997220460758</v>
      </c>
    </row>
    <row r="14" spans="2:10" x14ac:dyDescent="0.3">
      <c r="B14" s="3">
        <v>78678</v>
      </c>
      <c r="C14" s="2">
        <v>110.04600000000001</v>
      </c>
      <c r="D14" s="3">
        <v>4093</v>
      </c>
      <c r="E14" s="2">
        <v>3188</v>
      </c>
      <c r="G14" s="4" t="s">
        <v>11</v>
      </c>
      <c r="H14" s="4">
        <v>0.98373923753766246</v>
      </c>
    </row>
    <row r="15" spans="2:10" x14ac:dyDescent="0.3">
      <c r="B15" s="3">
        <v>79367</v>
      </c>
      <c r="C15" s="2">
        <v>115.54900000000001</v>
      </c>
      <c r="D15" s="3">
        <v>5016</v>
      </c>
      <c r="E15" s="2">
        <v>2816</v>
      </c>
      <c r="G15" s="4" t="s">
        <v>12</v>
      </c>
      <c r="H15" s="4">
        <v>3129.7694788898471</v>
      </c>
    </row>
    <row r="16" spans="2:10" ht="15" thickBot="1" x14ac:dyDescent="0.35">
      <c r="B16" s="3">
        <v>82153</v>
      </c>
      <c r="C16" s="2">
        <v>120.556</v>
      </c>
      <c r="D16" s="3">
        <v>4882</v>
      </c>
      <c r="E16" s="2">
        <v>2449</v>
      </c>
      <c r="G16" s="5" t="s">
        <v>13</v>
      </c>
      <c r="H16" s="5">
        <v>47</v>
      </c>
    </row>
    <row r="17" spans="2:15" x14ac:dyDescent="0.3">
      <c r="B17" s="3">
        <v>85064</v>
      </c>
      <c r="C17" s="2">
        <v>127.307</v>
      </c>
      <c r="D17" s="3">
        <v>4365</v>
      </c>
      <c r="E17" s="2">
        <v>2327</v>
      </c>
    </row>
    <row r="18" spans="2:15" ht="15" thickBot="1" x14ac:dyDescent="0.35">
      <c r="B18" s="3">
        <v>86794</v>
      </c>
      <c r="C18" s="2">
        <v>138.82</v>
      </c>
      <c r="D18" s="3">
        <v>5156</v>
      </c>
      <c r="E18" s="2">
        <v>2229</v>
      </c>
      <c r="G18" t="s">
        <v>14</v>
      </c>
    </row>
    <row r="19" spans="2:15" x14ac:dyDescent="0.3">
      <c r="B19" s="3">
        <v>85846</v>
      </c>
      <c r="C19" s="2">
        <v>151.857</v>
      </c>
      <c r="D19" s="3">
        <v>7929</v>
      </c>
      <c r="E19" s="2">
        <v>2180</v>
      </c>
      <c r="G19" s="6"/>
      <c r="H19" s="6" t="s">
        <v>19</v>
      </c>
      <c r="I19" s="6" t="s">
        <v>20</v>
      </c>
      <c r="J19" s="6" t="s">
        <v>21</v>
      </c>
      <c r="K19" s="6" t="s">
        <v>22</v>
      </c>
      <c r="L19" s="6" t="s">
        <v>23</v>
      </c>
    </row>
    <row r="20" spans="2:15" x14ac:dyDescent="0.3">
      <c r="B20" s="3">
        <v>88752</v>
      </c>
      <c r="C20" s="2">
        <v>160.68</v>
      </c>
      <c r="D20" s="3">
        <v>7406</v>
      </c>
      <c r="E20" s="2">
        <v>2144</v>
      </c>
      <c r="G20" s="4" t="s">
        <v>15</v>
      </c>
      <c r="H20" s="4">
        <v>3</v>
      </c>
      <c r="I20" s="4">
        <v>27289120903.259762</v>
      </c>
      <c r="J20" s="4">
        <v>9096373634.41992</v>
      </c>
      <c r="K20" s="4">
        <v>928.63187932798837</v>
      </c>
      <c r="L20" s="4">
        <v>4.2930357176498322E-39</v>
      </c>
    </row>
    <row r="21" spans="2:15" x14ac:dyDescent="0.3">
      <c r="B21" s="3">
        <v>92017</v>
      </c>
      <c r="C21" s="2">
        <v>170.88399999999999</v>
      </c>
      <c r="D21" s="3">
        <v>6991</v>
      </c>
      <c r="E21" s="2">
        <v>2133</v>
      </c>
      <c r="G21" s="4" t="s">
        <v>16</v>
      </c>
      <c r="H21" s="4">
        <v>43</v>
      </c>
      <c r="I21" s="4">
        <v>421204650.61258829</v>
      </c>
      <c r="J21" s="4">
        <v>9795456.9909904245</v>
      </c>
      <c r="K21" s="4"/>
      <c r="L21" s="4"/>
    </row>
    <row r="22" spans="2:15" ht="15" thickBot="1" x14ac:dyDescent="0.35">
      <c r="B22" s="3">
        <v>96048</v>
      </c>
      <c r="C22" s="2">
        <v>182.863</v>
      </c>
      <c r="D22" s="3">
        <v>6202</v>
      </c>
      <c r="E22" s="2">
        <v>2117</v>
      </c>
      <c r="G22" s="5" t="s">
        <v>17</v>
      </c>
      <c r="H22" s="5">
        <v>46</v>
      </c>
      <c r="I22" s="5">
        <v>27710325553.872349</v>
      </c>
      <c r="J22" s="5"/>
      <c r="K22" s="5"/>
      <c r="L22" s="5"/>
    </row>
    <row r="23" spans="2:15" ht="15" thickBot="1" x14ac:dyDescent="0.35">
      <c r="B23" s="3">
        <v>98824</v>
      </c>
      <c r="C23" s="2">
        <v>198.077</v>
      </c>
      <c r="D23" s="3">
        <v>6137</v>
      </c>
      <c r="E23" s="2">
        <v>2088</v>
      </c>
    </row>
    <row r="24" spans="2:15" x14ac:dyDescent="0.3">
      <c r="B24" s="3">
        <v>99303</v>
      </c>
      <c r="C24" s="2">
        <v>216.07300000000001</v>
      </c>
      <c r="D24" s="3">
        <v>7637</v>
      </c>
      <c r="E24" s="2">
        <v>2102</v>
      </c>
      <c r="G24" s="6"/>
      <c r="H24" s="6" t="s">
        <v>24</v>
      </c>
      <c r="I24" s="6" t="s">
        <v>12</v>
      </c>
      <c r="J24" s="6" t="s">
        <v>25</v>
      </c>
      <c r="K24" s="6" t="s">
        <v>26</v>
      </c>
      <c r="L24" s="6" t="s">
        <v>27</v>
      </c>
      <c r="M24" s="6" t="s">
        <v>28</v>
      </c>
      <c r="N24" s="6" t="s">
        <v>29</v>
      </c>
      <c r="O24" s="6" t="s">
        <v>30</v>
      </c>
    </row>
    <row r="25" spans="2:15" x14ac:dyDescent="0.3">
      <c r="B25" s="3">
        <v>100397</v>
      </c>
      <c r="C25" s="2">
        <v>236.38499999999999</v>
      </c>
      <c r="D25" s="3">
        <v>8273</v>
      </c>
      <c r="E25" s="2">
        <v>2142</v>
      </c>
      <c r="G25" s="4" t="s">
        <v>18</v>
      </c>
      <c r="H25" s="4">
        <v>61500.77422778793</v>
      </c>
      <c r="I25" s="4">
        <v>5525.2156879190752</v>
      </c>
      <c r="J25" s="4">
        <v>11.130927316061131</v>
      </c>
      <c r="K25" s="4">
        <v>3.0267915730141889E-14</v>
      </c>
      <c r="L25" s="4">
        <v>50358.11485091033</v>
      </c>
      <c r="M25" s="4">
        <v>72643.433604665523</v>
      </c>
      <c r="N25" s="4">
        <v>50358.11485091033</v>
      </c>
      <c r="O25" s="4">
        <v>72643.433604665523</v>
      </c>
    </row>
    <row r="26" spans="2:15" x14ac:dyDescent="0.3">
      <c r="B26" s="3">
        <v>99526</v>
      </c>
      <c r="C26" s="2">
        <v>250.798</v>
      </c>
      <c r="D26" s="3">
        <v>10678</v>
      </c>
      <c r="E26" s="2">
        <v>2179</v>
      </c>
      <c r="G26" s="4" t="s">
        <v>2</v>
      </c>
      <c r="H26" s="4">
        <v>195.99308867389729</v>
      </c>
      <c r="I26" s="4">
        <v>7.8713860721844</v>
      </c>
      <c r="J26" s="4">
        <v>24.899437897791611</v>
      </c>
      <c r="K26" s="4">
        <v>3.579808726684008E-27</v>
      </c>
      <c r="L26" s="4">
        <v>180.11892578501246</v>
      </c>
      <c r="M26" s="4">
        <v>211.86725156278212</v>
      </c>
      <c r="N26" s="4">
        <v>180.11892578501246</v>
      </c>
      <c r="O26" s="4">
        <v>211.86725156278212</v>
      </c>
    </row>
    <row r="27" spans="2:15" x14ac:dyDescent="0.3">
      <c r="B27" s="3">
        <v>100834</v>
      </c>
      <c r="C27" s="2">
        <v>260.68</v>
      </c>
      <c r="D27" s="3">
        <v>10717</v>
      </c>
      <c r="E27" s="2">
        <v>2199</v>
      </c>
      <c r="G27" s="4" t="s">
        <v>4</v>
      </c>
      <c r="H27" s="4">
        <v>-0.58858066691832578</v>
      </c>
      <c r="I27" s="4">
        <v>0.30450986369209387</v>
      </c>
      <c r="J27" s="4">
        <v>-1.9328788229778691</v>
      </c>
      <c r="K27" s="4">
        <v>5.9854035502954261E-2</v>
      </c>
      <c r="L27" s="4">
        <v>-1.2026833336140998</v>
      </c>
      <c r="M27" s="4">
        <v>2.5521999777448179E-2</v>
      </c>
      <c r="N27" s="4">
        <v>-1.2026833336140998</v>
      </c>
      <c r="O27" s="4">
        <v>2.5521999777448179E-2</v>
      </c>
    </row>
    <row r="28" spans="2:15" ht="15" thickBot="1" x14ac:dyDescent="0.35">
      <c r="B28" s="3">
        <v>105005</v>
      </c>
      <c r="C28" s="2">
        <v>270.49599999999998</v>
      </c>
      <c r="D28" s="3">
        <v>8539</v>
      </c>
      <c r="E28" s="2">
        <v>2219</v>
      </c>
      <c r="G28" s="5" t="s">
        <v>5</v>
      </c>
      <c r="H28" s="5">
        <v>-1.468089348532682</v>
      </c>
      <c r="I28" s="5">
        <v>1.6096704054376962</v>
      </c>
      <c r="J28" s="5">
        <v>-0.9120434491267696</v>
      </c>
      <c r="K28" s="5">
        <v>0.36683097403655684</v>
      </c>
      <c r="L28" s="5">
        <v>-4.7142990985067739</v>
      </c>
      <c r="M28" s="5">
        <v>1.77812040144141</v>
      </c>
      <c r="N28" s="5">
        <v>-4.7142990985067739</v>
      </c>
      <c r="O28" s="5">
        <v>1.77812040144141</v>
      </c>
    </row>
    <row r="29" spans="2:15" x14ac:dyDescent="0.3">
      <c r="B29" s="3">
        <v>107150</v>
      </c>
      <c r="C29" s="2">
        <v>278.75900000000001</v>
      </c>
      <c r="D29" s="3">
        <v>8312</v>
      </c>
      <c r="E29" s="2">
        <v>2234</v>
      </c>
    </row>
    <row r="30" spans="2:15" x14ac:dyDescent="0.3">
      <c r="B30" s="3">
        <v>109597</v>
      </c>
      <c r="C30" s="2">
        <v>284.89499999999998</v>
      </c>
      <c r="D30" s="3">
        <v>8237</v>
      </c>
      <c r="E30" s="2">
        <v>2244</v>
      </c>
    </row>
    <row r="31" spans="2:15" x14ac:dyDescent="0.3">
      <c r="B31" s="3">
        <v>112440</v>
      </c>
      <c r="C31" s="2">
        <v>292.69099999999997</v>
      </c>
      <c r="D31" s="3">
        <v>7425</v>
      </c>
      <c r="E31" s="2">
        <v>2257</v>
      </c>
    </row>
    <row r="32" spans="2:15" x14ac:dyDescent="0.3">
      <c r="B32" s="3">
        <v>114968</v>
      </c>
      <c r="C32" s="2">
        <v>302.68</v>
      </c>
      <c r="D32" s="3">
        <v>6701</v>
      </c>
      <c r="E32" s="2">
        <v>2224</v>
      </c>
    </row>
    <row r="33" spans="2:5" x14ac:dyDescent="0.3">
      <c r="B33" s="3">
        <v>117342</v>
      </c>
      <c r="C33" s="2">
        <v>314.17899999999997</v>
      </c>
      <c r="D33" s="3">
        <v>6528</v>
      </c>
      <c r="E33" s="2">
        <v>2208</v>
      </c>
    </row>
    <row r="34" spans="2:5" x14ac:dyDescent="0.3">
      <c r="B34" s="3">
        <v>118793</v>
      </c>
      <c r="C34" s="2">
        <v>326.35700000000003</v>
      </c>
      <c r="D34" s="3">
        <v>7047</v>
      </c>
      <c r="E34" s="2">
        <v>2167</v>
      </c>
    </row>
    <row r="35" spans="2:5" x14ac:dyDescent="0.3">
      <c r="B35" s="3">
        <v>117718</v>
      </c>
      <c r="C35" s="2">
        <v>337.74700000000001</v>
      </c>
      <c r="D35" s="3">
        <v>8628</v>
      </c>
      <c r="E35" s="2">
        <v>2118</v>
      </c>
    </row>
    <row r="36" spans="2:5" x14ac:dyDescent="0.3">
      <c r="B36" s="3">
        <v>118492</v>
      </c>
      <c r="C36" s="2">
        <v>345.47699999999998</v>
      </c>
      <c r="D36" s="3">
        <v>9613</v>
      </c>
      <c r="E36" s="2">
        <v>1966</v>
      </c>
    </row>
    <row r="37" spans="2:5" x14ac:dyDescent="0.3">
      <c r="B37" s="3">
        <v>120259</v>
      </c>
      <c r="C37" s="2">
        <v>353.51600000000002</v>
      </c>
      <c r="D37" s="3">
        <v>8940</v>
      </c>
      <c r="E37" s="2">
        <v>1760</v>
      </c>
    </row>
    <row r="38" spans="2:5" x14ac:dyDescent="0.3">
      <c r="B38" s="3">
        <v>123060</v>
      </c>
      <c r="C38" s="2">
        <v>361.02600000000001</v>
      </c>
      <c r="D38" s="3">
        <v>7996</v>
      </c>
      <c r="E38" s="2">
        <v>1673</v>
      </c>
    </row>
    <row r="39" spans="2:5" x14ac:dyDescent="0.3">
      <c r="B39" s="3">
        <v>124900</v>
      </c>
      <c r="C39" s="2">
        <v>368.44400000000002</v>
      </c>
      <c r="D39" s="3">
        <v>7404</v>
      </c>
      <c r="E39" s="2">
        <v>1579</v>
      </c>
    </row>
    <row r="40" spans="2:5" x14ac:dyDescent="0.3">
      <c r="B40" s="3">
        <v>126708</v>
      </c>
      <c r="C40" s="2">
        <v>375.42899999999997</v>
      </c>
      <c r="D40" s="3">
        <v>7236</v>
      </c>
      <c r="E40" s="2">
        <v>1502</v>
      </c>
    </row>
    <row r="41" spans="2:5" x14ac:dyDescent="0.3">
      <c r="B41" s="3">
        <v>129558</v>
      </c>
      <c r="C41" s="2">
        <v>381.66300000000001</v>
      </c>
      <c r="D41" s="3">
        <v>6739</v>
      </c>
      <c r="E41" s="2">
        <v>1457</v>
      </c>
    </row>
    <row r="42" spans="2:5" x14ac:dyDescent="0.3">
      <c r="B42" s="3">
        <v>131463</v>
      </c>
      <c r="C42" s="2">
        <v>385.88099999999997</v>
      </c>
      <c r="D42" s="3">
        <v>6210</v>
      </c>
      <c r="E42" s="2">
        <v>1423</v>
      </c>
    </row>
    <row r="43" spans="2:5" x14ac:dyDescent="0.3">
      <c r="B43" s="3">
        <v>133488</v>
      </c>
      <c r="C43" s="2">
        <v>391.452</v>
      </c>
      <c r="D43" s="3">
        <v>5880</v>
      </c>
      <c r="E43" s="2">
        <v>1380</v>
      </c>
    </row>
    <row r="44" spans="2:5" x14ac:dyDescent="0.3">
      <c r="B44" s="3">
        <v>136891</v>
      </c>
      <c r="C44" s="2">
        <v>399.98599999999999</v>
      </c>
      <c r="D44" s="3">
        <v>5692</v>
      </c>
      <c r="E44" s="2">
        <v>1405</v>
      </c>
    </row>
    <row r="45" spans="2:5" x14ac:dyDescent="0.3">
      <c r="B45" s="3">
        <v>136933</v>
      </c>
      <c r="C45" s="2">
        <v>409.58199999999999</v>
      </c>
      <c r="D45" s="3">
        <v>6801</v>
      </c>
      <c r="E45" s="2">
        <v>1412</v>
      </c>
    </row>
    <row r="46" spans="2:5" x14ac:dyDescent="0.3">
      <c r="B46" s="3">
        <v>136485</v>
      </c>
      <c r="C46" s="2">
        <v>416.70400000000001</v>
      </c>
      <c r="D46" s="3">
        <v>8378</v>
      </c>
      <c r="E46" s="2">
        <v>1425</v>
      </c>
    </row>
    <row r="47" spans="2:5" x14ac:dyDescent="0.3">
      <c r="B47" s="3">
        <v>137736</v>
      </c>
      <c r="C47" s="2">
        <v>425.553</v>
      </c>
      <c r="D47" s="3">
        <v>8774</v>
      </c>
      <c r="E47" s="2">
        <v>1423</v>
      </c>
    </row>
    <row r="48" spans="2:5" x14ac:dyDescent="0.3">
      <c r="B48" s="3">
        <v>139252</v>
      </c>
      <c r="C48" s="2">
        <v>437.79500000000002</v>
      </c>
      <c r="D48" s="3">
        <v>8149</v>
      </c>
      <c r="E48" s="2">
        <v>1411</v>
      </c>
    </row>
    <row r="49" spans="2:5" x14ac:dyDescent="0.3">
      <c r="B49" s="3">
        <v>141730</v>
      </c>
      <c r="C49" s="2">
        <v>451.94600000000003</v>
      </c>
      <c r="D49" s="3">
        <v>7591</v>
      </c>
      <c r="E49" s="2">
        <v>1378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58CE-294F-4671-87AB-8175E267B6EB}">
  <dimension ref="B1:N49"/>
  <sheetViews>
    <sheetView tabSelected="1" workbookViewId="0">
      <selection activeCell="K7" sqref="K7"/>
    </sheetView>
  </sheetViews>
  <sheetFormatPr defaultRowHeight="14.4" x14ac:dyDescent="0.3"/>
  <cols>
    <col min="6" max="6" width="17.44140625" bestFit="1" customWidth="1"/>
    <col min="7" max="7" width="12.6640625" bestFit="1" customWidth="1"/>
    <col min="8" max="8" width="13.44140625" bestFit="1" customWidth="1"/>
    <col min="9" max="9" width="12.6640625" bestFit="1" customWidth="1"/>
    <col min="10" max="10" width="12" bestFit="1" customWidth="1"/>
    <col min="11" max="15" width="12.6640625" bestFit="1" customWidth="1"/>
  </cols>
  <sheetData>
    <row r="1" spans="2:8" ht="15" thickBot="1" x14ac:dyDescent="0.35"/>
    <row r="2" spans="2:8" x14ac:dyDescent="0.3">
      <c r="B2" s="1" t="s">
        <v>1</v>
      </c>
      <c r="C2" s="1" t="s">
        <v>4</v>
      </c>
      <c r="D2" s="1" t="s">
        <v>5</v>
      </c>
      <c r="F2" s="6"/>
      <c r="G2" s="6" t="s">
        <v>4</v>
      </c>
      <c r="H2" s="6" t="s">
        <v>5</v>
      </c>
    </row>
    <row r="3" spans="2:8" x14ac:dyDescent="0.3">
      <c r="B3" s="3">
        <v>64630</v>
      </c>
      <c r="C3" s="3">
        <v>3740</v>
      </c>
      <c r="D3" s="2">
        <v>2552</v>
      </c>
      <c r="F3" s="4" t="s">
        <v>4</v>
      </c>
      <c r="G3" s="4">
        <v>1</v>
      </c>
      <c r="H3" s="4"/>
    </row>
    <row r="4" spans="2:8" ht="15" thickBot="1" x14ac:dyDescent="0.35">
      <c r="B4" s="3">
        <v>65778</v>
      </c>
      <c r="C4" s="3">
        <v>3852</v>
      </c>
      <c r="D4" s="2">
        <v>2514</v>
      </c>
      <c r="F4" s="5" t="s">
        <v>5</v>
      </c>
      <c r="G4" s="5">
        <v>-0.66410666920280514</v>
      </c>
      <c r="H4" s="5">
        <v>1</v>
      </c>
    </row>
    <row r="5" spans="2:8" x14ac:dyDescent="0.3">
      <c r="B5" s="3">
        <v>65746</v>
      </c>
      <c r="C5" s="3">
        <v>4714</v>
      </c>
      <c r="D5" s="2">
        <v>2573</v>
      </c>
    </row>
    <row r="6" spans="2:8" x14ac:dyDescent="0.3">
      <c r="B6" s="3">
        <v>66702</v>
      </c>
      <c r="C6" s="3">
        <v>3911</v>
      </c>
      <c r="D6" s="2">
        <v>2827</v>
      </c>
    </row>
    <row r="7" spans="2:8" x14ac:dyDescent="0.3">
      <c r="B7" s="3">
        <v>67762</v>
      </c>
      <c r="C7" s="3">
        <v>4070</v>
      </c>
      <c r="D7" s="2">
        <v>2737</v>
      </c>
    </row>
    <row r="8" spans="2:8" x14ac:dyDescent="0.3">
      <c r="B8" s="3">
        <v>69305</v>
      </c>
      <c r="C8" s="3">
        <v>3786</v>
      </c>
      <c r="D8" s="2">
        <v>2738</v>
      </c>
    </row>
    <row r="9" spans="2:8" x14ac:dyDescent="0.3">
      <c r="B9" s="3">
        <v>71088</v>
      </c>
      <c r="C9" s="3">
        <v>3366</v>
      </c>
      <c r="D9" s="2">
        <v>2722</v>
      </c>
      <c r="F9" t="s">
        <v>7</v>
      </c>
    </row>
    <row r="10" spans="2:8" ht="15" thickBot="1" x14ac:dyDescent="0.35">
      <c r="B10" s="3">
        <v>72895</v>
      </c>
      <c r="C10" s="3">
        <v>2875</v>
      </c>
      <c r="D10" s="2">
        <v>3123</v>
      </c>
    </row>
    <row r="11" spans="2:8" x14ac:dyDescent="0.3">
      <c r="B11" s="3">
        <v>74372</v>
      </c>
      <c r="C11" s="3">
        <v>2975</v>
      </c>
      <c r="D11" s="2">
        <v>3446</v>
      </c>
      <c r="F11" s="7" t="s">
        <v>8</v>
      </c>
      <c r="G11" s="7"/>
    </row>
    <row r="12" spans="2:8" x14ac:dyDescent="0.3">
      <c r="B12" s="3">
        <v>75920</v>
      </c>
      <c r="C12" s="3">
        <v>2817</v>
      </c>
      <c r="D12" s="2">
        <v>3535</v>
      </c>
      <c r="F12" s="4" t="s">
        <v>9</v>
      </c>
      <c r="G12" s="4">
        <v>0.87500816216305233</v>
      </c>
    </row>
    <row r="13" spans="2:8" x14ac:dyDescent="0.3">
      <c r="B13" s="3">
        <v>77902</v>
      </c>
      <c r="C13" s="3">
        <v>2832</v>
      </c>
      <c r="D13" s="2">
        <v>3506</v>
      </c>
      <c r="F13" s="4" t="s">
        <v>10</v>
      </c>
      <c r="G13" s="4">
        <v>0.76563928385196256</v>
      </c>
    </row>
    <row r="14" spans="2:8" x14ac:dyDescent="0.3">
      <c r="B14" s="3">
        <v>78678</v>
      </c>
      <c r="C14" s="3">
        <v>4093</v>
      </c>
      <c r="D14" s="2">
        <v>3188</v>
      </c>
      <c r="F14" s="4" t="s">
        <v>11</v>
      </c>
      <c r="G14" s="4">
        <v>0.7549865240270518</v>
      </c>
    </row>
    <row r="15" spans="2:8" x14ac:dyDescent="0.3">
      <c r="B15" s="3">
        <v>79367</v>
      </c>
      <c r="C15" s="3">
        <v>5016</v>
      </c>
      <c r="D15" s="2">
        <v>2816</v>
      </c>
      <c r="F15" s="4" t="s">
        <v>12</v>
      </c>
      <c r="G15" s="4">
        <v>12148.897949927194</v>
      </c>
    </row>
    <row r="16" spans="2:8" ht="15" thickBot="1" x14ac:dyDescent="0.35">
      <c r="B16" s="3">
        <v>82153</v>
      </c>
      <c r="C16" s="3">
        <v>4882</v>
      </c>
      <c r="D16" s="2">
        <v>2449</v>
      </c>
      <c r="F16" s="5" t="s">
        <v>13</v>
      </c>
      <c r="G16" s="5">
        <v>47</v>
      </c>
    </row>
    <row r="17" spans="2:14" x14ac:dyDescent="0.3">
      <c r="B17" s="3">
        <v>85064</v>
      </c>
      <c r="C17" s="3">
        <v>4365</v>
      </c>
      <c r="D17" s="2">
        <v>2327</v>
      </c>
    </row>
    <row r="18" spans="2:14" ht="15" thickBot="1" x14ac:dyDescent="0.35">
      <c r="B18" s="3">
        <v>86794</v>
      </c>
      <c r="C18" s="3">
        <v>5156</v>
      </c>
      <c r="D18" s="2">
        <v>2229</v>
      </c>
      <c r="F18" t="s">
        <v>14</v>
      </c>
    </row>
    <row r="19" spans="2:14" x14ac:dyDescent="0.3">
      <c r="B19" s="3">
        <v>85846</v>
      </c>
      <c r="C19" s="3">
        <v>7929</v>
      </c>
      <c r="D19" s="2">
        <v>2180</v>
      </c>
      <c r="F19" s="6"/>
      <c r="G19" s="6" t="s">
        <v>19</v>
      </c>
      <c r="H19" s="6" t="s">
        <v>20</v>
      </c>
      <c r="I19" s="6" t="s">
        <v>21</v>
      </c>
      <c r="J19" s="6" t="s">
        <v>22</v>
      </c>
      <c r="K19" s="6" t="s">
        <v>23</v>
      </c>
    </row>
    <row r="20" spans="2:14" x14ac:dyDescent="0.3">
      <c r="B20" s="3">
        <v>88752</v>
      </c>
      <c r="C20" s="3">
        <v>7406</v>
      </c>
      <c r="D20" s="2">
        <v>2144</v>
      </c>
      <c r="F20" s="4" t="s">
        <v>15</v>
      </c>
      <c r="G20" s="4">
        <v>2</v>
      </c>
      <c r="H20" s="4">
        <v>21216113812.371563</v>
      </c>
      <c r="I20" s="4">
        <v>10608056906.185781</v>
      </c>
      <c r="J20" s="4">
        <v>71.872387666298849</v>
      </c>
      <c r="K20" s="4">
        <v>1.3723533965868636E-14</v>
      </c>
    </row>
    <row r="21" spans="2:14" x14ac:dyDescent="0.3">
      <c r="B21" s="3">
        <v>92017</v>
      </c>
      <c r="C21" s="3">
        <v>6991</v>
      </c>
      <c r="D21" s="2">
        <v>2133</v>
      </c>
      <c r="F21" s="4" t="s">
        <v>16</v>
      </c>
      <c r="G21" s="4">
        <v>44</v>
      </c>
      <c r="H21" s="4">
        <v>6494211741.5007868</v>
      </c>
      <c r="I21" s="4">
        <v>147595721.39774516</v>
      </c>
      <c r="J21" s="4"/>
      <c r="K21" s="4"/>
    </row>
    <row r="22" spans="2:14" ht="15" thickBot="1" x14ac:dyDescent="0.35">
      <c r="B22" s="3">
        <v>96048</v>
      </c>
      <c r="C22" s="3">
        <v>6202</v>
      </c>
      <c r="D22" s="2">
        <v>2117</v>
      </c>
      <c r="F22" s="5" t="s">
        <v>17</v>
      </c>
      <c r="G22" s="5">
        <v>46</v>
      </c>
      <c r="H22" s="5">
        <v>27710325553.872349</v>
      </c>
      <c r="I22" s="5"/>
      <c r="J22" s="5"/>
      <c r="K22" s="5"/>
    </row>
    <row r="23" spans="2:14" ht="15" thickBot="1" x14ac:dyDescent="0.35">
      <c r="B23" s="3">
        <v>98824</v>
      </c>
      <c r="C23" s="3">
        <v>6137</v>
      </c>
      <c r="D23" s="2">
        <v>2088</v>
      </c>
    </row>
    <row r="24" spans="2:14" x14ac:dyDescent="0.3">
      <c r="B24" s="3">
        <v>99303</v>
      </c>
      <c r="C24" s="3">
        <v>7637</v>
      </c>
      <c r="D24" s="2">
        <v>2102</v>
      </c>
      <c r="F24" s="6"/>
      <c r="G24" s="6" t="s">
        <v>24</v>
      </c>
      <c r="H24" s="6" t="s">
        <v>12</v>
      </c>
      <c r="I24" s="6" t="s">
        <v>25</v>
      </c>
      <c r="J24" s="6" t="s">
        <v>26</v>
      </c>
      <c r="K24" s="6" t="s">
        <v>27</v>
      </c>
      <c r="L24" s="6" t="s">
        <v>28</v>
      </c>
      <c r="M24" s="6" t="s">
        <v>29</v>
      </c>
      <c r="N24" s="6" t="s">
        <v>30</v>
      </c>
    </row>
    <row r="25" spans="2:14" x14ac:dyDescent="0.3">
      <c r="B25" s="3">
        <v>100397</v>
      </c>
      <c r="C25" s="3">
        <v>8273</v>
      </c>
      <c r="D25" s="2">
        <v>2142</v>
      </c>
      <c r="F25" s="4" t="s">
        <v>18</v>
      </c>
      <c r="G25" s="4">
        <v>160728.17313888285</v>
      </c>
      <c r="H25" s="4">
        <v>14855.784550808008</v>
      </c>
      <c r="I25" s="4">
        <v>10.819231565265317</v>
      </c>
      <c r="J25" s="4">
        <v>5.572321241518006E-14</v>
      </c>
      <c r="K25" s="4">
        <v>130788.30666226176</v>
      </c>
      <c r="L25" s="4">
        <v>190668.03961550395</v>
      </c>
      <c r="M25" s="4">
        <v>130788.30666226176</v>
      </c>
      <c r="N25" s="4">
        <v>190668.03961550395</v>
      </c>
    </row>
    <row r="26" spans="2:14" x14ac:dyDescent="0.3">
      <c r="B26" s="3">
        <v>99526</v>
      </c>
      <c r="C26" s="3">
        <v>10678</v>
      </c>
      <c r="D26" s="2">
        <v>2179</v>
      </c>
      <c r="F26" s="4" t="s">
        <v>4</v>
      </c>
      <c r="G26" s="4">
        <v>1.7623439528046319</v>
      </c>
      <c r="H26" s="4">
        <v>1.1237687083933214</v>
      </c>
      <c r="I26" s="4">
        <v>1.5682443723889559</v>
      </c>
      <c r="J26" s="4">
        <v>0.12398855601349003</v>
      </c>
      <c r="K26" s="4">
        <v>-0.50246306326581913</v>
      </c>
      <c r="L26" s="4">
        <v>4.0271509688750831</v>
      </c>
      <c r="M26" s="4">
        <v>-0.50246306326581913</v>
      </c>
      <c r="N26" s="4">
        <v>4.0271509688750831</v>
      </c>
    </row>
    <row r="27" spans="2:14" ht="15" thickBot="1" x14ac:dyDescent="0.35">
      <c r="B27" s="3">
        <v>100834</v>
      </c>
      <c r="C27" s="3">
        <v>10717</v>
      </c>
      <c r="D27" s="2">
        <v>2199</v>
      </c>
      <c r="F27" s="5" t="s">
        <v>5</v>
      </c>
      <c r="G27" s="5">
        <v>-31.899929710341798</v>
      </c>
      <c r="H27" s="5">
        <v>4.0661687388796288</v>
      </c>
      <c r="I27" s="5">
        <v>-7.8452055875898896</v>
      </c>
      <c r="J27" s="5">
        <v>6.7371429177124497E-10</v>
      </c>
      <c r="K27" s="5">
        <v>-40.094754338896699</v>
      </c>
      <c r="L27" s="5">
        <v>-23.705105081786897</v>
      </c>
      <c r="M27" s="5">
        <v>-40.094754338896699</v>
      </c>
      <c r="N27" s="5">
        <v>-23.705105081786897</v>
      </c>
    </row>
    <row r="28" spans="2:14" x14ac:dyDescent="0.3">
      <c r="B28" s="3">
        <v>105005</v>
      </c>
      <c r="C28" s="3">
        <v>8539</v>
      </c>
      <c r="D28" s="2">
        <v>2219</v>
      </c>
    </row>
    <row r="29" spans="2:14" x14ac:dyDescent="0.3">
      <c r="B29" s="3">
        <v>107150</v>
      </c>
      <c r="C29" s="3">
        <v>8312</v>
      </c>
      <c r="D29" s="2">
        <v>2234</v>
      </c>
    </row>
    <row r="30" spans="2:14" x14ac:dyDescent="0.3">
      <c r="B30" s="3">
        <v>109597</v>
      </c>
      <c r="C30" s="3">
        <v>8237</v>
      </c>
      <c r="D30" s="2">
        <v>2244</v>
      </c>
    </row>
    <row r="31" spans="2:14" x14ac:dyDescent="0.3">
      <c r="B31" s="3">
        <v>112440</v>
      </c>
      <c r="C31" s="3">
        <v>7425</v>
      </c>
      <c r="D31" s="2">
        <v>2257</v>
      </c>
    </row>
    <row r="32" spans="2:14" x14ac:dyDescent="0.3">
      <c r="B32" s="3">
        <v>114968</v>
      </c>
      <c r="C32" s="3">
        <v>6701</v>
      </c>
      <c r="D32" s="2">
        <v>2224</v>
      </c>
    </row>
    <row r="33" spans="2:4" x14ac:dyDescent="0.3">
      <c r="B33" s="3">
        <v>117342</v>
      </c>
      <c r="C33" s="3">
        <v>6528</v>
      </c>
      <c r="D33" s="2">
        <v>2208</v>
      </c>
    </row>
    <row r="34" spans="2:4" x14ac:dyDescent="0.3">
      <c r="B34" s="3">
        <v>118793</v>
      </c>
      <c r="C34" s="3">
        <v>7047</v>
      </c>
      <c r="D34" s="2">
        <v>2167</v>
      </c>
    </row>
    <row r="35" spans="2:4" x14ac:dyDescent="0.3">
      <c r="B35" s="3">
        <v>117718</v>
      </c>
      <c r="C35" s="3">
        <v>8628</v>
      </c>
      <c r="D35" s="2">
        <v>2118</v>
      </c>
    </row>
    <row r="36" spans="2:4" x14ac:dyDescent="0.3">
      <c r="B36" s="3">
        <v>118492</v>
      </c>
      <c r="C36" s="3">
        <v>9613</v>
      </c>
      <c r="D36" s="2">
        <v>1966</v>
      </c>
    </row>
    <row r="37" spans="2:4" x14ac:dyDescent="0.3">
      <c r="B37" s="3">
        <v>120259</v>
      </c>
      <c r="C37" s="3">
        <v>8940</v>
      </c>
      <c r="D37" s="2">
        <v>1760</v>
      </c>
    </row>
    <row r="38" spans="2:4" x14ac:dyDescent="0.3">
      <c r="B38" s="3">
        <v>123060</v>
      </c>
      <c r="C38" s="3">
        <v>7996</v>
      </c>
      <c r="D38" s="2">
        <v>1673</v>
      </c>
    </row>
    <row r="39" spans="2:4" x14ac:dyDescent="0.3">
      <c r="B39" s="3">
        <v>124900</v>
      </c>
      <c r="C39" s="3">
        <v>7404</v>
      </c>
      <c r="D39" s="2">
        <v>1579</v>
      </c>
    </row>
    <row r="40" spans="2:4" x14ac:dyDescent="0.3">
      <c r="B40" s="3">
        <v>126708</v>
      </c>
      <c r="C40" s="3">
        <v>7236</v>
      </c>
      <c r="D40" s="2">
        <v>1502</v>
      </c>
    </row>
    <row r="41" spans="2:4" x14ac:dyDescent="0.3">
      <c r="B41" s="3">
        <v>129558</v>
      </c>
      <c r="C41" s="3">
        <v>6739</v>
      </c>
      <c r="D41" s="2">
        <v>1457</v>
      </c>
    </row>
    <row r="42" spans="2:4" x14ac:dyDescent="0.3">
      <c r="B42" s="3">
        <v>131463</v>
      </c>
      <c r="C42" s="3">
        <v>6210</v>
      </c>
      <c r="D42" s="2">
        <v>1423</v>
      </c>
    </row>
    <row r="43" spans="2:4" x14ac:dyDescent="0.3">
      <c r="B43" s="3">
        <v>133488</v>
      </c>
      <c r="C43" s="3">
        <v>5880</v>
      </c>
      <c r="D43" s="2">
        <v>1380</v>
      </c>
    </row>
    <row r="44" spans="2:4" x14ac:dyDescent="0.3">
      <c r="B44" s="3">
        <v>136891</v>
      </c>
      <c r="C44" s="3">
        <v>5692</v>
      </c>
      <c r="D44" s="2">
        <v>1405</v>
      </c>
    </row>
    <row r="45" spans="2:4" x14ac:dyDescent="0.3">
      <c r="B45" s="3">
        <v>136933</v>
      </c>
      <c r="C45" s="3">
        <v>6801</v>
      </c>
      <c r="D45" s="2">
        <v>1412</v>
      </c>
    </row>
    <row r="46" spans="2:4" x14ac:dyDescent="0.3">
      <c r="B46" s="3">
        <v>136485</v>
      </c>
      <c r="C46" s="3">
        <v>8378</v>
      </c>
      <c r="D46" s="2">
        <v>1425</v>
      </c>
    </row>
    <row r="47" spans="2:4" x14ac:dyDescent="0.3">
      <c r="B47" s="3">
        <v>137736</v>
      </c>
      <c r="C47" s="3">
        <v>8774</v>
      </c>
      <c r="D47" s="2">
        <v>1423</v>
      </c>
    </row>
    <row r="48" spans="2:4" x14ac:dyDescent="0.3">
      <c r="B48" s="3">
        <v>139252</v>
      </c>
      <c r="C48" s="3">
        <v>8149</v>
      </c>
      <c r="D48" s="2">
        <v>1411</v>
      </c>
    </row>
    <row r="49" spans="2:4" x14ac:dyDescent="0.3">
      <c r="B49" s="3">
        <v>141730</v>
      </c>
      <c r="C49" s="3">
        <v>7591</v>
      </c>
      <c r="D49" s="2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Panchal</dc:creator>
  <cp:lastModifiedBy>Rutvik Panchal</cp:lastModifiedBy>
  <dcterms:created xsi:type="dcterms:W3CDTF">2022-01-07T03:02:57Z</dcterms:created>
  <dcterms:modified xsi:type="dcterms:W3CDTF">2022-01-07T17:15:36Z</dcterms:modified>
</cp:coreProperties>
</file>