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F29E34FF-9D78-4536-90DC-59C1DE457A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tca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4" i="1" l="1" a="1"/>
  <c r="J64" i="1" s="1"/>
  <c r="J51" i="1" a="1"/>
  <c r="J59" i="1" s="1"/>
  <c r="C54" i="1" a="1"/>
  <c r="C54" i="1" s="1"/>
  <c r="C45" i="1" a="1"/>
  <c r="C45" i="1" s="1"/>
  <c r="R73" i="1" l="1"/>
  <c r="N73" i="1"/>
  <c r="J73" i="1"/>
  <c r="P72" i="1"/>
  <c r="L72" i="1"/>
  <c r="R71" i="1"/>
  <c r="N71" i="1"/>
  <c r="J71" i="1"/>
  <c r="P70" i="1"/>
  <c r="L70" i="1"/>
  <c r="R69" i="1"/>
  <c r="N69" i="1"/>
  <c r="J69" i="1"/>
  <c r="P68" i="1"/>
  <c r="L68" i="1"/>
  <c r="R67" i="1"/>
  <c r="N67" i="1"/>
  <c r="J67" i="1"/>
  <c r="P66" i="1"/>
  <c r="L66" i="1"/>
  <c r="R65" i="1"/>
  <c r="N65" i="1"/>
  <c r="J65" i="1"/>
  <c r="P64" i="1"/>
  <c r="L64" i="1"/>
  <c r="S73" i="1"/>
  <c r="O73" i="1"/>
  <c r="K73" i="1"/>
  <c r="Q72" i="1"/>
  <c r="M72" i="1"/>
  <c r="S71" i="1"/>
  <c r="O71" i="1"/>
  <c r="K71" i="1"/>
  <c r="Q70" i="1"/>
  <c r="M70" i="1"/>
  <c r="S69" i="1"/>
  <c r="O69" i="1"/>
  <c r="K69" i="1"/>
  <c r="Q68" i="1"/>
  <c r="M68" i="1"/>
  <c r="S67" i="1"/>
  <c r="O67" i="1"/>
  <c r="K67" i="1"/>
  <c r="Q66" i="1"/>
  <c r="M66" i="1"/>
  <c r="S65" i="1"/>
  <c r="O65" i="1"/>
  <c r="K65" i="1"/>
  <c r="Q64" i="1"/>
  <c r="M64" i="1"/>
  <c r="Q73" i="1"/>
  <c r="M73" i="1"/>
  <c r="S72" i="1"/>
  <c r="O72" i="1"/>
  <c r="K72" i="1"/>
  <c r="Q71" i="1"/>
  <c r="M71" i="1"/>
  <c r="S70" i="1"/>
  <c r="O70" i="1"/>
  <c r="K70" i="1"/>
  <c r="Q69" i="1"/>
  <c r="M69" i="1"/>
  <c r="S68" i="1"/>
  <c r="O68" i="1"/>
  <c r="K68" i="1"/>
  <c r="Q67" i="1"/>
  <c r="M67" i="1"/>
  <c r="S66" i="1"/>
  <c r="O66" i="1"/>
  <c r="K66" i="1"/>
  <c r="Q65" i="1"/>
  <c r="M65" i="1"/>
  <c r="S64" i="1"/>
  <c r="O64" i="1"/>
  <c r="K64" i="1"/>
  <c r="P73" i="1"/>
  <c r="L73" i="1"/>
  <c r="R72" i="1"/>
  <c r="N72" i="1"/>
  <c r="J72" i="1"/>
  <c r="P71" i="1"/>
  <c r="L71" i="1"/>
  <c r="R70" i="1"/>
  <c r="N70" i="1"/>
  <c r="J70" i="1"/>
  <c r="P69" i="1"/>
  <c r="L69" i="1"/>
  <c r="R68" i="1"/>
  <c r="N68" i="1"/>
  <c r="J68" i="1"/>
  <c r="P67" i="1"/>
  <c r="L67" i="1"/>
  <c r="R66" i="1"/>
  <c r="N66" i="1"/>
  <c r="J66" i="1"/>
  <c r="P65" i="1"/>
  <c r="L65" i="1"/>
  <c r="R64" i="1"/>
  <c r="N64" i="1"/>
  <c r="R60" i="1"/>
  <c r="N60" i="1"/>
  <c r="J60" i="1"/>
  <c r="P59" i="1"/>
  <c r="L59" i="1"/>
  <c r="R58" i="1"/>
  <c r="N58" i="1"/>
  <c r="J58" i="1"/>
  <c r="P57" i="1"/>
  <c r="L57" i="1"/>
  <c r="R56" i="1"/>
  <c r="N56" i="1"/>
  <c r="J56" i="1"/>
  <c r="P55" i="1"/>
  <c r="L55" i="1"/>
  <c r="R54" i="1"/>
  <c r="N54" i="1"/>
  <c r="J54" i="1"/>
  <c r="P53" i="1"/>
  <c r="L53" i="1"/>
  <c r="R52" i="1"/>
  <c r="N52" i="1"/>
  <c r="J52" i="1"/>
  <c r="P51" i="1"/>
  <c r="L51" i="1"/>
  <c r="P60" i="1"/>
  <c r="L60" i="1"/>
  <c r="R59" i="1"/>
  <c r="N59" i="1"/>
  <c r="P58" i="1"/>
  <c r="L58" i="1"/>
  <c r="R57" i="1"/>
  <c r="N57" i="1"/>
  <c r="J57" i="1"/>
  <c r="P56" i="1"/>
  <c r="L56" i="1"/>
  <c r="R55" i="1"/>
  <c r="N55" i="1"/>
  <c r="J55" i="1"/>
  <c r="P54" i="1"/>
  <c r="L54" i="1"/>
  <c r="R53" i="1"/>
  <c r="N53" i="1"/>
  <c r="J53" i="1"/>
  <c r="P52" i="1"/>
  <c r="L52" i="1"/>
  <c r="R51" i="1"/>
  <c r="J51" i="1"/>
  <c r="S60" i="1"/>
  <c r="O60" i="1"/>
  <c r="K60" i="1"/>
  <c r="Q59" i="1"/>
  <c r="M59" i="1"/>
  <c r="S58" i="1"/>
  <c r="O58" i="1"/>
  <c r="K58" i="1"/>
  <c r="Q57" i="1"/>
  <c r="M57" i="1"/>
  <c r="S56" i="1"/>
  <c r="O56" i="1"/>
  <c r="K56" i="1"/>
  <c r="Q55" i="1"/>
  <c r="M55" i="1"/>
  <c r="S54" i="1"/>
  <c r="O54" i="1"/>
  <c r="K54" i="1"/>
  <c r="Q53" i="1"/>
  <c r="M53" i="1"/>
  <c r="S52" i="1"/>
  <c r="O52" i="1"/>
  <c r="K52" i="1"/>
  <c r="Q51" i="1"/>
  <c r="M51" i="1"/>
  <c r="Q60" i="1"/>
  <c r="M60" i="1"/>
  <c r="S59" i="1"/>
  <c r="O59" i="1"/>
  <c r="K59" i="1"/>
  <c r="Q58" i="1"/>
  <c r="M58" i="1"/>
  <c r="S57" i="1"/>
  <c r="O57" i="1"/>
  <c r="K57" i="1"/>
  <c r="Q56" i="1"/>
  <c r="M56" i="1"/>
  <c r="S55" i="1"/>
  <c r="O55" i="1"/>
  <c r="K55" i="1"/>
  <c r="Q54" i="1"/>
  <c r="M54" i="1"/>
  <c r="S53" i="1"/>
  <c r="O53" i="1"/>
  <c r="K53" i="1"/>
  <c r="Q52" i="1"/>
  <c r="M52" i="1"/>
  <c r="S51" i="1"/>
  <c r="O51" i="1"/>
  <c r="K51" i="1"/>
  <c r="N51" i="1"/>
  <c r="E58" i="1"/>
  <c r="F57" i="1"/>
  <c r="G56" i="1"/>
  <c r="C56" i="1"/>
  <c r="D55" i="1"/>
  <c r="E54" i="1"/>
  <c r="F58" i="1"/>
  <c r="G57" i="1"/>
  <c r="C57" i="1"/>
  <c r="D56" i="1"/>
  <c r="E55" i="1"/>
  <c r="F54" i="1"/>
  <c r="D58" i="1"/>
  <c r="E57" i="1"/>
  <c r="F56" i="1"/>
  <c r="G55" i="1"/>
  <c r="C55" i="1"/>
  <c r="D54" i="1"/>
  <c r="G58" i="1"/>
  <c r="C58" i="1"/>
  <c r="D57" i="1"/>
  <c r="E56" i="1"/>
  <c r="F55" i="1"/>
  <c r="G54" i="1"/>
  <c r="E49" i="1"/>
  <c r="F48" i="1"/>
  <c r="G47" i="1"/>
  <c r="C47" i="1"/>
  <c r="D46" i="1"/>
  <c r="E45" i="1"/>
  <c r="F49" i="1"/>
  <c r="G48" i="1"/>
  <c r="C48" i="1"/>
  <c r="D47" i="1"/>
  <c r="E46" i="1"/>
  <c r="F45" i="1"/>
  <c r="D49" i="1"/>
  <c r="E48" i="1"/>
  <c r="F47" i="1"/>
  <c r="G46" i="1"/>
  <c r="C46" i="1"/>
  <c r="D45" i="1"/>
  <c r="G49" i="1"/>
  <c r="C49" i="1"/>
  <c r="D48" i="1"/>
  <c r="E47" i="1"/>
  <c r="F46" i="1"/>
  <c r="G45" i="1"/>
</calcChain>
</file>

<file path=xl/sharedStrings.xml><?xml version="1.0" encoding="utf-8"?>
<sst xmlns="http://schemas.openxmlformats.org/spreadsheetml/2006/main" count="135" uniqueCount="45">
  <si>
    <t>model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</si>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</sst>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0" xfId="0" applyBorder="1"/>
    <xf numFmtId="0" fontId="18" fillId="0" borderId="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0" xfId="0" applyFont="1"/>
    <xf numFmtId="0" fontId="16" fillId="34" borderId="10" xfId="0" applyFont="1" applyFill="1" applyBorder="1" applyAlignment="1">
      <alignment horizontal="center"/>
    </xf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D40" zoomScale="66" zoomScaleNormal="66" workbookViewId="0">
      <selection activeCell="G69" sqref="G69"/>
    </sheetView>
  </sheetViews>
  <sheetFormatPr defaultColWidth="17" defaultRowHeight="15" x14ac:dyDescent="0.25"/>
  <cols>
    <col min="8" max="12" width="17" customWidth="1"/>
  </cols>
  <sheetData>
    <row r="1" spans="1:12" s="7" customFormat="1" x14ac:dyDescent="0.25">
      <c r="A1" s="5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4" t="s">
        <v>12</v>
      </c>
      <c r="B2" s="4">
        <v>21</v>
      </c>
      <c r="C2" s="4">
        <v>6</v>
      </c>
      <c r="D2" s="4">
        <v>160</v>
      </c>
      <c r="E2" s="4">
        <v>110</v>
      </c>
      <c r="F2" s="4">
        <v>3.9</v>
      </c>
      <c r="G2" s="4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25">
      <c r="A3" s="4" t="s">
        <v>13</v>
      </c>
      <c r="B3" s="4">
        <v>21</v>
      </c>
      <c r="C3" s="4">
        <v>6</v>
      </c>
      <c r="D3" s="4">
        <v>160</v>
      </c>
      <c r="E3" s="4">
        <v>110</v>
      </c>
      <c r="F3" s="4">
        <v>3.9</v>
      </c>
      <c r="G3" s="4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25">
      <c r="A4" s="4" t="s">
        <v>14</v>
      </c>
      <c r="B4" s="4">
        <v>22.8</v>
      </c>
      <c r="C4" s="4">
        <v>4</v>
      </c>
      <c r="D4" s="4">
        <v>108</v>
      </c>
      <c r="E4" s="4">
        <v>93</v>
      </c>
      <c r="F4" s="4">
        <v>3.85</v>
      </c>
      <c r="G4" s="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25">
      <c r="A5" s="4" t="s">
        <v>15</v>
      </c>
      <c r="B5" s="4">
        <v>21.4</v>
      </c>
      <c r="C5" s="4">
        <v>6</v>
      </c>
      <c r="D5" s="4">
        <v>258</v>
      </c>
      <c r="E5" s="4">
        <v>110</v>
      </c>
      <c r="F5" s="4">
        <v>3.08</v>
      </c>
      <c r="G5" s="4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25">
      <c r="A6" s="4" t="s">
        <v>16</v>
      </c>
      <c r="B6" s="4">
        <v>18.7</v>
      </c>
      <c r="C6" s="4">
        <v>8</v>
      </c>
      <c r="D6" s="4">
        <v>360</v>
      </c>
      <c r="E6" s="4">
        <v>175</v>
      </c>
      <c r="F6" s="4">
        <v>3.15</v>
      </c>
      <c r="G6" s="4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25">
      <c r="A7" s="4" t="s">
        <v>17</v>
      </c>
      <c r="B7" s="4">
        <v>18.100000000000001</v>
      </c>
      <c r="C7" s="4">
        <v>6</v>
      </c>
      <c r="D7" s="4">
        <v>225</v>
      </c>
      <c r="E7" s="4">
        <v>105</v>
      </c>
      <c r="F7" s="4">
        <v>2.76</v>
      </c>
      <c r="G7" s="4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25">
      <c r="A8" s="4" t="s">
        <v>18</v>
      </c>
      <c r="B8" s="4">
        <v>14.3</v>
      </c>
      <c r="C8" s="4">
        <v>8</v>
      </c>
      <c r="D8" s="4">
        <v>360</v>
      </c>
      <c r="E8" s="4">
        <v>245</v>
      </c>
      <c r="F8" s="4">
        <v>3.21</v>
      </c>
      <c r="G8" s="4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25">
      <c r="A9" s="4" t="s">
        <v>19</v>
      </c>
      <c r="B9" s="4">
        <v>24.4</v>
      </c>
      <c r="C9" s="4">
        <v>4</v>
      </c>
      <c r="D9" s="4">
        <v>146.69999999999999</v>
      </c>
      <c r="E9" s="4">
        <v>62</v>
      </c>
      <c r="F9" s="4">
        <v>3.69</v>
      </c>
      <c r="G9" s="4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5">
      <c r="A10" s="4" t="s">
        <v>20</v>
      </c>
      <c r="B10" s="4">
        <v>22.8</v>
      </c>
      <c r="C10" s="4">
        <v>4</v>
      </c>
      <c r="D10" s="4">
        <v>140.80000000000001</v>
      </c>
      <c r="E10" s="4">
        <v>95</v>
      </c>
      <c r="F10" s="4">
        <v>3.92</v>
      </c>
      <c r="G10" s="4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25">
      <c r="A11" s="4" t="s">
        <v>21</v>
      </c>
      <c r="B11" s="4">
        <v>19.2</v>
      </c>
      <c r="C11" s="4">
        <v>6</v>
      </c>
      <c r="D11" s="4">
        <v>167.6</v>
      </c>
      <c r="E11" s="4">
        <v>123</v>
      </c>
      <c r="F11" s="4">
        <v>3.92</v>
      </c>
      <c r="G11" s="4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25">
      <c r="A12" s="4" t="s">
        <v>22</v>
      </c>
      <c r="B12" s="4">
        <v>17.8</v>
      </c>
      <c r="C12" s="4">
        <v>6</v>
      </c>
      <c r="D12" s="4">
        <v>167.6</v>
      </c>
      <c r="E12" s="4">
        <v>123</v>
      </c>
      <c r="F12" s="4">
        <v>3.92</v>
      </c>
      <c r="G12" s="4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25">
      <c r="A13" s="4" t="s">
        <v>23</v>
      </c>
      <c r="B13" s="4">
        <v>16.399999999999999</v>
      </c>
      <c r="C13" s="4">
        <v>8</v>
      </c>
      <c r="D13" s="4">
        <v>275.8</v>
      </c>
      <c r="E13" s="4">
        <v>180</v>
      </c>
      <c r="F13" s="4">
        <v>3.07</v>
      </c>
      <c r="G13" s="4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25">
      <c r="A14" s="4" t="s">
        <v>24</v>
      </c>
      <c r="B14" s="4">
        <v>17.3</v>
      </c>
      <c r="C14" s="4">
        <v>8</v>
      </c>
      <c r="D14" s="4">
        <v>275.8</v>
      </c>
      <c r="E14" s="4">
        <v>180</v>
      </c>
      <c r="F14" s="4">
        <v>3.07</v>
      </c>
      <c r="G14" s="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25">
      <c r="A15" s="4" t="s">
        <v>25</v>
      </c>
      <c r="B15" s="4">
        <v>15.2</v>
      </c>
      <c r="C15" s="4">
        <v>8</v>
      </c>
      <c r="D15" s="4">
        <v>275.8</v>
      </c>
      <c r="E15" s="4">
        <v>180</v>
      </c>
      <c r="F15" s="4">
        <v>3.07</v>
      </c>
      <c r="G15" s="4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5">
      <c r="A16" s="4" t="s">
        <v>26</v>
      </c>
      <c r="B16" s="4">
        <v>10.4</v>
      </c>
      <c r="C16" s="4">
        <v>8</v>
      </c>
      <c r="D16" s="4">
        <v>472</v>
      </c>
      <c r="E16" s="4">
        <v>205</v>
      </c>
      <c r="F16" s="4">
        <v>2.93</v>
      </c>
      <c r="G16" s="4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25">
      <c r="A17" s="4" t="s">
        <v>27</v>
      </c>
      <c r="B17" s="4">
        <v>10.4</v>
      </c>
      <c r="C17" s="4">
        <v>8</v>
      </c>
      <c r="D17" s="4">
        <v>460</v>
      </c>
      <c r="E17" s="4">
        <v>215</v>
      </c>
      <c r="F17" s="4">
        <v>3</v>
      </c>
      <c r="G17" s="4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25">
      <c r="A18" s="4" t="s">
        <v>28</v>
      </c>
      <c r="B18" s="4">
        <v>14.7</v>
      </c>
      <c r="C18" s="4">
        <v>8</v>
      </c>
      <c r="D18" s="4">
        <v>440</v>
      </c>
      <c r="E18" s="4">
        <v>230</v>
      </c>
      <c r="F18" s="4">
        <v>3.23</v>
      </c>
      <c r="G18" s="4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25">
      <c r="A19" s="4" t="s">
        <v>29</v>
      </c>
      <c r="B19" s="4">
        <v>32.4</v>
      </c>
      <c r="C19" s="4">
        <v>4</v>
      </c>
      <c r="D19" s="4">
        <v>78.7</v>
      </c>
      <c r="E19" s="4">
        <v>66</v>
      </c>
      <c r="F19" s="4">
        <v>4.08</v>
      </c>
      <c r="G19" s="4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25">
      <c r="A20" s="4" t="s">
        <v>30</v>
      </c>
      <c r="B20" s="4">
        <v>30.4</v>
      </c>
      <c r="C20" s="4">
        <v>4</v>
      </c>
      <c r="D20" s="4">
        <v>75.7</v>
      </c>
      <c r="E20" s="4">
        <v>52</v>
      </c>
      <c r="F20" s="4">
        <v>4.93</v>
      </c>
      <c r="G20" s="4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25">
      <c r="A21" s="4" t="s">
        <v>31</v>
      </c>
      <c r="B21" s="4">
        <v>33.9</v>
      </c>
      <c r="C21" s="4">
        <v>4</v>
      </c>
      <c r="D21" s="4">
        <v>71.099999999999994</v>
      </c>
      <c r="E21" s="4">
        <v>65</v>
      </c>
      <c r="F21" s="4">
        <v>4.22</v>
      </c>
      <c r="G21" s="4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25">
      <c r="A22" s="4" t="s">
        <v>32</v>
      </c>
      <c r="B22" s="4">
        <v>21.5</v>
      </c>
      <c r="C22" s="4">
        <v>4</v>
      </c>
      <c r="D22" s="4">
        <v>120.1</v>
      </c>
      <c r="E22" s="4">
        <v>97</v>
      </c>
      <c r="F22" s="4">
        <v>3.7</v>
      </c>
      <c r="G22" s="4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 x14ac:dyDescent="0.25">
      <c r="A23" s="4" t="s">
        <v>33</v>
      </c>
      <c r="B23" s="4">
        <v>15.5</v>
      </c>
      <c r="C23" s="4">
        <v>8</v>
      </c>
      <c r="D23" s="4">
        <v>318</v>
      </c>
      <c r="E23" s="4">
        <v>150</v>
      </c>
      <c r="F23" s="4">
        <v>2.76</v>
      </c>
      <c r="G23" s="4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25">
      <c r="A24" s="4" t="s">
        <v>34</v>
      </c>
      <c r="B24" s="4">
        <v>15.2</v>
      </c>
      <c r="C24" s="4">
        <v>8</v>
      </c>
      <c r="D24" s="4">
        <v>304</v>
      </c>
      <c r="E24" s="4">
        <v>150</v>
      </c>
      <c r="F24" s="4">
        <v>3.15</v>
      </c>
      <c r="G24" s="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25">
      <c r="A25" s="4" t="s">
        <v>35</v>
      </c>
      <c r="B25" s="4">
        <v>13.3</v>
      </c>
      <c r="C25" s="4">
        <v>8</v>
      </c>
      <c r="D25" s="4">
        <v>350</v>
      </c>
      <c r="E25" s="4">
        <v>245</v>
      </c>
      <c r="F25" s="4">
        <v>3.73</v>
      </c>
      <c r="G25" s="4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25">
      <c r="A26" s="4" t="s">
        <v>36</v>
      </c>
      <c r="B26" s="4">
        <v>19.2</v>
      </c>
      <c r="C26" s="4">
        <v>8</v>
      </c>
      <c r="D26" s="4">
        <v>400</v>
      </c>
      <c r="E26" s="4">
        <v>175</v>
      </c>
      <c r="F26" s="4">
        <v>3.08</v>
      </c>
      <c r="G26" s="4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25">
      <c r="A27" s="4" t="s">
        <v>37</v>
      </c>
      <c r="B27" s="4">
        <v>27.3</v>
      </c>
      <c r="C27" s="4">
        <v>4</v>
      </c>
      <c r="D27" s="4">
        <v>79</v>
      </c>
      <c r="E27" s="4">
        <v>66</v>
      </c>
      <c r="F27" s="4">
        <v>4.08</v>
      </c>
      <c r="G27" s="4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25">
      <c r="A28" s="4" t="s">
        <v>38</v>
      </c>
      <c r="B28" s="4">
        <v>26</v>
      </c>
      <c r="C28" s="4">
        <v>4</v>
      </c>
      <c r="D28" s="4">
        <v>120.3</v>
      </c>
      <c r="E28" s="4">
        <v>91</v>
      </c>
      <c r="F28" s="4">
        <v>4.43</v>
      </c>
      <c r="G28" s="4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25">
      <c r="A29" s="4" t="s">
        <v>39</v>
      </c>
      <c r="B29" s="4">
        <v>30.4</v>
      </c>
      <c r="C29" s="4">
        <v>4</v>
      </c>
      <c r="D29" s="4">
        <v>95.1</v>
      </c>
      <c r="E29" s="4">
        <v>113</v>
      </c>
      <c r="F29" s="4">
        <v>3.77</v>
      </c>
      <c r="G29" s="4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 x14ac:dyDescent="0.25">
      <c r="A30" s="4" t="s">
        <v>40</v>
      </c>
      <c r="B30" s="4">
        <v>15.8</v>
      </c>
      <c r="C30" s="4">
        <v>8</v>
      </c>
      <c r="D30" s="4">
        <v>351</v>
      </c>
      <c r="E30" s="4">
        <v>264</v>
      </c>
      <c r="F30" s="4">
        <v>4.22</v>
      </c>
      <c r="G30" s="4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25">
      <c r="A31" s="4" t="s">
        <v>41</v>
      </c>
      <c r="B31" s="4">
        <v>19.7</v>
      </c>
      <c r="C31" s="4">
        <v>6</v>
      </c>
      <c r="D31" s="4">
        <v>145</v>
      </c>
      <c r="E31" s="4">
        <v>175</v>
      </c>
      <c r="F31" s="4">
        <v>3.62</v>
      </c>
      <c r="G31" s="4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25">
      <c r="A32" s="4" t="s">
        <v>42</v>
      </c>
      <c r="B32" s="4">
        <v>15</v>
      </c>
      <c r="C32" s="4">
        <v>8</v>
      </c>
      <c r="D32" s="4">
        <v>301</v>
      </c>
      <c r="E32" s="4">
        <v>335</v>
      </c>
      <c r="F32" s="4">
        <v>3.54</v>
      </c>
      <c r="G32" s="4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9" x14ac:dyDescent="0.25">
      <c r="A33" s="4" t="s">
        <v>43</v>
      </c>
      <c r="B33" s="4">
        <v>21.4</v>
      </c>
      <c r="C33" s="4">
        <v>4</v>
      </c>
      <c r="D33" s="4">
        <v>121</v>
      </c>
      <c r="E33" s="4">
        <v>109</v>
      </c>
      <c r="F33" s="4">
        <v>4.1100000000000003</v>
      </c>
      <c r="G33" s="4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  <row r="36" spans="1:19" ht="15.75" thickBot="1" x14ac:dyDescent="0.3"/>
    <row r="37" spans="1:19" x14ac:dyDescent="0.25">
      <c r="B37" s="10"/>
      <c r="C37" s="10" t="s">
        <v>2</v>
      </c>
      <c r="D37" s="10" t="s">
        <v>3</v>
      </c>
      <c r="E37" s="10" t="s">
        <v>4</v>
      </c>
      <c r="F37" s="10" t="s">
        <v>5</v>
      </c>
      <c r="G37" s="10" t="s">
        <v>6</v>
      </c>
      <c r="H37" s="2"/>
      <c r="I37" s="10"/>
      <c r="J37" s="10" t="s">
        <v>2</v>
      </c>
      <c r="K37" s="10" t="s">
        <v>3</v>
      </c>
      <c r="L37" s="10" t="s">
        <v>4</v>
      </c>
      <c r="M37" s="10" t="s">
        <v>5</v>
      </c>
      <c r="N37" s="10" t="s">
        <v>6</v>
      </c>
      <c r="O37" s="10" t="s">
        <v>7</v>
      </c>
      <c r="P37" s="10" t="s">
        <v>8</v>
      </c>
      <c r="Q37" s="10" t="s">
        <v>9</v>
      </c>
      <c r="R37" s="10" t="s">
        <v>10</v>
      </c>
      <c r="S37" s="10" t="s">
        <v>11</v>
      </c>
    </row>
    <row r="38" spans="1:19" x14ac:dyDescent="0.25">
      <c r="B38" s="1" t="s">
        <v>2</v>
      </c>
      <c r="C38" s="1">
        <v>1</v>
      </c>
      <c r="D38" s="1"/>
      <c r="E38" s="1"/>
      <c r="F38" s="1"/>
      <c r="G38" s="1"/>
      <c r="H38" s="3"/>
      <c r="I38" s="1" t="s">
        <v>2</v>
      </c>
      <c r="J38" s="1">
        <v>1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B39" s="1" t="s">
        <v>3</v>
      </c>
      <c r="C39" s="1">
        <v>0.9020328721469989</v>
      </c>
      <c r="D39" s="1">
        <v>1</v>
      </c>
      <c r="E39" s="1"/>
      <c r="F39" s="1"/>
      <c r="G39" s="1"/>
      <c r="H39" s="1"/>
      <c r="I39" s="1" t="s">
        <v>3</v>
      </c>
      <c r="J39" s="1">
        <v>0.9020328721469989</v>
      </c>
      <c r="K39" s="1">
        <v>1</v>
      </c>
      <c r="L39" s="1"/>
      <c r="M39" s="1"/>
      <c r="N39" s="1"/>
      <c r="O39" s="1"/>
      <c r="P39" s="1"/>
      <c r="Q39" s="1"/>
      <c r="R39" s="1"/>
      <c r="S39" s="1"/>
    </row>
    <row r="40" spans="1:19" x14ac:dyDescent="0.25">
      <c r="B40" s="1" t="s">
        <v>4</v>
      </c>
      <c r="C40" s="1">
        <v>0.83244745272181953</v>
      </c>
      <c r="D40" s="1">
        <v>0.79094858636980647</v>
      </c>
      <c r="E40" s="1">
        <v>1</v>
      </c>
      <c r="F40" s="1"/>
      <c r="G40" s="1"/>
      <c r="H40" s="1"/>
      <c r="I40" s="1" t="s">
        <v>4</v>
      </c>
      <c r="J40" s="1">
        <v>0.83244745272181953</v>
      </c>
      <c r="K40" s="1">
        <v>0.79094858636980647</v>
      </c>
      <c r="L40" s="1">
        <v>1</v>
      </c>
      <c r="M40" s="1"/>
      <c r="N40" s="1"/>
      <c r="O40" s="1"/>
      <c r="P40" s="1"/>
      <c r="Q40" s="1"/>
      <c r="R40" s="1"/>
      <c r="S40" s="1"/>
    </row>
    <row r="41" spans="1:19" x14ac:dyDescent="0.25">
      <c r="B41" s="1" t="s">
        <v>5</v>
      </c>
      <c r="C41" s="1">
        <v>-0.69993811382876991</v>
      </c>
      <c r="D41" s="1">
        <v>-0.71021392716927001</v>
      </c>
      <c r="E41" s="1">
        <v>-0.44875911687291947</v>
      </c>
      <c r="F41" s="1">
        <v>1</v>
      </c>
      <c r="G41" s="1"/>
      <c r="H41" s="1"/>
      <c r="I41" s="1" t="s">
        <v>5</v>
      </c>
      <c r="J41" s="1">
        <v>-0.69993811382876991</v>
      </c>
      <c r="K41" s="1">
        <v>-0.71021392716927001</v>
      </c>
      <c r="L41" s="1">
        <v>-0.44875911687291947</v>
      </c>
      <c r="M41" s="1">
        <v>1</v>
      </c>
      <c r="N41" s="1"/>
      <c r="O41" s="1"/>
      <c r="P41" s="1"/>
      <c r="Q41" s="1"/>
      <c r="R41" s="1"/>
      <c r="S41" s="1"/>
    </row>
    <row r="42" spans="1:19" ht="15.75" thickBot="1" x14ac:dyDescent="0.3">
      <c r="B42" s="9" t="s">
        <v>6</v>
      </c>
      <c r="C42" s="9">
        <v>0.78249579446324091</v>
      </c>
      <c r="D42" s="9">
        <v>0.8879799220581378</v>
      </c>
      <c r="E42" s="9">
        <v>0.6587478873447592</v>
      </c>
      <c r="F42" s="9">
        <v>-0.71244064669737173</v>
      </c>
      <c r="G42" s="9">
        <v>1</v>
      </c>
      <c r="H42" s="1"/>
      <c r="I42" s="1" t="s">
        <v>6</v>
      </c>
      <c r="J42" s="1">
        <v>0.78249579446324091</v>
      </c>
      <c r="K42" s="1">
        <v>0.8879799220581378</v>
      </c>
      <c r="L42" s="1">
        <v>0.6587478873447592</v>
      </c>
      <c r="M42" s="1">
        <v>-0.71244064669737173</v>
      </c>
      <c r="N42" s="1">
        <v>1</v>
      </c>
      <c r="O42" s="1"/>
      <c r="P42" s="1"/>
      <c r="Q42" s="1"/>
      <c r="R42" s="1"/>
      <c r="S42" s="1"/>
    </row>
    <row r="43" spans="1:19" ht="15.75" thickBot="1" x14ac:dyDescent="0.3">
      <c r="E43" s="1"/>
      <c r="F43" s="1"/>
      <c r="G43" s="1"/>
      <c r="H43" s="1"/>
      <c r="I43" s="1" t="s">
        <v>7</v>
      </c>
      <c r="J43" s="1">
        <v>-0.59124207376886861</v>
      </c>
      <c r="K43" s="1">
        <v>-0.4336978808110139</v>
      </c>
      <c r="L43" s="1">
        <v>-0.70822338886195324</v>
      </c>
      <c r="M43" s="1">
        <v>9.1204759651182993E-2</v>
      </c>
      <c r="N43" s="1">
        <v>-0.17471587871340488</v>
      </c>
      <c r="O43" s="1">
        <v>1</v>
      </c>
      <c r="P43" s="1"/>
      <c r="Q43" s="1"/>
      <c r="R43" s="1"/>
      <c r="S43" s="1"/>
    </row>
    <row r="44" spans="1:19" x14ac:dyDescent="0.25">
      <c r="B44" s="10"/>
      <c r="C44" s="10" t="s">
        <v>2</v>
      </c>
      <c r="D44" s="10" t="s">
        <v>3</v>
      </c>
      <c r="E44" s="10" t="s">
        <v>4</v>
      </c>
      <c r="F44" s="10" t="s">
        <v>5</v>
      </c>
      <c r="G44" s="10" t="s">
        <v>6</v>
      </c>
      <c r="H44" s="2"/>
      <c r="I44" s="1" t="s">
        <v>8</v>
      </c>
      <c r="J44" s="1">
        <v>-0.81081179608300535</v>
      </c>
      <c r="K44" s="1">
        <v>-0.71041589079060019</v>
      </c>
      <c r="L44" s="1">
        <v>-0.72309673735244961</v>
      </c>
      <c r="M44" s="1">
        <v>0.44027846495534917</v>
      </c>
      <c r="N44" s="1">
        <v>-0.55491567766399397</v>
      </c>
      <c r="O44" s="1">
        <v>0.74453544352625423</v>
      </c>
      <c r="P44" s="1">
        <v>1</v>
      </c>
      <c r="Q44" s="1"/>
      <c r="R44" s="1"/>
      <c r="S44" s="1"/>
    </row>
    <row r="45" spans="1:19" x14ac:dyDescent="0.25">
      <c r="B45" s="1" t="s">
        <v>2</v>
      </c>
      <c r="C45" s="1">
        <f t="array" ref="C45:G49">C38:G42^2</f>
        <v>1</v>
      </c>
      <c r="D45" s="1">
        <v>0</v>
      </c>
      <c r="E45" s="1">
        <v>0</v>
      </c>
      <c r="F45" s="1">
        <v>0</v>
      </c>
      <c r="G45" s="1">
        <v>0</v>
      </c>
      <c r="H45" s="2"/>
      <c r="I45" s="1" t="s">
        <v>9</v>
      </c>
      <c r="J45" s="1">
        <v>-0.52260704690067539</v>
      </c>
      <c r="K45" s="1">
        <v>-0.59122704006394744</v>
      </c>
      <c r="L45" s="1">
        <v>-0.24320425718585106</v>
      </c>
      <c r="M45" s="1">
        <v>0.71271112722626973</v>
      </c>
      <c r="N45" s="1">
        <v>-0.69249525883948415</v>
      </c>
      <c r="O45" s="1">
        <v>-0.22986086218488297</v>
      </c>
      <c r="P45" s="1">
        <v>0.16834512458535861</v>
      </c>
      <c r="Q45" s="1">
        <v>1</v>
      </c>
      <c r="R45" s="1"/>
      <c r="S45" s="1"/>
    </row>
    <row r="46" spans="1:19" x14ac:dyDescent="0.25">
      <c r="B46" s="1" t="s">
        <v>3</v>
      </c>
      <c r="C46" s="1">
        <v>0.81366330243376406</v>
      </c>
      <c r="D46" s="1">
        <v>1</v>
      </c>
      <c r="E46" s="1">
        <v>0</v>
      </c>
      <c r="F46" s="1">
        <v>0</v>
      </c>
      <c r="G46" s="1">
        <v>0</v>
      </c>
      <c r="I46" s="1" t="s">
        <v>10</v>
      </c>
      <c r="J46" s="1">
        <v>-0.49268659938947124</v>
      </c>
      <c r="K46" s="1">
        <v>-0.55556919856248266</v>
      </c>
      <c r="L46" s="1">
        <v>-0.12570425822547418</v>
      </c>
      <c r="M46" s="1">
        <v>0.6996101319346647</v>
      </c>
      <c r="N46" s="1">
        <v>-0.58328699653664795</v>
      </c>
      <c r="O46" s="1">
        <v>-0.21268222972036493</v>
      </c>
      <c r="P46" s="1">
        <v>0.20602334873357925</v>
      </c>
      <c r="Q46" s="1">
        <v>0.79405876025634348</v>
      </c>
      <c r="R46" s="1">
        <v>1</v>
      </c>
      <c r="S46" s="1"/>
    </row>
    <row r="47" spans="1:19" ht="15.75" thickBot="1" x14ac:dyDescent="0.3">
      <c r="B47" s="1" t="s">
        <v>4</v>
      </c>
      <c r="C47" s="1">
        <v>0.69296876154304599</v>
      </c>
      <c r="D47" s="1">
        <v>0.62559966628039521</v>
      </c>
      <c r="E47" s="1">
        <v>1</v>
      </c>
      <c r="F47" s="1">
        <v>0</v>
      </c>
      <c r="G47" s="1">
        <v>0</v>
      </c>
      <c r="I47" s="9" t="s">
        <v>11</v>
      </c>
      <c r="J47" s="9">
        <v>0.52698829374964329</v>
      </c>
      <c r="K47" s="9">
        <v>0.39497686486896932</v>
      </c>
      <c r="L47" s="9">
        <v>0.74981247154911024</v>
      </c>
      <c r="M47" s="9">
        <v>-9.0789798868867275E-2</v>
      </c>
      <c r="N47" s="9">
        <v>0.42760593773548722</v>
      </c>
      <c r="O47" s="9">
        <v>-0.65624922833805888</v>
      </c>
      <c r="P47" s="9">
        <v>-0.56960714100684262</v>
      </c>
      <c r="Q47" s="9">
        <v>5.7534351070504114E-2</v>
      </c>
      <c r="R47" s="9">
        <v>0.27407283635752228</v>
      </c>
      <c r="S47" s="9">
        <v>1</v>
      </c>
    </row>
    <row r="48" spans="1:19" x14ac:dyDescent="0.25">
      <c r="B48" s="1" t="s">
        <v>5</v>
      </c>
      <c r="C48" s="1">
        <v>0.48991336319017609</v>
      </c>
      <c r="D48" s="1">
        <v>0.50440382234519721</v>
      </c>
      <c r="E48" s="1">
        <v>0.20138474497656259</v>
      </c>
      <c r="F48" s="1">
        <v>1</v>
      </c>
      <c r="G48" s="1">
        <v>0</v>
      </c>
    </row>
    <row r="49" spans="2:19" ht="15.75" thickBot="1" x14ac:dyDescent="0.3">
      <c r="B49" s="9" t="s">
        <v>6</v>
      </c>
      <c r="C49" s="9">
        <v>0.61229966835265859</v>
      </c>
      <c r="D49" s="9">
        <v>0.78850834197837649</v>
      </c>
      <c r="E49" s="9">
        <v>0.43394877908118357</v>
      </c>
      <c r="F49" s="9">
        <v>0.50757167506656919</v>
      </c>
      <c r="G49" s="9">
        <v>1</v>
      </c>
    </row>
    <row r="50" spans="2:19" x14ac:dyDescent="0.25">
      <c r="I50" s="10"/>
      <c r="J50" s="10" t="s">
        <v>2</v>
      </c>
      <c r="K50" s="10" t="s">
        <v>3</v>
      </c>
      <c r="L50" s="10" t="s">
        <v>4</v>
      </c>
      <c r="M50" s="10" t="s">
        <v>5</v>
      </c>
      <c r="N50" s="10" t="s">
        <v>6</v>
      </c>
      <c r="O50" s="10" t="s">
        <v>7</v>
      </c>
      <c r="P50" s="10" t="s">
        <v>8</v>
      </c>
      <c r="Q50" s="10" t="s">
        <v>9</v>
      </c>
      <c r="R50" s="10" t="s">
        <v>10</v>
      </c>
      <c r="S50" s="10" t="s">
        <v>11</v>
      </c>
    </row>
    <row r="51" spans="2:19" x14ac:dyDescent="0.25">
      <c r="I51" s="1" t="s">
        <v>2</v>
      </c>
      <c r="J51" s="1">
        <f t="array" ref="J51:S60">J38:S47^2</f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2:19" ht="15.75" thickBot="1" x14ac:dyDescent="0.3">
      <c r="B52" t="s">
        <v>44</v>
      </c>
      <c r="I52" s="1" t="s">
        <v>3</v>
      </c>
      <c r="J52" s="1">
        <v>0.81366330243376406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2:19" x14ac:dyDescent="0.25">
      <c r="B53" s="10"/>
      <c r="C53" s="10" t="s">
        <v>2</v>
      </c>
      <c r="D53" s="10" t="s">
        <v>3</v>
      </c>
      <c r="E53" s="10" t="s">
        <v>4</v>
      </c>
      <c r="F53" s="10" t="s">
        <v>5</v>
      </c>
      <c r="G53" s="10" t="s">
        <v>6</v>
      </c>
      <c r="I53" s="1" t="s">
        <v>4</v>
      </c>
      <c r="J53" s="1">
        <v>0.69296876154304599</v>
      </c>
      <c r="K53" s="1">
        <v>0.62559966628039521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2:19" x14ac:dyDescent="0.25">
      <c r="B54" s="1" t="s">
        <v>2</v>
      </c>
      <c r="C54" s="1" t="e">
        <f t="array" ref="C54:G58">1/(1-C45:G49)</f>
        <v>#DIV/0!</v>
      </c>
      <c r="D54" s="1">
        <v>1</v>
      </c>
      <c r="E54" s="1">
        <v>1</v>
      </c>
      <c r="F54" s="1">
        <v>1</v>
      </c>
      <c r="G54" s="1">
        <v>1</v>
      </c>
      <c r="I54" s="1" t="s">
        <v>5</v>
      </c>
      <c r="J54" s="1">
        <v>0.48991336319017609</v>
      </c>
      <c r="K54" s="1">
        <v>0.50440382234519721</v>
      </c>
      <c r="L54" s="1">
        <v>0.20138474497656259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2:19" x14ac:dyDescent="0.25">
      <c r="B55" s="1" t="s">
        <v>3</v>
      </c>
      <c r="C55" s="1">
        <v>5.3666294029094095</v>
      </c>
      <c r="D55" s="1" t="e">
        <v>#DIV/0!</v>
      </c>
      <c r="E55" s="1">
        <v>1</v>
      </c>
      <c r="F55" s="1">
        <v>1</v>
      </c>
      <c r="G55" s="1">
        <v>1</v>
      </c>
      <c r="I55" s="1" t="s">
        <v>6</v>
      </c>
      <c r="J55" s="1">
        <v>0.61229966835265859</v>
      </c>
      <c r="K55" s="1">
        <v>0.78850834197837649</v>
      </c>
      <c r="L55" s="1">
        <v>0.43394877908118357</v>
      </c>
      <c r="M55" s="1">
        <v>0.50757167506656919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2:19" x14ac:dyDescent="0.25">
      <c r="B56" s="1" t="s">
        <v>4</v>
      </c>
      <c r="C56" s="1">
        <v>3.2569975779197486</v>
      </c>
      <c r="D56" s="1">
        <v>2.6709377902128639</v>
      </c>
      <c r="E56" s="1" t="e">
        <v>#DIV/0!</v>
      </c>
      <c r="F56" s="1">
        <v>1</v>
      </c>
      <c r="G56" s="1">
        <v>1</v>
      </c>
      <c r="I56" s="1" t="s">
        <v>7</v>
      </c>
      <c r="J56" s="1">
        <v>0.34956718979451229</v>
      </c>
      <c r="K56" s="1">
        <v>0.18809385181996441</v>
      </c>
      <c r="L56" s="1">
        <v>0.50158036853110943</v>
      </c>
      <c r="M56" s="1">
        <v>8.3183081830300581E-3</v>
      </c>
      <c r="N56" s="1">
        <v>3.0525638274597203E-2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</row>
    <row r="57" spans="2:19" x14ac:dyDescent="0.25">
      <c r="B57" s="1" t="s">
        <v>5</v>
      </c>
      <c r="C57" s="1">
        <v>1.9604512799123397</v>
      </c>
      <c r="D57" s="1">
        <v>2.0177718172324752</v>
      </c>
      <c r="E57" s="1">
        <v>1.2521674156733362</v>
      </c>
      <c r="F57" s="1" t="e">
        <v>#DIV/0!</v>
      </c>
      <c r="G57" s="1">
        <v>1</v>
      </c>
      <c r="I57" s="1" t="s">
        <v>8</v>
      </c>
      <c r="J57" s="1">
        <v>0.65741576866734908</v>
      </c>
      <c r="K57" s="1">
        <v>0.50469073788780194</v>
      </c>
      <c r="L57" s="1">
        <v>0.52286889156975747</v>
      </c>
      <c r="M57" s="1">
        <v>0.19384512670343862</v>
      </c>
      <c r="N57" s="1">
        <v>0.30793140931728963</v>
      </c>
      <c r="O57" s="1">
        <v>0.55433302666683615</v>
      </c>
      <c r="P57" s="1">
        <v>1</v>
      </c>
      <c r="Q57" s="1">
        <v>0</v>
      </c>
      <c r="R57" s="1">
        <v>0</v>
      </c>
      <c r="S57" s="1">
        <v>0</v>
      </c>
    </row>
    <row r="58" spans="2:19" ht="15.75" thickBot="1" x14ac:dyDescent="0.3">
      <c r="B58" s="9" t="s">
        <v>6</v>
      </c>
      <c r="C58" s="9">
        <v>2.5793116961004214</v>
      </c>
      <c r="D58" s="9">
        <v>4.7283188819568345</v>
      </c>
      <c r="E58" s="9">
        <v>1.7666245792682795</v>
      </c>
      <c r="F58" s="9">
        <v>2.0307523945442933</v>
      </c>
      <c r="G58" s="9" t="e">
        <v>#DIV/0!</v>
      </c>
      <c r="I58" s="1" t="s">
        <v>9</v>
      </c>
      <c r="J58" s="1">
        <v>0.27311812547024472</v>
      </c>
      <c r="K58" s="1">
        <v>0.34954941290277652</v>
      </c>
      <c r="L58" s="1">
        <v>5.9148310713321592E-2</v>
      </c>
      <c r="M58" s="1">
        <v>0.50795715087214</v>
      </c>
      <c r="N58" s="1">
        <v>0.47954968351516414</v>
      </c>
      <c r="O58" s="1">
        <v>5.2836015964377758E-2</v>
      </c>
      <c r="P58" s="1">
        <v>2.8340080971659912E-2</v>
      </c>
      <c r="Q58" s="1">
        <v>1</v>
      </c>
      <c r="R58" s="1">
        <v>0</v>
      </c>
      <c r="S58" s="1">
        <v>0</v>
      </c>
    </row>
    <row r="59" spans="2:19" x14ac:dyDescent="0.25">
      <c r="I59" s="1" t="s">
        <v>10</v>
      </c>
      <c r="J59" s="1">
        <v>0.24274008521796131</v>
      </c>
      <c r="K59" s="1">
        <v>0.30865713439135928</v>
      </c>
      <c r="L59" s="1">
        <v>1.5801560536016692E-2</v>
      </c>
      <c r="M59" s="1">
        <v>0.48945433670563893</v>
      </c>
      <c r="N59" s="1">
        <v>0.34022372032874354</v>
      </c>
      <c r="O59" s="1">
        <v>4.5233730838826085E-2</v>
      </c>
      <c r="P59" s="1">
        <v>4.2445620223398012E-2</v>
      </c>
      <c r="Q59" s="1">
        <v>0.6305293147398412</v>
      </c>
      <c r="R59" s="1">
        <v>1</v>
      </c>
      <c r="S59" s="1">
        <v>0</v>
      </c>
    </row>
    <row r="60" spans="2:19" ht="15.75" thickBot="1" x14ac:dyDescent="0.3">
      <c r="I60" s="9" t="s">
        <v>11</v>
      </c>
      <c r="J60" s="9">
        <v>0.27771666174916032</v>
      </c>
      <c r="K60" s="9">
        <v>0.15600672378172006</v>
      </c>
      <c r="L60" s="9">
        <v>0.56221874249058523</v>
      </c>
      <c r="M60" s="9">
        <v>8.2427875786493729E-3</v>
      </c>
      <c r="N60" s="9">
        <v>0.18284683798664536</v>
      </c>
      <c r="O60" s="9">
        <v>0.43066304969429775</v>
      </c>
      <c r="P60" s="9">
        <v>0.32445229508598911</v>
      </c>
      <c r="Q60" s="9">
        <v>3.3102015531040179E-3</v>
      </c>
      <c r="R60" s="9">
        <v>7.5115919629057185E-2</v>
      </c>
      <c r="S60" s="9">
        <v>1</v>
      </c>
    </row>
    <row r="62" spans="2:19" ht="15.75" thickBot="1" x14ac:dyDescent="0.3"/>
    <row r="63" spans="2:19" x14ac:dyDescent="0.25">
      <c r="I63" s="10"/>
      <c r="J63" s="10" t="s">
        <v>2</v>
      </c>
      <c r="K63" s="10" t="s">
        <v>3</v>
      </c>
      <c r="L63" s="10" t="s">
        <v>4</v>
      </c>
      <c r="M63" s="10" t="s">
        <v>5</v>
      </c>
      <c r="N63" s="10" t="s">
        <v>6</v>
      </c>
      <c r="O63" s="10" t="s">
        <v>7</v>
      </c>
      <c r="P63" s="10" t="s">
        <v>8</v>
      </c>
      <c r="Q63" s="10" t="s">
        <v>9</v>
      </c>
      <c r="R63" s="10" t="s">
        <v>10</v>
      </c>
      <c r="S63" s="10" t="s">
        <v>11</v>
      </c>
    </row>
    <row r="64" spans="2:19" x14ac:dyDescent="0.25">
      <c r="I64" s="1" t="s">
        <v>2</v>
      </c>
      <c r="J64" s="1" t="e">
        <f t="array" ref="J64:S73">1/(1-J51:S60)</f>
        <v>#DIV/0!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</row>
    <row r="65" spans="9:19" x14ac:dyDescent="0.25">
      <c r="I65" s="1" t="s">
        <v>3</v>
      </c>
      <c r="J65" s="1">
        <v>5.3666294029094095</v>
      </c>
      <c r="K65" s="1" t="e">
        <v>#DIV/0!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</row>
    <row r="66" spans="9:19" x14ac:dyDescent="0.25">
      <c r="I66" s="1" t="s">
        <v>4</v>
      </c>
      <c r="J66" s="1">
        <v>3.2569975779197486</v>
      </c>
      <c r="K66" s="1">
        <v>2.6709377902128639</v>
      </c>
      <c r="L66" s="1" t="e">
        <v>#DIV/0!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</row>
    <row r="67" spans="9:19" x14ac:dyDescent="0.25">
      <c r="I67" s="1" t="s">
        <v>5</v>
      </c>
      <c r="J67" s="1">
        <v>1.9604512799123397</v>
      </c>
      <c r="K67" s="1">
        <v>2.0177718172324752</v>
      </c>
      <c r="L67" s="1">
        <v>1.2521674156733362</v>
      </c>
      <c r="M67" s="1" t="e">
        <v>#DIV/0!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</row>
    <row r="68" spans="9:19" x14ac:dyDescent="0.25">
      <c r="I68" s="1" t="s">
        <v>6</v>
      </c>
      <c r="J68" s="1">
        <v>2.5793116961004214</v>
      </c>
      <c r="K68" s="1">
        <v>4.7283188819568345</v>
      </c>
      <c r="L68" s="1">
        <v>1.7666245792682795</v>
      </c>
      <c r="M68" s="1">
        <v>2.0307523945442933</v>
      </c>
      <c r="N68" s="1" t="e">
        <v>#DIV/0!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</row>
    <row r="69" spans="9:19" x14ac:dyDescent="0.25">
      <c r="I69" s="1" t="s">
        <v>7</v>
      </c>
      <c r="J69" s="1">
        <v>1.5374378172652075</v>
      </c>
      <c r="K69" s="1">
        <v>1.2316694512556587</v>
      </c>
      <c r="L69" s="1">
        <v>2.0063415179953967</v>
      </c>
      <c r="M69" s="1">
        <v>1.0083880828411675</v>
      </c>
      <c r="N69" s="1">
        <v>1.0314867927195823</v>
      </c>
      <c r="O69" s="1" t="e">
        <v>#DIV/0!</v>
      </c>
      <c r="P69" s="1">
        <v>1</v>
      </c>
      <c r="Q69" s="1">
        <v>1</v>
      </c>
      <c r="R69" s="1">
        <v>1</v>
      </c>
      <c r="S69" s="1">
        <v>1</v>
      </c>
    </row>
    <row r="70" spans="9:19" x14ac:dyDescent="0.25">
      <c r="I70" s="1" t="s">
        <v>8</v>
      </c>
      <c r="J70" s="1">
        <v>2.9189901593252121</v>
      </c>
      <c r="K70" s="1">
        <v>2.0189406427321739</v>
      </c>
      <c r="L70" s="1">
        <v>2.0958599896996697</v>
      </c>
      <c r="M70" s="1">
        <v>1.2404564347676263</v>
      </c>
      <c r="N70" s="1">
        <v>1.4449434831503074</v>
      </c>
      <c r="O70" s="1">
        <v>2.243827924965931</v>
      </c>
      <c r="P70" s="1" t="e">
        <v>#DIV/0!</v>
      </c>
      <c r="Q70" s="1">
        <v>1</v>
      </c>
      <c r="R70" s="1">
        <v>1</v>
      </c>
      <c r="S70" s="1">
        <v>1</v>
      </c>
    </row>
    <row r="71" spans="9:19" x14ac:dyDescent="0.25">
      <c r="I71" s="1" t="s">
        <v>9</v>
      </c>
      <c r="J71" s="1">
        <v>1.3757393533123028</v>
      </c>
      <c r="K71" s="1">
        <v>1.5373957989072105</v>
      </c>
      <c r="L71" s="1">
        <v>1.0628667742077031</v>
      </c>
      <c r="M71" s="1">
        <v>2.0323433249207623</v>
      </c>
      <c r="N71" s="1">
        <v>1.9214129924141117</v>
      </c>
      <c r="O71" s="1">
        <v>1.0557833879401295</v>
      </c>
      <c r="P71" s="1">
        <v>1.0291666666666668</v>
      </c>
      <c r="Q71" s="1" t="e">
        <v>#DIV/0!</v>
      </c>
      <c r="R71" s="1">
        <v>1</v>
      </c>
      <c r="S71" s="1">
        <v>1</v>
      </c>
    </row>
    <row r="72" spans="9:19" x14ac:dyDescent="0.25">
      <c r="I72" s="1" t="s">
        <v>10</v>
      </c>
      <c r="J72" s="1">
        <v>1.3205505540166205</v>
      </c>
      <c r="K72" s="1">
        <v>1.4464602872839738</v>
      </c>
      <c r="L72" s="1">
        <v>1.0160552586779374</v>
      </c>
      <c r="M72" s="1">
        <v>1.9586886578320388</v>
      </c>
      <c r="N72" s="1">
        <v>1.5156652805073032</v>
      </c>
      <c r="O72" s="1">
        <v>1.0473767583751854</v>
      </c>
      <c r="P72" s="1">
        <v>1.044327111984283</v>
      </c>
      <c r="Q72" s="1">
        <v>2.7065746753246764</v>
      </c>
      <c r="R72" s="1" t="e">
        <v>#DIV/0!</v>
      </c>
      <c r="S72" s="1">
        <v>1</v>
      </c>
    </row>
    <row r="73" spans="9:19" ht="15.75" thickBot="1" x14ac:dyDescent="0.3">
      <c r="I73" s="9" t="s">
        <v>11</v>
      </c>
      <c r="J73" s="9">
        <v>1.3844982253387006</v>
      </c>
      <c r="K73" s="9">
        <v>1.1848435623572107</v>
      </c>
      <c r="L73" s="9">
        <v>2.2842458027762742</v>
      </c>
      <c r="M73" s="9">
        <v>1.0083112958246352</v>
      </c>
      <c r="N73" s="9">
        <v>1.2237607911057158</v>
      </c>
      <c r="O73" s="9">
        <v>1.7564291224433191</v>
      </c>
      <c r="P73" s="9">
        <v>1.4802803602556656</v>
      </c>
      <c r="Q73" s="9">
        <v>1.0033211953792065</v>
      </c>
      <c r="R73" s="9">
        <v>1.081216577540107</v>
      </c>
      <c r="S73" s="9" t="e"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MAUSAMI</dc:creator>
  <cp:lastModifiedBy>pateldaksh3120@gmail.com</cp:lastModifiedBy>
  <dcterms:created xsi:type="dcterms:W3CDTF">2022-03-23T04:54:07Z</dcterms:created>
  <dcterms:modified xsi:type="dcterms:W3CDTF">2022-03-24T11:07:53Z</dcterms:modified>
</cp:coreProperties>
</file>