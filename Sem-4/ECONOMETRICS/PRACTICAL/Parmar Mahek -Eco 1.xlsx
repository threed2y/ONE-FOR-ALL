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tLab\Documents\Dhruvi\"/>
    </mc:Choice>
  </mc:AlternateContent>
  <xr:revisionPtr revIDLastSave="0" documentId="13_ncr:1_{38D5B5B3-D3A6-4171-AA5D-31A18DA039B3}" xr6:coauthVersionLast="47" xr6:coauthVersionMax="47" xr10:uidLastSave="{00000000-0000-0000-0000-000000000000}"/>
  <bookViews>
    <workbookView xWindow="-120" yWindow="-120" windowWidth="29040" windowHeight="15840" firstSheet="2" activeTab="2" xr2:uid="{D2EC3959-E9A4-4C34-A10E-16C74A10E0DE}"/>
  </bookViews>
  <sheets>
    <sheet name="Sheet1" sheetId="1" r:id="rId1"/>
    <sheet name="Sheet5" sheetId="5" r:id="rId2"/>
    <sheet name="Sheet6" sheetId="6" r:id="rId3"/>
    <sheet name="Sheet2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<sst xmlns="http://schemas.openxmlformats.org/spreadsheetml/2006/main" count="304" uniqueCount="50">
  <si>
    <t>Observation</t>
  </si>
  <si>
    <t>Y</t>
  </si>
  <si>
    <t>X1</t>
  </si>
  <si>
    <t>X2</t>
  </si>
  <si>
    <t>X3</t>
  </si>
  <si>
    <t>X4</t>
  </si>
  <si>
    <t>X5</t>
  </si>
  <si>
    <t>Time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</si>
  <si>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</si>
  <si>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</si>
  <si>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</si>
  <si>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</si>
  <si>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</si>
  <si>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</si>
  <si>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</si>
  <si>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</si>
  <si>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</si>
  <si>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</si>
  <si>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</si>
  <si>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</si>
  <si>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</si>
  <si>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</si>
  <si>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</si>
  <si>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</si>
  <si>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</si>
  <si>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</si>
  <si>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</si>
  <si>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</si>
  <si>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</si>
  <si>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</si>
  <si>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</si>
  <si>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</si>
  <si>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</si>
  <si>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Predicted Y</t>
  </si>
  <si>
    <t>Residuals</t>
  </si>
  <si>
    <t>Model; 1</t>
  </si>
  <si>
    <t>Model 2</t>
  </si>
  <si>
    <t xml:space="preserve">Model 3 </t>
  </si>
  <si>
    <t>Model 4</t>
  </si>
  <si>
    <t>Correlation matrics:</t>
  </si>
  <si>
    <t>Que:</t>
  </si>
  <si>
    <t>Damodar gujarati besic eco (p.g. 370)</t>
  </si>
  <si>
    <t>Data:</t>
  </si>
  <si>
    <t>Sol:</t>
  </si>
  <si>
    <t>Model:1</t>
  </si>
  <si>
    <t>Model:2</t>
  </si>
  <si>
    <t>Model :3</t>
  </si>
  <si>
    <t>Model:4</t>
  </si>
  <si>
    <t>Full Model</t>
  </si>
  <si>
    <t>we prefer this model because SE is less and difference between R sruare and adj R squ is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</si>
</sst>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Continuous"/>
    </xf>
    <xf numFmtId="0" fontId="0" fillId="2" borderId="0" xfId="0" applyFill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1" fillId="0" borderId="3" xfId="0" applyFont="1" applyBorder="1" applyAlignment="1">
      <alignment horizontal="center"/>
    </xf>
    <xf numFmtId="0" fontId="0" fillId="0" borderId="2" xfId="0" applyBorder="1"/>
    <xf numFmtId="0" fontId="3" fillId="0" borderId="0" xfId="0" applyFon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Sheet1!$B$54:$B$69</c:f>
              <c:numCache>
                <c:formatCode>General</c:formatCode>
                <c:ptCount val="16"/>
                <c:pt idx="0">
                  <c:v>603.23</c:v>
                </c:pt>
                <c:pt idx="1">
                  <c:v>611.22</c:v>
                </c:pt>
                <c:pt idx="2">
                  <c:v>601.71</c:v>
                </c:pt>
                <c:pt idx="3">
                  <c:v>611.87</c:v>
                </c:pt>
                <c:pt idx="4">
                  <c:v>632.21</c:v>
                </c:pt>
                <c:pt idx="5">
                  <c:v>636.39</c:v>
                </c:pt>
                <c:pt idx="6">
                  <c:v>649.89</c:v>
                </c:pt>
                <c:pt idx="7">
                  <c:v>637.61</c:v>
                </c:pt>
                <c:pt idx="8">
                  <c:v>660.19</c:v>
                </c:pt>
                <c:pt idx="9">
                  <c:v>678.57</c:v>
                </c:pt>
                <c:pt idx="10">
                  <c:v>681.69</c:v>
                </c:pt>
                <c:pt idx="11">
                  <c:v>665.13</c:v>
                </c:pt>
                <c:pt idx="12">
                  <c:v>686.55</c:v>
                </c:pt>
                <c:pt idx="13">
                  <c:v>695.64</c:v>
                </c:pt>
                <c:pt idx="14">
                  <c:v>693.31</c:v>
                </c:pt>
                <c:pt idx="15">
                  <c:v>705.51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1-4996-9DC6-D977D0A4EB7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Sheet1!$C$54:$C$69</c:f>
              <c:numCache>
                <c:formatCode>General</c:formatCode>
                <c:ptCount val="16"/>
                <c:pt idx="0">
                  <c:v>600.45132543074942</c:v>
                </c:pt>
                <c:pt idx="1">
                  <c:v>612.62981269376996</c:v>
                </c:pt>
                <c:pt idx="2">
                  <c:v>600.80595111060961</c:v>
                </c:pt>
                <c:pt idx="3">
                  <c:v>615.77104049417278</c:v>
                </c:pt>
                <c:pt idx="4">
                  <c:v>636.78713435896543</c:v>
                </c:pt>
                <c:pt idx="5">
                  <c:v>641.92239721660883</c:v>
                </c:pt>
                <c:pt idx="6">
                  <c:v>647.8786941275506</c:v>
                </c:pt>
                <c:pt idx="7">
                  <c:v>635.42400429706413</c:v>
                </c:pt>
                <c:pt idx="8">
                  <c:v>659.27858397686509</c:v>
                </c:pt>
                <c:pt idx="9">
                  <c:v>669.23409752116288</c:v>
                </c:pt>
                <c:pt idx="10">
                  <c:v>677.34374391166205</c:v>
                </c:pt>
                <c:pt idx="11">
                  <c:v>665.2421866928612</c:v>
                </c:pt>
                <c:pt idx="12">
                  <c:v>690.1134237133208</c:v>
                </c:pt>
                <c:pt idx="13">
                  <c:v>695.32280102894617</c:v>
                </c:pt>
                <c:pt idx="14">
                  <c:v>691.92618317102063</c:v>
                </c:pt>
                <c:pt idx="15">
                  <c:v>710.58862025467033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01-4996-9DC6-D977D0A4E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9243744"/>
        <c:axId val="1179226272"/>
      </c:lineChart>
      <c:catAx>
        <c:axId val="1179243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226272"/>
        <c:crosses val="autoZero"/>
        <c:auto val="1"/>
        <c:lblAlgn val="ctr"/>
        <c:lblOffset val="100"/>
        <c:noMultiLvlLbl val="0"/>
      </c:catAx>
      <c:valAx>
        <c:axId val="117922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24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Sheet1!$D$53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Sheet1!$D$54:$D$69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55-4109-92AE-B7E6DB02B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9240000"/>
        <c:axId val="1179242912"/>
      </c:barChart>
      <c:lineChart>
        <c:grouping val="standard"/>
        <c:varyColors val="0"/>
        <c:ser>
          <c:idx val="0"/>
          <c:order val="0"/>
          <c:tx>
            <c:strRef>
              <c:f>Sheet1!$B$53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Sheet1!$B$54:$B$69</c:f>
              <c:numCache>
                <c:formatCode>General</c:formatCode>
                <c:ptCount val="16"/>
                <c:pt idx="0">
                  <c:v>603.23</c:v>
                </c:pt>
                <c:pt idx="1">
                  <c:v>611.22</c:v>
                </c:pt>
                <c:pt idx="2">
                  <c:v>601.71</c:v>
                </c:pt>
                <c:pt idx="3">
                  <c:v>611.87</c:v>
                </c:pt>
                <c:pt idx="4">
                  <c:v>632.21</c:v>
                </c:pt>
                <c:pt idx="5">
                  <c:v>636.39</c:v>
                </c:pt>
                <c:pt idx="6">
                  <c:v>649.89</c:v>
                </c:pt>
                <c:pt idx="7">
                  <c:v>637.61</c:v>
                </c:pt>
                <c:pt idx="8">
                  <c:v>660.19</c:v>
                </c:pt>
                <c:pt idx="9">
                  <c:v>678.57</c:v>
                </c:pt>
                <c:pt idx="10">
                  <c:v>681.69</c:v>
                </c:pt>
                <c:pt idx="11">
                  <c:v>665.13</c:v>
                </c:pt>
                <c:pt idx="12">
                  <c:v>686.55</c:v>
                </c:pt>
                <c:pt idx="13">
                  <c:v>695.64</c:v>
                </c:pt>
                <c:pt idx="14">
                  <c:v>693.31</c:v>
                </c:pt>
                <c:pt idx="15">
                  <c:v>705.51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5-4109-92AE-B7E6DB02BA74}"/>
            </c:ext>
          </c:extLst>
        </c:ser>
        <c:ser>
          <c:idx val="1"/>
          <c:order val="1"/>
          <c:tx>
            <c:strRef>
              <c:f>Sheet1!$C$53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Sheet1!$C$54:$C$69</c:f>
              <c:numCache>
                <c:formatCode>General</c:formatCode>
                <c:ptCount val="16"/>
                <c:pt idx="0">
                  <c:v>600.45132543074942</c:v>
                </c:pt>
                <c:pt idx="1">
                  <c:v>612.62981269376996</c:v>
                </c:pt>
                <c:pt idx="2">
                  <c:v>600.80595111060961</c:v>
                </c:pt>
                <c:pt idx="3">
                  <c:v>615.77104049417278</c:v>
                </c:pt>
                <c:pt idx="4">
                  <c:v>636.78713435896543</c:v>
                </c:pt>
                <c:pt idx="5">
                  <c:v>641.92239721660883</c:v>
                </c:pt>
                <c:pt idx="6">
                  <c:v>647.8786941275506</c:v>
                </c:pt>
                <c:pt idx="7">
                  <c:v>635.42400429706413</c:v>
                </c:pt>
                <c:pt idx="8">
                  <c:v>659.27858397686509</c:v>
                </c:pt>
                <c:pt idx="9">
                  <c:v>669.23409752116288</c:v>
                </c:pt>
                <c:pt idx="10">
                  <c:v>677.34374391166205</c:v>
                </c:pt>
                <c:pt idx="11">
                  <c:v>665.2421866928612</c:v>
                </c:pt>
                <c:pt idx="12">
                  <c:v>690.1134237133208</c:v>
                </c:pt>
                <c:pt idx="13">
                  <c:v>695.32280102894617</c:v>
                </c:pt>
                <c:pt idx="14">
                  <c:v>691.92618317102063</c:v>
                </c:pt>
                <c:pt idx="15">
                  <c:v>710.58862025467033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55-4109-92AE-B7E6DB02B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237088"/>
        <c:axId val="1179222528"/>
      </c:lineChart>
      <c:catAx>
        <c:axId val="1179237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222528"/>
        <c:crosses val="autoZero"/>
        <c:auto val="1"/>
        <c:lblAlgn val="ctr"/>
        <c:lblOffset val="100"/>
        <c:noMultiLvlLbl val="0"/>
      </c:catAx>
      <c:valAx>
        <c:axId val="117922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237088"/>
        <c:crosses val="autoZero"/>
        <c:crossBetween val="between"/>
      </c:valAx>
      <c:valAx>
        <c:axId val="11792429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240000"/>
        <c:crosses val="max"/>
        <c:crossBetween val="between"/>
      </c:valAx>
      <c:catAx>
        <c:axId val="1179240000"/>
        <c:scaling>
          <c:orientation val="minMax"/>
        </c:scaling>
        <c:delete val="1"/>
        <c:axPos val="b"/>
        <c:majorTickMark val="out"/>
        <c:minorTickMark val="none"/>
        <c:tickLblPos val="nextTo"/>
        <c:crossAx val="1179242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Sheet5!$B$48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Sheet5!$B$49:$B$64</c:f>
              <c:numCache>
                <c:formatCode>#,##0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4-484E-8A9E-5A09FCDFA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9110064"/>
        <c:axId val="1219110480"/>
      </c:barChart>
      <c:lineChart>
        <c:grouping val="standard"/>
        <c:varyColors val="0"/>
        <c:ser>
          <c:idx val="1"/>
          <c:order val="1"/>
          <c:tx>
            <c:strRef>
              <c:f>Sheet5!$C$48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Sheet5!$C$49:$C$64</c:f>
              <c:numCache>
                <c:formatCode>General</c:formatCode>
                <c:ptCount val="16"/>
                <c:pt idx="0">
                  <c:v>60017.689558543359</c:v>
                </c:pt>
                <c:pt idx="1">
                  <c:v>61341.277506589249</c:v>
                </c:pt>
                <c:pt idx="2">
                  <c:v>60085.1252264469</c:v>
                </c:pt>
                <c:pt idx="3">
                  <c:v>61509.775671316966</c:v>
                </c:pt>
                <c:pt idx="4">
                  <c:v>63686.466261012618</c:v>
                </c:pt>
                <c:pt idx="5">
                  <c:v>64211.239328430129</c:v>
                </c:pt>
                <c:pt idx="6">
                  <c:v>64820.160321303811</c:v>
                </c:pt>
                <c:pt idx="7">
                  <c:v>63542.048777972224</c:v>
                </c:pt>
                <c:pt idx="8">
                  <c:v>65824.722798287519</c:v>
                </c:pt>
                <c:pt idx="9">
                  <c:v>66891.117238551436</c:v>
                </c:pt>
                <c:pt idx="10">
                  <c:v>67775.501053785847</c:v>
                </c:pt>
                <c:pt idx="11">
                  <c:v>66584.841797719739</c:v>
                </c:pt>
                <c:pt idx="12">
                  <c:v>68995.711644356474</c:v>
                </c:pt>
                <c:pt idx="13">
                  <c:v>69541.716497661488</c:v>
                </c:pt>
                <c:pt idx="14">
                  <c:v>69212.153285434208</c:v>
                </c:pt>
                <c:pt idx="15">
                  <c:v>71032.453032587917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E4-484E-8A9E-5A09FCDFA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9110064"/>
        <c:axId val="1219110480"/>
      </c:lineChart>
      <c:catAx>
        <c:axId val="1219110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110480"/>
        <c:crosses val="autoZero"/>
        <c:auto val="1"/>
        <c:lblAlgn val="ctr"/>
        <c:lblOffset val="100"/>
        <c:noMultiLvlLbl val="0"/>
      </c:catAx>
      <c:valAx>
        <c:axId val="121911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11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Sheet5!$D$48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Sheet5!$D$49:$D$64</c:f>
              <c:numCache>
                <c:formatCode>General</c:formatCode>
                <c:ptCount val="16"/>
                <c:pt idx="0">
                  <c:v>305.31044145664055</c:v>
                </c:pt>
                <c:pt idx="1">
                  <c:v>-219.27750658924924</c:v>
                </c:pt>
                <c:pt idx="2">
                  <c:v>85.874773553099658</c:v>
                </c:pt>
                <c:pt idx="3">
                  <c:v>-322.7756713169656</c:v>
                </c:pt>
                <c:pt idx="4">
                  <c:v>-465.46626101261791</c:v>
                </c:pt>
                <c:pt idx="5">
                  <c:v>-572.23932843012881</c:v>
                </c:pt>
                <c:pt idx="6">
                  <c:v>168.83967869618937</c:v>
                </c:pt>
                <c:pt idx="7">
                  <c:v>218.95122202777566</c:v>
                </c:pt>
                <c:pt idx="8">
                  <c:v>194.27720171248075</c:v>
                </c:pt>
                <c:pt idx="9">
                  <c:v>965.88276144856354</c:v>
                </c:pt>
                <c:pt idx="10">
                  <c:v>393.49894621415297</c:v>
                </c:pt>
                <c:pt idx="11">
                  <c:v>-71.841797719738679</c:v>
                </c:pt>
                <c:pt idx="12">
                  <c:v>-340.7116443564737</c:v>
                </c:pt>
                <c:pt idx="13">
                  <c:v>22.283502338512335</c:v>
                </c:pt>
                <c:pt idx="14">
                  <c:v>118.84671456579235</c:v>
                </c:pt>
                <c:pt idx="15">
                  <c:v>-481.45303258791682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2D-4CA9-9332-5F2A9C190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7677248"/>
        <c:axId val="937661440"/>
      </c:barChart>
      <c:lineChart>
        <c:grouping val="standard"/>
        <c:varyColors val="0"/>
        <c:ser>
          <c:idx val="0"/>
          <c:order val="0"/>
          <c:tx>
            <c:strRef>
              <c:f>Sheet5!$B$48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Sheet5!$B$49:$B$64</c:f>
              <c:numCache>
                <c:formatCode>#,##0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2D-4CA9-9332-5F2A9C190F00}"/>
            </c:ext>
          </c:extLst>
        </c:ser>
        <c:ser>
          <c:idx val="1"/>
          <c:order val="1"/>
          <c:tx>
            <c:strRef>
              <c:f>Sheet5!$C$48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Sheet5!$C$49:$C$64</c:f>
              <c:numCache>
                <c:formatCode>General</c:formatCode>
                <c:ptCount val="16"/>
                <c:pt idx="0">
                  <c:v>60017.689558543359</c:v>
                </c:pt>
                <c:pt idx="1">
                  <c:v>61341.277506589249</c:v>
                </c:pt>
                <c:pt idx="2">
                  <c:v>60085.1252264469</c:v>
                </c:pt>
                <c:pt idx="3">
                  <c:v>61509.775671316966</c:v>
                </c:pt>
                <c:pt idx="4">
                  <c:v>63686.466261012618</c:v>
                </c:pt>
                <c:pt idx="5">
                  <c:v>64211.239328430129</c:v>
                </c:pt>
                <c:pt idx="6">
                  <c:v>64820.160321303811</c:v>
                </c:pt>
                <c:pt idx="7">
                  <c:v>63542.048777972224</c:v>
                </c:pt>
                <c:pt idx="8">
                  <c:v>65824.722798287519</c:v>
                </c:pt>
                <c:pt idx="9">
                  <c:v>66891.117238551436</c:v>
                </c:pt>
                <c:pt idx="10">
                  <c:v>67775.501053785847</c:v>
                </c:pt>
                <c:pt idx="11">
                  <c:v>66584.841797719739</c:v>
                </c:pt>
                <c:pt idx="12">
                  <c:v>68995.711644356474</c:v>
                </c:pt>
                <c:pt idx="13">
                  <c:v>69541.716497661488</c:v>
                </c:pt>
                <c:pt idx="14">
                  <c:v>69212.153285434208</c:v>
                </c:pt>
                <c:pt idx="15">
                  <c:v>71032.453032587917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2D-4CA9-9332-5F2A9C190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9117136"/>
        <c:axId val="1219107984"/>
      </c:lineChart>
      <c:catAx>
        <c:axId val="1219117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107984"/>
        <c:crosses val="autoZero"/>
        <c:auto val="1"/>
        <c:lblAlgn val="ctr"/>
        <c:lblOffset val="100"/>
        <c:noMultiLvlLbl val="0"/>
      </c:catAx>
      <c:valAx>
        <c:axId val="121910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117136"/>
        <c:crosses val="autoZero"/>
        <c:crossBetween val="between"/>
      </c:valAx>
      <c:valAx>
        <c:axId val="9376614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677248"/>
        <c:crosses val="max"/>
        <c:crossBetween val="between"/>
      </c:valAx>
      <c:catAx>
        <c:axId val="937677248"/>
        <c:scaling>
          <c:orientation val="minMax"/>
        </c:scaling>
        <c:delete val="1"/>
        <c:axPos val="b"/>
        <c:majorTickMark val="out"/>
        <c:minorTickMark val="none"/>
        <c:tickLblPos val="nextTo"/>
        <c:crossAx val="937661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Sheet5!$K$95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Sheet5!$K$96:$K$111</c:f>
              <c:numCache>
                <c:formatCode>General</c:formatCode>
                <c:ptCount val="16"/>
                <c:pt idx="0">
                  <c:v>237.38527034009167</c:v>
                </c:pt>
                <c:pt idx="1">
                  <c:v>-534.78481495130109</c:v>
                </c:pt>
                <c:pt idx="2">
                  <c:v>6.3501515387833933</c:v>
                </c:pt>
                <c:pt idx="3">
                  <c:v>8.2013372410729062</c:v>
                </c:pt>
                <c:pt idx="4">
                  <c:v>-385.58605244529463</c:v>
                </c:pt>
                <c:pt idx="5">
                  <c:v>-639.21487578701635</c:v>
                </c:pt>
                <c:pt idx="6">
                  <c:v>-139.80591722009558</c:v>
                </c:pt>
                <c:pt idx="7">
                  <c:v>82.677421212545596</c:v>
                </c:pt>
                <c:pt idx="8">
                  <c:v>716.96537319208437</c:v>
                </c:pt>
                <c:pt idx="9">
                  <c:v>1222.5442739588325</c:v>
                </c:pt>
                <c:pt idx="10">
                  <c:v>329.46022442018148</c:v>
                </c:pt>
                <c:pt idx="11">
                  <c:v>-215.01807846166776</c:v>
                </c:pt>
                <c:pt idx="12">
                  <c:v>-7.9747593077918282</c:v>
                </c:pt>
                <c:pt idx="13">
                  <c:v>79.720902935208869</c:v>
                </c:pt>
                <c:pt idx="14">
                  <c:v>-104.74749165524554</c:v>
                </c:pt>
                <c:pt idx="15">
                  <c:v>-656.17296501040983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7-4058-9AF7-462507D1E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5817888"/>
        <c:axId val="1295818720"/>
      </c:barChart>
      <c:lineChart>
        <c:grouping val="standard"/>
        <c:varyColors val="0"/>
        <c:ser>
          <c:idx val="0"/>
          <c:order val="0"/>
          <c:tx>
            <c:strRef>
              <c:f>Sheet5!$I$95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Sheet5!$I$96:$I$111</c:f>
              <c:numCache>
                <c:formatCode>#,##0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67-4058-9AF7-462507D1EF83}"/>
            </c:ext>
          </c:extLst>
        </c:ser>
        <c:ser>
          <c:idx val="1"/>
          <c:order val="1"/>
          <c:tx>
            <c:strRef>
              <c:f>Sheet5!$J$95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Sheet5!$J$96:$J$111</c:f>
              <c:numCache>
                <c:formatCode>General</c:formatCode>
                <c:ptCount val="16"/>
                <c:pt idx="0">
                  <c:v>60085.614729659908</c:v>
                </c:pt>
                <c:pt idx="1">
                  <c:v>61656.784814951301</c:v>
                </c:pt>
                <c:pt idx="2">
                  <c:v>60164.649848461217</c:v>
                </c:pt>
                <c:pt idx="3">
                  <c:v>61178.798662758927</c:v>
                </c:pt>
                <c:pt idx="4">
                  <c:v>63606.586052445295</c:v>
                </c:pt>
                <c:pt idx="5">
                  <c:v>64278.214875787016</c:v>
                </c:pt>
                <c:pt idx="6">
                  <c:v>65128.805917220096</c:v>
                </c:pt>
                <c:pt idx="7">
                  <c:v>63678.322578787454</c:v>
                </c:pt>
                <c:pt idx="8">
                  <c:v>65302.034626807916</c:v>
                </c:pt>
                <c:pt idx="9">
                  <c:v>66634.455726041168</c:v>
                </c:pt>
                <c:pt idx="10">
                  <c:v>67839.539775579819</c:v>
                </c:pt>
                <c:pt idx="11">
                  <c:v>66728.018078461668</c:v>
                </c:pt>
                <c:pt idx="12">
                  <c:v>68662.974759307792</c:v>
                </c:pt>
                <c:pt idx="13">
                  <c:v>69484.279097064791</c:v>
                </c:pt>
                <c:pt idx="14">
                  <c:v>69435.747491655246</c:v>
                </c:pt>
                <c:pt idx="15">
                  <c:v>71207.17296501041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67-4058-9AF7-462507D1E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248320"/>
        <c:axId val="1179225024"/>
      </c:lineChart>
      <c:catAx>
        <c:axId val="1179248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225024"/>
        <c:crosses val="autoZero"/>
        <c:auto val="1"/>
        <c:lblAlgn val="ctr"/>
        <c:lblOffset val="100"/>
        <c:noMultiLvlLbl val="0"/>
      </c:catAx>
      <c:valAx>
        <c:axId val="117922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248320"/>
        <c:crosses val="autoZero"/>
        <c:crossBetween val="between"/>
      </c:valAx>
      <c:valAx>
        <c:axId val="12958187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817888"/>
        <c:crosses val="max"/>
        <c:crossBetween val="between"/>
      </c:valAx>
      <c:catAx>
        <c:axId val="1295817888"/>
        <c:scaling>
          <c:orientation val="minMax"/>
        </c:scaling>
        <c:delete val="1"/>
        <c:axPos val="b"/>
        <c:majorTickMark val="out"/>
        <c:minorTickMark val="none"/>
        <c:tickLblPos val="nextTo"/>
        <c:crossAx val="129581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Sheet5!$J$142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Sheet5!$J$143:$J$158</c:f>
              <c:numCache>
                <c:formatCode>General</c:formatCode>
                <c:ptCount val="16"/>
                <c:pt idx="0">
                  <c:v>193.16251936147455</c:v>
                </c:pt>
                <c:pt idx="1">
                  <c:v>-303.80093842860515</c:v>
                </c:pt>
                <c:pt idx="2">
                  <c:v>56.99479404612066</c:v>
                </c:pt>
                <c:pt idx="3">
                  <c:v>-200.13376684048126</c:v>
                </c:pt>
                <c:pt idx="4">
                  <c:v>-380.61104361834441</c:v>
                </c:pt>
                <c:pt idx="5">
                  <c:v>-575.65716954808886</c:v>
                </c:pt>
                <c:pt idx="6">
                  <c:v>-3.4078801349824062</c:v>
                </c:pt>
                <c:pt idx="7">
                  <c:v>142.51692806940264</c:v>
                </c:pt>
                <c:pt idx="8">
                  <c:v>380.03830738818215</c:v>
                </c:pt>
                <c:pt idx="9">
                  <c:v>1086.1706524507317</c:v>
                </c:pt>
                <c:pt idx="10">
                  <c:v>417.45811235597648</c:v>
                </c:pt>
                <c:pt idx="11">
                  <c:v>-34.826860931818374</c:v>
                </c:pt>
                <c:pt idx="12">
                  <c:v>-127.48590801461251</c:v>
                </c:pt>
                <c:pt idx="13">
                  <c:v>69.726943821049645</c:v>
                </c:pt>
                <c:pt idx="14">
                  <c:v>-17.836392135359347</c:v>
                </c:pt>
                <c:pt idx="15">
                  <c:v>-702.30829784060188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8D-464F-A16E-8F4861759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5287120"/>
        <c:axId val="1175286288"/>
      </c:barChart>
      <c:lineChart>
        <c:grouping val="standard"/>
        <c:varyColors val="0"/>
        <c:ser>
          <c:idx val="0"/>
          <c:order val="0"/>
          <c:tx>
            <c:strRef>
              <c:f>Sheet5!$H$142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Sheet5!$H$143:$H$158</c:f>
              <c:numCache>
                <c:formatCode>#,##0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8D-464F-A16E-8F4861759F32}"/>
            </c:ext>
          </c:extLst>
        </c:ser>
        <c:ser>
          <c:idx val="1"/>
          <c:order val="1"/>
          <c:tx>
            <c:strRef>
              <c:f>Sheet5!$I$142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Sheet5!$I$143:$I$158</c:f>
              <c:numCache>
                <c:formatCode>General</c:formatCode>
                <c:ptCount val="16"/>
                <c:pt idx="0">
                  <c:v>60129.837480638525</c:v>
                </c:pt>
                <c:pt idx="1">
                  <c:v>61425.800938428605</c:v>
                </c:pt>
                <c:pt idx="2">
                  <c:v>60114.005205953879</c:v>
                </c:pt>
                <c:pt idx="3">
                  <c:v>61387.133766840481</c:v>
                </c:pt>
                <c:pt idx="4">
                  <c:v>63601.611043618344</c:v>
                </c:pt>
                <c:pt idx="5">
                  <c:v>64214.657169548089</c:v>
                </c:pt>
                <c:pt idx="6">
                  <c:v>64992.407880134982</c:v>
                </c:pt>
                <c:pt idx="7">
                  <c:v>63618.483071930597</c:v>
                </c:pt>
                <c:pt idx="8">
                  <c:v>65638.961692611818</c:v>
                </c:pt>
                <c:pt idx="9">
                  <c:v>66770.829347549268</c:v>
                </c:pt>
                <c:pt idx="10">
                  <c:v>67751.541887644024</c:v>
                </c:pt>
                <c:pt idx="11">
                  <c:v>66547.826860931818</c:v>
                </c:pt>
                <c:pt idx="12">
                  <c:v>68782.485908014613</c:v>
                </c:pt>
                <c:pt idx="13">
                  <c:v>69494.27305617895</c:v>
                </c:pt>
                <c:pt idx="14">
                  <c:v>69348.836392135359</c:v>
                </c:pt>
                <c:pt idx="15">
                  <c:v>71253.308297840602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8D-464F-A16E-8F4861759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876592"/>
        <c:axId val="1121874928"/>
      </c:lineChart>
      <c:catAx>
        <c:axId val="112187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874928"/>
        <c:crosses val="autoZero"/>
        <c:auto val="1"/>
        <c:lblAlgn val="ctr"/>
        <c:lblOffset val="100"/>
        <c:noMultiLvlLbl val="0"/>
      </c:catAx>
      <c:valAx>
        <c:axId val="112187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876592"/>
        <c:crosses val="autoZero"/>
        <c:crossBetween val="between"/>
      </c:valAx>
      <c:valAx>
        <c:axId val="11752862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287120"/>
        <c:crosses val="max"/>
        <c:crossBetween val="between"/>
      </c:valAx>
      <c:catAx>
        <c:axId val="1175287120"/>
        <c:scaling>
          <c:orientation val="minMax"/>
        </c:scaling>
        <c:delete val="1"/>
        <c:axPos val="b"/>
        <c:majorTickMark val="out"/>
        <c:minorTickMark val="none"/>
        <c:tickLblPos val="nextTo"/>
        <c:crossAx val="11752862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Sheet5!$D$206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Sheet5!$D$207:$D$222</c:f>
              <c:numCache>
                <c:formatCode>General</c:formatCode>
                <c:ptCount val="16"/>
                <c:pt idx="0">
                  <c:v>-275.54961270398053</c:v>
                </c:pt>
                <c:pt idx="1">
                  <c:v>-159.68981600023108</c:v>
                </c:pt>
                <c:pt idx="2">
                  <c:v>-102.87579532652308</c:v>
                </c:pt>
                <c:pt idx="3">
                  <c:v>-186.84752218528592</c:v>
                </c:pt>
                <c:pt idx="4">
                  <c:v>-110.98715501515107</c:v>
                </c:pt>
                <c:pt idx="5">
                  <c:v>-527.70776103746175</c:v>
                </c:pt>
                <c:pt idx="6">
                  <c:v>-366.60064988521481</c:v>
                </c:pt>
                <c:pt idx="7">
                  <c:v>-213.24109265571315</c:v>
                </c:pt>
                <c:pt idx="8">
                  <c:v>451.7073047644808</c:v>
                </c:pt>
                <c:pt idx="9">
                  <c:v>1338.2318410082371</c:v>
                </c:pt>
                <c:pt idx="10">
                  <c:v>743.78471069326042</c:v>
                </c:pt>
                <c:pt idx="11">
                  <c:v>291.4831055237737</c:v>
                </c:pt>
                <c:pt idx="12">
                  <c:v>493.57690257579088</c:v>
                </c:pt>
                <c:pt idx="13">
                  <c:v>328.92419552811771</c:v>
                </c:pt>
                <c:pt idx="14">
                  <c:v>-320.74661308850045</c:v>
                </c:pt>
                <c:pt idx="15">
                  <c:v>-1383.4620421955624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8B-42F5-B468-59091B8F1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4231264"/>
        <c:axId val="1214230848"/>
      </c:barChart>
      <c:lineChart>
        <c:grouping val="standard"/>
        <c:varyColors val="0"/>
        <c:ser>
          <c:idx val="0"/>
          <c:order val="0"/>
          <c:tx>
            <c:strRef>
              <c:f>Sheet5!$B$206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Sheet5!$B$207:$B$222</c:f>
              <c:numCache>
                <c:formatCode>#,##0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8B-42F5-B468-59091B8F16D1}"/>
            </c:ext>
          </c:extLst>
        </c:ser>
        <c:ser>
          <c:idx val="1"/>
          <c:order val="1"/>
          <c:tx>
            <c:strRef>
              <c:f>Sheet5!$C$206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Sheet5!$C$207:$C$222</c:f>
              <c:numCache>
                <c:formatCode>General</c:formatCode>
                <c:ptCount val="16"/>
                <c:pt idx="0">
                  <c:v>60598.549612703981</c:v>
                </c:pt>
                <c:pt idx="1">
                  <c:v>61281.689816000231</c:v>
                </c:pt>
                <c:pt idx="2">
                  <c:v>60273.875795326523</c:v>
                </c:pt>
                <c:pt idx="3">
                  <c:v>61373.847522185286</c:v>
                </c:pt>
                <c:pt idx="4">
                  <c:v>63331.987155015151</c:v>
                </c:pt>
                <c:pt idx="5">
                  <c:v>64166.707761037462</c:v>
                </c:pt>
                <c:pt idx="6">
                  <c:v>65355.600649885215</c:v>
                </c:pt>
                <c:pt idx="7">
                  <c:v>63974.241092655713</c:v>
                </c:pt>
                <c:pt idx="8">
                  <c:v>65567.292695235519</c:v>
                </c:pt>
                <c:pt idx="9">
                  <c:v>66518.768158991763</c:v>
                </c:pt>
                <c:pt idx="10">
                  <c:v>67425.21528930674</c:v>
                </c:pt>
                <c:pt idx="11">
                  <c:v>66221.516894476226</c:v>
                </c:pt>
                <c:pt idx="12">
                  <c:v>68161.423097424209</c:v>
                </c:pt>
                <c:pt idx="13">
                  <c:v>69235.075804471882</c:v>
                </c:pt>
                <c:pt idx="14">
                  <c:v>69651.7466130885</c:v>
                </c:pt>
                <c:pt idx="15">
                  <c:v>71934.462042195562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8B-42F5-B468-59091B8F1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7493920"/>
        <c:axId val="1177494336"/>
      </c:lineChart>
      <c:catAx>
        <c:axId val="1177493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494336"/>
        <c:crosses val="autoZero"/>
        <c:auto val="1"/>
        <c:lblAlgn val="ctr"/>
        <c:lblOffset val="100"/>
        <c:noMultiLvlLbl val="0"/>
      </c:catAx>
      <c:valAx>
        <c:axId val="11774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493920"/>
        <c:crosses val="autoZero"/>
        <c:crossBetween val="between"/>
      </c:valAx>
      <c:valAx>
        <c:axId val="12142308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231264"/>
        <c:crosses val="max"/>
        <c:crossBetween val="between"/>
      </c:valAx>
      <c:catAx>
        <c:axId val="1214231264"/>
        <c:scaling>
          <c:orientation val="minMax"/>
        </c:scaling>
        <c:delete val="1"/>
        <c:axPos val="b"/>
        <c:majorTickMark val="out"/>
        <c:minorTickMark val="none"/>
        <c:tickLblPos val="nextTo"/>
        <c:crossAx val="1214230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Sheet5!$D$48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Sheet5!$D$49:$D$64</c:f>
              <c:numCache>
                <c:formatCode>General</c:formatCode>
                <c:ptCount val="16"/>
                <c:pt idx="0">
                  <c:v>305.31044145664055</c:v>
                </c:pt>
                <c:pt idx="1">
                  <c:v>-219.27750658924924</c:v>
                </c:pt>
                <c:pt idx="2">
                  <c:v>85.874773553099658</c:v>
                </c:pt>
                <c:pt idx="3">
                  <c:v>-322.7756713169656</c:v>
                </c:pt>
                <c:pt idx="4">
                  <c:v>-465.46626101261791</c:v>
                </c:pt>
                <c:pt idx="5">
                  <c:v>-572.23932843012881</c:v>
                </c:pt>
                <c:pt idx="6">
                  <c:v>168.83967869618937</c:v>
                </c:pt>
                <c:pt idx="7">
                  <c:v>218.95122202777566</c:v>
                </c:pt>
                <c:pt idx="8">
                  <c:v>194.27720171248075</c:v>
                </c:pt>
                <c:pt idx="9">
                  <c:v>965.88276144856354</c:v>
                </c:pt>
                <c:pt idx="10">
                  <c:v>393.49894621415297</c:v>
                </c:pt>
                <c:pt idx="11">
                  <c:v>-71.841797719738679</c:v>
                </c:pt>
                <c:pt idx="12">
                  <c:v>-340.7116443564737</c:v>
                </c:pt>
                <c:pt idx="13">
                  <c:v>22.283502338512335</c:v>
                </c:pt>
                <c:pt idx="14">
                  <c:v>118.84671456579235</c:v>
                </c:pt>
                <c:pt idx="15">
                  <c:v>-481.45303258791682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D-451E-9E1F-5061A448A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7677248"/>
        <c:axId val="937661440"/>
      </c:barChart>
      <c:lineChart>
        <c:grouping val="standard"/>
        <c:varyColors val="0"/>
        <c:ser>
          <c:idx val="0"/>
          <c:order val="0"/>
          <c:tx>
            <c:strRef>
              <c:f>Sheet5!$B$48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Sheet5!$B$49:$B$64</c:f>
              <c:numCache>
                <c:formatCode>#,##0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BD-451E-9E1F-5061A448A3A4}"/>
            </c:ext>
          </c:extLst>
        </c:ser>
        <c:ser>
          <c:idx val="1"/>
          <c:order val="1"/>
          <c:tx>
            <c:strRef>
              <c:f>Sheet5!$C$48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Sheet5!$C$49:$C$64</c:f>
              <c:numCache>
                <c:formatCode>General</c:formatCode>
                <c:ptCount val="16"/>
                <c:pt idx="0">
                  <c:v>60017.689558543359</c:v>
                </c:pt>
                <c:pt idx="1">
                  <c:v>61341.277506589249</c:v>
                </c:pt>
                <c:pt idx="2">
                  <c:v>60085.1252264469</c:v>
                </c:pt>
                <c:pt idx="3">
                  <c:v>61509.775671316966</c:v>
                </c:pt>
                <c:pt idx="4">
                  <c:v>63686.466261012618</c:v>
                </c:pt>
                <c:pt idx="5">
                  <c:v>64211.239328430129</c:v>
                </c:pt>
                <c:pt idx="6">
                  <c:v>64820.160321303811</c:v>
                </c:pt>
                <c:pt idx="7">
                  <c:v>63542.048777972224</c:v>
                </c:pt>
                <c:pt idx="8">
                  <c:v>65824.722798287519</c:v>
                </c:pt>
                <c:pt idx="9">
                  <c:v>66891.117238551436</c:v>
                </c:pt>
                <c:pt idx="10">
                  <c:v>67775.501053785847</c:v>
                </c:pt>
                <c:pt idx="11">
                  <c:v>66584.841797719739</c:v>
                </c:pt>
                <c:pt idx="12">
                  <c:v>68995.711644356474</c:v>
                </c:pt>
                <c:pt idx="13">
                  <c:v>69541.716497661488</c:v>
                </c:pt>
                <c:pt idx="14">
                  <c:v>69212.153285434208</c:v>
                </c:pt>
                <c:pt idx="15">
                  <c:v>71032.453032587917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BD-451E-9E1F-5061A448A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9117136"/>
        <c:axId val="1219107984"/>
      </c:lineChart>
      <c:catAx>
        <c:axId val="1219117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107984"/>
        <c:crosses val="autoZero"/>
        <c:auto val="1"/>
        <c:lblAlgn val="ctr"/>
        <c:lblOffset val="100"/>
        <c:noMultiLvlLbl val="0"/>
      </c:catAx>
      <c:valAx>
        <c:axId val="121910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117136"/>
        <c:crosses val="autoZero"/>
        <c:crossBetween val="between"/>
      </c:valAx>
      <c:valAx>
        <c:axId val="9376614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677248"/>
        <c:crosses val="max"/>
        <c:crossBetween val="between"/>
      </c:valAx>
      <c:catAx>
        <c:axId val="937677248"/>
        <c:scaling>
          <c:orientation val="minMax"/>
        </c:scaling>
        <c:delete val="1"/>
        <c:axPos val="b"/>
        <c:majorTickMark val="out"/>
        <c:minorTickMark val="none"/>
        <c:tickLblPos val="nextTo"/>
        <c:crossAx val="937661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Sheet5!$K$95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Sheet5!$K$96:$K$111</c:f>
              <c:numCache>
                <c:formatCode>General</c:formatCode>
                <c:ptCount val="16"/>
                <c:pt idx="0">
                  <c:v>237.38527034009167</c:v>
                </c:pt>
                <c:pt idx="1">
                  <c:v>-534.78481495130109</c:v>
                </c:pt>
                <c:pt idx="2">
                  <c:v>6.3501515387833933</c:v>
                </c:pt>
                <c:pt idx="3">
                  <c:v>8.2013372410729062</c:v>
                </c:pt>
                <c:pt idx="4">
                  <c:v>-385.58605244529463</c:v>
                </c:pt>
                <c:pt idx="5">
                  <c:v>-639.21487578701635</c:v>
                </c:pt>
                <c:pt idx="6">
                  <c:v>-139.80591722009558</c:v>
                </c:pt>
                <c:pt idx="7">
                  <c:v>82.677421212545596</c:v>
                </c:pt>
                <c:pt idx="8">
                  <c:v>716.96537319208437</c:v>
                </c:pt>
                <c:pt idx="9">
                  <c:v>1222.5442739588325</c:v>
                </c:pt>
                <c:pt idx="10">
                  <c:v>329.46022442018148</c:v>
                </c:pt>
                <c:pt idx="11">
                  <c:v>-215.01807846166776</c:v>
                </c:pt>
                <c:pt idx="12">
                  <c:v>-7.9747593077918282</c:v>
                </c:pt>
                <c:pt idx="13">
                  <c:v>79.720902935208869</c:v>
                </c:pt>
                <c:pt idx="14">
                  <c:v>-104.74749165524554</c:v>
                </c:pt>
                <c:pt idx="15">
                  <c:v>-656.17296501040983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7-4C9E-B9B8-BDE6AB3DA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5817888"/>
        <c:axId val="1295818720"/>
      </c:barChart>
      <c:lineChart>
        <c:grouping val="standard"/>
        <c:varyColors val="0"/>
        <c:ser>
          <c:idx val="0"/>
          <c:order val="0"/>
          <c:tx>
            <c:strRef>
              <c:f>Sheet5!$I$95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Sheet5!$I$96:$I$111</c:f>
              <c:numCache>
                <c:formatCode>#,##0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F7-4C9E-B9B8-BDE6AB3DA4E7}"/>
            </c:ext>
          </c:extLst>
        </c:ser>
        <c:ser>
          <c:idx val="1"/>
          <c:order val="1"/>
          <c:tx>
            <c:strRef>
              <c:f>Sheet5!$J$95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Sheet5!$J$96:$J$111</c:f>
              <c:numCache>
                <c:formatCode>General</c:formatCode>
                <c:ptCount val="16"/>
                <c:pt idx="0">
                  <c:v>60085.614729659908</c:v>
                </c:pt>
                <c:pt idx="1">
                  <c:v>61656.784814951301</c:v>
                </c:pt>
                <c:pt idx="2">
                  <c:v>60164.649848461217</c:v>
                </c:pt>
                <c:pt idx="3">
                  <c:v>61178.798662758927</c:v>
                </c:pt>
                <c:pt idx="4">
                  <c:v>63606.586052445295</c:v>
                </c:pt>
                <c:pt idx="5">
                  <c:v>64278.214875787016</c:v>
                </c:pt>
                <c:pt idx="6">
                  <c:v>65128.805917220096</c:v>
                </c:pt>
                <c:pt idx="7">
                  <c:v>63678.322578787454</c:v>
                </c:pt>
                <c:pt idx="8">
                  <c:v>65302.034626807916</c:v>
                </c:pt>
                <c:pt idx="9">
                  <c:v>66634.455726041168</c:v>
                </c:pt>
                <c:pt idx="10">
                  <c:v>67839.539775579819</c:v>
                </c:pt>
                <c:pt idx="11">
                  <c:v>66728.018078461668</c:v>
                </c:pt>
                <c:pt idx="12">
                  <c:v>68662.974759307792</c:v>
                </c:pt>
                <c:pt idx="13">
                  <c:v>69484.279097064791</c:v>
                </c:pt>
                <c:pt idx="14">
                  <c:v>69435.747491655246</c:v>
                </c:pt>
                <c:pt idx="15">
                  <c:v>71207.17296501041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F7-4C9E-B9B8-BDE6AB3DA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248320"/>
        <c:axId val="1179225024"/>
      </c:lineChart>
      <c:catAx>
        <c:axId val="1179248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225024"/>
        <c:crosses val="autoZero"/>
        <c:auto val="1"/>
        <c:lblAlgn val="ctr"/>
        <c:lblOffset val="100"/>
        <c:noMultiLvlLbl val="0"/>
      </c:catAx>
      <c:valAx>
        <c:axId val="117922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248320"/>
        <c:crosses val="autoZero"/>
        <c:crossBetween val="between"/>
      </c:valAx>
      <c:valAx>
        <c:axId val="12958187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817888"/>
        <c:crosses val="max"/>
        <c:crossBetween val="between"/>
      </c:valAx>
      <c:catAx>
        <c:axId val="1295817888"/>
        <c:scaling>
          <c:orientation val="minMax"/>
        </c:scaling>
        <c:delete val="1"/>
        <c:axPos val="b"/>
        <c:majorTickMark val="out"/>
        <c:minorTickMark val="none"/>
        <c:tickLblPos val="nextTo"/>
        <c:crossAx val="1295818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Sheet5!$J$142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Sheet5!$J$143:$J$158</c:f>
              <c:numCache>
                <c:formatCode>General</c:formatCode>
                <c:ptCount val="16"/>
                <c:pt idx="0">
                  <c:v>193.16251936147455</c:v>
                </c:pt>
                <c:pt idx="1">
                  <c:v>-303.80093842860515</c:v>
                </c:pt>
                <c:pt idx="2">
                  <c:v>56.99479404612066</c:v>
                </c:pt>
                <c:pt idx="3">
                  <c:v>-200.13376684048126</c:v>
                </c:pt>
                <c:pt idx="4">
                  <c:v>-380.61104361834441</c:v>
                </c:pt>
                <c:pt idx="5">
                  <c:v>-575.65716954808886</c:v>
                </c:pt>
                <c:pt idx="6">
                  <c:v>-3.4078801349824062</c:v>
                </c:pt>
                <c:pt idx="7">
                  <c:v>142.51692806940264</c:v>
                </c:pt>
                <c:pt idx="8">
                  <c:v>380.03830738818215</c:v>
                </c:pt>
                <c:pt idx="9">
                  <c:v>1086.1706524507317</c:v>
                </c:pt>
                <c:pt idx="10">
                  <c:v>417.45811235597648</c:v>
                </c:pt>
                <c:pt idx="11">
                  <c:v>-34.826860931818374</c:v>
                </c:pt>
                <c:pt idx="12">
                  <c:v>-127.48590801461251</c:v>
                </c:pt>
                <c:pt idx="13">
                  <c:v>69.726943821049645</c:v>
                </c:pt>
                <c:pt idx="14">
                  <c:v>-17.836392135359347</c:v>
                </c:pt>
                <c:pt idx="15">
                  <c:v>-702.30829784060188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1-4B17-84C8-42C95A2B5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5287120"/>
        <c:axId val="1175286288"/>
      </c:barChart>
      <c:lineChart>
        <c:grouping val="standard"/>
        <c:varyColors val="0"/>
        <c:ser>
          <c:idx val="0"/>
          <c:order val="0"/>
          <c:tx>
            <c:strRef>
              <c:f>Sheet5!$H$142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Sheet5!$H$143:$H$158</c:f>
              <c:numCache>
                <c:formatCode>#,##0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E1-4B17-84C8-42C95A2B576D}"/>
            </c:ext>
          </c:extLst>
        </c:ser>
        <c:ser>
          <c:idx val="1"/>
          <c:order val="1"/>
          <c:tx>
            <c:strRef>
              <c:f>Sheet5!$I$142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Sheet5!$I$143:$I$158</c:f>
              <c:numCache>
                <c:formatCode>General</c:formatCode>
                <c:ptCount val="16"/>
                <c:pt idx="0">
                  <c:v>60129.837480638525</c:v>
                </c:pt>
                <c:pt idx="1">
                  <c:v>61425.800938428605</c:v>
                </c:pt>
                <c:pt idx="2">
                  <c:v>60114.005205953879</c:v>
                </c:pt>
                <c:pt idx="3">
                  <c:v>61387.133766840481</c:v>
                </c:pt>
                <c:pt idx="4">
                  <c:v>63601.611043618344</c:v>
                </c:pt>
                <c:pt idx="5">
                  <c:v>64214.657169548089</c:v>
                </c:pt>
                <c:pt idx="6">
                  <c:v>64992.407880134982</c:v>
                </c:pt>
                <c:pt idx="7">
                  <c:v>63618.483071930597</c:v>
                </c:pt>
                <c:pt idx="8">
                  <c:v>65638.961692611818</c:v>
                </c:pt>
                <c:pt idx="9">
                  <c:v>66770.829347549268</c:v>
                </c:pt>
                <c:pt idx="10">
                  <c:v>67751.541887644024</c:v>
                </c:pt>
                <c:pt idx="11">
                  <c:v>66547.826860931818</c:v>
                </c:pt>
                <c:pt idx="12">
                  <c:v>68782.485908014613</c:v>
                </c:pt>
                <c:pt idx="13">
                  <c:v>69494.27305617895</c:v>
                </c:pt>
                <c:pt idx="14">
                  <c:v>69348.836392135359</c:v>
                </c:pt>
                <c:pt idx="15">
                  <c:v>71253.308297840602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E1-4B17-84C8-42C95A2B5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876592"/>
        <c:axId val="1121874928"/>
      </c:lineChart>
      <c:catAx>
        <c:axId val="112187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874928"/>
        <c:crosses val="autoZero"/>
        <c:auto val="1"/>
        <c:lblAlgn val="ctr"/>
        <c:lblOffset val="100"/>
        <c:noMultiLvlLbl val="0"/>
      </c:catAx>
      <c:valAx>
        <c:axId val="112187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876592"/>
        <c:crosses val="autoZero"/>
        <c:crossBetween val="between"/>
      </c:valAx>
      <c:valAx>
        <c:axId val="11752862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287120"/>
        <c:crosses val="max"/>
        <c:crossBetween val="between"/>
      </c:valAx>
      <c:catAx>
        <c:axId val="1175287120"/>
        <c:scaling>
          <c:orientation val="minMax"/>
        </c:scaling>
        <c:delete val="1"/>
        <c:axPos val="b"/>
        <c:majorTickMark val="out"/>
        <c:minorTickMark val="none"/>
        <c:tickLblPos val="nextTo"/>
        <c:crossAx val="11752862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Sheet5!$D$206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Sheet5!$D$207:$D$222</c:f>
              <c:numCache>
                <c:formatCode>General</c:formatCode>
                <c:ptCount val="16"/>
                <c:pt idx="0">
                  <c:v>-275.54961270398053</c:v>
                </c:pt>
                <c:pt idx="1">
                  <c:v>-159.68981600023108</c:v>
                </c:pt>
                <c:pt idx="2">
                  <c:v>-102.87579532652308</c:v>
                </c:pt>
                <c:pt idx="3">
                  <c:v>-186.84752218528592</c:v>
                </c:pt>
                <c:pt idx="4">
                  <c:v>-110.98715501515107</c:v>
                </c:pt>
                <c:pt idx="5">
                  <c:v>-527.70776103746175</c:v>
                </c:pt>
                <c:pt idx="6">
                  <c:v>-366.60064988521481</c:v>
                </c:pt>
                <c:pt idx="7">
                  <c:v>-213.24109265571315</c:v>
                </c:pt>
                <c:pt idx="8">
                  <c:v>451.7073047644808</c:v>
                </c:pt>
                <c:pt idx="9">
                  <c:v>1338.2318410082371</c:v>
                </c:pt>
                <c:pt idx="10">
                  <c:v>743.78471069326042</c:v>
                </c:pt>
                <c:pt idx="11">
                  <c:v>291.4831055237737</c:v>
                </c:pt>
                <c:pt idx="12">
                  <c:v>493.57690257579088</c:v>
                </c:pt>
                <c:pt idx="13">
                  <c:v>328.92419552811771</c:v>
                </c:pt>
                <c:pt idx="14">
                  <c:v>-320.74661308850045</c:v>
                </c:pt>
                <c:pt idx="15">
                  <c:v>-1383.4620421955624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B-49E6-BF51-0D4ACB87C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4231264"/>
        <c:axId val="1214230848"/>
      </c:barChart>
      <c:lineChart>
        <c:grouping val="standard"/>
        <c:varyColors val="0"/>
        <c:ser>
          <c:idx val="0"/>
          <c:order val="0"/>
          <c:tx>
            <c:strRef>
              <c:f>Sheet5!$B$206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Sheet5!$B$207:$B$222</c:f>
              <c:numCache>
                <c:formatCode>#,##0</c:formatCode>
                <c:ptCount val="16"/>
                <c:pt idx="0">
                  <c:v>60323</c:v>
                </c:pt>
                <c:pt idx="1">
                  <c:v>61122</c:v>
                </c:pt>
                <c:pt idx="2">
                  <c:v>60171</c:v>
                </c:pt>
                <c:pt idx="3">
                  <c:v>61187</c:v>
                </c:pt>
                <c:pt idx="4">
                  <c:v>63221</c:v>
                </c:pt>
                <c:pt idx="5">
                  <c:v>63639</c:v>
                </c:pt>
                <c:pt idx="6">
                  <c:v>64989</c:v>
                </c:pt>
                <c:pt idx="7">
                  <c:v>63761</c:v>
                </c:pt>
                <c:pt idx="8">
                  <c:v>66019</c:v>
                </c:pt>
                <c:pt idx="9">
                  <c:v>67857</c:v>
                </c:pt>
                <c:pt idx="10">
                  <c:v>68169</c:v>
                </c:pt>
                <c:pt idx="11">
                  <c:v>66513</c:v>
                </c:pt>
                <c:pt idx="12">
                  <c:v>68655</c:v>
                </c:pt>
                <c:pt idx="13">
                  <c:v>69564</c:v>
                </c:pt>
                <c:pt idx="14">
                  <c:v>69331</c:v>
                </c:pt>
                <c:pt idx="15">
                  <c:v>70551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8B-49E6-BF51-0D4ACB87CBF7}"/>
            </c:ext>
          </c:extLst>
        </c:ser>
        <c:ser>
          <c:idx val="1"/>
          <c:order val="1"/>
          <c:tx>
            <c:strRef>
              <c:f>Sheet5!$C$206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Sheet5!$C$207:$C$222</c:f>
              <c:numCache>
                <c:formatCode>General</c:formatCode>
                <c:ptCount val="16"/>
                <c:pt idx="0">
                  <c:v>60598.549612703981</c:v>
                </c:pt>
                <c:pt idx="1">
                  <c:v>61281.689816000231</c:v>
                </c:pt>
                <c:pt idx="2">
                  <c:v>60273.875795326523</c:v>
                </c:pt>
                <c:pt idx="3">
                  <c:v>61373.847522185286</c:v>
                </c:pt>
                <c:pt idx="4">
                  <c:v>63331.987155015151</c:v>
                </c:pt>
                <c:pt idx="5">
                  <c:v>64166.707761037462</c:v>
                </c:pt>
                <c:pt idx="6">
                  <c:v>65355.600649885215</c:v>
                </c:pt>
                <c:pt idx="7">
                  <c:v>63974.241092655713</c:v>
                </c:pt>
                <c:pt idx="8">
                  <c:v>65567.292695235519</c:v>
                </c:pt>
                <c:pt idx="9">
                  <c:v>66518.768158991763</c:v>
                </c:pt>
                <c:pt idx="10">
                  <c:v>67425.21528930674</c:v>
                </c:pt>
                <c:pt idx="11">
                  <c:v>66221.516894476226</c:v>
                </c:pt>
                <c:pt idx="12">
                  <c:v>68161.423097424209</c:v>
                </c:pt>
                <c:pt idx="13">
                  <c:v>69235.075804471882</c:v>
                </c:pt>
                <c:pt idx="14">
                  <c:v>69651.7466130885</c:v>
                </c:pt>
                <c:pt idx="15">
                  <c:v>71934.462042195562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8B-49E6-BF51-0D4ACB87C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7493920"/>
        <c:axId val="1177494336"/>
      </c:lineChart>
      <c:catAx>
        <c:axId val="1177493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494336"/>
        <c:crosses val="autoZero"/>
        <c:auto val="1"/>
        <c:lblAlgn val="ctr"/>
        <c:lblOffset val="100"/>
        <c:noMultiLvlLbl val="0"/>
      </c:catAx>
      <c:valAx>
        <c:axId val="11774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493920"/>
        <c:crosses val="autoZero"/>
        <c:crossBetween val="between"/>
      </c:valAx>
      <c:valAx>
        <c:axId val="12142308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231264"/>
        <c:crosses val="max"/>
        <c:crossBetween val="between"/>
      </c:valAx>
      <c:catAx>
        <c:axId val="1214231264"/>
        <c:scaling>
          <c:orientation val="minMax"/>
        </c:scaling>
        <c:delete val="1"/>
        <c:axPos val="b"/>
        <c:majorTickMark val="out"/>
        <c:minorTickMark val="none"/>
        <c:tickLblPos val="nextTo"/>
        <c:crossAx val="1214230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Sheet1!$D$53</c:f>
              <c:strCache>
                <c:ptCount val="1"/>
                <c:pt idx="0">
                  <c:v>Residuals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Sheet1!$D$54:$D$69</c:f>
              <c:numCache>
                <c:formatCode>General</c:formatCode>
                <c:ptCount val="16"/>
                <c:pt idx="0">
                  <c:v>277.86745692505792</c:v>
                </c:pt>
                <c:pt idx="1">
                  <c:v>-140.98126937699999</c:v>
                </c:pt>
                <c:pt idx="2">
                  <c:v>90.404888939039665</c:v>
                </c:pt>
                <c:pt idx="3">
                  <c:v>-390.10404941727757</c:v>
                </c:pt>
                <c:pt idx="4">
                  <c:v>-457.71343589654134</c:v>
                </c:pt>
                <c:pt idx="5">
                  <c:v>-553.2397216608806</c:v>
                </c:pt>
                <c:pt idx="6">
                  <c:v>201.13058724493749</c:v>
                </c:pt>
                <c:pt idx="7">
                  <c:v>218.59957029358338</c:v>
                </c:pt>
                <c:pt idx="8">
                  <c:v>91.141602313495241</c:v>
                </c:pt>
                <c:pt idx="9">
                  <c:v>933.5902478837088</c:v>
                </c:pt>
                <c:pt idx="10">
                  <c:v>434.62560883379774</c:v>
                </c:pt>
                <c:pt idx="11">
                  <c:v>-11.218669286114164</c:v>
                </c:pt>
                <c:pt idx="12">
                  <c:v>-356.3423713320808</c:v>
                </c:pt>
                <c:pt idx="13">
                  <c:v>31.719897105387645</c:v>
                </c:pt>
                <c:pt idx="14">
                  <c:v>138.38168289793248</c:v>
                </c:pt>
                <c:pt idx="15">
                  <c:v>-507.86202546703862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1-405E-9032-88CD4D53B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9240000"/>
        <c:axId val="1179242912"/>
      </c:barChart>
      <c:lineChart>
        <c:grouping val="standard"/>
        <c:varyColors val="0"/>
        <c:ser>
          <c:idx val="0"/>
          <c:order val="0"/>
          <c:tx>
            <c:strRef>
              <c:f>Sheet1!$B$53</c:f>
              <c:strCache>
                <c:ptCount val="1"/>
                <c:pt idx="0">
                  <c:v>Observation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Sheet1!$B$54:$B$69</c:f>
              <c:numCache>
                <c:formatCode>General</c:formatCode>
                <c:ptCount val="16"/>
                <c:pt idx="0">
                  <c:v>603.23</c:v>
                </c:pt>
                <c:pt idx="1">
                  <c:v>611.22</c:v>
                </c:pt>
                <c:pt idx="2">
                  <c:v>601.71</c:v>
                </c:pt>
                <c:pt idx="3">
                  <c:v>611.87</c:v>
                </c:pt>
                <c:pt idx="4">
                  <c:v>632.21</c:v>
                </c:pt>
                <c:pt idx="5">
                  <c:v>636.39</c:v>
                </c:pt>
                <c:pt idx="6">
                  <c:v>649.89</c:v>
                </c:pt>
                <c:pt idx="7">
                  <c:v>637.61</c:v>
                </c:pt>
                <c:pt idx="8">
                  <c:v>660.19</c:v>
                </c:pt>
                <c:pt idx="9">
                  <c:v>678.57</c:v>
                </c:pt>
                <c:pt idx="10">
                  <c:v>681.69</c:v>
                </c:pt>
                <c:pt idx="11">
                  <c:v>665.13</c:v>
                </c:pt>
                <c:pt idx="12">
                  <c:v>686.55</c:v>
                </c:pt>
                <c:pt idx="13">
                  <c:v>695.64</c:v>
                </c:pt>
                <c:pt idx="14">
                  <c:v>693.31</c:v>
                </c:pt>
                <c:pt idx="15">
                  <c:v>705.51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71-405E-9032-88CD4D53BF51}"/>
            </c:ext>
          </c:extLst>
        </c:ser>
        <c:ser>
          <c:idx val="1"/>
          <c:order val="1"/>
          <c:tx>
            <c:strRef>
              <c:f>Sheet1!$C$53</c:f>
              <c:strCache>
                <c:ptCount val="1"/>
                <c:pt idx="0">
                  <c:v>Predicted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Sheet1!$C$54:$C$69</c:f>
              <c:numCache>
                <c:formatCode>General</c:formatCode>
                <c:ptCount val="16"/>
                <c:pt idx="0">
                  <c:v>600.45132543074942</c:v>
                </c:pt>
                <c:pt idx="1">
                  <c:v>612.62981269376996</c:v>
                </c:pt>
                <c:pt idx="2">
                  <c:v>600.80595111060961</c:v>
                </c:pt>
                <c:pt idx="3">
                  <c:v>615.77104049417278</c:v>
                </c:pt>
                <c:pt idx="4">
                  <c:v>636.78713435896543</c:v>
                </c:pt>
                <c:pt idx="5">
                  <c:v>641.92239721660883</c:v>
                </c:pt>
                <c:pt idx="6">
                  <c:v>647.8786941275506</c:v>
                </c:pt>
                <c:pt idx="7">
                  <c:v>635.42400429706413</c:v>
                </c:pt>
                <c:pt idx="8">
                  <c:v>659.27858397686509</c:v>
                </c:pt>
                <c:pt idx="9">
                  <c:v>669.23409752116288</c:v>
                </c:pt>
                <c:pt idx="10">
                  <c:v>677.34374391166205</c:v>
                </c:pt>
                <c:pt idx="11">
                  <c:v>665.2421866928612</c:v>
                </c:pt>
                <c:pt idx="12">
                  <c:v>690.1134237133208</c:v>
                </c:pt>
                <c:pt idx="13">
                  <c:v>695.32280102894617</c:v>
                </c:pt>
                <c:pt idx="14">
                  <c:v>691.92618317102063</c:v>
                </c:pt>
                <c:pt idx="15">
                  <c:v>710.58862025467033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71-405E-9032-88CD4D53B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237088"/>
        <c:axId val="1179222528"/>
      </c:lineChart>
      <c:catAx>
        <c:axId val="1179237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222528"/>
        <c:crosses val="autoZero"/>
        <c:auto val="1"/>
        <c:lblAlgn val="ctr"/>
        <c:lblOffset val="100"/>
        <c:noMultiLvlLbl val="0"/>
      </c:catAx>
      <c:valAx>
        <c:axId val="117922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237088"/>
        <c:crosses val="autoZero"/>
        <c:crossBetween val="between"/>
      </c:valAx>
      <c:valAx>
        <c:axId val="11792429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240000"/>
        <c:crosses val="max"/>
        <c:crossBetween val="between"/>
      </c:valAx>
      <c:catAx>
        <c:axId val="1179240000"/>
        <c:scaling>
          <c:orientation val="minMax"/>
        </c:scaling>
        <c:delete val="1"/>
        <c:axPos val="b"/>
        <c:majorTickMark val="out"/>
        <c:minorTickMark val="none"/>
        <c:tickLblPos val="nextTo"/>
        <c:crossAx val="1179242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Sheet2!$N$31:$N$46</c:f>
              <c:numCache>
                <c:formatCode>General</c:formatCode>
                <c:ptCount val="16"/>
                <c:pt idx="0">
                  <c:v>2.7786745692505792</c:v>
                </c:pt>
                <c:pt idx="1">
                  <c:v>-1.40981269377</c:v>
                </c:pt>
                <c:pt idx="2">
                  <c:v>0.90404888939039663</c:v>
                </c:pt>
                <c:pt idx="3">
                  <c:v>-3.9010404941727757</c:v>
                </c:pt>
                <c:pt idx="4">
                  <c:v>-4.577134358965413</c:v>
                </c:pt>
                <c:pt idx="5">
                  <c:v>-5.532397216608806</c:v>
                </c:pt>
                <c:pt idx="6">
                  <c:v>2.0113058724493751</c:v>
                </c:pt>
                <c:pt idx="7">
                  <c:v>2.1859957029358337</c:v>
                </c:pt>
                <c:pt idx="8">
                  <c:v>0.9114160231349524</c:v>
                </c:pt>
                <c:pt idx="9">
                  <c:v>9.3359024788370881</c:v>
                </c:pt>
                <c:pt idx="10">
                  <c:v>4.3462560883379773</c:v>
                </c:pt>
                <c:pt idx="11">
                  <c:v>-0.11218669286114163</c:v>
                </c:pt>
                <c:pt idx="12">
                  <c:v>-3.563423713320808</c:v>
                </c:pt>
                <c:pt idx="13">
                  <c:v>0.31719897105387646</c:v>
                </c:pt>
                <c:pt idx="14">
                  <c:v>1.3838168289793247</c:v>
                </c:pt>
                <c:pt idx="15">
                  <c:v>-5.078620254670386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FF-45EB-89A4-9C6FAAFB0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80978527"/>
        <c:axId val="1780973119"/>
      </c:bar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Sheet2!$L$31:$L$46</c:f>
              <c:numCache>
                <c:formatCode>#,##0</c:formatCode>
                <c:ptCount val="16"/>
                <c:pt idx="0">
                  <c:v>603.23</c:v>
                </c:pt>
                <c:pt idx="1">
                  <c:v>611.22</c:v>
                </c:pt>
                <c:pt idx="2">
                  <c:v>601.71</c:v>
                </c:pt>
                <c:pt idx="3">
                  <c:v>611.87</c:v>
                </c:pt>
                <c:pt idx="4">
                  <c:v>632.21</c:v>
                </c:pt>
                <c:pt idx="5">
                  <c:v>636.39</c:v>
                </c:pt>
                <c:pt idx="6">
                  <c:v>649.89</c:v>
                </c:pt>
                <c:pt idx="7">
                  <c:v>637.61</c:v>
                </c:pt>
                <c:pt idx="8">
                  <c:v>660.19</c:v>
                </c:pt>
                <c:pt idx="9">
                  <c:v>678.57</c:v>
                </c:pt>
                <c:pt idx="10">
                  <c:v>681.69</c:v>
                </c:pt>
                <c:pt idx="11">
                  <c:v>665.13</c:v>
                </c:pt>
                <c:pt idx="12">
                  <c:v>686.55</c:v>
                </c:pt>
                <c:pt idx="13">
                  <c:v>695.64</c:v>
                </c:pt>
                <c:pt idx="14">
                  <c:v>693.31</c:v>
                </c:pt>
                <c:pt idx="15">
                  <c:v>705.51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FF-45EB-89A4-9C6FAAFB068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Sheet2!$M$31:$M$46</c:f>
              <c:numCache>
                <c:formatCode>General</c:formatCode>
                <c:ptCount val="16"/>
                <c:pt idx="0">
                  <c:v>600.45132543074942</c:v>
                </c:pt>
                <c:pt idx="1">
                  <c:v>612.62981269376996</c:v>
                </c:pt>
                <c:pt idx="2">
                  <c:v>600.80595111060961</c:v>
                </c:pt>
                <c:pt idx="3">
                  <c:v>615.77104049417278</c:v>
                </c:pt>
                <c:pt idx="4">
                  <c:v>636.78713435896543</c:v>
                </c:pt>
                <c:pt idx="5">
                  <c:v>641.92239721660883</c:v>
                </c:pt>
                <c:pt idx="6">
                  <c:v>647.8786941275506</c:v>
                </c:pt>
                <c:pt idx="7">
                  <c:v>635.42400429706413</c:v>
                </c:pt>
                <c:pt idx="8">
                  <c:v>659.27858397686509</c:v>
                </c:pt>
                <c:pt idx="9">
                  <c:v>669.23409752116288</c:v>
                </c:pt>
                <c:pt idx="10">
                  <c:v>677.34374391166205</c:v>
                </c:pt>
                <c:pt idx="11">
                  <c:v>665.2421866928612</c:v>
                </c:pt>
                <c:pt idx="12">
                  <c:v>690.1134237133208</c:v>
                </c:pt>
                <c:pt idx="13">
                  <c:v>695.32280102894617</c:v>
                </c:pt>
                <c:pt idx="14">
                  <c:v>691.92618317102063</c:v>
                </c:pt>
                <c:pt idx="15">
                  <c:v>710.58862025467033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FF-45EB-89A4-9C6FAAFB0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0896463"/>
        <c:axId val="1770899375"/>
      </c:lineChart>
      <c:catAx>
        <c:axId val="1770896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899375"/>
        <c:auto val="1"/>
        <c:lblAlgn val="ctr"/>
        <c:lblOffset val="100"/>
        <c:noMultiLvlLbl val="0"/>
      </c:catAx>
      <c:valAx>
        <c:axId val="177089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896463"/>
        <c:crossBetween val="between"/>
      </c:valAx>
      <c:valAx>
        <c:axId val="17809731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978527"/>
        <c:crosses val="max"/>
        <c:crossBetween val="between"/>
      </c:valAx>
      <c:catAx>
        <c:axId val="1780978527"/>
        <c:scaling>
          <c:orientation val="minMax"/>
        </c:scaling>
        <c:delete val="1"/>
        <c:axPos val="b"/>
        <c:majorTickMark val="out"/>
        <c:minorTickMark val="none"/>
        <c:tickLblPos val="nextTo"/>
        <c:crossAx val="178097311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85725</xdr:colOff>
      <xdr:row>49</xdr:row>
      <xdr:rowOff>138112</xdr:rowOff>
    </xdr:from>
    <xdr:to>
      <xdr:col>18</xdr:col>
      <xdr:colOff>390525</xdr:colOff>
      <xdr:row>64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03CBE4-7981-41B8-AC74-0B6AA815A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523875</xdr:colOff>
      <xdr:row>65</xdr:row>
      <xdr:rowOff>52387</xdr:rowOff>
    </xdr:from>
    <xdr:to>
      <xdr:col>18</xdr:col>
      <xdr:colOff>219075</xdr:colOff>
      <xdr:row>79</xdr:row>
      <xdr:rowOff>119062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B02BA6-5E25-42FA-86F8-011FE3ED3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39</xdr:row>
      <xdr:rowOff>128587</xdr:rowOff>
    </xdr:from>
    <xdr:to>
      <xdr:col>18</xdr:col>
      <xdr:colOff>228600</xdr:colOff>
      <xdr:row>53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8C5F20-F8FF-4FEA-AB46-D10AC373F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39</xdr:row>
      <xdr:rowOff>128587</xdr:rowOff>
    </xdr:from>
    <xdr:to>
      <xdr:col>18</xdr:col>
      <xdr:colOff>228600</xdr:colOff>
      <xdr:row>53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96B587-F04E-47E4-9E3F-447419875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533400</xdr:colOff>
      <xdr:row>97</xdr:row>
      <xdr:rowOff>147637</xdr:rowOff>
    </xdr:from>
    <xdr:to>
      <xdr:col>18</xdr:col>
      <xdr:colOff>228600</xdr:colOff>
      <xdr:row>112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D7A207-56FD-4C89-A9C4-BD2B2CE0D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76200</xdr:colOff>
      <xdr:row>140</xdr:row>
      <xdr:rowOff>109537</xdr:rowOff>
    </xdr:from>
    <xdr:to>
      <xdr:col>19</xdr:col>
      <xdr:colOff>381000</xdr:colOff>
      <xdr:row>154</xdr:row>
      <xdr:rowOff>176212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EA893B-BF06-4E1D-A753-58EC2DB84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533400</xdr:colOff>
      <xdr:row>198</xdr:row>
      <xdr:rowOff>128587</xdr:rowOff>
    </xdr:from>
    <xdr:to>
      <xdr:col>18</xdr:col>
      <xdr:colOff>228600</xdr:colOff>
      <xdr:row>212</xdr:row>
      <xdr:rowOff>185737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F043D39-6ED6-4B2F-B29B-A2E4CE53D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133350</xdr:rowOff>
    </xdr:from>
    <xdr:to>
      <xdr:col>5</xdr:col>
      <xdr:colOff>476250</xdr:colOff>
      <xdr:row>28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FB0BE9-31A7-475F-9305-9EE2B9917E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285750</xdr:colOff>
      <xdr:row>16</xdr:row>
      <xdr:rowOff>171450</xdr:rowOff>
    </xdr:from>
    <xdr:to>
      <xdr:col>12</xdr:col>
      <xdr:colOff>219075</xdr:colOff>
      <xdr:row>29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D111EA-6E40-4169-B17F-0E0D81A49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590550</xdr:colOff>
      <xdr:row>16</xdr:row>
      <xdr:rowOff>28575</xdr:rowOff>
    </xdr:from>
    <xdr:to>
      <xdr:col>19</xdr:col>
      <xdr:colOff>228600</xdr:colOff>
      <xdr:row>29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246887-6685-44F7-A895-6BF8E2621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</xdr:colOff>
      <xdr:row>44</xdr:row>
      <xdr:rowOff>0</xdr:rowOff>
    </xdr:from>
    <xdr:to>
      <xdr:col>5</xdr:col>
      <xdr:colOff>190501</xdr:colOff>
      <xdr:row>56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3EFAFC-ABD3-47D9-825D-007B70250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44</xdr:row>
      <xdr:rowOff>0</xdr:rowOff>
    </xdr:from>
    <xdr:to>
      <xdr:col>12</xdr:col>
      <xdr:colOff>95250</xdr:colOff>
      <xdr:row>55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CF06FF-DE9C-42E8-B137-D900B082F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590550</xdr:colOff>
      <xdr:row>33</xdr:row>
      <xdr:rowOff>61912</xdr:rowOff>
    </xdr:from>
    <xdr:to>
      <xdr:col>20</xdr:col>
      <xdr:colOff>285750</xdr:colOff>
      <xdr:row>47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5333EC-FF1A-43FA-874C-E60D12F54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1EF7-27BB-4DE0-BBB2-14A06C575209}">
  <dimension ref="A1:R69"/>
  <sheetViews>
    <sheetView workbookViewId="0">
      <selection activeCell="H23" sqref="H23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6.5703125" bestFit="1" customWidth="1"/>
    <col min="4" max="4" width="14.5703125" bestFit="1" customWidth="1"/>
    <col min="5" max="5" width="8.140625" bestFit="1" customWidth="1"/>
    <col min="6" max="6" width="5.5703125" bestFit="1" customWidth="1"/>
    <col min="7" max="7" width="10.7109375" customWidth="1"/>
    <col min="8" max="8" width="8.140625" bestFit="1" customWidth="1"/>
    <col min="9" max="9" width="9" customWidth="1"/>
  </cols>
  <sheetData>
    <row r="1" spans="1:18" x14ac:dyDescent="0.25">
      <c r="A1" s="1">
        <v>44558</v>
      </c>
    </row>
    <row r="2" spans="1:18" x14ac:dyDescent="0.25">
      <c r="A2" s="1" t="s">
        <v>40</v>
      </c>
      <c r="B2" t="s">
        <v>41</v>
      </c>
    </row>
    <row r="3" spans="1:18" x14ac:dyDescent="0.25">
      <c r="A3" s="1"/>
    </row>
    <row r="4" spans="1:18" x14ac:dyDescent="0.25">
      <c r="A4" s="12" t="s">
        <v>42</v>
      </c>
    </row>
    <row r="5" spans="1:18" x14ac:dyDescent="0.25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M5" s="11" t="s">
        <v>39</v>
      </c>
    </row>
    <row r="6" spans="1:18" x14ac:dyDescent="0.25">
      <c r="B6" s="2">
        <v>1947</v>
      </c>
      <c r="C6" s="3">
        <v>60323</v>
      </c>
      <c r="D6" s="2">
        <v>830</v>
      </c>
      <c r="E6" s="3">
        <v>234289</v>
      </c>
      <c r="F6" s="3">
        <v>2356</v>
      </c>
      <c r="G6" s="3">
        <v>1590</v>
      </c>
      <c r="H6" s="3">
        <v>107608</v>
      </c>
      <c r="I6" s="2">
        <v>1</v>
      </c>
    </row>
    <row r="7" spans="1:18" x14ac:dyDescent="0.25">
      <c r="B7" s="2">
        <v>1948</v>
      </c>
      <c r="C7" s="3">
        <v>61122</v>
      </c>
      <c r="D7" s="2">
        <v>885</v>
      </c>
      <c r="E7" s="3">
        <v>259426</v>
      </c>
      <c r="F7" s="3">
        <v>2325</v>
      </c>
      <c r="G7" s="3">
        <v>1456</v>
      </c>
      <c r="H7" s="3">
        <v>108632</v>
      </c>
      <c r="I7" s="2">
        <v>2</v>
      </c>
      <c r="N7" s="9" t="s">
        <v>2</v>
      </c>
      <c r="O7" s="9" t="s">
        <v>3</v>
      </c>
      <c r="P7" t="s">
        <v>4</v>
      </c>
      <c r="Q7" t="s">
        <v>5</v>
      </c>
      <c r="R7" s="9" t="s">
        <v>6</v>
      </c>
    </row>
    <row r="8" spans="1:18" x14ac:dyDescent="0.25">
      <c r="B8" s="2">
        <v>1949</v>
      </c>
      <c r="C8" s="3">
        <v>60171</v>
      </c>
      <c r="D8" s="2">
        <v>882</v>
      </c>
      <c r="E8" s="3">
        <v>258054</v>
      </c>
      <c r="F8" s="3">
        <v>3682</v>
      </c>
      <c r="G8" s="3">
        <v>1616</v>
      </c>
      <c r="H8" s="3">
        <v>109773</v>
      </c>
      <c r="I8" s="2">
        <v>3</v>
      </c>
      <c r="M8" t="s">
        <v>2</v>
      </c>
      <c r="N8">
        <v>1</v>
      </c>
    </row>
    <row r="9" spans="1:18" x14ac:dyDescent="0.25">
      <c r="B9" s="2">
        <v>1950</v>
      </c>
      <c r="C9" s="3">
        <v>61187</v>
      </c>
      <c r="D9" s="2">
        <v>895</v>
      </c>
      <c r="E9" s="3">
        <v>284599</v>
      </c>
      <c r="F9" s="3">
        <v>3351</v>
      </c>
      <c r="G9" s="3">
        <v>1650</v>
      </c>
      <c r="H9" s="3">
        <v>110929</v>
      </c>
      <c r="I9" s="2">
        <v>4</v>
      </c>
      <c r="M9" t="s">
        <v>3</v>
      </c>
      <c r="N9">
        <v>0.99158917802478197</v>
      </c>
      <c r="O9">
        <v>1</v>
      </c>
    </row>
    <row r="10" spans="1:18" x14ac:dyDescent="0.25">
      <c r="B10" s="2">
        <v>1951</v>
      </c>
      <c r="C10" s="3">
        <v>63221</v>
      </c>
      <c r="D10" s="2">
        <v>962</v>
      </c>
      <c r="E10" s="3">
        <v>328975</v>
      </c>
      <c r="F10" s="3">
        <v>2099</v>
      </c>
      <c r="G10" s="3">
        <v>3099</v>
      </c>
      <c r="H10" s="3">
        <v>112075</v>
      </c>
      <c r="I10" s="2">
        <v>5</v>
      </c>
      <c r="M10" t="s">
        <v>4</v>
      </c>
      <c r="N10">
        <v>0.62063339255909644</v>
      </c>
      <c r="O10">
        <v>0.60426093988955787</v>
      </c>
      <c r="P10">
        <v>1</v>
      </c>
    </row>
    <row r="11" spans="1:18" x14ac:dyDescent="0.25">
      <c r="B11" s="2">
        <v>1952</v>
      </c>
      <c r="C11" s="3">
        <v>63639</v>
      </c>
      <c r="D11" s="2">
        <v>981</v>
      </c>
      <c r="E11" s="3">
        <v>346999</v>
      </c>
      <c r="F11" s="3">
        <v>1932</v>
      </c>
      <c r="G11" s="3">
        <v>3594</v>
      </c>
      <c r="H11" s="3">
        <v>113270</v>
      </c>
      <c r="I11" s="2">
        <v>6</v>
      </c>
      <c r="M11" t="s">
        <v>5</v>
      </c>
      <c r="N11">
        <v>0.46474418760067454</v>
      </c>
      <c r="O11">
        <v>0.44643679189262642</v>
      </c>
      <c r="P11">
        <v>-0.17742062950187831</v>
      </c>
      <c r="Q11">
        <v>1</v>
      </c>
    </row>
    <row r="12" spans="1:18" x14ac:dyDescent="0.25">
      <c r="B12" s="2">
        <v>1953</v>
      </c>
      <c r="C12" s="3">
        <v>64989</v>
      </c>
      <c r="D12" s="2">
        <v>990</v>
      </c>
      <c r="E12" s="3">
        <v>365385</v>
      </c>
      <c r="F12" s="3">
        <v>1870</v>
      </c>
      <c r="G12" s="3">
        <v>3547</v>
      </c>
      <c r="H12" s="3">
        <v>115094</v>
      </c>
      <c r="I12" s="2">
        <v>7</v>
      </c>
      <c r="M12" t="s">
        <v>6</v>
      </c>
      <c r="N12">
        <v>0.97916343297749786</v>
      </c>
      <c r="O12">
        <v>0.99109006945847766</v>
      </c>
      <c r="P12">
        <v>0.68655151636531198</v>
      </c>
      <c r="Q12">
        <v>0.36441626718903197</v>
      </c>
      <c r="R12">
        <v>1</v>
      </c>
    </row>
    <row r="13" spans="1:18" x14ac:dyDescent="0.25">
      <c r="B13" s="2">
        <v>1954</v>
      </c>
      <c r="C13" s="3">
        <v>63761</v>
      </c>
      <c r="D13" s="3">
        <v>1000</v>
      </c>
      <c r="E13" s="3">
        <v>363112</v>
      </c>
      <c r="F13" s="3">
        <v>3578</v>
      </c>
      <c r="G13" s="3">
        <v>3350</v>
      </c>
      <c r="H13" s="3">
        <v>116219</v>
      </c>
      <c r="I13" s="2">
        <v>8</v>
      </c>
    </row>
    <row r="14" spans="1:18" x14ac:dyDescent="0.25">
      <c r="B14" s="2">
        <v>1955</v>
      </c>
      <c r="C14" s="3">
        <v>66019</v>
      </c>
      <c r="D14" s="3">
        <v>1012</v>
      </c>
      <c r="E14" s="3">
        <v>397469</v>
      </c>
      <c r="F14" s="3">
        <v>2904</v>
      </c>
      <c r="G14" s="3">
        <v>3048</v>
      </c>
      <c r="H14" s="3">
        <v>117388</v>
      </c>
      <c r="I14" s="2">
        <v>9</v>
      </c>
    </row>
    <row r="15" spans="1:18" ht="15.75" thickBot="1" x14ac:dyDescent="0.3">
      <c r="B15" s="2">
        <v>1956</v>
      </c>
      <c r="C15" s="3">
        <v>67857</v>
      </c>
      <c r="D15" s="3">
        <v>1046</v>
      </c>
      <c r="E15" s="3">
        <v>419180</v>
      </c>
      <c r="F15" s="3">
        <v>2822</v>
      </c>
      <c r="G15" s="3">
        <v>2857</v>
      </c>
      <c r="H15" s="3">
        <v>118734</v>
      </c>
      <c r="I15" s="2">
        <v>10</v>
      </c>
    </row>
    <row r="16" spans="1:18" x14ac:dyDescent="0.25">
      <c r="B16" s="2">
        <v>1957</v>
      </c>
      <c r="C16" s="3">
        <v>68169</v>
      </c>
      <c r="D16" s="3">
        <v>1084</v>
      </c>
      <c r="E16" s="3">
        <v>442769</v>
      </c>
      <c r="F16" s="3">
        <v>2936</v>
      </c>
      <c r="G16" s="3">
        <v>2798</v>
      </c>
      <c r="H16" s="3">
        <v>120445</v>
      </c>
      <c r="I16" s="2">
        <v>11</v>
      </c>
      <c r="M16" s="13"/>
      <c r="N16" s="13" t="s">
        <v>2</v>
      </c>
      <c r="O16" s="13" t="s">
        <v>3</v>
      </c>
      <c r="P16" s="13" t="s">
        <v>4</v>
      </c>
      <c r="Q16" s="13" t="s">
        <v>5</v>
      </c>
      <c r="R16" s="13" t="s">
        <v>6</v>
      </c>
    </row>
    <row r="17" spans="1:18" x14ac:dyDescent="0.25">
      <c r="B17" s="2">
        <v>1958</v>
      </c>
      <c r="C17" s="3">
        <v>66513</v>
      </c>
      <c r="D17" s="3">
        <v>1108</v>
      </c>
      <c r="E17" s="3">
        <v>444546</v>
      </c>
      <c r="F17" s="3">
        <v>4681</v>
      </c>
      <c r="G17" s="3">
        <v>2637</v>
      </c>
      <c r="H17" s="3">
        <v>121950</v>
      </c>
      <c r="I17" s="2">
        <v>12</v>
      </c>
      <c r="M17" t="s">
        <v>2</v>
      </c>
      <c r="N17">
        <v>1</v>
      </c>
    </row>
    <row r="18" spans="1:18" x14ac:dyDescent="0.25">
      <c r="B18" s="2">
        <v>1959</v>
      </c>
      <c r="C18" s="3">
        <v>68655</v>
      </c>
      <c r="D18" s="3">
        <v>1126</v>
      </c>
      <c r="E18" s="3">
        <v>482704</v>
      </c>
      <c r="F18" s="3">
        <v>3813</v>
      </c>
      <c r="G18" s="3">
        <v>2552</v>
      </c>
      <c r="H18" s="3">
        <v>123366</v>
      </c>
      <c r="I18" s="2">
        <v>13</v>
      </c>
      <c r="M18" t="s">
        <v>3</v>
      </c>
      <c r="N18">
        <v>0.97071020646664663</v>
      </c>
      <c r="O18">
        <v>1</v>
      </c>
    </row>
    <row r="19" spans="1:18" x14ac:dyDescent="0.25">
      <c r="B19" s="2">
        <v>1960</v>
      </c>
      <c r="C19" s="3">
        <v>69564</v>
      </c>
      <c r="D19" s="3">
        <v>1142</v>
      </c>
      <c r="E19" s="3">
        <v>502601</v>
      </c>
      <c r="F19" s="3">
        <v>3931</v>
      </c>
      <c r="G19" s="3">
        <v>2514</v>
      </c>
      <c r="H19" s="3">
        <v>125368</v>
      </c>
      <c r="I19" s="2">
        <v>14</v>
      </c>
      <c r="M19" t="s">
        <v>4</v>
      </c>
      <c r="N19">
        <v>0.69578452822811321</v>
      </c>
      <c r="O19">
        <v>0.55907229775886946</v>
      </c>
      <c r="P19">
        <v>1</v>
      </c>
    </row>
    <row r="20" spans="1:18" x14ac:dyDescent="0.25">
      <c r="B20" s="2">
        <v>1961</v>
      </c>
      <c r="C20" s="3">
        <v>69331</v>
      </c>
      <c r="D20" s="3">
        <v>1157</v>
      </c>
      <c r="E20" s="3">
        <v>518173</v>
      </c>
      <c r="F20" s="3">
        <v>4806</v>
      </c>
      <c r="G20" s="3">
        <v>2572</v>
      </c>
      <c r="H20" s="3">
        <v>127852</v>
      </c>
      <c r="I20" s="2">
        <v>15</v>
      </c>
      <c r="M20" t="s">
        <v>5</v>
      </c>
      <c r="N20">
        <v>-0.86303715630878441</v>
      </c>
      <c r="O20">
        <v>-0.85263876575287856</v>
      </c>
      <c r="P20">
        <v>-0.66366372048978073</v>
      </c>
      <c r="Q20">
        <v>1</v>
      </c>
    </row>
    <row r="21" spans="1:18" ht="15.75" thickBot="1" x14ac:dyDescent="0.3">
      <c r="B21" s="2">
        <v>1962</v>
      </c>
      <c r="C21" s="3">
        <v>70551</v>
      </c>
      <c r="D21" s="3">
        <v>1169</v>
      </c>
      <c r="E21" s="3">
        <v>554894</v>
      </c>
      <c r="F21" s="3">
        <v>4007</v>
      </c>
      <c r="G21" s="3">
        <v>2827</v>
      </c>
      <c r="H21" s="3">
        <v>130081</v>
      </c>
      <c r="I21" s="2">
        <v>16</v>
      </c>
      <c r="M21" s="14" t="s">
        <v>6</v>
      </c>
      <c r="N21" s="14">
        <v>0.98827866899650119</v>
      </c>
      <c r="O21" s="14">
        <v>0.96014887718475195</v>
      </c>
      <c r="P21" s="14">
        <v>0.70363791582859558</v>
      </c>
      <c r="Q21" s="14">
        <v>-0.86477140346242554</v>
      </c>
      <c r="R21" s="14">
        <v>1</v>
      </c>
    </row>
    <row r="24" spans="1:18" x14ac:dyDescent="0.25">
      <c r="A24" s="10" t="s">
        <v>43</v>
      </c>
      <c r="Q24" s="4"/>
    </row>
    <row r="26" spans="1:18" x14ac:dyDescent="0.25">
      <c r="B26" t="s">
        <v>8</v>
      </c>
    </row>
    <row r="27" spans="1:18" ht="15.75" thickBot="1" x14ac:dyDescent="0.3"/>
    <row r="28" spans="1:18" x14ac:dyDescent="0.25">
      <c r="B28" s="8" t="s">
        <v>9</v>
      </c>
      <c r="C28" s="8"/>
    </row>
    <row r="29" spans="1:18" x14ac:dyDescent="0.25">
      <c r="B29" s="5" t="s">
        <v>10</v>
      </c>
      <c r="C29" s="5">
        <v>0.99366880637024702</v>
      </c>
    </row>
    <row r="30" spans="1:18" x14ac:dyDescent="0.25">
      <c r="B30" s="5" t="s">
        <v>11</v>
      </c>
      <c r="C30" s="5">
        <v>0.98737769675327136</v>
      </c>
    </row>
    <row r="31" spans="1:18" x14ac:dyDescent="0.25">
      <c r="B31" s="5" t="s">
        <v>12</v>
      </c>
      <c r="C31" s="5">
        <v>0.9810665451299071</v>
      </c>
    </row>
    <row r="32" spans="1:18" x14ac:dyDescent="0.25">
      <c r="B32" s="5" t="s">
        <v>13</v>
      </c>
      <c r="C32" s="5">
        <v>483.24295184650708</v>
      </c>
    </row>
    <row r="33" spans="2:10" ht="15.75" thickBot="1" x14ac:dyDescent="0.3">
      <c r="B33" s="6" t="s">
        <v>14</v>
      </c>
      <c r="C33" s="6">
        <v>16</v>
      </c>
    </row>
    <row r="35" spans="2:10" ht="15.75" thickBot="1" x14ac:dyDescent="0.3">
      <c r="B35" t="s">
        <v>15</v>
      </c>
    </row>
    <row r="36" spans="2:10" x14ac:dyDescent="0.25">
      <c r="B36" s="7"/>
      <c r="C36" s="7" t="s">
        <v>20</v>
      </c>
      <c r="D36" s="7" t="s">
        <v>21</v>
      </c>
      <c r="E36" s="7" t="s">
        <v>22</v>
      </c>
      <c r="F36" s="7" t="s">
        <v>23</v>
      </c>
      <c r="G36" s="7" t="s">
        <v>24</v>
      </c>
    </row>
    <row r="37" spans="2:10" x14ac:dyDescent="0.25">
      <c r="B37" s="5" t="s">
        <v>16</v>
      </c>
      <c r="C37" s="5">
        <v>5</v>
      </c>
      <c r="D37" s="5">
        <v>182673588.49490675</v>
      </c>
      <c r="E37" s="5">
        <v>36534717.698981352</v>
      </c>
      <c r="F37" s="5">
        <v>156.44968710590476</v>
      </c>
      <c r="G37" s="5">
        <v>3.6993072427882764E-9</v>
      </c>
    </row>
    <row r="38" spans="2:10" x14ac:dyDescent="0.25">
      <c r="B38" s="5" t="s">
        <v>17</v>
      </c>
      <c r="C38" s="5">
        <v>10</v>
      </c>
      <c r="D38" s="5">
        <v>2335237.5050932555</v>
      </c>
      <c r="E38" s="5">
        <v>233523.75050932556</v>
      </c>
      <c r="F38" s="5"/>
      <c r="G38" s="5"/>
    </row>
    <row r="39" spans="2:10" ht="15.75" thickBot="1" x14ac:dyDescent="0.3">
      <c r="B39" s="6" t="s">
        <v>18</v>
      </c>
      <c r="C39" s="6">
        <v>15</v>
      </c>
      <c r="D39" s="6">
        <v>185008826</v>
      </c>
      <c r="E39" s="6"/>
      <c r="F39" s="6"/>
      <c r="G39" s="6"/>
    </row>
    <row r="40" spans="2:10" ht="15.75" thickBot="1" x14ac:dyDescent="0.3"/>
    <row r="41" spans="2:10" x14ac:dyDescent="0.25">
      <c r="B41" s="7"/>
      <c r="C41" s="7" t="s">
        <v>25</v>
      </c>
      <c r="D41" s="7" t="s">
        <v>13</v>
      </c>
      <c r="E41" s="7" t="s">
        <v>26</v>
      </c>
      <c r="F41" s="7" t="s">
        <v>27</v>
      </c>
      <c r="G41" s="7" t="s">
        <v>28</v>
      </c>
      <c r="H41" s="7" t="s">
        <v>29</v>
      </c>
      <c r="I41" s="7" t="s">
        <v>30</v>
      </c>
      <c r="J41" s="7" t="s">
        <v>31</v>
      </c>
    </row>
    <row r="42" spans="2:10" x14ac:dyDescent="0.25">
      <c r="B42" s="5" t="s">
        <v>19</v>
      </c>
      <c r="C42" s="5">
        <v>92461.307824384217</v>
      </c>
      <c r="D42" s="5">
        <v>35169.247883731987</v>
      </c>
      <c r="E42" s="5">
        <v>2.6290385319031362</v>
      </c>
      <c r="F42" s="5">
        <v>2.5203708096065626E-2</v>
      </c>
      <c r="G42" s="5">
        <v>14099.340219504913</v>
      </c>
      <c r="H42" s="5">
        <v>170823.27542926354</v>
      </c>
      <c r="I42" s="5">
        <v>14099.340219504913</v>
      </c>
      <c r="J42" s="5">
        <v>170823.27542926354</v>
      </c>
    </row>
    <row r="43" spans="2:10" x14ac:dyDescent="0.25">
      <c r="B43" s="5" t="s">
        <v>2</v>
      </c>
      <c r="C43" s="5">
        <v>-4.8462828183799243</v>
      </c>
      <c r="D43" s="5">
        <v>13.224774625395867</v>
      </c>
      <c r="E43" s="5">
        <v>-0.36645485126631089</v>
      </c>
      <c r="F43" s="5">
        <v>0.72166021890955845</v>
      </c>
      <c r="G43" s="5">
        <v>-34.312916969986681</v>
      </c>
      <c r="H43" s="5">
        <v>24.620351333226836</v>
      </c>
      <c r="I43" s="5">
        <v>-34.312916969986681</v>
      </c>
      <c r="J43" s="5">
        <v>24.620351333226836</v>
      </c>
    </row>
    <row r="44" spans="2:10" x14ac:dyDescent="0.25">
      <c r="B44" s="5" t="s">
        <v>3</v>
      </c>
      <c r="C44" s="5">
        <v>7.2003849321590999E-2</v>
      </c>
      <c r="D44" s="5">
        <v>3.1733865494845893E-2</v>
      </c>
      <c r="E44" s="5">
        <v>2.2689908146640887</v>
      </c>
      <c r="F44" s="5">
        <v>4.6650515449720181E-2</v>
      </c>
      <c r="G44" s="5">
        <v>1.2963906888182192E-3</v>
      </c>
      <c r="H44" s="5">
        <v>0.14271130795436376</v>
      </c>
      <c r="I44" s="5">
        <v>1.2963906888182192E-3</v>
      </c>
      <c r="J44" s="5">
        <v>0.14271130795436376</v>
      </c>
    </row>
    <row r="45" spans="2:10" x14ac:dyDescent="0.25">
      <c r="B45" s="5" t="s">
        <v>4</v>
      </c>
      <c r="C45" s="5">
        <v>-0.40387105872030504</v>
      </c>
      <c r="D45" s="5">
        <v>0.43853543803053818</v>
      </c>
      <c r="E45" s="5">
        <v>-0.92095421189696591</v>
      </c>
      <c r="F45" s="5">
        <v>0.37875618215966356</v>
      </c>
      <c r="G45" s="5">
        <v>-1.3809889061689664</v>
      </c>
      <c r="H45" s="5">
        <v>0.57324678872835622</v>
      </c>
      <c r="I45" s="5">
        <v>-1.3809889061689664</v>
      </c>
      <c r="J45" s="5">
        <v>0.57324678872835622</v>
      </c>
    </row>
    <row r="46" spans="2:10" x14ac:dyDescent="0.25">
      <c r="B46" s="5" t="s">
        <v>5</v>
      </c>
      <c r="C46" s="5">
        <v>-0.56049558221542439</v>
      </c>
      <c r="D46" s="5">
        <v>0.2838127504328794</v>
      </c>
      <c r="E46" s="5">
        <v>-1.9748780890236268</v>
      </c>
      <c r="F46" s="5">
        <v>7.652156572902015E-2</v>
      </c>
      <c r="G46" s="5">
        <v>-1.1928697981440073</v>
      </c>
      <c r="H46" s="5">
        <v>7.1878633713158502E-2</v>
      </c>
      <c r="I46" s="5">
        <v>-1.1928697981440073</v>
      </c>
      <c r="J46" s="5">
        <v>7.1878633713158502E-2</v>
      </c>
    </row>
    <row r="47" spans="2:10" ht="15.75" thickBot="1" x14ac:dyDescent="0.3">
      <c r="B47" s="6" t="s">
        <v>6</v>
      </c>
      <c r="C47" s="6">
        <v>-0.40350868156356956</v>
      </c>
      <c r="D47" s="6">
        <v>0.33026406603520597</v>
      </c>
      <c r="E47" s="6">
        <v>-1.2217759152779151</v>
      </c>
      <c r="F47" s="6">
        <v>0.24981148693534125</v>
      </c>
      <c r="G47" s="6">
        <v>-1.1393828785115725</v>
      </c>
      <c r="H47" s="6">
        <v>0.33236551538443337</v>
      </c>
      <c r="I47" s="6">
        <v>-1.1393828785115725</v>
      </c>
      <c r="J47" s="6">
        <v>0.33236551538443337</v>
      </c>
    </row>
    <row r="51" spans="1:4" x14ac:dyDescent="0.25">
      <c r="B51" t="s">
        <v>32</v>
      </c>
    </row>
    <row r="52" spans="1:4" ht="15.75" thickBot="1" x14ac:dyDescent="0.3"/>
    <row r="53" spans="1:4" x14ac:dyDescent="0.25">
      <c r="A53">
        <v>100</v>
      </c>
      <c r="B53" t="s">
        <v>0</v>
      </c>
      <c r="C53" t="s">
        <v>33</v>
      </c>
      <c r="D53" s="7" t="s">
        <v>34</v>
      </c>
    </row>
    <row r="54" spans="1:4" x14ac:dyDescent="0.25">
      <c r="B54">
        <v>603.23</v>
      </c>
      <c r="C54">
        <v>600.45132543074942</v>
      </c>
      <c r="D54" s="5">
        <v>277.86745692505792</v>
      </c>
    </row>
    <row r="55" spans="1:4" x14ac:dyDescent="0.25">
      <c r="B55">
        <v>611.22</v>
      </c>
      <c r="C55">
        <v>612.62981269376996</v>
      </c>
      <c r="D55" s="5">
        <v>-140.98126937699999</v>
      </c>
    </row>
    <row r="56" spans="1:4" x14ac:dyDescent="0.25">
      <c r="B56">
        <v>601.71</v>
      </c>
      <c r="C56">
        <v>600.80595111060961</v>
      </c>
      <c r="D56" s="5">
        <v>90.404888939039665</v>
      </c>
    </row>
    <row r="57" spans="1:4" x14ac:dyDescent="0.25">
      <c r="B57">
        <v>611.87</v>
      </c>
      <c r="C57">
        <v>615.77104049417278</v>
      </c>
      <c r="D57" s="5">
        <v>-390.10404941727757</v>
      </c>
    </row>
    <row r="58" spans="1:4" x14ac:dyDescent="0.25">
      <c r="B58">
        <v>632.21</v>
      </c>
      <c r="C58">
        <v>636.78713435896543</v>
      </c>
      <c r="D58" s="5">
        <v>-457.71343589654134</v>
      </c>
    </row>
    <row r="59" spans="1:4" x14ac:dyDescent="0.25">
      <c r="B59">
        <v>636.39</v>
      </c>
      <c r="C59">
        <v>641.92239721660883</v>
      </c>
      <c r="D59" s="5">
        <v>-553.2397216608806</v>
      </c>
    </row>
    <row r="60" spans="1:4" x14ac:dyDescent="0.25">
      <c r="B60">
        <v>649.89</v>
      </c>
      <c r="C60">
        <v>647.8786941275506</v>
      </c>
      <c r="D60" s="5">
        <v>201.13058724493749</v>
      </c>
    </row>
    <row r="61" spans="1:4" x14ac:dyDescent="0.25">
      <c r="B61">
        <v>637.61</v>
      </c>
      <c r="C61">
        <v>635.42400429706413</v>
      </c>
      <c r="D61" s="5">
        <v>218.59957029358338</v>
      </c>
    </row>
    <row r="62" spans="1:4" x14ac:dyDescent="0.25">
      <c r="B62">
        <v>660.19</v>
      </c>
      <c r="C62">
        <v>659.27858397686509</v>
      </c>
      <c r="D62" s="5">
        <v>91.141602313495241</v>
      </c>
    </row>
    <row r="63" spans="1:4" x14ac:dyDescent="0.25">
      <c r="B63">
        <v>678.57</v>
      </c>
      <c r="C63">
        <v>669.23409752116288</v>
      </c>
      <c r="D63" s="5">
        <v>933.5902478837088</v>
      </c>
    </row>
    <row r="64" spans="1:4" x14ac:dyDescent="0.25">
      <c r="B64">
        <v>681.69</v>
      </c>
      <c r="C64">
        <v>677.34374391166205</v>
      </c>
      <c r="D64" s="5">
        <v>434.62560883379774</v>
      </c>
    </row>
    <row r="65" spans="2:4" x14ac:dyDescent="0.25">
      <c r="B65">
        <v>665.13</v>
      </c>
      <c r="C65">
        <v>665.2421866928612</v>
      </c>
      <c r="D65" s="5">
        <v>-11.218669286114164</v>
      </c>
    </row>
    <row r="66" spans="2:4" x14ac:dyDescent="0.25">
      <c r="B66">
        <v>686.55</v>
      </c>
      <c r="C66">
        <v>690.1134237133208</v>
      </c>
      <c r="D66" s="5">
        <v>-356.3423713320808</v>
      </c>
    </row>
    <row r="67" spans="2:4" x14ac:dyDescent="0.25">
      <c r="B67">
        <v>695.64</v>
      </c>
      <c r="C67">
        <v>695.32280102894617</v>
      </c>
      <c r="D67" s="5">
        <v>31.719897105387645</v>
      </c>
    </row>
    <row r="68" spans="2:4" x14ac:dyDescent="0.25">
      <c r="B68">
        <v>693.31</v>
      </c>
      <c r="C68">
        <v>691.92618317102063</v>
      </c>
      <c r="D68" s="5">
        <v>138.38168289793248</v>
      </c>
    </row>
    <row r="69" spans="2:4" ht="15.75" thickBot="1" x14ac:dyDescent="0.3">
      <c r="B69">
        <v>705.51</v>
      </c>
      <c r="C69">
        <v>710.58862025467033</v>
      </c>
      <c r="D69" s="6">
        <v>-507.86202546703862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FEA3-FDBF-4F64-9032-EE2BC1314A76}">
  <dimension ref="A2:Q222"/>
  <sheetViews>
    <sheetView topLeftCell="A142" zoomScaleNormal="100" workbookViewId="0">
      <selection activeCell="Z120" sqref="Z120"/>
    </sheetView>
  </sheetViews>
  <sheetFormatPr defaultRowHeight="15" x14ac:dyDescent="0.25"/>
  <sheetData>
    <row r="2" spans="1:6" x14ac:dyDescent="0.25">
      <c r="A2" t="s">
        <v>35</v>
      </c>
    </row>
    <row r="3" spans="1:6" x14ac:dyDescent="0.25">
      <c r="B3" s="2" t="s">
        <v>1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B4" s="3">
        <v>60323</v>
      </c>
      <c r="C4" s="3">
        <v>234289</v>
      </c>
      <c r="D4" s="3">
        <v>2356</v>
      </c>
      <c r="E4" s="3">
        <v>1590</v>
      </c>
      <c r="F4" s="3">
        <v>107608</v>
      </c>
    </row>
    <row r="5" spans="1:6" x14ac:dyDescent="0.25">
      <c r="B5" s="3">
        <v>61122</v>
      </c>
      <c r="C5" s="3">
        <v>259426</v>
      </c>
      <c r="D5" s="3">
        <v>2325</v>
      </c>
      <c r="E5" s="3">
        <v>1456</v>
      </c>
      <c r="F5" s="3">
        <v>108632</v>
      </c>
    </row>
    <row r="6" spans="1:6" x14ac:dyDescent="0.25">
      <c r="B6" s="3">
        <v>60171</v>
      </c>
      <c r="C6" s="3">
        <v>258054</v>
      </c>
      <c r="D6" s="3">
        <v>3682</v>
      </c>
      <c r="E6" s="3">
        <v>1616</v>
      </c>
      <c r="F6" s="3">
        <v>109773</v>
      </c>
    </row>
    <row r="7" spans="1:6" x14ac:dyDescent="0.25">
      <c r="B7" s="3">
        <v>61187</v>
      </c>
      <c r="C7" s="3">
        <v>284599</v>
      </c>
      <c r="D7" s="3">
        <v>3351</v>
      </c>
      <c r="E7" s="3">
        <v>1650</v>
      </c>
      <c r="F7" s="3">
        <v>110929</v>
      </c>
    </row>
    <row r="8" spans="1:6" x14ac:dyDescent="0.25">
      <c r="B8" s="3">
        <v>63221</v>
      </c>
      <c r="C8" s="3">
        <v>328975</v>
      </c>
      <c r="D8" s="3">
        <v>2099</v>
      </c>
      <c r="E8" s="3">
        <v>3099</v>
      </c>
      <c r="F8" s="3">
        <v>112075</v>
      </c>
    </row>
    <row r="9" spans="1:6" x14ac:dyDescent="0.25">
      <c r="B9" s="3">
        <v>63639</v>
      </c>
      <c r="C9" s="3">
        <v>346999</v>
      </c>
      <c r="D9" s="3">
        <v>1932</v>
      </c>
      <c r="E9" s="3">
        <v>3594</v>
      </c>
      <c r="F9" s="3">
        <v>113270</v>
      </c>
    </row>
    <row r="10" spans="1:6" x14ac:dyDescent="0.25">
      <c r="B10" s="3">
        <v>64989</v>
      </c>
      <c r="C10" s="3">
        <v>365385</v>
      </c>
      <c r="D10" s="3">
        <v>1870</v>
      </c>
      <c r="E10" s="3">
        <v>3547</v>
      </c>
      <c r="F10" s="3">
        <v>115094</v>
      </c>
    </row>
    <row r="11" spans="1:6" x14ac:dyDescent="0.25">
      <c r="B11" s="3">
        <v>63761</v>
      </c>
      <c r="C11" s="3">
        <v>363112</v>
      </c>
      <c r="D11" s="3">
        <v>3578</v>
      </c>
      <c r="E11" s="3">
        <v>3350</v>
      </c>
      <c r="F11" s="3">
        <v>116219</v>
      </c>
    </row>
    <row r="12" spans="1:6" x14ac:dyDescent="0.25">
      <c r="B12" s="3">
        <v>66019</v>
      </c>
      <c r="C12" s="3">
        <v>397469</v>
      </c>
      <c r="D12" s="3">
        <v>2904</v>
      </c>
      <c r="E12" s="3">
        <v>3048</v>
      </c>
      <c r="F12" s="3">
        <v>117388</v>
      </c>
    </row>
    <row r="13" spans="1:6" x14ac:dyDescent="0.25">
      <c r="B13" s="3">
        <v>67857</v>
      </c>
      <c r="C13" s="3">
        <v>419180</v>
      </c>
      <c r="D13" s="3">
        <v>2822</v>
      </c>
      <c r="E13" s="3">
        <v>2857</v>
      </c>
      <c r="F13" s="3">
        <v>118734</v>
      </c>
    </row>
    <row r="14" spans="1:6" x14ac:dyDescent="0.25">
      <c r="B14" s="3">
        <v>68169</v>
      </c>
      <c r="C14" s="3">
        <v>442769</v>
      </c>
      <c r="D14" s="3">
        <v>2936</v>
      </c>
      <c r="E14" s="3">
        <v>2798</v>
      </c>
      <c r="F14" s="3">
        <v>120445</v>
      </c>
    </row>
    <row r="15" spans="1:6" x14ac:dyDescent="0.25">
      <c r="B15" s="3">
        <v>66513</v>
      </c>
      <c r="C15" s="3">
        <v>444546</v>
      </c>
      <c r="D15" s="3">
        <v>4681</v>
      </c>
      <c r="E15" s="3">
        <v>2637</v>
      </c>
      <c r="F15" s="3">
        <v>121950</v>
      </c>
    </row>
    <row r="16" spans="1:6" x14ac:dyDescent="0.25">
      <c r="B16" s="3">
        <v>68655</v>
      </c>
      <c r="C16" s="3">
        <v>482704</v>
      </c>
      <c r="D16" s="3">
        <v>3813</v>
      </c>
      <c r="E16" s="3">
        <v>2552</v>
      </c>
      <c r="F16" s="3">
        <v>123366</v>
      </c>
    </row>
    <row r="17" spans="2:7" x14ac:dyDescent="0.25">
      <c r="B17" s="3">
        <v>69564</v>
      </c>
      <c r="C17" s="3">
        <v>502601</v>
      </c>
      <c r="D17" s="3">
        <v>3931</v>
      </c>
      <c r="E17" s="3">
        <v>2514</v>
      </c>
      <c r="F17" s="3">
        <v>125368</v>
      </c>
    </row>
    <row r="18" spans="2:7" x14ac:dyDescent="0.25">
      <c r="B18" s="3">
        <v>69331</v>
      </c>
      <c r="C18" s="3">
        <v>518173</v>
      </c>
      <c r="D18" s="3">
        <v>4806</v>
      </c>
      <c r="E18" s="3">
        <v>2572</v>
      </c>
      <c r="F18" s="3">
        <v>127852</v>
      </c>
    </row>
    <row r="19" spans="2:7" x14ac:dyDescent="0.25">
      <c r="B19" s="3">
        <v>70551</v>
      </c>
      <c r="C19" s="3">
        <v>554894</v>
      </c>
      <c r="D19" s="3">
        <v>4007</v>
      </c>
      <c r="E19" s="3">
        <v>2827</v>
      </c>
      <c r="F19" s="3">
        <v>130081</v>
      </c>
    </row>
    <row r="22" spans="2:7" x14ac:dyDescent="0.25">
      <c r="B22" t="s">
        <v>8</v>
      </c>
    </row>
    <row r="23" spans="2:7" ht="15.75" thickBot="1" x14ac:dyDescent="0.3"/>
    <row r="24" spans="2:7" x14ac:dyDescent="0.25">
      <c r="B24" s="8" t="s">
        <v>9</v>
      </c>
      <c r="C24" s="8"/>
    </row>
    <row r="25" spans="2:7" x14ac:dyDescent="0.25">
      <c r="B25" s="5" t="s">
        <v>10</v>
      </c>
      <c r="C25" s="5">
        <v>0.99358351078595708</v>
      </c>
    </row>
    <row r="26" spans="2:7" x14ac:dyDescent="0.25">
      <c r="B26" s="5" t="s">
        <v>11</v>
      </c>
      <c r="C26" s="5">
        <v>0.98720819290574802</v>
      </c>
    </row>
    <row r="27" spans="2:7" x14ac:dyDescent="0.25">
      <c r="B27" s="5" t="s">
        <v>12</v>
      </c>
      <c r="C27" s="5">
        <v>0.98255662668965649</v>
      </c>
    </row>
    <row r="28" spans="2:7" x14ac:dyDescent="0.25">
      <c r="B28" s="5" t="s">
        <v>13</v>
      </c>
      <c r="C28" s="5">
        <v>463.83747280172832</v>
      </c>
    </row>
    <row r="29" spans="2:7" ht="15.75" thickBot="1" x14ac:dyDescent="0.3">
      <c r="B29" s="6" t="s">
        <v>14</v>
      </c>
      <c r="C29" s="6">
        <v>16</v>
      </c>
    </row>
    <row r="31" spans="2:7" ht="15.75" thickBot="1" x14ac:dyDescent="0.3">
      <c r="B31" t="s">
        <v>15</v>
      </c>
    </row>
    <row r="32" spans="2:7" x14ac:dyDescent="0.25">
      <c r="B32" s="7"/>
      <c r="C32" s="7" t="s">
        <v>20</v>
      </c>
      <c r="D32" s="7" t="s">
        <v>21</v>
      </c>
      <c r="E32" s="7" t="s">
        <v>22</v>
      </c>
      <c r="F32" s="7" t="s">
        <v>23</v>
      </c>
      <c r="G32" s="7" t="s">
        <v>24</v>
      </c>
    </row>
    <row r="33" spans="2:10" x14ac:dyDescent="0.25">
      <c r="B33" s="5" t="s">
        <v>16</v>
      </c>
      <c r="C33" s="5">
        <v>4</v>
      </c>
      <c r="D33" s="5">
        <v>182642228.78707397</v>
      </c>
      <c r="E33" s="5">
        <v>45660557.196768492</v>
      </c>
      <c r="F33" s="5">
        <v>212.23135327851463</v>
      </c>
      <c r="G33" s="5">
        <v>2.4906485927332189E-10</v>
      </c>
    </row>
    <row r="34" spans="2:10" x14ac:dyDescent="0.25">
      <c r="B34" s="5" t="s">
        <v>17</v>
      </c>
      <c r="C34" s="5">
        <v>11</v>
      </c>
      <c r="D34" s="5">
        <v>2366597.2129260348</v>
      </c>
      <c r="E34" s="5">
        <v>215145.20117509409</v>
      </c>
      <c r="F34" s="5"/>
      <c r="G34" s="5"/>
    </row>
    <row r="35" spans="2:10" ht="15.75" thickBot="1" x14ac:dyDescent="0.3">
      <c r="B35" s="6" t="s">
        <v>18</v>
      </c>
      <c r="C35" s="6">
        <v>15</v>
      </c>
      <c r="D35" s="6">
        <v>185008826</v>
      </c>
      <c r="E35" s="6"/>
      <c r="F35" s="6"/>
      <c r="G35" s="6"/>
    </row>
    <row r="36" spans="2:10" ht="15.75" thickBot="1" x14ac:dyDescent="0.3"/>
    <row r="37" spans="2:10" x14ac:dyDescent="0.25">
      <c r="B37" s="7"/>
      <c r="C37" s="7" t="s">
        <v>25</v>
      </c>
      <c r="D37" s="7" t="s">
        <v>13</v>
      </c>
      <c r="E37" s="7" t="s">
        <v>26</v>
      </c>
      <c r="F37" s="7" t="s">
        <v>27</v>
      </c>
      <c r="G37" s="7" t="s">
        <v>28</v>
      </c>
      <c r="H37" s="7" t="s">
        <v>29</v>
      </c>
      <c r="I37" s="7" t="s">
        <v>30</v>
      </c>
      <c r="J37" s="7" t="s">
        <v>31</v>
      </c>
    </row>
    <row r="38" spans="2:10" x14ac:dyDescent="0.25">
      <c r="B38" s="5" t="s">
        <v>19</v>
      </c>
      <c r="C38" s="5">
        <v>82613.099204129801</v>
      </c>
      <c r="D38" s="5">
        <v>21774.891649520276</v>
      </c>
      <c r="E38" s="5">
        <v>3.793961436586522</v>
      </c>
      <c r="F38" s="5">
        <v>2.9742293920449543E-3</v>
      </c>
      <c r="G38" s="5">
        <v>34686.885820932337</v>
      </c>
      <c r="H38" s="5">
        <v>130539.31258732727</v>
      </c>
      <c r="I38" s="5">
        <v>34686.885820932337</v>
      </c>
      <c r="J38" s="5">
        <v>130539.31258732727</v>
      </c>
    </row>
    <row r="39" spans="2:10" x14ac:dyDescent="0.25">
      <c r="B39" s="5" t="s">
        <v>3</v>
      </c>
      <c r="C39" s="5">
        <v>6.2101708147129293E-2</v>
      </c>
      <c r="D39" s="5">
        <v>1.5971499897821453E-2</v>
      </c>
      <c r="E39" s="5">
        <v>3.88828278774244</v>
      </c>
      <c r="F39" s="5">
        <v>2.5270461831715381E-3</v>
      </c>
      <c r="G39" s="5">
        <v>2.6948673887619158E-2</v>
      </c>
      <c r="H39" s="5">
        <v>9.7254742406639422E-2</v>
      </c>
      <c r="I39" s="5">
        <v>2.6948673887619158E-2</v>
      </c>
      <c r="J39" s="5">
        <v>9.7254742406639422E-2</v>
      </c>
    </row>
    <row r="40" spans="2:10" x14ac:dyDescent="0.25">
      <c r="B40" s="5" t="s">
        <v>4</v>
      </c>
      <c r="C40" s="5">
        <v>-0.51980360174560325</v>
      </c>
      <c r="D40" s="5">
        <v>0.29149563325070993</v>
      </c>
      <c r="E40" s="5">
        <v>-1.7832294636761503</v>
      </c>
      <c r="F40" s="5">
        <v>0.10213072511904142</v>
      </c>
      <c r="G40" s="5">
        <v>-1.1613811647619305</v>
      </c>
      <c r="H40" s="5">
        <v>0.12177396127072404</v>
      </c>
      <c r="I40" s="5">
        <v>-1.1613811647619305</v>
      </c>
      <c r="J40" s="5">
        <v>0.12177396127072404</v>
      </c>
    </row>
    <row r="41" spans="2:10" x14ac:dyDescent="0.25">
      <c r="B41" s="5" t="s">
        <v>5</v>
      </c>
      <c r="C41" s="5">
        <v>-0.59172098001900131</v>
      </c>
      <c r="D41" s="5">
        <v>0.25984825613932017</v>
      </c>
      <c r="E41" s="5">
        <v>-2.2771789536341718</v>
      </c>
      <c r="F41" s="5">
        <v>4.3752454125782048E-2</v>
      </c>
      <c r="G41" s="5">
        <v>-1.163643135657336</v>
      </c>
      <c r="H41" s="5">
        <v>-1.9798824380666713E-2</v>
      </c>
      <c r="I41" s="5">
        <v>-1.163643135657336</v>
      </c>
      <c r="J41" s="5">
        <v>-1.9798824380666713E-2</v>
      </c>
    </row>
    <row r="42" spans="2:10" ht="15.75" thickBot="1" x14ac:dyDescent="0.3">
      <c r="B42" s="6" t="s">
        <v>6</v>
      </c>
      <c r="C42" s="6">
        <v>-0.32506563732925398</v>
      </c>
      <c r="D42" s="6">
        <v>0.24140199865998319</v>
      </c>
      <c r="E42" s="6">
        <v>-1.3465739270332711</v>
      </c>
      <c r="F42" s="6">
        <v>0.2052074394504643</v>
      </c>
      <c r="G42" s="6">
        <v>-0.85638785399633854</v>
      </c>
      <c r="H42" s="6">
        <v>0.20625657933783059</v>
      </c>
      <c r="I42" s="6">
        <v>-0.85638785399633854</v>
      </c>
      <c r="J42" s="6">
        <v>0.20625657933783059</v>
      </c>
    </row>
    <row r="46" spans="2:10" x14ac:dyDescent="0.25">
      <c r="B46" t="s">
        <v>32</v>
      </c>
    </row>
    <row r="47" spans="2:10" ht="15.75" thickBot="1" x14ac:dyDescent="0.3"/>
    <row r="48" spans="2:10" x14ac:dyDescent="0.25">
      <c r="B48" s="2" t="s">
        <v>1</v>
      </c>
      <c r="C48" s="7" t="s">
        <v>33</v>
      </c>
      <c r="D48" s="7" t="s">
        <v>34</v>
      </c>
    </row>
    <row r="49" spans="2:4" x14ac:dyDescent="0.25">
      <c r="B49" s="3">
        <v>60323</v>
      </c>
      <c r="C49" s="5">
        <v>60017.689558543359</v>
      </c>
      <c r="D49" s="5">
        <v>305.31044145664055</v>
      </c>
    </row>
    <row r="50" spans="2:4" x14ac:dyDescent="0.25">
      <c r="B50" s="3">
        <v>61122</v>
      </c>
      <c r="C50" s="5">
        <v>61341.277506589249</v>
      </c>
      <c r="D50" s="5">
        <v>-219.27750658924924</v>
      </c>
    </row>
    <row r="51" spans="2:4" x14ac:dyDescent="0.25">
      <c r="B51" s="3">
        <v>60171</v>
      </c>
      <c r="C51" s="5">
        <v>60085.1252264469</v>
      </c>
      <c r="D51" s="5">
        <v>85.874773553099658</v>
      </c>
    </row>
    <row r="52" spans="2:4" x14ac:dyDescent="0.25">
      <c r="B52" s="3">
        <v>61187</v>
      </c>
      <c r="C52" s="5">
        <v>61509.775671316966</v>
      </c>
      <c r="D52" s="5">
        <v>-322.7756713169656</v>
      </c>
    </row>
    <row r="53" spans="2:4" x14ac:dyDescent="0.25">
      <c r="B53" s="3">
        <v>63221</v>
      </c>
      <c r="C53" s="5">
        <v>63686.466261012618</v>
      </c>
      <c r="D53" s="5">
        <v>-465.46626101261791</v>
      </c>
    </row>
    <row r="54" spans="2:4" x14ac:dyDescent="0.25">
      <c r="B54" s="3">
        <v>63639</v>
      </c>
      <c r="C54" s="5">
        <v>64211.239328430129</v>
      </c>
      <c r="D54" s="5">
        <v>-572.23932843012881</v>
      </c>
    </row>
    <row r="55" spans="2:4" x14ac:dyDescent="0.25">
      <c r="B55" s="3">
        <v>64989</v>
      </c>
      <c r="C55" s="5">
        <v>64820.160321303811</v>
      </c>
      <c r="D55" s="5">
        <v>168.83967869618937</v>
      </c>
    </row>
    <row r="56" spans="2:4" x14ac:dyDescent="0.25">
      <c r="B56" s="3">
        <v>63761</v>
      </c>
      <c r="C56" s="5">
        <v>63542.048777972224</v>
      </c>
      <c r="D56" s="5">
        <v>218.95122202777566</v>
      </c>
    </row>
    <row r="57" spans="2:4" x14ac:dyDescent="0.25">
      <c r="B57" s="3">
        <v>66019</v>
      </c>
      <c r="C57" s="5">
        <v>65824.722798287519</v>
      </c>
      <c r="D57" s="5">
        <v>194.27720171248075</v>
      </c>
    </row>
    <row r="58" spans="2:4" x14ac:dyDescent="0.25">
      <c r="B58" s="3">
        <v>67857</v>
      </c>
      <c r="C58" s="5">
        <v>66891.117238551436</v>
      </c>
      <c r="D58" s="5">
        <v>965.88276144856354</v>
      </c>
    </row>
    <row r="59" spans="2:4" x14ac:dyDescent="0.25">
      <c r="B59" s="3">
        <v>68169</v>
      </c>
      <c r="C59" s="5">
        <v>67775.501053785847</v>
      </c>
      <c r="D59" s="5">
        <v>393.49894621415297</v>
      </c>
    </row>
    <row r="60" spans="2:4" x14ac:dyDescent="0.25">
      <c r="B60" s="3">
        <v>66513</v>
      </c>
      <c r="C60" s="5">
        <v>66584.841797719739</v>
      </c>
      <c r="D60" s="5">
        <v>-71.841797719738679</v>
      </c>
    </row>
    <row r="61" spans="2:4" x14ac:dyDescent="0.25">
      <c r="B61" s="3">
        <v>68655</v>
      </c>
      <c r="C61" s="5">
        <v>68995.711644356474</v>
      </c>
      <c r="D61" s="5">
        <v>-340.7116443564737</v>
      </c>
    </row>
    <row r="62" spans="2:4" x14ac:dyDescent="0.25">
      <c r="B62" s="3">
        <v>69564</v>
      </c>
      <c r="C62" s="5">
        <v>69541.716497661488</v>
      </c>
      <c r="D62" s="5">
        <v>22.283502338512335</v>
      </c>
    </row>
    <row r="63" spans="2:4" x14ac:dyDescent="0.25">
      <c r="B63" s="3">
        <v>69331</v>
      </c>
      <c r="C63" s="5">
        <v>69212.153285434208</v>
      </c>
      <c r="D63" s="5">
        <v>118.84671456579235</v>
      </c>
    </row>
    <row r="64" spans="2:4" ht="15.75" thickBot="1" x14ac:dyDescent="0.3">
      <c r="B64" s="3">
        <v>70551</v>
      </c>
      <c r="C64" s="6">
        <v>71032.453032587917</v>
      </c>
      <c r="D64" s="6">
        <v>-481.45303258791682</v>
      </c>
    </row>
    <row r="68" spans="1:14" x14ac:dyDescent="0.25">
      <c r="A68" t="s">
        <v>36</v>
      </c>
    </row>
    <row r="69" spans="1:14" x14ac:dyDescent="0.25">
      <c r="B69" s="2" t="s">
        <v>1</v>
      </c>
      <c r="C69" s="2" t="s">
        <v>2</v>
      </c>
      <c r="D69" s="2" t="s">
        <v>4</v>
      </c>
      <c r="E69" s="2" t="s">
        <v>5</v>
      </c>
      <c r="F69" s="2" t="s">
        <v>6</v>
      </c>
      <c r="I69" t="s">
        <v>8</v>
      </c>
    </row>
    <row r="70" spans="1:14" ht="15.75" thickBot="1" x14ac:dyDescent="0.3">
      <c r="B70" s="3">
        <v>60323</v>
      </c>
      <c r="C70" s="2">
        <v>830</v>
      </c>
      <c r="D70" s="3">
        <v>2356</v>
      </c>
      <c r="E70" s="3">
        <v>1590</v>
      </c>
      <c r="F70" s="3">
        <v>107608</v>
      </c>
    </row>
    <row r="71" spans="1:14" x14ac:dyDescent="0.25">
      <c r="B71" s="3">
        <v>61122</v>
      </c>
      <c r="C71" s="2">
        <v>885</v>
      </c>
      <c r="D71" s="3">
        <v>2325</v>
      </c>
      <c r="E71" s="3">
        <v>1456</v>
      </c>
      <c r="F71" s="3">
        <v>108632</v>
      </c>
      <c r="I71" s="8" t="s">
        <v>9</v>
      </c>
      <c r="J71" s="8"/>
    </row>
    <row r="72" spans="1:14" x14ac:dyDescent="0.25">
      <c r="B72" s="3">
        <v>60171</v>
      </c>
      <c r="C72" s="2">
        <v>882</v>
      </c>
      <c r="D72" s="3">
        <v>3682</v>
      </c>
      <c r="E72" s="3">
        <v>1616</v>
      </c>
      <c r="F72" s="3">
        <v>109773</v>
      </c>
      <c r="I72" s="5" t="s">
        <v>10</v>
      </c>
      <c r="J72" s="5">
        <v>0.99039352380264334</v>
      </c>
    </row>
    <row r="73" spans="1:14" x14ac:dyDescent="0.25">
      <c r="B73" s="3">
        <v>61187</v>
      </c>
      <c r="C73" s="2">
        <v>895</v>
      </c>
      <c r="D73" s="3">
        <v>3351</v>
      </c>
      <c r="E73" s="3">
        <v>1650</v>
      </c>
      <c r="F73" s="3">
        <v>110929</v>
      </c>
      <c r="I73" s="5" t="s">
        <v>11</v>
      </c>
      <c r="J73" s="5">
        <v>0.98087933199021704</v>
      </c>
    </row>
    <row r="74" spans="1:14" x14ac:dyDescent="0.25">
      <c r="B74" s="3">
        <v>63221</v>
      </c>
      <c r="C74" s="2">
        <v>962</v>
      </c>
      <c r="D74" s="3">
        <v>2099</v>
      </c>
      <c r="E74" s="3">
        <v>3099</v>
      </c>
      <c r="F74" s="3">
        <v>112075</v>
      </c>
      <c r="I74" s="5" t="s">
        <v>12</v>
      </c>
      <c r="J74" s="5">
        <v>0.97392636180484149</v>
      </c>
    </row>
    <row r="75" spans="1:14" x14ac:dyDescent="0.25">
      <c r="B75" s="3">
        <v>63639</v>
      </c>
      <c r="C75" s="2">
        <v>981</v>
      </c>
      <c r="D75" s="3">
        <v>1932</v>
      </c>
      <c r="E75" s="3">
        <v>3594</v>
      </c>
      <c r="F75" s="3">
        <v>113270</v>
      </c>
      <c r="I75" s="5" t="s">
        <v>13</v>
      </c>
      <c r="J75" s="5">
        <v>567.08924588845559</v>
      </c>
    </row>
    <row r="76" spans="1:14" ht="15.75" thickBot="1" x14ac:dyDescent="0.3">
      <c r="B76" s="3">
        <v>64989</v>
      </c>
      <c r="C76" s="2">
        <v>990</v>
      </c>
      <c r="D76" s="3">
        <v>1870</v>
      </c>
      <c r="E76" s="3">
        <v>3547</v>
      </c>
      <c r="F76" s="3">
        <v>115094</v>
      </c>
      <c r="I76" s="6" t="s">
        <v>14</v>
      </c>
      <c r="J76" s="6">
        <v>16</v>
      </c>
    </row>
    <row r="77" spans="1:14" x14ac:dyDescent="0.25">
      <c r="B77" s="3">
        <v>63761</v>
      </c>
      <c r="C77" s="3">
        <v>1000</v>
      </c>
      <c r="D77" s="3">
        <v>3578</v>
      </c>
      <c r="E77" s="3">
        <v>3350</v>
      </c>
      <c r="F77" s="3">
        <v>116219</v>
      </c>
    </row>
    <row r="78" spans="1:14" ht="15.75" thickBot="1" x14ac:dyDescent="0.3">
      <c r="B78" s="3">
        <v>66019</v>
      </c>
      <c r="C78" s="3">
        <v>1012</v>
      </c>
      <c r="D78" s="3">
        <v>2904</v>
      </c>
      <c r="E78" s="3">
        <v>3048</v>
      </c>
      <c r="F78" s="3">
        <v>117388</v>
      </c>
      <c r="I78" t="s">
        <v>15</v>
      </c>
    </row>
    <row r="79" spans="1:14" x14ac:dyDescent="0.25">
      <c r="B79" s="3">
        <v>67857</v>
      </c>
      <c r="C79" s="3">
        <v>1046</v>
      </c>
      <c r="D79" s="3">
        <v>2822</v>
      </c>
      <c r="E79" s="3">
        <v>2857</v>
      </c>
      <c r="F79" s="3">
        <v>118734</v>
      </c>
      <c r="I79" s="7"/>
      <c r="J79" s="7" t="s">
        <v>20</v>
      </c>
      <c r="K79" s="7" t="s">
        <v>21</v>
      </c>
      <c r="L79" s="7" t="s">
        <v>22</v>
      </c>
      <c r="M79" s="7" t="s">
        <v>23</v>
      </c>
      <c r="N79" s="7" t="s">
        <v>24</v>
      </c>
    </row>
    <row r="80" spans="1:14" x14ac:dyDescent="0.25">
      <c r="B80" s="3">
        <v>68169</v>
      </c>
      <c r="C80" s="3">
        <v>1084</v>
      </c>
      <c r="D80" s="3">
        <v>2936</v>
      </c>
      <c r="E80" s="3">
        <v>2798</v>
      </c>
      <c r="F80" s="3">
        <v>120445</v>
      </c>
      <c r="I80" s="5" t="s">
        <v>16</v>
      </c>
      <c r="J80" s="5">
        <v>4</v>
      </c>
      <c r="K80" s="5">
        <v>181471333.65917429</v>
      </c>
      <c r="L80" s="5">
        <v>45367833.414793573</v>
      </c>
      <c r="M80" s="5">
        <v>141.07342701588539</v>
      </c>
      <c r="N80" s="5">
        <v>2.259936666861064E-9</v>
      </c>
    </row>
    <row r="81" spans="2:17" x14ac:dyDescent="0.25">
      <c r="B81" s="3">
        <v>66513</v>
      </c>
      <c r="C81" s="3">
        <v>1108</v>
      </c>
      <c r="D81" s="3">
        <v>4681</v>
      </c>
      <c r="E81" s="3">
        <v>2637</v>
      </c>
      <c r="F81" s="3">
        <v>121950</v>
      </c>
      <c r="I81" s="5" t="s">
        <v>17</v>
      </c>
      <c r="J81" s="5">
        <v>11</v>
      </c>
      <c r="K81" s="5">
        <v>3537492.3408257095</v>
      </c>
      <c r="L81" s="5">
        <v>321590.21280233725</v>
      </c>
      <c r="M81" s="5"/>
      <c r="N81" s="5"/>
    </row>
    <row r="82" spans="2:17" ht="15.75" thickBot="1" x14ac:dyDescent="0.3">
      <c r="B82" s="3">
        <v>68655</v>
      </c>
      <c r="C82" s="3">
        <v>1126</v>
      </c>
      <c r="D82" s="3">
        <v>3813</v>
      </c>
      <c r="E82" s="3">
        <v>2552</v>
      </c>
      <c r="F82" s="3">
        <v>123366</v>
      </c>
      <c r="I82" s="6" t="s">
        <v>18</v>
      </c>
      <c r="J82" s="6">
        <v>15</v>
      </c>
      <c r="K82" s="6">
        <v>185008826</v>
      </c>
      <c r="L82" s="6"/>
      <c r="M82" s="6"/>
      <c r="N82" s="6"/>
    </row>
    <row r="83" spans="2:17" ht="15.75" thickBot="1" x14ac:dyDescent="0.3">
      <c r="B83" s="3">
        <v>69564</v>
      </c>
      <c r="C83" s="3">
        <v>1142</v>
      </c>
      <c r="D83" s="3">
        <v>3931</v>
      </c>
      <c r="E83" s="3">
        <v>2514</v>
      </c>
      <c r="F83" s="3">
        <v>125368</v>
      </c>
    </row>
    <row r="84" spans="2:17" x14ac:dyDescent="0.25">
      <c r="B84" s="3">
        <v>69331</v>
      </c>
      <c r="C84" s="3">
        <v>1157</v>
      </c>
      <c r="D84" s="3">
        <v>4806</v>
      </c>
      <c r="E84" s="3">
        <v>2572</v>
      </c>
      <c r="F84" s="3">
        <v>127852</v>
      </c>
      <c r="I84" s="7"/>
      <c r="J84" s="7" t="s">
        <v>25</v>
      </c>
      <c r="K84" s="7" t="s">
        <v>13</v>
      </c>
      <c r="L84" s="7" t="s">
        <v>26</v>
      </c>
      <c r="M84" s="7" t="s">
        <v>27</v>
      </c>
      <c r="N84" s="7" t="s">
        <v>28</v>
      </c>
      <c r="O84" s="7" t="s">
        <v>29</v>
      </c>
      <c r="P84" s="7" t="s">
        <v>30</v>
      </c>
      <c r="Q84" s="7" t="s">
        <v>31</v>
      </c>
    </row>
    <row r="85" spans="2:17" x14ac:dyDescent="0.25">
      <c r="B85" s="3">
        <v>70551</v>
      </c>
      <c r="C85" s="3">
        <v>1169</v>
      </c>
      <c r="D85" s="3">
        <v>4007</v>
      </c>
      <c r="E85" s="3">
        <v>2827</v>
      </c>
      <c r="F85" s="3">
        <v>130081</v>
      </c>
      <c r="I85" s="5" t="s">
        <v>19</v>
      </c>
      <c r="J85" s="5">
        <v>13781.314004064094</v>
      </c>
      <c r="K85" s="5">
        <v>6886.4703963139036</v>
      </c>
      <c r="L85" s="5">
        <v>2.0012158930416324</v>
      </c>
      <c r="M85" s="5">
        <v>7.0656600124622007E-2</v>
      </c>
      <c r="N85" s="5">
        <v>-1375.7051436331913</v>
      </c>
      <c r="O85" s="5">
        <v>28938.333151761377</v>
      </c>
      <c r="P85" s="5">
        <v>-1375.7051436331913</v>
      </c>
      <c r="Q85" s="5">
        <v>28938.333151761377</v>
      </c>
    </row>
    <row r="86" spans="2:17" x14ac:dyDescent="0.25">
      <c r="I86" s="5" t="s">
        <v>2</v>
      </c>
      <c r="J86" s="5">
        <v>20.70464523484458</v>
      </c>
      <c r="K86" s="5">
        <v>8.1376046327965792</v>
      </c>
      <c r="L86" s="5">
        <v>2.5443169297510093</v>
      </c>
      <c r="M86" s="5">
        <v>2.7269613707382092E-2</v>
      </c>
      <c r="N86" s="5">
        <v>2.7938981993663425</v>
      </c>
      <c r="O86" s="5">
        <v>38.615392270322815</v>
      </c>
      <c r="P86" s="5">
        <v>2.7938981993663425</v>
      </c>
      <c r="Q86" s="5">
        <v>38.615392270322815</v>
      </c>
    </row>
    <row r="87" spans="2:17" x14ac:dyDescent="0.25">
      <c r="I87" s="5" t="s">
        <v>4</v>
      </c>
      <c r="J87" s="5">
        <v>-1.2412374588046109</v>
      </c>
      <c r="K87" s="5">
        <v>0.27799237793066228</v>
      </c>
      <c r="L87" s="5">
        <v>-4.4650053646945826</v>
      </c>
      <c r="M87" s="5">
        <v>9.5473294819388085E-4</v>
      </c>
      <c r="N87" s="5">
        <v>-1.8530945572485849</v>
      </c>
      <c r="O87" s="5">
        <v>-0.62938036036063694</v>
      </c>
      <c r="P87" s="5">
        <v>-1.8530945572485849</v>
      </c>
      <c r="Q87" s="5">
        <v>-0.62938036036063694</v>
      </c>
    </row>
    <row r="88" spans="2:17" x14ac:dyDescent="0.25">
      <c r="I88" s="5" t="s">
        <v>5</v>
      </c>
      <c r="J88" s="5">
        <v>-0.59683812857995533</v>
      </c>
      <c r="K88" s="5">
        <v>0.33252559603090226</v>
      </c>
      <c r="L88" s="5">
        <v>-1.7948637208802716</v>
      </c>
      <c r="M88" s="5">
        <v>0.10017040874250441</v>
      </c>
      <c r="N88" s="5">
        <v>-1.3287220307945982</v>
      </c>
      <c r="O88" s="5">
        <v>0.1350457736346875</v>
      </c>
      <c r="P88" s="5">
        <v>-1.3287220307945982</v>
      </c>
      <c r="Q88" s="5">
        <v>0.1350457736346875</v>
      </c>
    </row>
    <row r="89" spans="2:17" ht="15.75" thickBot="1" x14ac:dyDescent="0.3">
      <c r="I89" s="6" t="s">
        <v>6</v>
      </c>
      <c r="J89" s="6">
        <v>0.30660149113505131</v>
      </c>
      <c r="K89" s="6">
        <v>0.123795388819584</v>
      </c>
      <c r="L89" s="6">
        <v>2.4766794147872817</v>
      </c>
      <c r="M89" s="6">
        <v>3.0754542501871082E-2</v>
      </c>
      <c r="N89" s="6">
        <v>3.4129677455372598E-2</v>
      </c>
      <c r="O89" s="6">
        <v>0.57907330481473007</v>
      </c>
      <c r="P89" s="6">
        <v>3.4129677455372598E-2</v>
      </c>
      <c r="Q89" s="6">
        <v>0.57907330481473007</v>
      </c>
    </row>
    <row r="93" spans="2:17" x14ac:dyDescent="0.25">
      <c r="I93" t="s">
        <v>32</v>
      </c>
    </row>
    <row r="94" spans="2:17" ht="15.75" thickBot="1" x14ac:dyDescent="0.3"/>
    <row r="95" spans="2:17" x14ac:dyDescent="0.25">
      <c r="I95" s="7" t="s">
        <v>0</v>
      </c>
      <c r="J95" s="7" t="s">
        <v>33</v>
      </c>
      <c r="K95" s="7" t="s">
        <v>34</v>
      </c>
    </row>
    <row r="96" spans="2:17" x14ac:dyDescent="0.25">
      <c r="I96" s="3">
        <v>60323</v>
      </c>
      <c r="J96" s="5">
        <v>60085.614729659908</v>
      </c>
      <c r="K96" s="5">
        <v>237.38527034009167</v>
      </c>
    </row>
    <row r="97" spans="9:11" x14ac:dyDescent="0.25">
      <c r="I97" s="3">
        <v>61122</v>
      </c>
      <c r="J97" s="5">
        <v>61656.784814951301</v>
      </c>
      <c r="K97" s="5">
        <v>-534.78481495130109</v>
      </c>
    </row>
    <row r="98" spans="9:11" x14ac:dyDescent="0.25">
      <c r="I98" s="3">
        <v>60171</v>
      </c>
      <c r="J98" s="5">
        <v>60164.649848461217</v>
      </c>
      <c r="K98" s="5">
        <v>6.3501515387833933</v>
      </c>
    </row>
    <row r="99" spans="9:11" x14ac:dyDescent="0.25">
      <c r="I99" s="3">
        <v>61187</v>
      </c>
      <c r="J99" s="5">
        <v>61178.798662758927</v>
      </c>
      <c r="K99" s="5">
        <v>8.2013372410729062</v>
      </c>
    </row>
    <row r="100" spans="9:11" x14ac:dyDescent="0.25">
      <c r="I100" s="3">
        <v>63221</v>
      </c>
      <c r="J100" s="5">
        <v>63606.586052445295</v>
      </c>
      <c r="K100" s="5">
        <v>-385.58605244529463</v>
      </c>
    </row>
    <row r="101" spans="9:11" x14ac:dyDescent="0.25">
      <c r="I101" s="3">
        <v>63639</v>
      </c>
      <c r="J101" s="5">
        <v>64278.214875787016</v>
      </c>
      <c r="K101" s="5">
        <v>-639.21487578701635</v>
      </c>
    </row>
    <row r="102" spans="9:11" x14ac:dyDescent="0.25">
      <c r="I102" s="3">
        <v>64989</v>
      </c>
      <c r="J102" s="5">
        <v>65128.805917220096</v>
      </c>
      <c r="K102" s="5">
        <v>-139.80591722009558</v>
      </c>
    </row>
    <row r="103" spans="9:11" x14ac:dyDescent="0.25">
      <c r="I103" s="3">
        <v>63761</v>
      </c>
      <c r="J103" s="5">
        <v>63678.322578787454</v>
      </c>
      <c r="K103" s="5">
        <v>82.677421212545596</v>
      </c>
    </row>
    <row r="104" spans="9:11" x14ac:dyDescent="0.25">
      <c r="I104" s="3">
        <v>66019</v>
      </c>
      <c r="J104" s="5">
        <v>65302.034626807916</v>
      </c>
      <c r="K104" s="5">
        <v>716.96537319208437</v>
      </c>
    </row>
    <row r="105" spans="9:11" x14ac:dyDescent="0.25">
      <c r="I105" s="3">
        <v>67857</v>
      </c>
      <c r="J105" s="5">
        <v>66634.455726041168</v>
      </c>
      <c r="K105" s="5">
        <v>1222.5442739588325</v>
      </c>
    </row>
    <row r="106" spans="9:11" x14ac:dyDescent="0.25">
      <c r="I106" s="3">
        <v>68169</v>
      </c>
      <c r="J106" s="5">
        <v>67839.539775579819</v>
      </c>
      <c r="K106" s="5">
        <v>329.46022442018148</v>
      </c>
    </row>
    <row r="107" spans="9:11" x14ac:dyDescent="0.25">
      <c r="I107" s="3">
        <v>66513</v>
      </c>
      <c r="J107" s="5">
        <v>66728.018078461668</v>
      </c>
      <c r="K107" s="5">
        <v>-215.01807846166776</v>
      </c>
    </row>
    <row r="108" spans="9:11" x14ac:dyDescent="0.25">
      <c r="I108" s="3">
        <v>68655</v>
      </c>
      <c r="J108" s="5">
        <v>68662.974759307792</v>
      </c>
      <c r="K108" s="5">
        <v>-7.9747593077918282</v>
      </c>
    </row>
    <row r="109" spans="9:11" x14ac:dyDescent="0.25">
      <c r="I109" s="3">
        <v>69564</v>
      </c>
      <c r="J109" s="5">
        <v>69484.279097064791</v>
      </c>
      <c r="K109" s="5">
        <v>79.720902935208869</v>
      </c>
    </row>
    <row r="110" spans="9:11" x14ac:dyDescent="0.25">
      <c r="I110" s="3">
        <v>69331</v>
      </c>
      <c r="J110" s="5">
        <v>69435.747491655246</v>
      </c>
      <c r="K110" s="5">
        <v>-104.74749165524554</v>
      </c>
    </row>
    <row r="111" spans="9:11" ht="15.75" thickBot="1" x14ac:dyDescent="0.3">
      <c r="I111" s="3">
        <v>70551</v>
      </c>
      <c r="J111" s="6">
        <v>71207.17296501041</v>
      </c>
      <c r="K111" s="6">
        <v>-656.17296501040983</v>
      </c>
    </row>
    <row r="114" spans="1:13" x14ac:dyDescent="0.25">
      <c r="A114" t="s">
        <v>37</v>
      </c>
    </row>
    <row r="115" spans="1:13" x14ac:dyDescent="0.25">
      <c r="B115" s="2" t="s">
        <v>1</v>
      </c>
      <c r="C115" s="2" t="s">
        <v>2</v>
      </c>
      <c r="D115" s="2" t="s">
        <v>3</v>
      </c>
      <c r="E115" s="2" t="s">
        <v>4</v>
      </c>
      <c r="F115" s="2" t="s">
        <v>5</v>
      </c>
    </row>
    <row r="116" spans="1:13" x14ac:dyDescent="0.25">
      <c r="B116" s="3">
        <v>60323</v>
      </c>
      <c r="C116" s="2">
        <v>830</v>
      </c>
      <c r="D116" s="3">
        <v>234289</v>
      </c>
      <c r="E116" s="3">
        <v>2356</v>
      </c>
      <c r="F116" s="3">
        <v>1590</v>
      </c>
      <c r="H116" t="s">
        <v>8</v>
      </c>
    </row>
    <row r="117" spans="1:13" ht="15.75" thickBot="1" x14ac:dyDescent="0.3">
      <c r="B117" s="3">
        <v>61122</v>
      </c>
      <c r="C117" s="2">
        <v>885</v>
      </c>
      <c r="D117" s="3">
        <v>259426</v>
      </c>
      <c r="E117" s="3">
        <v>2325</v>
      </c>
      <c r="F117" s="3">
        <v>1456</v>
      </c>
    </row>
    <row r="118" spans="1:13" x14ac:dyDescent="0.25">
      <c r="B118" s="3">
        <v>60171</v>
      </c>
      <c r="C118" s="2">
        <v>882</v>
      </c>
      <c r="D118" s="3">
        <v>258054</v>
      </c>
      <c r="E118" s="3">
        <v>3682</v>
      </c>
      <c r="F118" s="3">
        <v>1616</v>
      </c>
      <c r="H118" s="8" t="s">
        <v>9</v>
      </c>
      <c r="I118" s="8"/>
    </row>
    <row r="119" spans="1:13" x14ac:dyDescent="0.25">
      <c r="B119" s="3">
        <v>61187</v>
      </c>
      <c r="C119" s="2">
        <v>895</v>
      </c>
      <c r="D119" s="3">
        <v>284599</v>
      </c>
      <c r="E119" s="3">
        <v>3351</v>
      </c>
      <c r="F119" s="3">
        <v>1650</v>
      </c>
      <c r="H119" s="5" t="s">
        <v>10</v>
      </c>
      <c r="I119" s="5">
        <v>0.99272026252044632</v>
      </c>
    </row>
    <row r="120" spans="1:13" x14ac:dyDescent="0.25">
      <c r="B120" s="3">
        <v>63221</v>
      </c>
      <c r="C120" s="2">
        <v>962</v>
      </c>
      <c r="D120" s="3">
        <v>328975</v>
      </c>
      <c r="E120" s="3">
        <v>2099</v>
      </c>
      <c r="F120" s="3">
        <v>3099</v>
      </c>
      <c r="H120" s="5" t="s">
        <v>11</v>
      </c>
      <c r="I120" s="5">
        <v>0.98549351961866394</v>
      </c>
    </row>
    <row r="121" spans="1:13" x14ac:dyDescent="0.25">
      <c r="B121" s="3">
        <v>63639</v>
      </c>
      <c r="C121" s="2">
        <v>981</v>
      </c>
      <c r="D121" s="3">
        <v>346999</v>
      </c>
      <c r="E121" s="3">
        <v>1932</v>
      </c>
      <c r="F121" s="3">
        <v>3594</v>
      </c>
      <c r="H121" s="5" t="s">
        <v>12</v>
      </c>
      <c r="I121" s="5">
        <v>0.98021843584363255</v>
      </c>
    </row>
    <row r="122" spans="1:13" x14ac:dyDescent="0.25">
      <c r="B122" s="3">
        <v>64989</v>
      </c>
      <c r="C122" s="2">
        <v>990</v>
      </c>
      <c r="D122" s="3">
        <v>365385</v>
      </c>
      <c r="E122" s="3">
        <v>1870</v>
      </c>
      <c r="F122" s="3">
        <v>3547</v>
      </c>
      <c r="H122" s="5" t="s">
        <v>13</v>
      </c>
      <c r="I122" s="5">
        <v>493.94763292027858</v>
      </c>
    </row>
    <row r="123" spans="1:13" ht="15.75" thickBot="1" x14ac:dyDescent="0.3">
      <c r="B123" s="3">
        <v>63761</v>
      </c>
      <c r="C123" s="3">
        <v>1000</v>
      </c>
      <c r="D123" s="3">
        <v>363112</v>
      </c>
      <c r="E123" s="3">
        <v>3578</v>
      </c>
      <c r="F123" s="3">
        <v>3350</v>
      </c>
      <c r="H123" s="6" t="s">
        <v>14</v>
      </c>
      <c r="I123" s="6">
        <v>16</v>
      </c>
    </row>
    <row r="124" spans="1:13" x14ac:dyDescent="0.25">
      <c r="B124" s="3">
        <v>66019</v>
      </c>
      <c r="C124" s="3">
        <v>1012</v>
      </c>
      <c r="D124" s="3">
        <v>397469</v>
      </c>
      <c r="E124" s="3">
        <v>2904</v>
      </c>
      <c r="F124" s="3">
        <v>3048</v>
      </c>
    </row>
    <row r="125" spans="1:13" ht="15.75" thickBot="1" x14ac:dyDescent="0.3">
      <c r="B125" s="3">
        <v>67857</v>
      </c>
      <c r="C125" s="3">
        <v>1046</v>
      </c>
      <c r="D125" s="3">
        <v>419180</v>
      </c>
      <c r="E125" s="3">
        <v>2822</v>
      </c>
      <c r="F125" s="3">
        <v>2857</v>
      </c>
      <c r="H125" t="s">
        <v>15</v>
      </c>
    </row>
    <row r="126" spans="1:13" x14ac:dyDescent="0.25">
      <c r="B126" s="3">
        <v>68169</v>
      </c>
      <c r="C126" s="3">
        <v>1084</v>
      </c>
      <c r="D126" s="3">
        <v>442769</v>
      </c>
      <c r="E126" s="3">
        <v>2936</v>
      </c>
      <c r="F126" s="3">
        <v>2798</v>
      </c>
      <c r="H126" s="7"/>
      <c r="I126" s="7" t="s">
        <v>20</v>
      </c>
      <c r="J126" s="7" t="s">
        <v>21</v>
      </c>
      <c r="K126" s="7" t="s">
        <v>22</v>
      </c>
      <c r="L126" s="7" t="s">
        <v>23</v>
      </c>
      <c r="M126" s="7" t="s">
        <v>24</v>
      </c>
    </row>
    <row r="127" spans="1:13" x14ac:dyDescent="0.25">
      <c r="B127" s="3">
        <v>66513</v>
      </c>
      <c r="C127" s="3">
        <v>1108</v>
      </c>
      <c r="D127" s="3">
        <v>444546</v>
      </c>
      <c r="E127" s="3">
        <v>4681</v>
      </c>
      <c r="F127" s="3">
        <v>2637</v>
      </c>
      <c r="H127" s="5" t="s">
        <v>16</v>
      </c>
      <c r="I127" s="5">
        <v>4</v>
      </c>
      <c r="J127" s="5">
        <v>182324999.09525698</v>
      </c>
      <c r="K127" s="5">
        <v>45581249.773814246</v>
      </c>
      <c r="L127" s="5">
        <v>186.82044904828459</v>
      </c>
      <c r="M127" s="5">
        <v>4.9675338025831799E-10</v>
      </c>
    </row>
    <row r="128" spans="1:13" x14ac:dyDescent="0.25">
      <c r="B128" s="3">
        <v>68655</v>
      </c>
      <c r="C128" s="3">
        <v>1126</v>
      </c>
      <c r="D128" s="3">
        <v>482704</v>
      </c>
      <c r="E128" s="3">
        <v>3813</v>
      </c>
      <c r="F128" s="3">
        <v>2552</v>
      </c>
      <c r="H128" s="5" t="s">
        <v>17</v>
      </c>
      <c r="I128" s="5">
        <v>11</v>
      </c>
      <c r="J128" s="5">
        <v>2683826.9047430092</v>
      </c>
      <c r="K128" s="5">
        <v>243984.26406754629</v>
      </c>
      <c r="L128" s="5"/>
      <c r="M128" s="5"/>
    </row>
    <row r="129" spans="2:16" ht="15.75" thickBot="1" x14ac:dyDescent="0.3">
      <c r="B129" s="3">
        <v>69564</v>
      </c>
      <c r="C129" s="3">
        <v>1142</v>
      </c>
      <c r="D129" s="3">
        <v>502601</v>
      </c>
      <c r="E129" s="3">
        <v>3931</v>
      </c>
      <c r="F129" s="3">
        <v>2514</v>
      </c>
      <c r="H129" s="6" t="s">
        <v>18</v>
      </c>
      <c r="I129" s="6">
        <v>15</v>
      </c>
      <c r="J129" s="6">
        <v>185008826</v>
      </c>
      <c r="K129" s="6"/>
      <c r="L129" s="6"/>
      <c r="M129" s="6"/>
    </row>
    <row r="130" spans="2:16" ht="15.75" thickBot="1" x14ac:dyDescent="0.3">
      <c r="B130" s="3">
        <v>69331</v>
      </c>
      <c r="C130" s="3">
        <v>1157</v>
      </c>
      <c r="D130" s="3">
        <v>518173</v>
      </c>
      <c r="E130" s="3">
        <v>4806</v>
      </c>
      <c r="F130" s="3">
        <v>2572</v>
      </c>
    </row>
    <row r="131" spans="2:16" x14ac:dyDescent="0.25">
      <c r="B131" s="3">
        <v>70551</v>
      </c>
      <c r="C131" s="3">
        <v>1169</v>
      </c>
      <c r="D131" s="3">
        <v>554894</v>
      </c>
      <c r="E131" s="3">
        <v>4007</v>
      </c>
      <c r="F131" s="3">
        <v>2827</v>
      </c>
      <c r="H131" s="7"/>
      <c r="I131" s="7" t="s">
        <v>25</v>
      </c>
      <c r="J131" s="7" t="s">
        <v>13</v>
      </c>
      <c r="K131" s="7" t="s">
        <v>26</v>
      </c>
      <c r="L131" s="7" t="s">
        <v>27</v>
      </c>
      <c r="M131" s="7" t="s">
        <v>28</v>
      </c>
      <c r="N131" s="7" t="s">
        <v>29</v>
      </c>
      <c r="O131" s="7" t="s">
        <v>30</v>
      </c>
      <c r="P131" s="7" t="s">
        <v>31</v>
      </c>
    </row>
    <row r="132" spans="2:16" x14ac:dyDescent="0.25">
      <c r="H132" s="5" t="s">
        <v>19</v>
      </c>
      <c r="I132" s="5">
        <v>50083.570208578873</v>
      </c>
      <c r="J132" s="5">
        <v>5942.7194340000187</v>
      </c>
      <c r="K132" s="5">
        <v>8.4277191216593987</v>
      </c>
      <c r="L132" s="5">
        <v>3.9675029221289548E-6</v>
      </c>
      <c r="M132" s="5">
        <v>37003.732923756652</v>
      </c>
      <c r="N132" s="5">
        <v>63163.407493401093</v>
      </c>
      <c r="O132" s="5">
        <v>37003.732923756652</v>
      </c>
      <c r="P132" s="5">
        <v>63163.407493401093</v>
      </c>
    </row>
    <row r="133" spans="2:16" x14ac:dyDescent="0.25">
      <c r="H133" s="5" t="s">
        <v>2</v>
      </c>
      <c r="I133" s="5">
        <v>5.6262680845285544</v>
      </c>
      <c r="J133" s="5">
        <v>10.293969909837633</v>
      </c>
      <c r="K133" s="5">
        <v>0.54655960079616139</v>
      </c>
      <c r="L133" s="5">
        <v>0.59559379368379517</v>
      </c>
      <c r="M133" s="5">
        <v>-17.030606925453938</v>
      </c>
      <c r="N133" s="5">
        <v>28.283143094511047</v>
      </c>
      <c r="O133" s="5">
        <v>-17.030606925453938</v>
      </c>
      <c r="P133" s="5">
        <v>28.283143094511047</v>
      </c>
    </row>
    <row r="134" spans="2:16" x14ac:dyDescent="0.25">
      <c r="H134" s="5" t="s">
        <v>3</v>
      </c>
      <c r="I134" s="5">
        <v>3.5263252285247085E-2</v>
      </c>
      <c r="J134" s="5">
        <v>1.0360855540856568E-2</v>
      </c>
      <c r="K134" s="5">
        <v>3.4035077649902017</v>
      </c>
      <c r="L134" s="5">
        <v>5.8924612188479431E-3</v>
      </c>
      <c r="M134" s="5">
        <v>1.2459162993968553E-2</v>
      </c>
      <c r="N134" s="5">
        <v>5.8067341576525613E-2</v>
      </c>
      <c r="O134" s="5">
        <v>1.2459162993968553E-2</v>
      </c>
      <c r="P134" s="5">
        <v>5.8067341576525613E-2</v>
      </c>
    </row>
    <row r="135" spans="2:16" x14ac:dyDescent="0.25">
      <c r="H135" s="5" t="s">
        <v>4</v>
      </c>
      <c r="I135" s="5">
        <v>-0.85380191716332432</v>
      </c>
      <c r="J135" s="5">
        <v>0.24338828071094584</v>
      </c>
      <c r="K135" s="5">
        <v>-3.5079828604291814</v>
      </c>
      <c r="L135" s="5">
        <v>4.9009586960457726E-3</v>
      </c>
      <c r="M135" s="5">
        <v>-1.389495911148334</v>
      </c>
      <c r="N135" s="5">
        <v>-0.3181079231783146</v>
      </c>
      <c r="O135" s="5">
        <v>-1.389495911148334</v>
      </c>
      <c r="P135" s="5">
        <v>-0.3181079231783146</v>
      </c>
    </row>
    <row r="136" spans="2:16" ht="15.75" thickBot="1" x14ac:dyDescent="0.3">
      <c r="H136" s="6" t="s">
        <v>5</v>
      </c>
      <c r="I136" s="6">
        <v>-0.54954090309465797</v>
      </c>
      <c r="J136" s="6">
        <v>0.28995489870961633</v>
      </c>
      <c r="K136" s="6">
        <v>-1.8952633859275181</v>
      </c>
      <c r="L136" s="6">
        <v>8.4625915427860063E-2</v>
      </c>
      <c r="M136" s="6">
        <v>-1.1877273322503976</v>
      </c>
      <c r="N136" s="6">
        <v>8.864552606108167E-2</v>
      </c>
      <c r="O136" s="6">
        <v>-1.1877273322503976</v>
      </c>
      <c r="P136" s="6">
        <v>8.864552606108167E-2</v>
      </c>
    </row>
    <row r="140" spans="2:16" x14ac:dyDescent="0.25">
      <c r="H140" t="s">
        <v>32</v>
      </c>
    </row>
    <row r="141" spans="2:16" ht="15.75" thickBot="1" x14ac:dyDescent="0.3"/>
    <row r="142" spans="2:16" x14ac:dyDescent="0.25">
      <c r="H142" s="7" t="s">
        <v>0</v>
      </c>
      <c r="I142" s="7" t="s">
        <v>33</v>
      </c>
      <c r="J142" s="7" t="s">
        <v>34</v>
      </c>
    </row>
    <row r="143" spans="2:16" x14ac:dyDescent="0.25">
      <c r="H143" s="3">
        <v>60323</v>
      </c>
      <c r="I143" s="5">
        <v>60129.837480638525</v>
      </c>
      <c r="J143" s="5">
        <v>193.16251936147455</v>
      </c>
    </row>
    <row r="144" spans="2:16" x14ac:dyDescent="0.25">
      <c r="H144" s="3">
        <v>61122</v>
      </c>
      <c r="I144" s="5">
        <v>61425.800938428605</v>
      </c>
      <c r="J144" s="5">
        <v>-303.80093842860515</v>
      </c>
    </row>
    <row r="145" spans="1:10" x14ac:dyDescent="0.25">
      <c r="H145" s="3">
        <v>60171</v>
      </c>
      <c r="I145" s="5">
        <v>60114.005205953879</v>
      </c>
      <c r="J145" s="5">
        <v>56.99479404612066</v>
      </c>
    </row>
    <row r="146" spans="1:10" x14ac:dyDescent="0.25">
      <c r="H146" s="3">
        <v>61187</v>
      </c>
      <c r="I146" s="5">
        <v>61387.133766840481</v>
      </c>
      <c r="J146" s="5">
        <v>-200.13376684048126</v>
      </c>
    </row>
    <row r="147" spans="1:10" x14ac:dyDescent="0.25">
      <c r="H147" s="3">
        <v>63221</v>
      </c>
      <c r="I147" s="5">
        <v>63601.611043618344</v>
      </c>
      <c r="J147" s="5">
        <v>-380.61104361834441</v>
      </c>
    </row>
    <row r="148" spans="1:10" x14ac:dyDescent="0.25">
      <c r="H148" s="3">
        <v>63639</v>
      </c>
      <c r="I148" s="5">
        <v>64214.657169548089</v>
      </c>
      <c r="J148" s="5">
        <v>-575.65716954808886</v>
      </c>
    </row>
    <row r="149" spans="1:10" x14ac:dyDescent="0.25">
      <c r="H149" s="3">
        <v>64989</v>
      </c>
      <c r="I149" s="5">
        <v>64992.407880134982</v>
      </c>
      <c r="J149" s="5">
        <v>-3.4078801349824062</v>
      </c>
    </row>
    <row r="150" spans="1:10" x14ac:dyDescent="0.25">
      <c r="H150" s="3">
        <v>63761</v>
      </c>
      <c r="I150" s="5">
        <v>63618.483071930597</v>
      </c>
      <c r="J150" s="5">
        <v>142.51692806940264</v>
      </c>
    </row>
    <row r="151" spans="1:10" x14ac:dyDescent="0.25">
      <c r="H151" s="3">
        <v>66019</v>
      </c>
      <c r="I151" s="5">
        <v>65638.961692611818</v>
      </c>
      <c r="J151" s="5">
        <v>380.03830738818215</v>
      </c>
    </row>
    <row r="152" spans="1:10" x14ac:dyDescent="0.25">
      <c r="H152" s="3">
        <v>67857</v>
      </c>
      <c r="I152" s="5">
        <v>66770.829347549268</v>
      </c>
      <c r="J152" s="5">
        <v>1086.1706524507317</v>
      </c>
    </row>
    <row r="153" spans="1:10" x14ac:dyDescent="0.25">
      <c r="H153" s="3">
        <v>68169</v>
      </c>
      <c r="I153" s="5">
        <v>67751.541887644024</v>
      </c>
      <c r="J153" s="5">
        <v>417.45811235597648</v>
      </c>
    </row>
    <row r="154" spans="1:10" x14ac:dyDescent="0.25">
      <c r="H154" s="3">
        <v>66513</v>
      </c>
      <c r="I154" s="5">
        <v>66547.826860931818</v>
      </c>
      <c r="J154" s="5">
        <v>-34.826860931818374</v>
      </c>
    </row>
    <row r="155" spans="1:10" x14ac:dyDescent="0.25">
      <c r="H155" s="3">
        <v>68655</v>
      </c>
      <c r="I155" s="5">
        <v>68782.485908014613</v>
      </c>
      <c r="J155" s="5">
        <v>-127.48590801461251</v>
      </c>
    </row>
    <row r="156" spans="1:10" x14ac:dyDescent="0.25">
      <c r="H156" s="3">
        <v>69564</v>
      </c>
      <c r="I156" s="5">
        <v>69494.27305617895</v>
      </c>
      <c r="J156" s="5">
        <v>69.726943821049645</v>
      </c>
    </row>
    <row r="157" spans="1:10" x14ac:dyDescent="0.25">
      <c r="H157" s="3">
        <v>69331</v>
      </c>
      <c r="I157" s="5">
        <v>69348.836392135359</v>
      </c>
      <c r="J157" s="5">
        <v>-17.836392135359347</v>
      </c>
    </row>
    <row r="158" spans="1:10" ht="15.75" thickBot="1" x14ac:dyDescent="0.3">
      <c r="H158" s="3">
        <v>70551</v>
      </c>
      <c r="I158" s="6">
        <v>71253.308297840602</v>
      </c>
      <c r="J158" s="6">
        <v>-702.30829784060188</v>
      </c>
    </row>
    <row r="160" spans="1:10" x14ac:dyDescent="0.25">
      <c r="A160" t="s">
        <v>38</v>
      </c>
    </row>
    <row r="162" spans="2:5" x14ac:dyDescent="0.25">
      <c r="B162" s="2" t="s">
        <v>1</v>
      </c>
      <c r="C162" s="2" t="s">
        <v>4</v>
      </c>
      <c r="D162" s="2" t="s">
        <v>5</v>
      </c>
      <c r="E162" s="2" t="s">
        <v>6</v>
      </c>
    </row>
    <row r="163" spans="2:5" x14ac:dyDescent="0.25">
      <c r="B163" s="3">
        <v>60323</v>
      </c>
      <c r="C163" s="3">
        <v>2356</v>
      </c>
      <c r="D163" s="3">
        <v>1590</v>
      </c>
      <c r="E163" s="3">
        <v>107608</v>
      </c>
    </row>
    <row r="164" spans="2:5" x14ac:dyDescent="0.25">
      <c r="B164" s="3">
        <v>61122</v>
      </c>
      <c r="C164" s="3">
        <v>2325</v>
      </c>
      <c r="D164" s="3">
        <v>1456</v>
      </c>
      <c r="E164" s="3">
        <v>108632</v>
      </c>
    </row>
    <row r="165" spans="2:5" x14ac:dyDescent="0.25">
      <c r="B165" s="3">
        <v>60171</v>
      </c>
      <c r="C165" s="3">
        <v>3682</v>
      </c>
      <c r="D165" s="3">
        <v>1616</v>
      </c>
      <c r="E165" s="3">
        <v>109773</v>
      </c>
    </row>
    <row r="166" spans="2:5" x14ac:dyDescent="0.25">
      <c r="B166" s="3">
        <v>61187</v>
      </c>
      <c r="C166" s="3">
        <v>3351</v>
      </c>
      <c r="D166" s="3">
        <v>1650</v>
      </c>
      <c r="E166" s="3">
        <v>110929</v>
      </c>
    </row>
    <row r="167" spans="2:5" x14ac:dyDescent="0.25">
      <c r="B167" s="3">
        <v>63221</v>
      </c>
      <c r="C167" s="3">
        <v>2099</v>
      </c>
      <c r="D167" s="3">
        <v>3099</v>
      </c>
      <c r="E167" s="3">
        <v>112075</v>
      </c>
    </row>
    <row r="168" spans="2:5" x14ac:dyDescent="0.25">
      <c r="B168" s="3">
        <v>63639</v>
      </c>
      <c r="C168" s="3">
        <v>1932</v>
      </c>
      <c r="D168" s="3">
        <v>3594</v>
      </c>
      <c r="E168" s="3">
        <v>113270</v>
      </c>
    </row>
    <row r="169" spans="2:5" x14ac:dyDescent="0.25">
      <c r="B169" s="3">
        <v>64989</v>
      </c>
      <c r="C169" s="3">
        <v>1870</v>
      </c>
      <c r="D169" s="3">
        <v>3547</v>
      </c>
      <c r="E169" s="3">
        <v>115094</v>
      </c>
    </row>
    <row r="170" spans="2:5" x14ac:dyDescent="0.25">
      <c r="B170" s="3">
        <v>63761</v>
      </c>
      <c r="C170" s="3">
        <v>3578</v>
      </c>
      <c r="D170" s="3">
        <v>3350</v>
      </c>
      <c r="E170" s="3">
        <v>116219</v>
      </c>
    </row>
    <row r="171" spans="2:5" x14ac:dyDescent="0.25">
      <c r="B171" s="3">
        <v>66019</v>
      </c>
      <c r="C171" s="3">
        <v>2904</v>
      </c>
      <c r="D171" s="3">
        <v>3048</v>
      </c>
      <c r="E171" s="3">
        <v>117388</v>
      </c>
    </row>
    <row r="172" spans="2:5" x14ac:dyDescent="0.25">
      <c r="B172" s="3">
        <v>67857</v>
      </c>
      <c r="C172" s="3">
        <v>2822</v>
      </c>
      <c r="D172" s="3">
        <v>2857</v>
      </c>
      <c r="E172" s="3">
        <v>118734</v>
      </c>
    </row>
    <row r="173" spans="2:5" x14ac:dyDescent="0.25">
      <c r="B173" s="3">
        <v>68169</v>
      </c>
      <c r="C173" s="3">
        <v>2936</v>
      </c>
      <c r="D173" s="3">
        <v>2798</v>
      </c>
      <c r="E173" s="3">
        <v>120445</v>
      </c>
    </row>
    <row r="174" spans="2:5" x14ac:dyDescent="0.25">
      <c r="B174" s="3">
        <v>66513</v>
      </c>
      <c r="C174" s="3">
        <v>4681</v>
      </c>
      <c r="D174" s="3">
        <v>2637</v>
      </c>
      <c r="E174" s="3">
        <v>121950</v>
      </c>
    </row>
    <row r="175" spans="2:5" x14ac:dyDescent="0.25">
      <c r="B175" s="3">
        <v>68655</v>
      </c>
      <c r="C175" s="3">
        <v>3813</v>
      </c>
      <c r="D175" s="3">
        <v>2552</v>
      </c>
      <c r="E175" s="3">
        <v>123366</v>
      </c>
    </row>
    <row r="176" spans="2:5" x14ac:dyDescent="0.25">
      <c r="B176" s="3">
        <v>69564</v>
      </c>
      <c r="C176" s="3">
        <v>3931</v>
      </c>
      <c r="D176" s="3">
        <v>2514</v>
      </c>
      <c r="E176" s="3">
        <v>125368</v>
      </c>
    </row>
    <row r="177" spans="2:7" x14ac:dyDescent="0.25">
      <c r="B177" s="3">
        <v>69331</v>
      </c>
      <c r="C177" s="3">
        <v>4806</v>
      </c>
      <c r="D177" s="3">
        <v>2572</v>
      </c>
      <c r="E177" s="3">
        <v>127852</v>
      </c>
    </row>
    <row r="178" spans="2:7" x14ac:dyDescent="0.25">
      <c r="B178" s="3">
        <v>70551</v>
      </c>
      <c r="C178" s="3">
        <v>4007</v>
      </c>
      <c r="D178" s="3">
        <v>2827</v>
      </c>
      <c r="E178" s="3">
        <v>130081</v>
      </c>
    </row>
    <row r="181" spans="2:7" x14ac:dyDescent="0.25">
      <c r="B181" t="s">
        <v>8</v>
      </c>
    </row>
    <row r="182" spans="2:7" ht="15.75" thickBot="1" x14ac:dyDescent="0.3"/>
    <row r="183" spans="2:7" x14ac:dyDescent="0.25">
      <c r="B183" s="8" t="s">
        <v>9</v>
      </c>
      <c r="C183" s="8"/>
    </row>
    <row r="184" spans="2:7" x14ac:dyDescent="0.25">
      <c r="B184" s="5" t="s">
        <v>10</v>
      </c>
      <c r="C184" s="5">
        <v>0.98469626500766716</v>
      </c>
    </row>
    <row r="185" spans="2:7" x14ac:dyDescent="0.25">
      <c r="B185" s="5" t="s">
        <v>11</v>
      </c>
      <c r="C185" s="5">
        <v>0.96962673432004987</v>
      </c>
    </row>
    <row r="186" spans="2:7" x14ac:dyDescent="0.25">
      <c r="B186" s="5" t="s">
        <v>12</v>
      </c>
      <c r="C186" s="5">
        <v>0.96203341790006236</v>
      </c>
    </row>
    <row r="187" spans="2:7" x14ac:dyDescent="0.25">
      <c r="B187" s="5" t="s">
        <v>13</v>
      </c>
      <c r="C187" s="5">
        <v>684.30757127391553</v>
      </c>
    </row>
    <row r="188" spans="2:7" ht="15.75" thickBot="1" x14ac:dyDescent="0.3">
      <c r="B188" s="6" t="s">
        <v>14</v>
      </c>
      <c r="C188" s="6">
        <v>16</v>
      </c>
    </row>
    <row r="190" spans="2:7" ht="15.75" thickBot="1" x14ac:dyDescent="0.3">
      <c r="B190" t="s">
        <v>15</v>
      </c>
    </row>
    <row r="191" spans="2:7" x14ac:dyDescent="0.25">
      <c r="B191" s="7"/>
      <c r="C191" s="7" t="s">
        <v>20</v>
      </c>
      <c r="D191" s="7" t="s">
        <v>21</v>
      </c>
      <c r="E191" s="7" t="s">
        <v>22</v>
      </c>
      <c r="F191" s="7" t="s">
        <v>23</v>
      </c>
      <c r="G191" s="7" t="s">
        <v>24</v>
      </c>
    </row>
    <row r="192" spans="2:7" x14ac:dyDescent="0.25">
      <c r="B192" s="5" t="s">
        <v>16</v>
      </c>
      <c r="C192" s="5">
        <v>3</v>
      </c>
      <c r="D192" s="5">
        <v>179389503.77476633</v>
      </c>
      <c r="E192" s="5">
        <v>59796501.258255444</v>
      </c>
      <c r="F192" s="5">
        <v>127.69476216844429</v>
      </c>
      <c r="G192" s="5">
        <v>2.2723506608010152E-9</v>
      </c>
    </row>
    <row r="193" spans="2:10" x14ac:dyDescent="0.25">
      <c r="B193" s="5" t="s">
        <v>17</v>
      </c>
      <c r="C193" s="5">
        <v>12</v>
      </c>
      <c r="D193" s="5">
        <v>5619322.2252336601</v>
      </c>
      <c r="E193" s="5">
        <v>468276.85210280499</v>
      </c>
      <c r="F193" s="5"/>
      <c r="G193" s="5"/>
    </row>
    <row r="194" spans="2:10" ht="15.75" thickBot="1" x14ac:dyDescent="0.3">
      <c r="B194" s="6" t="s">
        <v>18</v>
      </c>
      <c r="C194" s="6">
        <v>15</v>
      </c>
      <c r="D194" s="6">
        <v>185008826</v>
      </c>
      <c r="E194" s="6"/>
      <c r="F194" s="6"/>
      <c r="G194" s="6"/>
    </row>
    <row r="195" spans="2:10" ht="15.75" thickBot="1" x14ac:dyDescent="0.3"/>
    <row r="196" spans="2:10" x14ac:dyDescent="0.25">
      <c r="B196" s="7"/>
      <c r="C196" s="7" t="s">
        <v>25</v>
      </c>
      <c r="D196" s="7" t="s">
        <v>13</v>
      </c>
      <c r="E196" s="7" t="s">
        <v>26</v>
      </c>
      <c r="F196" s="7" t="s">
        <v>27</v>
      </c>
      <c r="G196" s="7" t="s">
        <v>28</v>
      </c>
      <c r="H196" s="7" t="s">
        <v>29</v>
      </c>
      <c r="I196" s="7" t="s">
        <v>30</v>
      </c>
      <c r="J196" s="7" t="s">
        <v>31</v>
      </c>
    </row>
    <row r="197" spans="2:10" x14ac:dyDescent="0.25">
      <c r="B197" s="5" t="s">
        <v>19</v>
      </c>
      <c r="C197" s="5">
        <v>-1323.0914505594992</v>
      </c>
      <c r="D197" s="5">
        <v>4211.5662087042683</v>
      </c>
      <c r="E197" s="5">
        <v>-0.31415663080993372</v>
      </c>
      <c r="F197" s="5">
        <v>0.75879659211946393</v>
      </c>
      <c r="G197" s="5">
        <v>-10499.305939077327</v>
      </c>
      <c r="H197" s="5">
        <v>7853.1230379583285</v>
      </c>
      <c r="I197" s="5">
        <v>-10499.305939077327</v>
      </c>
      <c r="J197" s="5">
        <v>7853.1230379583285</v>
      </c>
    </row>
    <row r="198" spans="2:10" x14ac:dyDescent="0.25">
      <c r="B198" s="5" t="s">
        <v>4</v>
      </c>
      <c r="C198" s="5">
        <v>-1.2291807222132525</v>
      </c>
      <c r="D198" s="5">
        <v>0.33540514197798493</v>
      </c>
      <c r="E198" s="5">
        <v>-3.6647640968304906</v>
      </c>
      <c r="F198" s="5">
        <v>3.2378433790218185E-3</v>
      </c>
      <c r="G198" s="5">
        <v>-1.9599657486912443</v>
      </c>
      <c r="H198" s="5">
        <v>-0.49839569573526066</v>
      </c>
      <c r="I198" s="5">
        <v>-1.9599657486912443</v>
      </c>
      <c r="J198" s="5">
        <v>-0.49839569573526066</v>
      </c>
    </row>
    <row r="199" spans="2:10" x14ac:dyDescent="0.25">
      <c r="B199" s="5" t="s">
        <v>5</v>
      </c>
      <c r="C199" s="5">
        <v>-0.18929758093886281</v>
      </c>
      <c r="D199" s="5">
        <v>0.351638481952391</v>
      </c>
      <c r="E199" s="5">
        <v>-0.53833010507789691</v>
      </c>
      <c r="F199" s="5">
        <v>0.60019241425147163</v>
      </c>
      <c r="G199" s="5">
        <v>-0.95545201682144054</v>
      </c>
      <c r="H199" s="5">
        <v>0.57685685494371486</v>
      </c>
      <c r="I199" s="5">
        <v>-0.95545201682144054</v>
      </c>
      <c r="J199" s="5">
        <v>0.57685685494371486</v>
      </c>
    </row>
    <row r="200" spans="2:10" ht="15.75" thickBot="1" x14ac:dyDescent="0.3">
      <c r="B200" s="6" t="s">
        <v>6</v>
      </c>
      <c r="C200" s="6">
        <v>0.60514621588070305</v>
      </c>
      <c r="D200" s="6">
        <v>4.7616929604474396E-2</v>
      </c>
      <c r="E200" s="6">
        <v>12.708635792086845</v>
      </c>
      <c r="F200" s="6">
        <v>2.5453315078311178E-8</v>
      </c>
      <c r="G200" s="6">
        <v>0.50139783874911292</v>
      </c>
      <c r="H200" s="6">
        <v>0.70889459301229318</v>
      </c>
      <c r="I200" s="6">
        <v>0.50139783874911292</v>
      </c>
      <c r="J200" s="6">
        <v>0.70889459301229318</v>
      </c>
    </row>
    <row r="204" spans="2:10" x14ac:dyDescent="0.25">
      <c r="B204" t="s">
        <v>32</v>
      </c>
    </row>
    <row r="205" spans="2:10" ht="15.75" thickBot="1" x14ac:dyDescent="0.3"/>
    <row r="206" spans="2:10" x14ac:dyDescent="0.25">
      <c r="B206" s="7" t="s">
        <v>0</v>
      </c>
      <c r="C206" s="7" t="s">
        <v>33</v>
      </c>
      <c r="D206" s="7" t="s">
        <v>34</v>
      </c>
    </row>
    <row r="207" spans="2:10" x14ac:dyDescent="0.25">
      <c r="B207" s="3">
        <v>60323</v>
      </c>
      <c r="C207" s="5">
        <v>60598.549612703981</v>
      </c>
      <c r="D207" s="5">
        <v>-275.54961270398053</v>
      </c>
    </row>
    <row r="208" spans="2:10" x14ac:dyDescent="0.25">
      <c r="B208" s="3">
        <v>61122</v>
      </c>
      <c r="C208" s="5">
        <v>61281.689816000231</v>
      </c>
      <c r="D208" s="5">
        <v>-159.68981600023108</v>
      </c>
    </row>
    <row r="209" spans="2:4" x14ac:dyDescent="0.25">
      <c r="B209" s="3">
        <v>60171</v>
      </c>
      <c r="C209" s="5">
        <v>60273.875795326523</v>
      </c>
      <c r="D209" s="5">
        <v>-102.87579532652308</v>
      </c>
    </row>
    <row r="210" spans="2:4" x14ac:dyDescent="0.25">
      <c r="B210" s="3">
        <v>61187</v>
      </c>
      <c r="C210" s="5">
        <v>61373.847522185286</v>
      </c>
      <c r="D210" s="5">
        <v>-186.84752218528592</v>
      </c>
    </row>
    <row r="211" spans="2:4" x14ac:dyDescent="0.25">
      <c r="B211" s="3">
        <v>63221</v>
      </c>
      <c r="C211" s="5">
        <v>63331.987155015151</v>
      </c>
      <c r="D211" s="5">
        <v>-110.98715501515107</v>
      </c>
    </row>
    <row r="212" spans="2:4" x14ac:dyDescent="0.25">
      <c r="B212" s="3">
        <v>63639</v>
      </c>
      <c r="C212" s="5">
        <v>64166.707761037462</v>
      </c>
      <c r="D212" s="5">
        <v>-527.70776103746175</v>
      </c>
    </row>
    <row r="213" spans="2:4" x14ac:dyDescent="0.25">
      <c r="B213" s="3">
        <v>64989</v>
      </c>
      <c r="C213" s="5">
        <v>65355.600649885215</v>
      </c>
      <c r="D213" s="5">
        <v>-366.60064988521481</v>
      </c>
    </row>
    <row r="214" spans="2:4" x14ac:dyDescent="0.25">
      <c r="B214" s="3">
        <v>63761</v>
      </c>
      <c r="C214" s="5">
        <v>63974.241092655713</v>
      </c>
      <c r="D214" s="5">
        <v>-213.24109265571315</v>
      </c>
    </row>
    <row r="215" spans="2:4" x14ac:dyDescent="0.25">
      <c r="B215" s="3">
        <v>66019</v>
      </c>
      <c r="C215" s="5">
        <v>65567.292695235519</v>
      </c>
      <c r="D215" s="5">
        <v>451.7073047644808</v>
      </c>
    </row>
    <row r="216" spans="2:4" x14ac:dyDescent="0.25">
      <c r="B216" s="3">
        <v>67857</v>
      </c>
      <c r="C216" s="5">
        <v>66518.768158991763</v>
      </c>
      <c r="D216" s="5">
        <v>1338.2318410082371</v>
      </c>
    </row>
    <row r="217" spans="2:4" x14ac:dyDescent="0.25">
      <c r="B217" s="3">
        <v>68169</v>
      </c>
      <c r="C217" s="5">
        <v>67425.21528930674</v>
      </c>
      <c r="D217" s="5">
        <v>743.78471069326042</v>
      </c>
    </row>
    <row r="218" spans="2:4" x14ac:dyDescent="0.25">
      <c r="B218" s="3">
        <v>66513</v>
      </c>
      <c r="C218" s="5">
        <v>66221.516894476226</v>
      </c>
      <c r="D218" s="5">
        <v>291.4831055237737</v>
      </c>
    </row>
    <row r="219" spans="2:4" x14ac:dyDescent="0.25">
      <c r="B219" s="3">
        <v>68655</v>
      </c>
      <c r="C219" s="5">
        <v>68161.423097424209</v>
      </c>
      <c r="D219" s="5">
        <v>493.57690257579088</v>
      </c>
    </row>
    <row r="220" spans="2:4" x14ac:dyDescent="0.25">
      <c r="B220" s="3">
        <v>69564</v>
      </c>
      <c r="C220" s="5">
        <v>69235.075804471882</v>
      </c>
      <c r="D220" s="5">
        <v>328.92419552811771</v>
      </c>
    </row>
    <row r="221" spans="2:4" x14ac:dyDescent="0.25">
      <c r="B221" s="3">
        <v>69331</v>
      </c>
      <c r="C221" s="5">
        <v>69651.7466130885</v>
      </c>
      <c r="D221" s="5">
        <v>-320.74661308850045</v>
      </c>
    </row>
    <row r="222" spans="2:4" ht="15.75" thickBot="1" x14ac:dyDescent="0.3">
      <c r="B222" s="3">
        <v>70551</v>
      </c>
      <c r="C222" s="6">
        <v>71934.462042195562</v>
      </c>
      <c r="D222" s="6">
        <v>-1383.4620421955624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72F5-3D7A-428F-A0A7-05BB16D7735F}">
  <dimension ref="B3:Q41"/>
  <sheetViews>
    <sheetView tabSelected="1" topLeftCell="A16" zoomScale="120" zoomScaleNormal="120" workbookViewId="0">
      <selection activeCell="B13" sqref="B13"/>
    </sheetView>
  </sheetViews>
  <sheetFormatPr defaultRowHeight="15" x14ac:dyDescent="0.25"/>
  <sheetData>
    <row r="3" spans="2:17" x14ac:dyDescent="0.25">
      <c r="B3" s="15" t="s">
        <v>44</v>
      </c>
      <c r="C3" s="15"/>
      <c r="I3" s="15" t="s">
        <v>45</v>
      </c>
      <c r="J3" s="15"/>
      <c r="P3" s="15" t="s">
        <v>46</v>
      </c>
      <c r="Q3" s="15"/>
    </row>
    <row r="4" spans="2:17" x14ac:dyDescent="0.25">
      <c r="B4" t="s">
        <v>8</v>
      </c>
      <c r="I4" t="s">
        <v>8</v>
      </c>
      <c r="P4" t="s">
        <v>8</v>
      </c>
    </row>
    <row r="5" spans="2:17" ht="15.75" thickBot="1" x14ac:dyDescent="0.3"/>
    <row r="6" spans="2:17" x14ac:dyDescent="0.25">
      <c r="B6" s="8" t="s">
        <v>9</v>
      </c>
      <c r="C6" s="8"/>
      <c r="I6" s="8" t="s">
        <v>9</v>
      </c>
      <c r="J6" s="8"/>
      <c r="P6" s="8" t="s">
        <v>9</v>
      </c>
      <c r="Q6" s="8"/>
    </row>
    <row r="7" spans="2:17" x14ac:dyDescent="0.25">
      <c r="B7" s="5" t="s">
        <v>10</v>
      </c>
      <c r="C7" s="5">
        <v>0.99358351078595708</v>
      </c>
      <c r="I7" s="5" t="s">
        <v>10</v>
      </c>
      <c r="J7" s="5">
        <v>0.99039352380264334</v>
      </c>
      <c r="P7" s="5" t="s">
        <v>10</v>
      </c>
      <c r="Q7" s="5">
        <v>0.99272026252044632</v>
      </c>
    </row>
    <row r="8" spans="2:17" x14ac:dyDescent="0.25">
      <c r="B8" s="5" t="s">
        <v>11</v>
      </c>
      <c r="C8" s="5">
        <v>0.98720819290574802</v>
      </c>
      <c r="I8" s="5" t="s">
        <v>11</v>
      </c>
      <c r="J8" s="5">
        <v>0.98087933199021704</v>
      </c>
      <c r="P8" s="5" t="s">
        <v>11</v>
      </c>
      <c r="Q8" s="5">
        <v>0.98549351961866394</v>
      </c>
    </row>
    <row r="9" spans="2:17" x14ac:dyDescent="0.25">
      <c r="B9" s="5" t="s">
        <v>12</v>
      </c>
      <c r="C9" s="5">
        <v>0.98255662668965649</v>
      </c>
      <c r="I9" s="5" t="s">
        <v>12</v>
      </c>
      <c r="J9" s="5">
        <v>0.97392636180484149</v>
      </c>
      <c r="P9" s="5" t="s">
        <v>12</v>
      </c>
      <c r="Q9" s="5">
        <v>0.98021843584363255</v>
      </c>
    </row>
    <row r="10" spans="2:17" x14ac:dyDescent="0.25">
      <c r="B10" s="5" t="s">
        <v>13</v>
      </c>
      <c r="C10" s="5">
        <v>463.83747280172832</v>
      </c>
      <c r="I10" s="5" t="s">
        <v>13</v>
      </c>
      <c r="J10" s="5">
        <v>567.08924588845559</v>
      </c>
      <c r="P10" s="5" t="s">
        <v>13</v>
      </c>
      <c r="Q10" s="5">
        <v>493.94763292027858</v>
      </c>
    </row>
    <row r="11" spans="2:17" ht="15.75" thickBot="1" x14ac:dyDescent="0.3">
      <c r="B11" s="6" t="s">
        <v>14</v>
      </c>
      <c r="C11" s="6">
        <v>16</v>
      </c>
      <c r="I11" s="6" t="s">
        <v>14</v>
      </c>
      <c r="J11" s="6">
        <v>16</v>
      </c>
      <c r="P11" s="6" t="s">
        <v>14</v>
      </c>
      <c r="Q11" s="6">
        <v>16</v>
      </c>
    </row>
    <row r="13" spans="2:17" x14ac:dyDescent="0.25">
      <c r="B13" s="10" t="s">
        <v>49</v>
      </c>
    </row>
    <row r="33" spans="2:9" x14ac:dyDescent="0.25">
      <c r="B33" s="15" t="s">
        <v>47</v>
      </c>
      <c r="C33" s="15"/>
      <c r="H33" s="15" t="s">
        <v>48</v>
      </c>
      <c r="I33" s="15"/>
    </row>
    <row r="34" spans="2:9" x14ac:dyDescent="0.25">
      <c r="B34" t="s">
        <v>8</v>
      </c>
      <c r="H34" t="s">
        <v>8</v>
      </c>
    </row>
    <row r="35" spans="2:9" ht="15.75" thickBot="1" x14ac:dyDescent="0.3"/>
    <row r="36" spans="2:9" x14ac:dyDescent="0.25">
      <c r="B36" s="8" t="s">
        <v>9</v>
      </c>
      <c r="C36" s="8"/>
      <c r="H36" s="8" t="s">
        <v>9</v>
      </c>
      <c r="I36" s="8"/>
    </row>
    <row r="37" spans="2:9" x14ac:dyDescent="0.25">
      <c r="B37" s="5" t="s">
        <v>10</v>
      </c>
      <c r="C37" s="5">
        <v>0.98469626500766716</v>
      </c>
      <c r="H37" s="5" t="s">
        <v>10</v>
      </c>
      <c r="I37" s="5">
        <v>0.99366880637024702</v>
      </c>
    </row>
    <row r="38" spans="2:9" x14ac:dyDescent="0.25">
      <c r="B38" s="5" t="s">
        <v>11</v>
      </c>
      <c r="C38" s="5">
        <v>0.96962673432004987</v>
      </c>
      <c r="H38" s="5" t="s">
        <v>11</v>
      </c>
      <c r="I38" s="5">
        <v>0.98737769675327136</v>
      </c>
    </row>
    <row r="39" spans="2:9" x14ac:dyDescent="0.25">
      <c r="B39" s="5" t="s">
        <v>12</v>
      </c>
      <c r="C39" s="5">
        <v>0.96203341790006236</v>
      </c>
      <c r="H39" s="5" t="s">
        <v>12</v>
      </c>
      <c r="I39" s="5">
        <v>0.9810665451299071</v>
      </c>
    </row>
    <row r="40" spans="2:9" x14ac:dyDescent="0.25">
      <c r="B40" s="5" t="s">
        <v>13</v>
      </c>
      <c r="C40" s="5">
        <v>684.30757127391553</v>
      </c>
      <c r="H40" s="5" t="s">
        <v>13</v>
      </c>
      <c r="I40" s="5">
        <v>483.24295184650708</v>
      </c>
    </row>
    <row r="41" spans="2:9" ht="15.75" thickBot="1" x14ac:dyDescent="0.3">
      <c r="B41" s="6" t="s">
        <v>14</v>
      </c>
      <c r="C41" s="6">
        <v>16</v>
      </c>
      <c r="H41" s="6" t="s">
        <v>14</v>
      </c>
      <c r="I41" s="6">
        <v>16</v>
      </c>
    </row>
  </sheetData>
  <mergeCells count="5">
    <mergeCell ref="B3:C3"/>
    <mergeCell ref="I3:J3"/>
    <mergeCell ref="P3:Q3"/>
    <mergeCell ref="B33:C33"/>
    <mergeCell ref="H33:I3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83D11-ACA5-4AE9-9B20-5A05E60448BA}">
  <dimension ref="B2:T46"/>
  <sheetViews>
    <sheetView topLeftCell="A16" workbookViewId="0">
      <selection activeCell="L31" sqref="L31:N46"/>
    </sheetView>
  </sheetViews>
  <sheetFormatPr defaultRowHeight="15" x14ac:dyDescent="0.25"/>
  <sheetData>
    <row r="2" spans="2:1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2:17" x14ac:dyDescent="0.25">
      <c r="B3">
        <v>1947</v>
      </c>
      <c r="C3" s="16">
        <v>60323</v>
      </c>
      <c r="D3">
        <v>830</v>
      </c>
      <c r="E3" s="16">
        <v>234289</v>
      </c>
      <c r="F3" s="16">
        <v>2356</v>
      </c>
      <c r="G3" s="16">
        <v>1590</v>
      </c>
      <c r="H3" s="16">
        <v>107608</v>
      </c>
      <c r="I3">
        <v>1</v>
      </c>
      <c r="L3" t="s">
        <v>8</v>
      </c>
    </row>
    <row r="4" spans="2:17" ht="15.75" thickBot="1" x14ac:dyDescent="0.3">
      <c r="B4">
        <v>1948</v>
      </c>
      <c r="C4" s="16">
        <v>61122</v>
      </c>
      <c r="D4">
        <v>885</v>
      </c>
      <c r="E4" s="16">
        <v>259426</v>
      </c>
      <c r="F4" s="16">
        <v>2325</v>
      </c>
      <c r="G4" s="16">
        <v>1456</v>
      </c>
      <c r="H4" s="16">
        <v>108632</v>
      </c>
      <c r="I4">
        <v>2</v>
      </c>
    </row>
    <row r="5" spans="2:17" x14ac:dyDescent="0.25">
      <c r="B5">
        <v>1949</v>
      </c>
      <c r="C5" s="16">
        <v>60171</v>
      </c>
      <c r="D5">
        <v>882</v>
      </c>
      <c r="E5" s="16">
        <v>258054</v>
      </c>
      <c r="F5" s="16">
        <v>3682</v>
      </c>
      <c r="G5" s="16">
        <v>1616</v>
      </c>
      <c r="H5" s="16">
        <v>109773</v>
      </c>
      <c r="I5">
        <v>3</v>
      </c>
      <c r="L5" s="8" t="s">
        <v>9</v>
      </c>
      <c r="M5" s="8"/>
    </row>
    <row r="6" spans="2:17" x14ac:dyDescent="0.25">
      <c r="B6">
        <v>1950</v>
      </c>
      <c r="C6" s="16">
        <v>61187</v>
      </c>
      <c r="D6">
        <v>895</v>
      </c>
      <c r="E6" s="16">
        <v>284599</v>
      </c>
      <c r="F6" s="16">
        <v>3351</v>
      </c>
      <c r="G6" s="16">
        <v>1650</v>
      </c>
      <c r="H6" s="16">
        <v>110929</v>
      </c>
      <c r="I6">
        <v>4</v>
      </c>
      <c r="L6" s="5" t="s">
        <v>10</v>
      </c>
      <c r="M6" s="5">
        <v>0.99366880637024702</v>
      </c>
    </row>
    <row r="7" spans="2:17" x14ac:dyDescent="0.25">
      <c r="B7">
        <v>1951</v>
      </c>
      <c r="C7" s="16">
        <v>63221</v>
      </c>
      <c r="D7">
        <v>962</v>
      </c>
      <c r="E7" s="16">
        <v>328975</v>
      </c>
      <c r="F7" s="16">
        <v>2099</v>
      </c>
      <c r="G7" s="16">
        <v>3099</v>
      </c>
      <c r="H7" s="16">
        <v>112075</v>
      </c>
      <c r="I7">
        <v>5</v>
      </c>
      <c r="L7" s="5" t="s">
        <v>11</v>
      </c>
      <c r="M7" s="5">
        <v>0.98737769675327136</v>
      </c>
    </row>
    <row r="8" spans="2:17" x14ac:dyDescent="0.25">
      <c r="B8">
        <v>1952</v>
      </c>
      <c r="C8" s="16">
        <v>63639</v>
      </c>
      <c r="D8">
        <v>981</v>
      </c>
      <c r="E8" s="16">
        <v>346999</v>
      </c>
      <c r="F8" s="16">
        <v>1932</v>
      </c>
      <c r="G8" s="16">
        <v>3594</v>
      </c>
      <c r="H8" s="16">
        <v>113270</v>
      </c>
      <c r="I8">
        <v>6</v>
      </c>
      <c r="L8" s="5" t="s">
        <v>12</v>
      </c>
      <c r="M8" s="5">
        <v>0.9810665451299071</v>
      </c>
    </row>
    <row r="9" spans="2:17" x14ac:dyDescent="0.25">
      <c r="B9">
        <v>1953</v>
      </c>
      <c r="C9" s="16">
        <v>64989</v>
      </c>
      <c r="D9">
        <v>990</v>
      </c>
      <c r="E9" s="16">
        <v>365385</v>
      </c>
      <c r="F9" s="16">
        <v>1870</v>
      </c>
      <c r="G9" s="16">
        <v>3547</v>
      </c>
      <c r="H9" s="16">
        <v>115094</v>
      </c>
      <c r="I9">
        <v>7</v>
      </c>
      <c r="L9" s="5" t="s">
        <v>13</v>
      </c>
      <c r="M9" s="5">
        <v>483.24295184650708</v>
      </c>
    </row>
    <row r="10" spans="2:17" ht="15.75" thickBot="1" x14ac:dyDescent="0.3">
      <c r="B10">
        <v>1954</v>
      </c>
      <c r="C10" s="16">
        <v>63761</v>
      </c>
      <c r="D10" s="16">
        <v>1000</v>
      </c>
      <c r="E10" s="16">
        <v>363112</v>
      </c>
      <c r="F10" s="16">
        <v>3578</v>
      </c>
      <c r="G10" s="16">
        <v>3350</v>
      </c>
      <c r="H10" s="16">
        <v>116219</v>
      </c>
      <c r="I10">
        <v>8</v>
      </c>
      <c r="L10" s="6" t="s">
        <v>14</v>
      </c>
      <c r="M10" s="6">
        <v>16</v>
      </c>
    </row>
    <row r="11" spans="2:17" x14ac:dyDescent="0.25">
      <c r="B11">
        <v>1955</v>
      </c>
      <c r="C11" s="16">
        <v>66019</v>
      </c>
      <c r="D11" s="16">
        <v>1012</v>
      </c>
      <c r="E11" s="16">
        <v>397469</v>
      </c>
      <c r="F11" s="16">
        <v>2904</v>
      </c>
      <c r="G11" s="16">
        <v>3048</v>
      </c>
      <c r="H11" s="16">
        <v>117388</v>
      </c>
      <c r="I11">
        <v>9</v>
      </c>
    </row>
    <row r="12" spans="2:17" ht="15.75" thickBot="1" x14ac:dyDescent="0.3">
      <c r="B12">
        <v>1956</v>
      </c>
      <c r="C12" s="16">
        <v>67857</v>
      </c>
      <c r="D12" s="16">
        <v>1046</v>
      </c>
      <c r="E12" s="16">
        <v>419180</v>
      </c>
      <c r="F12" s="16">
        <v>2822</v>
      </c>
      <c r="G12" s="16">
        <v>2857</v>
      </c>
      <c r="H12" s="16">
        <v>118734</v>
      </c>
      <c r="I12">
        <v>10</v>
      </c>
      <c r="L12" t="s">
        <v>15</v>
      </c>
    </row>
    <row r="13" spans="2:17" x14ac:dyDescent="0.25">
      <c r="B13">
        <v>1957</v>
      </c>
      <c r="C13" s="16">
        <v>68169</v>
      </c>
      <c r="D13" s="16">
        <v>1084</v>
      </c>
      <c r="E13" s="16">
        <v>442769</v>
      </c>
      <c r="F13" s="16">
        <v>2936</v>
      </c>
      <c r="G13" s="16">
        <v>2798</v>
      </c>
      <c r="H13" s="16">
        <v>120445</v>
      </c>
      <c r="I13">
        <v>11</v>
      </c>
      <c r="L13" s="7"/>
      <c r="M13" s="7" t="s">
        <v>20</v>
      </c>
      <c r="N13" s="7" t="s">
        <v>21</v>
      </c>
      <c r="O13" s="7" t="s">
        <v>22</v>
      </c>
      <c r="P13" s="7" t="s">
        <v>23</v>
      </c>
      <c r="Q13" s="7" t="s">
        <v>24</v>
      </c>
    </row>
    <row r="14" spans="2:17" x14ac:dyDescent="0.25">
      <c r="B14">
        <v>1958</v>
      </c>
      <c r="C14" s="16">
        <v>66513</v>
      </c>
      <c r="D14" s="16">
        <v>1108</v>
      </c>
      <c r="E14" s="16">
        <v>444546</v>
      </c>
      <c r="F14" s="16">
        <v>4681</v>
      </c>
      <c r="G14" s="16">
        <v>2637</v>
      </c>
      <c r="H14" s="16">
        <v>121950</v>
      </c>
      <c r="I14">
        <v>12</v>
      </c>
      <c r="L14" s="5" t="s">
        <v>16</v>
      </c>
      <c r="M14" s="5">
        <v>5</v>
      </c>
      <c r="N14" s="5">
        <v>182673588.49490675</v>
      </c>
      <c r="O14" s="5">
        <v>36534717.698981352</v>
      </c>
      <c r="P14" s="5">
        <v>156.44968710590476</v>
      </c>
      <c r="Q14" s="5">
        <v>3.6993072427882764E-9</v>
      </c>
    </row>
    <row r="15" spans="2:17" x14ac:dyDescent="0.25">
      <c r="B15">
        <v>1959</v>
      </c>
      <c r="C15" s="16">
        <v>68655</v>
      </c>
      <c r="D15" s="16">
        <v>1126</v>
      </c>
      <c r="E15" s="16">
        <v>482704</v>
      </c>
      <c r="F15" s="16">
        <v>3813</v>
      </c>
      <c r="G15" s="16">
        <v>2552</v>
      </c>
      <c r="H15" s="16">
        <v>123366</v>
      </c>
      <c r="I15">
        <v>13</v>
      </c>
      <c r="L15" s="5" t="s">
        <v>17</v>
      </c>
      <c r="M15" s="5">
        <v>10</v>
      </c>
      <c r="N15" s="5">
        <v>2335237.5050932555</v>
      </c>
      <c r="O15" s="5">
        <v>233523.75050932556</v>
      </c>
      <c r="P15" s="5"/>
      <c r="Q15" s="5"/>
    </row>
    <row r="16" spans="2:17" ht="15.75" thickBot="1" x14ac:dyDescent="0.3">
      <c r="B16">
        <v>1960</v>
      </c>
      <c r="C16" s="16">
        <v>69564</v>
      </c>
      <c r="D16" s="16">
        <v>1142</v>
      </c>
      <c r="E16" s="16">
        <v>502601</v>
      </c>
      <c r="F16" s="16">
        <v>3931</v>
      </c>
      <c r="G16" s="16">
        <v>2514</v>
      </c>
      <c r="H16" s="16">
        <v>125368</v>
      </c>
      <c r="I16">
        <v>14</v>
      </c>
      <c r="L16" s="6" t="s">
        <v>18</v>
      </c>
      <c r="M16" s="6">
        <v>15</v>
      </c>
      <c r="N16" s="6">
        <v>185008826</v>
      </c>
      <c r="O16" s="6"/>
      <c r="P16" s="6"/>
      <c r="Q16" s="6"/>
    </row>
    <row r="17" spans="2:20" ht="15.75" thickBot="1" x14ac:dyDescent="0.3">
      <c r="B17">
        <v>1961</v>
      </c>
      <c r="C17" s="16">
        <v>69331</v>
      </c>
      <c r="D17" s="16">
        <v>1157</v>
      </c>
      <c r="E17" s="16">
        <v>518173</v>
      </c>
      <c r="F17" s="16">
        <v>4806</v>
      </c>
      <c r="G17" s="16">
        <v>2572</v>
      </c>
      <c r="H17" s="16">
        <v>127852</v>
      </c>
      <c r="I17">
        <v>15</v>
      </c>
    </row>
    <row r="18" spans="2:20" x14ac:dyDescent="0.25">
      <c r="B18">
        <v>1962</v>
      </c>
      <c r="C18" s="16">
        <v>70551</v>
      </c>
      <c r="D18" s="16">
        <v>1169</v>
      </c>
      <c r="E18" s="16">
        <v>554894</v>
      </c>
      <c r="F18" s="16">
        <v>4007</v>
      </c>
      <c r="G18" s="16">
        <v>2827</v>
      </c>
      <c r="H18" s="16">
        <v>130081</v>
      </c>
      <c r="I18">
        <v>16</v>
      </c>
      <c r="L18" s="7"/>
      <c r="M18" s="7" t="s">
        <v>25</v>
      </c>
      <c r="N18" s="7" t="s">
        <v>13</v>
      </c>
      <c r="O18" s="7" t="s">
        <v>26</v>
      </c>
      <c r="P18" s="7" t="s">
        <v>27</v>
      </c>
      <c r="Q18" s="7" t="s">
        <v>28</v>
      </c>
      <c r="R18" s="7" t="s">
        <v>29</v>
      </c>
      <c r="S18" s="7" t="s">
        <v>30</v>
      </c>
      <c r="T18" s="7" t="s">
        <v>31</v>
      </c>
    </row>
    <row r="19" spans="2:20" x14ac:dyDescent="0.25">
      <c r="L19" s="5" t="s">
        <v>19</v>
      </c>
      <c r="M19" s="5">
        <v>92461.307824384217</v>
      </c>
      <c r="N19" s="5">
        <v>35169.247883731987</v>
      </c>
      <c r="O19" s="5">
        <v>2.6290385319031362</v>
      </c>
      <c r="P19" s="5">
        <v>2.5203708096065626E-2</v>
      </c>
      <c r="Q19" s="5">
        <v>14099.340219504913</v>
      </c>
      <c r="R19" s="5">
        <v>170823.27542926354</v>
      </c>
      <c r="S19" s="5">
        <v>14099.340219504913</v>
      </c>
      <c r="T19" s="5">
        <v>170823.27542926354</v>
      </c>
    </row>
    <row r="20" spans="2:20" x14ac:dyDescent="0.25">
      <c r="L20" s="5" t="s">
        <v>2</v>
      </c>
      <c r="M20" s="5">
        <v>-4.8462828183799243</v>
      </c>
      <c r="N20" s="5">
        <v>13.224774625395867</v>
      </c>
      <c r="O20" s="5">
        <v>-0.36645485126631089</v>
      </c>
      <c r="P20" s="5">
        <v>0.72166021890955845</v>
      </c>
      <c r="Q20" s="5">
        <v>-34.312916969986681</v>
      </c>
      <c r="R20" s="5">
        <v>24.620351333226836</v>
      </c>
      <c r="S20" s="5">
        <v>-34.312916969986681</v>
      </c>
      <c r="T20" s="5">
        <v>24.620351333226836</v>
      </c>
    </row>
    <row r="21" spans="2:20" x14ac:dyDescent="0.25">
      <c r="L21" s="5" t="s">
        <v>3</v>
      </c>
      <c r="M21" s="5">
        <v>7.2003849321590999E-2</v>
      </c>
      <c r="N21" s="5">
        <v>3.1733865494845893E-2</v>
      </c>
      <c r="O21" s="5">
        <v>2.2689908146640887</v>
      </c>
      <c r="P21" s="5">
        <v>4.6650515449720181E-2</v>
      </c>
      <c r="Q21" s="5">
        <v>1.2963906888182192E-3</v>
      </c>
      <c r="R21" s="5">
        <v>0.14271130795436376</v>
      </c>
      <c r="S21" s="5">
        <v>1.2963906888182192E-3</v>
      </c>
      <c r="T21" s="5">
        <v>0.14271130795436376</v>
      </c>
    </row>
    <row r="22" spans="2:20" x14ac:dyDescent="0.25">
      <c r="L22" s="5" t="s">
        <v>4</v>
      </c>
      <c r="M22" s="5">
        <v>-0.40387105872030504</v>
      </c>
      <c r="N22" s="5">
        <v>0.43853543803053818</v>
      </c>
      <c r="O22" s="5">
        <v>-0.92095421189696591</v>
      </c>
      <c r="P22" s="5">
        <v>0.37875618215966356</v>
      </c>
      <c r="Q22" s="5">
        <v>-1.3809889061689664</v>
      </c>
      <c r="R22" s="5">
        <v>0.57324678872835622</v>
      </c>
      <c r="S22" s="5">
        <v>-1.3809889061689664</v>
      </c>
      <c r="T22" s="5">
        <v>0.57324678872835622</v>
      </c>
    </row>
    <row r="23" spans="2:20" x14ac:dyDescent="0.25">
      <c r="L23" s="5" t="s">
        <v>5</v>
      </c>
      <c r="M23" s="5">
        <v>-0.56049558221542439</v>
      </c>
      <c r="N23" s="5">
        <v>0.2838127504328794</v>
      </c>
      <c r="O23" s="5">
        <v>-1.9748780890236268</v>
      </c>
      <c r="P23" s="5">
        <v>7.652156572902015E-2</v>
      </c>
      <c r="Q23" s="5">
        <v>-1.1928697981440073</v>
      </c>
      <c r="R23" s="5">
        <v>7.1878633713158502E-2</v>
      </c>
      <c r="S23" s="5">
        <v>-1.1928697981440073</v>
      </c>
      <c r="T23" s="5">
        <v>7.1878633713158502E-2</v>
      </c>
    </row>
    <row r="24" spans="2:20" ht="15.75" thickBot="1" x14ac:dyDescent="0.3">
      <c r="L24" s="6" t="s">
        <v>6</v>
      </c>
      <c r="M24" s="6">
        <v>-0.40350868156356956</v>
      </c>
      <c r="N24" s="6">
        <v>0.33026406603520597</v>
      </c>
      <c r="O24" s="6">
        <v>-1.2217759152779151</v>
      </c>
      <c r="P24" s="6">
        <v>0.24981148693534125</v>
      </c>
      <c r="Q24" s="6">
        <v>-1.1393828785115725</v>
      </c>
      <c r="R24" s="6">
        <v>0.33236551538443337</v>
      </c>
      <c r="S24" s="6">
        <v>-1.1393828785115725</v>
      </c>
      <c r="T24" s="6">
        <v>0.33236551538443337</v>
      </c>
    </row>
    <row r="28" spans="2:20" x14ac:dyDescent="0.25">
      <c r="L28" t="s">
        <v>32</v>
      </c>
    </row>
    <row r="29" spans="2:20" ht="15.75" thickBot="1" x14ac:dyDescent="0.3"/>
    <row r="30" spans="2:20" x14ac:dyDescent="0.25">
      <c r="L30" s="7" t="s">
        <v>0</v>
      </c>
      <c r="M30" s="7" t="s">
        <v>33</v>
      </c>
      <c r="N30" s="7" t="s">
        <v>34</v>
      </c>
    </row>
    <row r="31" spans="2:20" x14ac:dyDescent="0.25">
      <c r="K31">
        <v>100</v>
      </c>
      <c r="L31" s="16">
        <v>603.23</v>
      </c>
      <c r="M31" s="5">
        <v>600.45132543074942</v>
      </c>
      <c r="N31" s="5">
        <v>2.7786745692505792</v>
      </c>
    </row>
    <row r="32" spans="2:20" x14ac:dyDescent="0.25">
      <c r="L32" s="16">
        <v>611.22</v>
      </c>
      <c r="M32" s="5">
        <v>612.62981269376996</v>
      </c>
      <c r="N32" s="5">
        <v>-1.40981269377</v>
      </c>
    </row>
    <row r="33" spans="12:14" x14ac:dyDescent="0.25">
      <c r="L33" s="16">
        <v>601.71</v>
      </c>
      <c r="M33" s="5">
        <v>600.80595111060961</v>
      </c>
      <c r="N33" s="5">
        <v>0.90404888939039663</v>
      </c>
    </row>
    <row r="34" spans="12:14" x14ac:dyDescent="0.25">
      <c r="L34" s="16">
        <v>611.87</v>
      </c>
      <c r="M34" s="5">
        <v>615.77104049417278</v>
      </c>
      <c r="N34" s="5">
        <v>-3.9010404941727757</v>
      </c>
    </row>
    <row r="35" spans="12:14" x14ac:dyDescent="0.25">
      <c r="L35" s="16">
        <v>632.21</v>
      </c>
      <c r="M35" s="5">
        <v>636.78713435896543</v>
      </c>
      <c r="N35" s="5">
        <v>-4.577134358965413</v>
      </c>
    </row>
    <row r="36" spans="12:14" x14ac:dyDescent="0.25">
      <c r="L36" s="16">
        <v>636.39</v>
      </c>
      <c r="M36" s="5">
        <v>641.92239721660883</v>
      </c>
      <c r="N36" s="5">
        <v>-5.532397216608806</v>
      </c>
    </row>
    <row r="37" spans="12:14" x14ac:dyDescent="0.25">
      <c r="L37" s="16">
        <v>649.89</v>
      </c>
      <c r="M37" s="5">
        <v>647.8786941275506</v>
      </c>
      <c r="N37" s="5">
        <v>2.0113058724493751</v>
      </c>
    </row>
    <row r="38" spans="12:14" x14ac:dyDescent="0.25">
      <c r="L38" s="16">
        <v>637.61</v>
      </c>
      <c r="M38" s="5">
        <v>635.42400429706413</v>
      </c>
      <c r="N38" s="5">
        <v>2.1859957029358337</v>
      </c>
    </row>
    <row r="39" spans="12:14" x14ac:dyDescent="0.25">
      <c r="L39" s="16">
        <v>660.19</v>
      </c>
      <c r="M39" s="5">
        <v>659.27858397686509</v>
      </c>
      <c r="N39" s="5">
        <v>0.9114160231349524</v>
      </c>
    </row>
    <row r="40" spans="12:14" x14ac:dyDescent="0.25">
      <c r="L40" s="16">
        <v>678.57</v>
      </c>
      <c r="M40" s="5">
        <v>669.23409752116288</v>
      </c>
      <c r="N40" s="5">
        <v>9.3359024788370881</v>
      </c>
    </row>
    <row r="41" spans="12:14" x14ac:dyDescent="0.25">
      <c r="L41" s="16">
        <v>681.69</v>
      </c>
      <c r="M41" s="5">
        <v>677.34374391166205</v>
      </c>
      <c r="N41" s="5">
        <v>4.3462560883379773</v>
      </c>
    </row>
    <row r="42" spans="12:14" x14ac:dyDescent="0.25">
      <c r="L42" s="16">
        <v>665.13</v>
      </c>
      <c r="M42" s="5">
        <v>665.2421866928612</v>
      </c>
      <c r="N42" s="5">
        <v>-0.11218669286114163</v>
      </c>
    </row>
    <row r="43" spans="12:14" x14ac:dyDescent="0.25">
      <c r="L43" s="16">
        <v>686.55</v>
      </c>
      <c r="M43" s="5">
        <v>690.1134237133208</v>
      </c>
      <c r="N43" s="5">
        <v>-3.563423713320808</v>
      </c>
    </row>
    <row r="44" spans="12:14" x14ac:dyDescent="0.25">
      <c r="L44" s="16">
        <v>695.64</v>
      </c>
      <c r="M44" s="5">
        <v>695.32280102894617</v>
      </c>
      <c r="N44" s="5">
        <v>0.31719897105387646</v>
      </c>
    </row>
    <row r="45" spans="12:14" x14ac:dyDescent="0.25">
      <c r="L45" s="16">
        <v>693.31</v>
      </c>
      <c r="M45" s="5">
        <v>691.92618317102063</v>
      </c>
      <c r="N45" s="5">
        <v>1.3838168289793247</v>
      </c>
    </row>
    <row r="46" spans="12:14" ht="15.75" thickBot="1" x14ac:dyDescent="0.3">
      <c r="L46" s="16">
        <v>705.51</v>
      </c>
      <c r="M46" s="6">
        <v>710.58862025467033</v>
      </c>
      <c r="N46" s="6">
        <v>-5.078620254670386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Sheet5</vt:lpstr>
      <vt:lpstr>Sheet6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StatLab</dc:creator>
  <cp:lastModifiedBy>StatLab</cp:lastModifiedBy>
  <dcterms:created xsi:type="dcterms:W3CDTF">2021-12-28T03:08:14Z</dcterms:created>
  <dcterms:modified xsi:type="dcterms:W3CDTF">2022-01-07T04:02:15Z</dcterms:modified>
</cp:coreProperties>
</file>