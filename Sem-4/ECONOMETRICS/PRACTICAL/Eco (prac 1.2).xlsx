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Lab\Documents\Dhruvi\"/>
    </mc:Choice>
  </mc:AlternateContent>
  <xr:revisionPtr revIDLastSave="0" documentId="13_ncr:1_{1CC1C7E1-D542-4150-8FB3-5A5AA81AF0E0}" xr6:coauthVersionLast="47" xr6:coauthVersionMax="47" xr10:uidLastSave="{00000000-0000-0000-0000-000000000000}"/>
  <bookViews>
    <workbookView xWindow="-120" yWindow="-120" windowWidth="29040" windowHeight="15840" xr2:uid="{7A77F187-B74A-4315-84D8-C93D4BBC2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P19" i="1"/>
  <c r="R21" i="1"/>
  <c r="O20" i="1"/>
  <c r="O29" i="1" s="1"/>
  <c r="P20" i="1"/>
  <c r="P29" i="1" s="1"/>
  <c r="Q20" i="1"/>
  <c r="O21" i="1"/>
  <c r="O30" i="1" s="1"/>
  <c r="P21" i="1"/>
  <c r="P30" i="1" s="1"/>
  <c r="Q21" i="1"/>
  <c r="Q30" i="1" s="1"/>
  <c r="O22" i="1"/>
  <c r="O31" i="1" s="1"/>
  <c r="P22" i="1"/>
  <c r="P31" i="1" s="1"/>
  <c r="Q22" i="1"/>
  <c r="Q31" i="1" s="1"/>
  <c r="R22" i="1"/>
  <c r="R31" i="1" s="1"/>
  <c r="S22" i="1"/>
  <c r="O28" i="1"/>
</calcChain>
</file>

<file path=xl/sharedStrings.xml><?xml version="1.0" encoding="utf-8"?>
<sst xmlns="http://schemas.openxmlformats.org/spreadsheetml/2006/main" count="71" uniqueCount="36">
  <si>
    <t>Observation</t>
  </si>
  <si>
    <t>Y</t>
  </si>
  <si>
    <t>X1</t>
  </si>
  <si>
    <t>X2</t>
  </si>
  <si>
    <t>X3</t>
  </si>
  <si>
    <t>X4</t>
  </si>
  <si>
    <t>X5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</si>
  <si>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</si>
  <si>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</si>
  <si>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</si>
  <si>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</si>
  <si>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</si>
  <si>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</si>
  <si>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</si>
  <si>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</si>
  <si>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</si>
  <si>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</si>
  <si>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</si>
  <si>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</si>
  <si>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</si>
  <si>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</si>
  <si>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</si>
  <si>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</si>
  <si>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</si>
  <si>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</si>
  <si>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</si>
  <si>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</si>
  <si>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</si>
  <si>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</si>
  <si>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Upper 95.0%</t>
  </si>
  <si>
    <t>RESIDUAL OUTPUT</t>
  </si>
  <si>
    <t>Predicted Y</t>
  </si>
  <si>
    <t>Residuals</t>
  </si>
  <si>
    <t>co-efficient</t>
  </si>
  <si>
    <t>VIF=</t>
  </si>
  <si>
    <r>
      <t>R</t>
    </r>
    <r>
      <rPr>
        <b/>
        <u/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</si>
</sst>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Sheet1!$D$78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Sheet1!$D$79:$D$124</c:f>
              <c:numCache>
                <c:formatCode>General</c:formatCode>
                <c:ptCount val="46"/>
                <c:pt idx="0">
                  <c:v>3.1452898563471536</c:v>
                </c:pt>
                <c:pt idx="1">
                  <c:v>5.679531563757191</c:v>
                </c:pt>
                <c:pt idx="2">
                  <c:v>7.9891161551335248</c:v>
                </c:pt>
                <c:pt idx="3">
                  <c:v>-0.17698900618735933</c:v>
                </c:pt>
                <c:pt idx="4">
                  <c:v>-3.2604588400767534</c:v>
                </c:pt>
                <c:pt idx="5">
                  <c:v>-5.3196329024483564</c:v>
                </c:pt>
                <c:pt idx="6">
                  <c:v>-6.9307956799729435</c:v>
                </c:pt>
                <c:pt idx="7">
                  <c:v>-5.3885211644315856</c:v>
                </c:pt>
                <c:pt idx="8">
                  <c:v>-1.2081474896878353</c:v>
                </c:pt>
                <c:pt idx="9">
                  <c:v>-3.079825016532268</c:v>
                </c:pt>
                <c:pt idx="10">
                  <c:v>-0.415100936559611</c:v>
                </c:pt>
                <c:pt idx="11">
                  <c:v>1.7269493622658774</c:v>
                </c:pt>
                <c:pt idx="12">
                  <c:v>-2.6599906113509495</c:v>
                </c:pt>
                <c:pt idx="13">
                  <c:v>-0.10165440441545798</c:v>
                </c:pt>
                <c:pt idx="14">
                  <c:v>-0.68298098844868949</c:v>
                </c:pt>
                <c:pt idx="15">
                  <c:v>0.86871601527687747</c:v>
                </c:pt>
                <c:pt idx="16">
                  <c:v>2.3690008225011114</c:v>
                </c:pt>
                <c:pt idx="17">
                  <c:v>0.85756473348214057</c:v>
                </c:pt>
                <c:pt idx="18">
                  <c:v>3.2888116624204851</c:v>
                </c:pt>
                <c:pt idx="19">
                  <c:v>7.4551133152670808</c:v>
                </c:pt>
                <c:pt idx="20">
                  <c:v>6.6329366263636622</c:v>
                </c:pt>
                <c:pt idx="21">
                  <c:v>2.1914088530154547</c:v>
                </c:pt>
                <c:pt idx="22">
                  <c:v>-5.2610315183896459</c:v>
                </c:pt>
                <c:pt idx="23">
                  <c:v>-4.0970695208600958</c:v>
                </c:pt>
                <c:pt idx="24">
                  <c:v>-7.1976114671435791</c:v>
                </c:pt>
                <c:pt idx="25">
                  <c:v>-10.359425465100793</c:v>
                </c:pt>
                <c:pt idx="26">
                  <c:v>-7.0838821031829866</c:v>
                </c:pt>
                <c:pt idx="27">
                  <c:v>1.7091513913325616</c:v>
                </c:pt>
                <c:pt idx="28">
                  <c:v>3.241256441199512</c:v>
                </c:pt>
                <c:pt idx="29">
                  <c:v>3.7372956802896806</c:v>
                </c:pt>
                <c:pt idx="30">
                  <c:v>10.585794580298534</c:v>
                </c:pt>
                <c:pt idx="31">
                  <c:v>15.300228726935165</c:v>
                </c:pt>
                <c:pt idx="32">
                  <c:v>5.1218078432536274</c:v>
                </c:pt>
                <c:pt idx="33">
                  <c:v>9.4150752640249262</c:v>
                </c:pt>
                <c:pt idx="34">
                  <c:v>-1.5228088728146394</c:v>
                </c:pt>
                <c:pt idx="35">
                  <c:v>-2.5192828927221127</c:v>
                </c:pt>
                <c:pt idx="36">
                  <c:v>-9.8698986832915399</c:v>
                </c:pt>
                <c:pt idx="37">
                  <c:v>-11.207195668170316</c:v>
                </c:pt>
                <c:pt idx="38">
                  <c:v>-5.3454119213530795</c:v>
                </c:pt>
                <c:pt idx="39">
                  <c:v>-8.5043553565806356</c:v>
                </c:pt>
                <c:pt idx="40">
                  <c:v>-7.3328459720275712</c:v>
                </c:pt>
                <c:pt idx="41">
                  <c:v>8.7438381724053755</c:v>
                </c:pt>
                <c:pt idx="42">
                  <c:v>4.3680029578320685</c:v>
                </c:pt>
                <c:pt idx="43">
                  <c:v>4.0284263999934771</c:v>
                </c:pt>
                <c:pt idx="44">
                  <c:v>5.4597034164075744</c:v>
                </c:pt>
                <c:pt idx="45">
                  <c:v>-4.3901033580474902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17-4260-AAFC-A789C889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6750464"/>
        <c:axId val="1966755456"/>
      </c:barChart>
      <c:lineChart>
        <c:grouping val="standard"/>
        <c:varyColors val="0"/>
        <c:ser>
          <c:idx val="0"/>
          <c:order val="0"/>
          <c:tx>
            <c:strRef>
              <c:f>Sheet1!$B$78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Sheet1!$B$79:$B$124</c:f>
              <c:numCache>
                <c:formatCode>General</c:formatCode>
                <c:ptCount val="46"/>
                <c:pt idx="0">
                  <c:v>646.29999999999995</c:v>
                </c:pt>
                <c:pt idx="1">
                  <c:v>657.78</c:v>
                </c:pt>
                <c:pt idx="2">
                  <c:v>657.46</c:v>
                </c:pt>
                <c:pt idx="3">
                  <c:v>667.02</c:v>
                </c:pt>
                <c:pt idx="4">
                  <c:v>677.62</c:v>
                </c:pt>
                <c:pt idx="5">
                  <c:v>693.05</c:v>
                </c:pt>
                <c:pt idx="6">
                  <c:v>710.88</c:v>
                </c:pt>
                <c:pt idx="7">
                  <c:v>728.95</c:v>
                </c:pt>
                <c:pt idx="8">
                  <c:v>743.72</c:v>
                </c:pt>
                <c:pt idx="9">
                  <c:v>759.2</c:v>
                </c:pt>
                <c:pt idx="10">
                  <c:v>779.02</c:v>
                </c:pt>
                <c:pt idx="11">
                  <c:v>786.78</c:v>
                </c:pt>
                <c:pt idx="12">
                  <c:v>793.67</c:v>
                </c:pt>
                <c:pt idx="13">
                  <c:v>821.53</c:v>
                </c:pt>
                <c:pt idx="14">
                  <c:v>850.64</c:v>
                </c:pt>
                <c:pt idx="15">
                  <c:v>867.94</c:v>
                </c:pt>
                <c:pt idx="16">
                  <c:v>858.46</c:v>
                </c:pt>
                <c:pt idx="17">
                  <c:v>887.52</c:v>
                </c:pt>
                <c:pt idx="18">
                  <c:v>920.17</c:v>
                </c:pt>
                <c:pt idx="19">
                  <c:v>960.48</c:v>
                </c:pt>
                <c:pt idx="20">
                  <c:v>988.24</c:v>
                </c:pt>
                <c:pt idx="21">
                  <c:v>993.03</c:v>
                </c:pt>
                <c:pt idx="22">
                  <c:v>1003.97</c:v>
                </c:pt>
                <c:pt idx="23">
                  <c:v>995.26</c:v>
                </c:pt>
                <c:pt idx="24">
                  <c:v>1008.34</c:v>
                </c:pt>
                <c:pt idx="25">
                  <c:v>1050.05</c:v>
                </c:pt>
                <c:pt idx="26">
                  <c:v>1071.5</c:v>
                </c:pt>
                <c:pt idx="27">
                  <c:v>1095.97</c:v>
                </c:pt>
                <c:pt idx="28">
                  <c:v>1124.4000000000001</c:v>
                </c:pt>
                <c:pt idx="29">
                  <c:v>1149.68</c:v>
                </c:pt>
                <c:pt idx="30">
                  <c:v>1173.42</c:v>
                </c:pt>
                <c:pt idx="31">
                  <c:v>1187.93</c:v>
                </c:pt>
                <c:pt idx="32">
                  <c:v>1177.18</c:v>
                </c:pt>
                <c:pt idx="33">
                  <c:v>1184.92</c:v>
                </c:pt>
                <c:pt idx="34">
                  <c:v>1202.5899999999999</c:v>
                </c:pt>
                <c:pt idx="35">
                  <c:v>1230.5999999999999</c:v>
                </c:pt>
                <c:pt idx="36">
                  <c:v>1249</c:v>
                </c:pt>
                <c:pt idx="37">
                  <c:v>1267.08</c:v>
                </c:pt>
                <c:pt idx="38">
                  <c:v>1295.58</c:v>
                </c:pt>
                <c:pt idx="39">
                  <c:v>1314.63</c:v>
                </c:pt>
                <c:pt idx="40">
                  <c:v>1334.88</c:v>
                </c:pt>
                <c:pt idx="41">
                  <c:v>1368.91</c:v>
                </c:pt>
                <c:pt idx="42">
                  <c:v>1369.33</c:v>
                </c:pt>
                <c:pt idx="43">
                  <c:v>1364.85</c:v>
                </c:pt>
                <c:pt idx="44">
                  <c:v>1377.36</c:v>
                </c:pt>
                <c:pt idx="45">
                  <c:v>1392.52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7-4260-AAFC-A789C8890F13}"/>
            </c:ext>
          </c:extLst>
        </c:ser>
        <c:ser>
          <c:idx val="1"/>
          <c:order val="1"/>
          <c:tx>
            <c:strRef>
              <c:f>Sheet1!$C$78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Sheet1!$C$79:$C$124</c:f>
              <c:numCache>
                <c:formatCode>General</c:formatCode>
                <c:ptCount val="46"/>
                <c:pt idx="0">
                  <c:v>643.15471014365289</c:v>
                </c:pt>
                <c:pt idx="1">
                  <c:v>652.10046843624286</c:v>
                </c:pt>
                <c:pt idx="2">
                  <c:v>649.47088384486642</c:v>
                </c:pt>
                <c:pt idx="3">
                  <c:v>667.19698900618732</c:v>
                </c:pt>
                <c:pt idx="4">
                  <c:v>680.8804588400767</c:v>
                </c:pt>
                <c:pt idx="5">
                  <c:v>698.3696329024483</c:v>
                </c:pt>
                <c:pt idx="6">
                  <c:v>717.8107956799729</c:v>
                </c:pt>
                <c:pt idx="7">
                  <c:v>734.33852116443154</c:v>
                </c:pt>
                <c:pt idx="8">
                  <c:v>744.92814748968783</c:v>
                </c:pt>
                <c:pt idx="9">
                  <c:v>762.2798250165323</c:v>
                </c:pt>
                <c:pt idx="10">
                  <c:v>779.43510093655959</c:v>
                </c:pt>
                <c:pt idx="11">
                  <c:v>785.05305063773415</c:v>
                </c:pt>
                <c:pt idx="12">
                  <c:v>796.32999061135092</c:v>
                </c:pt>
                <c:pt idx="13">
                  <c:v>821.63165440441549</c:v>
                </c:pt>
                <c:pt idx="14">
                  <c:v>851.32298098844865</c:v>
                </c:pt>
                <c:pt idx="15">
                  <c:v>867.0712839847231</c:v>
                </c:pt>
                <c:pt idx="16">
                  <c:v>856.09099917749893</c:v>
                </c:pt>
                <c:pt idx="17">
                  <c:v>886.66243526651783</c:v>
                </c:pt>
                <c:pt idx="18">
                  <c:v>916.88118833757949</c:v>
                </c:pt>
                <c:pt idx="19">
                  <c:v>953.02488668473291</c:v>
                </c:pt>
                <c:pt idx="20">
                  <c:v>981.60706337363638</c:v>
                </c:pt>
                <c:pt idx="21">
                  <c:v>990.83859114698453</c:v>
                </c:pt>
                <c:pt idx="22">
                  <c:v>1009.2310315183896</c:v>
                </c:pt>
                <c:pt idx="23">
                  <c:v>999.35706952086014</c:v>
                </c:pt>
                <c:pt idx="24">
                  <c:v>1015.5376114671436</c:v>
                </c:pt>
                <c:pt idx="25">
                  <c:v>1060.4094254651009</c:v>
                </c:pt>
                <c:pt idx="26">
                  <c:v>1078.583882103183</c:v>
                </c:pt>
                <c:pt idx="27">
                  <c:v>1094.2608486086674</c:v>
                </c:pt>
                <c:pt idx="28">
                  <c:v>1121.1587435588006</c:v>
                </c:pt>
                <c:pt idx="29">
                  <c:v>1145.9427043197104</c:v>
                </c:pt>
                <c:pt idx="30">
                  <c:v>1162.8342054197014</c:v>
                </c:pt>
                <c:pt idx="31">
                  <c:v>1172.6297712730648</c:v>
                </c:pt>
                <c:pt idx="32">
                  <c:v>1172.0581921567464</c:v>
                </c:pt>
                <c:pt idx="33">
                  <c:v>1175.504924735975</c:v>
                </c:pt>
                <c:pt idx="34">
                  <c:v>1204.1128088728146</c:v>
                </c:pt>
                <c:pt idx="35">
                  <c:v>1233.1192828927221</c:v>
                </c:pt>
                <c:pt idx="36">
                  <c:v>1258.8698986832915</c:v>
                </c:pt>
                <c:pt idx="37">
                  <c:v>1278.2871956681704</c:v>
                </c:pt>
                <c:pt idx="38">
                  <c:v>1300.9254119213531</c:v>
                </c:pt>
                <c:pt idx="39">
                  <c:v>1323.1343553565807</c:v>
                </c:pt>
                <c:pt idx="40">
                  <c:v>1342.2128459720275</c:v>
                </c:pt>
                <c:pt idx="41">
                  <c:v>1360.1661618275946</c:v>
                </c:pt>
                <c:pt idx="42">
                  <c:v>1364.9619970421679</c:v>
                </c:pt>
                <c:pt idx="43">
                  <c:v>1360.8215736000066</c:v>
                </c:pt>
                <c:pt idx="44">
                  <c:v>1371.9002965835925</c:v>
                </c:pt>
                <c:pt idx="45">
                  <c:v>1396.9101033580475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17-4260-AAFC-A789C889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369584"/>
        <c:axId val="1954370000"/>
      </c:lineChart>
      <c:catAx>
        <c:axId val="195436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70000"/>
        <c:crosses val="autoZero"/>
        <c:auto val="1"/>
        <c:lblAlgn val="ctr"/>
        <c:lblOffset val="100"/>
        <c:noMultiLvlLbl val="0"/>
      </c:catAx>
      <c:valAx>
        <c:axId val="19543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69584"/>
        <c:crosses val="autoZero"/>
        <c:crossBetween val="between"/>
      </c:valAx>
      <c:valAx>
        <c:axId val="1966755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750464"/>
        <c:crosses val="max"/>
        <c:crossBetween val="between"/>
      </c:valAx>
      <c:catAx>
        <c:axId val="1966750464"/>
        <c:scaling>
          <c:orientation val="minMax"/>
        </c:scaling>
        <c:delete val="1"/>
        <c:axPos val="b"/>
        <c:majorTickMark val="out"/>
        <c:minorTickMark val="none"/>
        <c:tickLblPos val="nextTo"/>
        <c:crossAx val="1966755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Sheet1!$S$81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Sheet1!$S$82:$S$127</c:f>
              <c:numCache>
                <c:formatCode>General</c:formatCode>
                <c:ptCount val="46"/>
                <c:pt idx="0">
                  <c:v>64629.999999999993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112440.00000000001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120258.99999999999</c:v>
                </c:pt>
                <c:pt idx="35">
                  <c:v>123059.99999999999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6-4676-A7D5-55EEB35BDF4F}"/>
            </c:ext>
          </c:extLst>
        </c:ser>
        <c:ser>
          <c:idx val="1"/>
          <c:order val="1"/>
          <c:tx>
            <c:strRef>
              <c:f>Sheet1!$T$81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Sheet1!$T$82:$T$127</c:f>
              <c:numCache>
                <c:formatCode>General</c:formatCode>
                <c:ptCount val="46"/>
                <c:pt idx="0">
                  <c:v>64315.471014365292</c:v>
                </c:pt>
                <c:pt idx="1">
                  <c:v>65210.046843624288</c:v>
                </c:pt>
                <c:pt idx="2">
                  <c:v>64947.08838448664</c:v>
                </c:pt>
                <c:pt idx="3">
                  <c:v>66719.698900618736</c:v>
                </c:pt>
                <c:pt idx="4">
                  <c:v>68088.045884007675</c:v>
                </c:pt>
                <c:pt idx="5">
                  <c:v>69836.963290244836</c:v>
                </c:pt>
                <c:pt idx="6">
                  <c:v>71781.079567997294</c:v>
                </c:pt>
                <c:pt idx="7">
                  <c:v>73433.852116443159</c:v>
                </c:pt>
                <c:pt idx="8">
                  <c:v>74492.814748968784</c:v>
                </c:pt>
                <c:pt idx="9">
                  <c:v>76227.982501653227</c:v>
                </c:pt>
                <c:pt idx="10">
                  <c:v>77943.510093655961</c:v>
                </c:pt>
                <c:pt idx="11">
                  <c:v>78505.305063773412</c:v>
                </c:pt>
                <c:pt idx="12">
                  <c:v>79632.999061135095</c:v>
                </c:pt>
                <c:pt idx="13">
                  <c:v>82163.165440441546</c:v>
                </c:pt>
                <c:pt idx="14">
                  <c:v>85132.298098844869</c:v>
                </c:pt>
                <c:pt idx="15">
                  <c:v>86707.128398472312</c:v>
                </c:pt>
                <c:pt idx="16">
                  <c:v>85609.099917749889</c:v>
                </c:pt>
                <c:pt idx="17">
                  <c:v>88666.243526651786</c:v>
                </c:pt>
                <c:pt idx="18">
                  <c:v>91688.118833757952</c:v>
                </c:pt>
                <c:pt idx="19">
                  <c:v>95302.488668473292</c:v>
                </c:pt>
                <c:pt idx="20">
                  <c:v>98160.706337363634</c:v>
                </c:pt>
                <c:pt idx="21">
                  <c:v>99083.859114698455</c:v>
                </c:pt>
                <c:pt idx="22">
                  <c:v>100923.10315183896</c:v>
                </c:pt>
                <c:pt idx="23">
                  <c:v>99935.70695208601</c:v>
                </c:pt>
                <c:pt idx="24">
                  <c:v>101553.76114671436</c:v>
                </c:pt>
                <c:pt idx="25">
                  <c:v>106040.94254651008</c:v>
                </c:pt>
                <c:pt idx="26">
                  <c:v>107858.3882103183</c:v>
                </c:pt>
                <c:pt idx="27">
                  <c:v>109426.08486086674</c:v>
                </c:pt>
                <c:pt idx="28">
                  <c:v>112115.87435588005</c:v>
                </c:pt>
                <c:pt idx="29">
                  <c:v>114594.27043197105</c:v>
                </c:pt>
                <c:pt idx="30">
                  <c:v>116283.42054197015</c:v>
                </c:pt>
                <c:pt idx="31">
                  <c:v>117262.97712730648</c:v>
                </c:pt>
                <c:pt idx="32">
                  <c:v>117205.81921567464</c:v>
                </c:pt>
                <c:pt idx="33">
                  <c:v>117550.49247359751</c:v>
                </c:pt>
                <c:pt idx="34">
                  <c:v>120411.28088728146</c:v>
                </c:pt>
                <c:pt idx="35">
                  <c:v>123311.92828927221</c:v>
                </c:pt>
                <c:pt idx="36">
                  <c:v>125886.98986832914</c:v>
                </c:pt>
                <c:pt idx="37">
                  <c:v>127828.71956681705</c:v>
                </c:pt>
                <c:pt idx="38">
                  <c:v>130092.54119213531</c:v>
                </c:pt>
                <c:pt idx="39">
                  <c:v>132313.43553565806</c:v>
                </c:pt>
                <c:pt idx="40">
                  <c:v>134221.28459720276</c:v>
                </c:pt>
                <c:pt idx="41">
                  <c:v>136016.61618275946</c:v>
                </c:pt>
                <c:pt idx="42">
                  <c:v>136496.19970421679</c:v>
                </c:pt>
                <c:pt idx="43">
                  <c:v>136082.15736000065</c:v>
                </c:pt>
                <c:pt idx="44">
                  <c:v>137190.02965835924</c:v>
                </c:pt>
                <c:pt idx="45">
                  <c:v>139691.01033580475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6-4676-A7D5-55EEB35B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298544"/>
        <c:axId val="1968298960"/>
      </c:lineChart>
      <c:catAx>
        <c:axId val="196829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98960"/>
        <c:crosses val="autoZero"/>
        <c:auto val="1"/>
        <c:lblAlgn val="ctr"/>
        <c:lblOffset val="100"/>
        <c:noMultiLvlLbl val="0"/>
      </c:catAx>
      <c:valAx>
        <c:axId val="19682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9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148827</xdr:colOff>
      <xdr:row>82</xdr:row>
      <xdr:rowOff>134540</xdr:rowOff>
    </xdr:from>
    <xdr:to>
      <xdr:col>15</xdr:col>
      <xdr:colOff>95250</xdr:colOff>
      <xdr:row>101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F4BFB5-5F43-4227-822B-0EA8E4390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349250</xdr:colOff>
      <xdr:row>82</xdr:row>
      <xdr:rowOff>162984</xdr:rowOff>
    </xdr:from>
    <xdr:to>
      <xdr:col>29</xdr:col>
      <xdr:colOff>179918</xdr:colOff>
      <xdr:row>99</xdr:row>
      <xdr:rowOff>84668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F37CA8-3BBF-4D25-9AEA-5B0DE6DFB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F9F0-E99D-43EF-BF44-327EE1EEBF25}">
  <dimension ref="A2:AE127"/>
  <sheetViews>
    <sheetView tabSelected="1" topLeftCell="A13" zoomScale="90" zoomScaleNormal="90" workbookViewId="0">
      <selection activeCell="V20" sqref="V20"/>
    </sheetView>
  </sheetViews>
  <sheetFormatPr defaultRowHeight="15" x14ac:dyDescent="0.25"/>
  <cols>
    <col min="5" max="5" width="13.7109375" bestFit="1" customWidth="1"/>
    <col min="13" max="13" width="5.42578125" customWidth="1"/>
    <col min="14" max="14" width="5" customWidth="1"/>
    <col min="15" max="15" width="7.5703125" customWidth="1"/>
    <col min="16" max="17" width="6.85546875" customWidth="1"/>
    <col min="18" max="18" width="8.85546875" customWidth="1"/>
    <col min="24" max="24" width="7.140625" customWidth="1"/>
  </cols>
  <sheetData>
    <row r="2" spans="2:3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31" x14ac:dyDescent="0.25">
      <c r="B3">
        <v>1959</v>
      </c>
      <c r="C3" s="1">
        <v>64630</v>
      </c>
      <c r="D3">
        <v>82.908000000000001</v>
      </c>
      <c r="E3" s="1">
        <v>509300</v>
      </c>
      <c r="F3" s="1">
        <v>3740</v>
      </c>
      <c r="G3">
        <v>2552</v>
      </c>
      <c r="H3" s="1">
        <v>120287</v>
      </c>
      <c r="L3" s="6"/>
      <c r="M3" s="6"/>
      <c r="N3" s="6"/>
      <c r="O3" s="6"/>
      <c r="P3" s="6"/>
      <c r="Q3" s="6"/>
      <c r="R3" s="6"/>
      <c r="S3" s="6"/>
      <c r="T3" s="6"/>
    </row>
    <row r="4" spans="2:31" x14ac:dyDescent="0.25">
      <c r="B4">
        <v>1960</v>
      </c>
      <c r="C4" s="1">
        <v>65778</v>
      </c>
      <c r="D4">
        <v>84.073999999999998</v>
      </c>
      <c r="E4" s="1">
        <v>529500</v>
      </c>
      <c r="F4" s="1">
        <v>3852</v>
      </c>
      <c r="G4">
        <v>2514</v>
      </c>
      <c r="H4" s="1">
        <v>121836</v>
      </c>
      <c r="L4" s="7"/>
      <c r="M4" s="7"/>
      <c r="N4" s="7"/>
      <c r="O4" s="7"/>
      <c r="P4" s="7"/>
      <c r="Q4" s="7"/>
      <c r="R4" s="6"/>
      <c r="S4" s="6"/>
      <c r="T4" s="6"/>
    </row>
    <row r="5" spans="2:31" x14ac:dyDescent="0.25">
      <c r="B5">
        <v>1961</v>
      </c>
      <c r="C5" s="1">
        <v>65746</v>
      </c>
      <c r="D5">
        <v>85.015000000000001</v>
      </c>
      <c r="E5" s="1">
        <v>548200</v>
      </c>
      <c r="F5" s="1">
        <v>4714</v>
      </c>
      <c r="G5">
        <v>2573</v>
      </c>
      <c r="H5" s="1">
        <v>123404</v>
      </c>
      <c r="L5" s="2"/>
      <c r="M5" s="2"/>
      <c r="N5" s="2"/>
      <c r="O5" s="2"/>
      <c r="P5" s="2"/>
      <c r="Q5" s="2"/>
      <c r="R5" s="6"/>
      <c r="S5" s="6"/>
      <c r="T5" s="6"/>
    </row>
    <row r="6" spans="2:31" x14ac:dyDescent="0.25">
      <c r="B6">
        <v>1962</v>
      </c>
      <c r="C6" s="1">
        <v>66702</v>
      </c>
      <c r="D6">
        <v>86.186000000000007</v>
      </c>
      <c r="E6" s="1">
        <v>589700</v>
      </c>
      <c r="F6" s="1">
        <v>3911</v>
      </c>
      <c r="G6">
        <v>2827</v>
      </c>
      <c r="H6" s="1">
        <v>124864</v>
      </c>
      <c r="L6" s="2"/>
      <c r="M6" s="2"/>
      <c r="N6" s="2"/>
      <c r="O6" s="2"/>
      <c r="P6" s="2"/>
      <c r="Q6" s="2"/>
      <c r="R6" s="6"/>
      <c r="S6" s="6"/>
      <c r="T6" s="6"/>
    </row>
    <row r="7" spans="2:31" x14ac:dyDescent="0.25">
      <c r="B7">
        <v>1963</v>
      </c>
      <c r="C7" s="1">
        <v>67762</v>
      </c>
      <c r="D7">
        <v>87.102999999999994</v>
      </c>
      <c r="E7" s="1">
        <v>622200</v>
      </c>
      <c r="F7" s="1">
        <v>4070</v>
      </c>
      <c r="G7">
        <v>2737</v>
      </c>
      <c r="H7" s="1">
        <v>127274</v>
      </c>
      <c r="L7" s="7"/>
      <c r="N7" s="8" t="s">
        <v>33</v>
      </c>
      <c r="O7" s="8"/>
      <c r="P7" s="8"/>
      <c r="Q7" s="8"/>
      <c r="R7" s="8"/>
      <c r="S7" s="8"/>
    </row>
    <row r="8" spans="2:31" ht="15.75" thickBot="1" x14ac:dyDescent="0.3">
      <c r="B8">
        <v>1964</v>
      </c>
      <c r="C8" s="1">
        <v>69305</v>
      </c>
      <c r="D8">
        <v>88.438000000000002</v>
      </c>
      <c r="E8" s="1">
        <v>668500</v>
      </c>
      <c r="F8" s="1">
        <v>3786</v>
      </c>
      <c r="G8">
        <v>2738</v>
      </c>
      <c r="H8" s="1">
        <v>129427</v>
      </c>
      <c r="L8" s="2"/>
    </row>
    <row r="9" spans="2:31" x14ac:dyDescent="0.25">
      <c r="B9">
        <v>1965</v>
      </c>
      <c r="C9" s="1">
        <v>71088</v>
      </c>
      <c r="D9">
        <v>90.055000000000007</v>
      </c>
      <c r="E9" s="1">
        <v>724400</v>
      </c>
      <c r="F9" s="1">
        <v>3366</v>
      </c>
      <c r="G9">
        <v>2722</v>
      </c>
      <c r="H9" s="1">
        <v>131541</v>
      </c>
      <c r="L9" s="2"/>
      <c r="N9" s="4"/>
      <c r="O9" s="4" t="s">
        <v>2</v>
      </c>
      <c r="P9" s="4" t="s">
        <v>3</v>
      </c>
      <c r="Q9" s="4" t="s">
        <v>4</v>
      </c>
      <c r="R9" s="4" t="s">
        <v>5</v>
      </c>
      <c r="S9" s="4" t="s">
        <v>6</v>
      </c>
    </row>
    <row r="10" spans="2:31" x14ac:dyDescent="0.25">
      <c r="B10">
        <v>1966</v>
      </c>
      <c r="C10" s="1">
        <v>72895</v>
      </c>
      <c r="D10">
        <v>92.623999999999995</v>
      </c>
      <c r="E10" s="1">
        <v>792900</v>
      </c>
      <c r="F10" s="1">
        <v>2875</v>
      </c>
      <c r="G10">
        <v>3123</v>
      </c>
      <c r="H10" s="1">
        <v>133650</v>
      </c>
      <c r="L10" s="2"/>
      <c r="N10" s="2" t="s">
        <v>2</v>
      </c>
      <c r="O10" s="2">
        <v>1</v>
      </c>
      <c r="P10" s="2"/>
      <c r="Q10" s="2"/>
      <c r="R10" s="2"/>
      <c r="S10" s="2"/>
    </row>
    <row r="11" spans="2:31" x14ac:dyDescent="0.25">
      <c r="B11">
        <v>1967</v>
      </c>
      <c r="C11" s="1">
        <v>74372</v>
      </c>
      <c r="D11">
        <v>95.491</v>
      </c>
      <c r="E11" s="1">
        <v>838000</v>
      </c>
      <c r="F11" s="1">
        <v>2975</v>
      </c>
      <c r="G11">
        <v>3446</v>
      </c>
      <c r="H11" s="1">
        <v>135905</v>
      </c>
      <c r="L11" s="2"/>
      <c r="N11" s="2" t="s">
        <v>3</v>
      </c>
      <c r="O11" s="2">
        <v>0.96938259976454244</v>
      </c>
      <c r="P11" s="2">
        <v>1</v>
      </c>
      <c r="Q11" s="2"/>
      <c r="R11" s="2"/>
      <c r="S11" s="2"/>
    </row>
    <row r="12" spans="2:31" x14ac:dyDescent="0.25">
      <c r="B12">
        <v>1968</v>
      </c>
      <c r="C12" s="1">
        <v>75920</v>
      </c>
      <c r="D12">
        <v>99.56</v>
      </c>
      <c r="E12" s="1">
        <v>916100</v>
      </c>
      <c r="F12" s="1">
        <v>2817</v>
      </c>
      <c r="G12">
        <v>3535</v>
      </c>
      <c r="H12" s="1">
        <v>138171</v>
      </c>
      <c r="L12" s="2"/>
      <c r="N12" s="2" t="s">
        <v>4</v>
      </c>
      <c r="O12" s="2">
        <v>0.69190191798418188</v>
      </c>
      <c r="P12" s="2">
        <v>0.55252319329444477</v>
      </c>
      <c r="Q12" s="2">
        <v>1</v>
      </c>
      <c r="R12" s="2"/>
      <c r="S12" s="2"/>
    </row>
    <row r="13" spans="2:31" x14ac:dyDescent="0.25">
      <c r="B13">
        <v>1969</v>
      </c>
      <c r="C13" s="1">
        <v>77902</v>
      </c>
      <c r="D13">
        <v>104.504</v>
      </c>
      <c r="E13" s="1">
        <v>990700</v>
      </c>
      <c r="F13" s="1">
        <v>2832</v>
      </c>
      <c r="G13">
        <v>3506</v>
      </c>
      <c r="H13" s="1">
        <v>140461</v>
      </c>
      <c r="K13" s="6"/>
      <c r="L13" s="2"/>
      <c r="N13" s="2" t="s">
        <v>5</v>
      </c>
      <c r="O13" s="2">
        <v>-0.86934680551850696</v>
      </c>
      <c r="P13" s="2">
        <v>-0.8554049731551544</v>
      </c>
      <c r="Q13" s="2">
        <v>-0.66410666920280514</v>
      </c>
      <c r="R13" s="2">
        <v>1</v>
      </c>
      <c r="S13" s="2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2:31" ht="15.75" thickBot="1" x14ac:dyDescent="0.3">
      <c r="B14">
        <v>1970</v>
      </c>
      <c r="C14" s="1">
        <v>78678</v>
      </c>
      <c r="D14">
        <v>110.04600000000001</v>
      </c>
      <c r="E14" s="1">
        <v>1044900</v>
      </c>
      <c r="F14" s="1">
        <v>4093</v>
      </c>
      <c r="G14">
        <v>3188</v>
      </c>
      <c r="H14" s="1">
        <v>143070</v>
      </c>
      <c r="K14" s="6"/>
      <c r="L14" s="6"/>
      <c r="N14" s="3" t="s">
        <v>6</v>
      </c>
      <c r="O14" s="3">
        <v>0.98902361729858201</v>
      </c>
      <c r="P14" s="3">
        <v>0.96001048039574122</v>
      </c>
      <c r="Q14" s="3">
        <v>0.699219571804926</v>
      </c>
      <c r="R14" s="3">
        <v>-0.87095575994669827</v>
      </c>
      <c r="S14" s="3">
        <v>1</v>
      </c>
      <c r="U14" s="6"/>
      <c r="V14" s="6"/>
      <c r="W14" s="7"/>
      <c r="X14" s="7"/>
      <c r="Y14" s="7"/>
      <c r="Z14" s="7"/>
      <c r="AA14" s="7"/>
      <c r="AB14" s="7"/>
      <c r="AC14" s="7"/>
      <c r="AD14" s="6"/>
      <c r="AE14" s="6"/>
    </row>
    <row r="15" spans="2:31" x14ac:dyDescent="0.25">
      <c r="B15">
        <v>1971</v>
      </c>
      <c r="C15" s="1">
        <v>79367</v>
      </c>
      <c r="D15">
        <v>115.54900000000001</v>
      </c>
      <c r="E15" s="1">
        <v>1134700</v>
      </c>
      <c r="F15" s="1">
        <v>5016</v>
      </c>
      <c r="G15">
        <v>2816</v>
      </c>
      <c r="H15" s="1">
        <v>145826</v>
      </c>
      <c r="K15" s="6"/>
      <c r="U15" s="6"/>
      <c r="V15" s="6"/>
      <c r="W15" s="2"/>
      <c r="X15" s="2"/>
      <c r="Y15" s="2"/>
      <c r="Z15" s="2"/>
      <c r="AA15" s="2"/>
      <c r="AB15" s="2"/>
      <c r="AC15" s="2"/>
      <c r="AD15" s="6"/>
      <c r="AE15" s="6"/>
    </row>
    <row r="16" spans="2:31" ht="17.25" x14ac:dyDescent="0.25">
      <c r="B16">
        <v>1972</v>
      </c>
      <c r="C16" s="1">
        <v>82153</v>
      </c>
      <c r="D16">
        <v>120.556</v>
      </c>
      <c r="E16" s="1">
        <v>1246800</v>
      </c>
      <c r="F16" s="1">
        <v>4882</v>
      </c>
      <c r="G16">
        <v>2449</v>
      </c>
      <c r="H16" s="1">
        <v>148592</v>
      </c>
      <c r="K16" s="6"/>
      <c r="N16" s="8" t="s">
        <v>35</v>
      </c>
      <c r="O16" s="8"/>
      <c r="P16" s="8"/>
      <c r="Q16" s="8"/>
      <c r="R16" s="8"/>
      <c r="S16" s="8"/>
      <c r="U16" s="6"/>
      <c r="V16" s="6"/>
      <c r="W16" s="2"/>
      <c r="X16" s="2"/>
      <c r="Y16" s="2"/>
      <c r="Z16" s="2"/>
      <c r="AA16" s="2"/>
      <c r="AB16" s="2"/>
      <c r="AC16" s="2"/>
      <c r="AD16" s="6"/>
      <c r="AE16" s="6"/>
    </row>
    <row r="17" spans="2:31" ht="15.75" thickBot="1" x14ac:dyDescent="0.3">
      <c r="B17">
        <v>1973</v>
      </c>
      <c r="C17" s="1">
        <v>85064</v>
      </c>
      <c r="D17">
        <v>127.307</v>
      </c>
      <c r="E17" s="1">
        <v>1395300</v>
      </c>
      <c r="F17" s="1">
        <v>4365</v>
      </c>
      <c r="G17">
        <v>2327</v>
      </c>
      <c r="H17" s="1">
        <v>151476</v>
      </c>
      <c r="K17" s="6"/>
      <c r="L17" s="6"/>
      <c r="U17" s="6"/>
      <c r="V17" s="6"/>
      <c r="W17" s="2"/>
      <c r="X17" s="2"/>
      <c r="Y17" s="2"/>
      <c r="Z17" s="2"/>
      <c r="AA17" s="2"/>
      <c r="AB17" s="2"/>
      <c r="AC17" s="2"/>
      <c r="AD17" s="6"/>
      <c r="AE17" s="6"/>
    </row>
    <row r="18" spans="2:31" x14ac:dyDescent="0.25">
      <c r="B18">
        <v>1974</v>
      </c>
      <c r="C18" s="1">
        <v>86794</v>
      </c>
      <c r="D18">
        <v>138.82</v>
      </c>
      <c r="E18" s="1">
        <v>1515500</v>
      </c>
      <c r="F18" s="1">
        <v>5156</v>
      </c>
      <c r="G18">
        <v>2229</v>
      </c>
      <c r="H18" s="1">
        <v>154378</v>
      </c>
      <c r="K18" s="6"/>
      <c r="L18" s="6"/>
      <c r="O18" s="4" t="s">
        <v>2</v>
      </c>
      <c r="P18" s="4" t="s">
        <v>3</v>
      </c>
      <c r="Q18" s="4" t="s">
        <v>4</v>
      </c>
      <c r="R18" s="4" t="s">
        <v>5</v>
      </c>
      <c r="U18" s="6"/>
      <c r="V18" s="6"/>
      <c r="W18" s="2"/>
      <c r="X18" s="2"/>
      <c r="Y18" s="2"/>
      <c r="Z18" s="2"/>
      <c r="AA18" s="2"/>
      <c r="AB18" s="2"/>
      <c r="AC18" s="2"/>
      <c r="AD18" s="6"/>
      <c r="AE18" s="6"/>
    </row>
    <row r="19" spans="2:31" x14ac:dyDescent="0.25">
      <c r="B19">
        <v>1975</v>
      </c>
      <c r="C19" s="1">
        <v>85846</v>
      </c>
      <c r="D19">
        <v>151.857</v>
      </c>
      <c r="E19" s="1">
        <v>1651300</v>
      </c>
      <c r="F19" s="1">
        <v>7929</v>
      </c>
      <c r="G19">
        <v>2180</v>
      </c>
      <c r="H19" s="1">
        <v>157344</v>
      </c>
      <c r="K19" s="6"/>
      <c r="N19" s="2" t="s">
        <v>3</v>
      </c>
      <c r="O19">
        <f>O11*O11</f>
        <v>0.93970262472626309</v>
      </c>
      <c r="P19">
        <f>P11*P11</f>
        <v>1</v>
      </c>
      <c r="U19" s="6"/>
      <c r="V19" s="6"/>
      <c r="W19" s="2"/>
      <c r="X19" s="2"/>
      <c r="Y19" s="2"/>
      <c r="Z19" s="2"/>
      <c r="AA19" s="2"/>
      <c r="AB19" s="2"/>
      <c r="AC19" s="2"/>
      <c r="AD19" s="6"/>
      <c r="AE19" s="6"/>
    </row>
    <row r="20" spans="2:31" x14ac:dyDescent="0.25">
      <c r="B20">
        <v>1976</v>
      </c>
      <c r="C20" s="1">
        <v>88752</v>
      </c>
      <c r="D20">
        <v>160.68</v>
      </c>
      <c r="E20" s="1">
        <v>1842100</v>
      </c>
      <c r="F20" s="1">
        <v>7406</v>
      </c>
      <c r="G20">
        <v>2144</v>
      </c>
      <c r="H20" s="1">
        <v>160319</v>
      </c>
      <c r="K20" s="6"/>
      <c r="N20" s="2" t="s">
        <v>4</v>
      </c>
      <c r="O20">
        <f>O12*O12</f>
        <v>0.47872826411018954</v>
      </c>
      <c r="P20">
        <f>P12*P12</f>
        <v>0.30528187912829036</v>
      </c>
      <c r="Q20">
        <f>Q12*Q12</f>
        <v>1</v>
      </c>
      <c r="U20" s="6"/>
      <c r="V20" s="6"/>
      <c r="W20" s="2"/>
      <c r="X20" s="2"/>
      <c r="Y20" s="2"/>
      <c r="Z20" s="2"/>
      <c r="AA20" s="2"/>
      <c r="AB20" s="2"/>
      <c r="AC20" s="2"/>
      <c r="AD20" s="6"/>
      <c r="AE20" s="6"/>
    </row>
    <row r="21" spans="2:31" x14ac:dyDescent="0.25">
      <c r="B21">
        <v>1977</v>
      </c>
      <c r="C21" s="1">
        <v>92017</v>
      </c>
      <c r="D21">
        <v>170.88399999999999</v>
      </c>
      <c r="E21" s="1">
        <v>2051200</v>
      </c>
      <c r="F21" s="1">
        <v>6991</v>
      </c>
      <c r="G21">
        <v>2133</v>
      </c>
      <c r="H21" s="1">
        <v>163377</v>
      </c>
      <c r="K21" s="6"/>
      <c r="N21" s="2" t="s">
        <v>5</v>
      </c>
      <c r="O21">
        <f>O13*O13</f>
        <v>0.75576386826523279</v>
      </c>
      <c r="P21">
        <f>P13*P13</f>
        <v>0.73171766809857042</v>
      </c>
      <c r="Q21">
        <f>Q13*Q13</f>
        <v>0.44103766807964406</v>
      </c>
      <c r="R21">
        <f>R13*R13</f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2:31" ht="15.75" thickBot="1" x14ac:dyDescent="0.3">
      <c r="B22">
        <v>1978</v>
      </c>
      <c r="C22" s="1">
        <v>96048</v>
      </c>
      <c r="D22">
        <v>182.863</v>
      </c>
      <c r="E22" s="1">
        <v>2316300</v>
      </c>
      <c r="F22" s="1">
        <v>6202</v>
      </c>
      <c r="G22">
        <v>2117</v>
      </c>
      <c r="H22" s="1">
        <v>166422</v>
      </c>
      <c r="N22" s="3" t="s">
        <v>6</v>
      </c>
      <c r="O22">
        <f>O14*O14</f>
        <v>0.97816771557437199</v>
      </c>
      <c r="P22">
        <f>P14*P14</f>
        <v>0.92162012246966185</v>
      </c>
      <c r="Q22">
        <f>Q14*Q14</f>
        <v>0.48890800959506409</v>
      </c>
      <c r="R22">
        <f>R14*R14</f>
        <v>0.75856393578433068</v>
      </c>
      <c r="S22">
        <f>S14*S14</f>
        <v>1</v>
      </c>
    </row>
    <row r="23" spans="2:31" x14ac:dyDescent="0.25">
      <c r="B23">
        <v>1979</v>
      </c>
      <c r="C23" s="1">
        <v>98824</v>
      </c>
      <c r="D23">
        <v>198.077</v>
      </c>
      <c r="E23" s="1">
        <v>2595300</v>
      </c>
      <c r="F23" s="1">
        <v>6137</v>
      </c>
      <c r="G23">
        <v>2088</v>
      </c>
      <c r="H23" s="1">
        <v>169440</v>
      </c>
    </row>
    <row r="24" spans="2:31" x14ac:dyDescent="0.25">
      <c r="B24">
        <v>1980</v>
      </c>
      <c r="C24" s="1">
        <v>99303</v>
      </c>
      <c r="D24">
        <v>216.07300000000001</v>
      </c>
      <c r="E24" s="1">
        <v>2823700</v>
      </c>
      <c r="F24" s="1">
        <v>7637</v>
      </c>
      <c r="G24">
        <v>2102</v>
      </c>
      <c r="H24" s="1">
        <v>172437</v>
      </c>
    </row>
    <row r="25" spans="2:31" x14ac:dyDescent="0.25">
      <c r="B25">
        <v>1981</v>
      </c>
      <c r="C25" s="1">
        <v>100397</v>
      </c>
      <c r="D25">
        <v>236.38499999999999</v>
      </c>
      <c r="E25" s="1">
        <v>3161400</v>
      </c>
      <c r="F25" s="1">
        <v>8273</v>
      </c>
      <c r="G25">
        <v>2142</v>
      </c>
      <c r="H25" s="1">
        <v>174929</v>
      </c>
      <c r="N25" s="8" t="s">
        <v>34</v>
      </c>
      <c r="O25" s="8"/>
      <c r="P25" s="8"/>
      <c r="Q25" s="8"/>
      <c r="R25" s="8"/>
      <c r="S25" s="8"/>
    </row>
    <row r="26" spans="2:31" ht="15.75" thickBot="1" x14ac:dyDescent="0.3">
      <c r="B26">
        <v>1982</v>
      </c>
      <c r="C26" s="1">
        <v>99526</v>
      </c>
      <c r="D26">
        <v>250.798</v>
      </c>
      <c r="E26" s="1">
        <v>3291500</v>
      </c>
      <c r="F26" s="1">
        <v>10678</v>
      </c>
      <c r="G26">
        <v>2179</v>
      </c>
      <c r="H26" s="1">
        <v>177176</v>
      </c>
    </row>
    <row r="27" spans="2:31" x14ac:dyDescent="0.25">
      <c r="B27">
        <v>1983</v>
      </c>
      <c r="C27" s="1">
        <v>100834</v>
      </c>
      <c r="D27">
        <v>260.68</v>
      </c>
      <c r="E27" s="1">
        <v>3573800</v>
      </c>
      <c r="F27" s="1">
        <v>10717</v>
      </c>
      <c r="G27">
        <v>2199</v>
      </c>
      <c r="H27" s="1">
        <v>179234</v>
      </c>
      <c r="O27" s="4" t="s">
        <v>2</v>
      </c>
      <c r="P27" s="4" t="s">
        <v>3</v>
      </c>
      <c r="Q27" s="4" t="s">
        <v>4</v>
      </c>
      <c r="R27" s="4" t="s">
        <v>5</v>
      </c>
    </row>
    <row r="28" spans="2:31" x14ac:dyDescent="0.25">
      <c r="B28">
        <v>1984</v>
      </c>
      <c r="C28" s="1">
        <v>105005</v>
      </c>
      <c r="D28">
        <v>270.49599999999998</v>
      </c>
      <c r="E28" s="1">
        <v>3969500</v>
      </c>
      <c r="F28" s="1">
        <v>8539</v>
      </c>
      <c r="G28">
        <v>2219</v>
      </c>
      <c r="H28" s="1">
        <v>181192</v>
      </c>
      <c r="N28" s="2" t="s">
        <v>3</v>
      </c>
      <c r="O28">
        <f>1/(1-O19)</f>
        <v>16.58446981249546</v>
      </c>
    </row>
    <row r="29" spans="2:31" x14ac:dyDescent="0.25">
      <c r="B29">
        <v>1985</v>
      </c>
      <c r="C29" s="1">
        <v>107150</v>
      </c>
      <c r="D29">
        <v>278.75900000000001</v>
      </c>
      <c r="E29" s="1">
        <v>4246800</v>
      </c>
      <c r="F29" s="1">
        <v>8312</v>
      </c>
      <c r="G29">
        <v>2234</v>
      </c>
      <c r="H29" s="1">
        <v>183174</v>
      </c>
      <c r="N29" s="2" t="s">
        <v>4</v>
      </c>
      <c r="O29">
        <f>1/(1-O20)</f>
        <v>1.9183852320191517</v>
      </c>
      <c r="P29">
        <f>1/(1-P20)</f>
        <v>1.4394327281188988</v>
      </c>
    </row>
    <row r="30" spans="2:31" x14ac:dyDescent="0.25">
      <c r="B30">
        <v>1986</v>
      </c>
      <c r="C30" s="1">
        <v>109597</v>
      </c>
      <c r="D30">
        <v>284.89499999999998</v>
      </c>
      <c r="E30" s="1">
        <v>4480600</v>
      </c>
      <c r="F30" s="1">
        <v>8237</v>
      </c>
      <c r="G30">
        <v>2244</v>
      </c>
      <c r="H30" s="1">
        <v>185284</v>
      </c>
      <c r="N30" s="2" t="s">
        <v>5</v>
      </c>
      <c r="O30">
        <f>1/(1-O21)</f>
        <v>4.094398289463447</v>
      </c>
      <c r="P30">
        <f>1/(1-P21)</f>
        <v>3.7274165350829476</v>
      </c>
      <c r="Q30">
        <f>1/(1-Q21)</f>
        <v>1.7890293189604154</v>
      </c>
    </row>
    <row r="31" spans="2:31" ht="15.75" thickBot="1" x14ac:dyDescent="0.3">
      <c r="B31">
        <v>1987</v>
      </c>
      <c r="C31" s="1">
        <v>112440</v>
      </c>
      <c r="D31">
        <v>292.69099999999997</v>
      </c>
      <c r="E31" s="1">
        <v>4757400</v>
      </c>
      <c r="F31" s="1">
        <v>7425</v>
      </c>
      <c r="G31">
        <v>2257</v>
      </c>
      <c r="H31" s="1">
        <v>187419</v>
      </c>
      <c r="N31" s="3" t="s">
        <v>6</v>
      </c>
      <c r="O31">
        <f>1/(1-O22)</f>
        <v>45.803727200720303</v>
      </c>
      <c r="P31">
        <f>1/(1-P22)</f>
        <v>12.75837665876595</v>
      </c>
      <c r="Q31">
        <f>1/(1-Q22)</f>
        <v>1.9565949354982153</v>
      </c>
      <c r="R31">
        <f>1/(1-R22)</f>
        <v>4.141883290090095</v>
      </c>
    </row>
    <row r="32" spans="2:31" x14ac:dyDescent="0.25">
      <c r="B32">
        <v>1988</v>
      </c>
      <c r="C32" s="1">
        <v>114968</v>
      </c>
      <c r="D32">
        <v>302.68</v>
      </c>
      <c r="E32" s="1">
        <v>5127400</v>
      </c>
      <c r="F32" s="1">
        <v>6701</v>
      </c>
      <c r="G32">
        <v>2224</v>
      </c>
      <c r="H32" s="1">
        <v>189233</v>
      </c>
    </row>
    <row r="33" spans="2:18" x14ac:dyDescent="0.25">
      <c r="B33">
        <v>1989</v>
      </c>
      <c r="C33" s="1">
        <v>117342</v>
      </c>
      <c r="D33">
        <v>314.17899999999997</v>
      </c>
      <c r="E33" s="1">
        <v>5510600</v>
      </c>
      <c r="F33" s="1">
        <v>6528</v>
      </c>
      <c r="G33">
        <v>2208</v>
      </c>
      <c r="H33" s="1">
        <v>190862</v>
      </c>
    </row>
    <row r="34" spans="2:18" x14ac:dyDescent="0.25">
      <c r="B34">
        <v>1990</v>
      </c>
      <c r="C34" s="1">
        <v>118793</v>
      </c>
      <c r="D34">
        <v>326.35700000000003</v>
      </c>
      <c r="E34" s="1">
        <v>5837900</v>
      </c>
      <c r="F34" s="1">
        <v>7047</v>
      </c>
      <c r="G34">
        <v>2167</v>
      </c>
      <c r="H34" s="1">
        <v>192644</v>
      </c>
    </row>
    <row r="35" spans="2:18" x14ac:dyDescent="0.25">
      <c r="B35">
        <v>1991</v>
      </c>
      <c r="C35" s="1">
        <v>117718</v>
      </c>
      <c r="D35">
        <v>337.74700000000001</v>
      </c>
      <c r="E35" s="1">
        <v>6026300</v>
      </c>
      <c r="F35" s="1">
        <v>8628</v>
      </c>
      <c r="G35">
        <v>2118</v>
      </c>
      <c r="H35" s="1">
        <v>194936</v>
      </c>
    </row>
    <row r="36" spans="2:18" x14ac:dyDescent="0.25">
      <c r="B36">
        <v>1992</v>
      </c>
      <c r="C36" s="1">
        <v>118492</v>
      </c>
      <c r="D36">
        <v>345.47699999999998</v>
      </c>
      <c r="E36" s="1">
        <v>6367400</v>
      </c>
      <c r="F36" s="1">
        <v>9613</v>
      </c>
      <c r="G36">
        <v>1966</v>
      </c>
      <c r="H36" s="1">
        <v>197205</v>
      </c>
    </row>
    <row r="37" spans="2:18" x14ac:dyDescent="0.25">
      <c r="B37">
        <v>1993</v>
      </c>
      <c r="C37" s="1">
        <v>120259</v>
      </c>
      <c r="D37">
        <v>353.51600000000002</v>
      </c>
      <c r="E37" s="1">
        <v>6689300</v>
      </c>
      <c r="F37" s="1">
        <v>8940</v>
      </c>
      <c r="G37">
        <v>1760</v>
      </c>
      <c r="H37" s="1">
        <v>199622</v>
      </c>
    </row>
    <row r="38" spans="2:18" x14ac:dyDescent="0.25">
      <c r="B38">
        <v>1994</v>
      </c>
      <c r="C38" s="1">
        <v>123060</v>
      </c>
      <c r="D38">
        <v>361.02600000000001</v>
      </c>
      <c r="E38" s="1">
        <v>7098400</v>
      </c>
      <c r="F38" s="1">
        <v>7996</v>
      </c>
      <c r="G38">
        <v>1673</v>
      </c>
      <c r="H38" s="1">
        <v>201970</v>
      </c>
      <c r="M38" s="6"/>
      <c r="N38" s="6"/>
      <c r="O38" s="6"/>
      <c r="P38" s="6"/>
      <c r="Q38" s="6"/>
      <c r="R38" s="6"/>
    </row>
    <row r="39" spans="2:18" x14ac:dyDescent="0.25">
      <c r="B39">
        <v>1995</v>
      </c>
      <c r="C39" s="1">
        <v>124900</v>
      </c>
      <c r="D39">
        <v>368.44400000000002</v>
      </c>
      <c r="E39" s="1">
        <v>7433400</v>
      </c>
      <c r="F39" s="1">
        <v>7404</v>
      </c>
      <c r="G39">
        <v>1579</v>
      </c>
      <c r="H39" s="1">
        <v>204420</v>
      </c>
      <c r="M39" s="6"/>
      <c r="N39" s="6"/>
      <c r="O39" s="6"/>
      <c r="P39" s="6"/>
      <c r="Q39" s="6"/>
      <c r="R39" s="6"/>
    </row>
    <row r="40" spans="2:18" x14ac:dyDescent="0.25">
      <c r="B40">
        <v>1996</v>
      </c>
      <c r="C40" s="1">
        <v>126708</v>
      </c>
      <c r="D40">
        <v>375.42899999999997</v>
      </c>
      <c r="E40" s="1">
        <v>7851900</v>
      </c>
      <c r="F40" s="1">
        <v>7236</v>
      </c>
      <c r="G40">
        <v>1502</v>
      </c>
      <c r="H40" s="1">
        <v>207087</v>
      </c>
      <c r="M40" s="6"/>
      <c r="N40" s="6"/>
      <c r="O40" s="6"/>
      <c r="P40" s="6"/>
      <c r="Q40" s="6"/>
      <c r="R40" s="6"/>
    </row>
    <row r="41" spans="2:18" x14ac:dyDescent="0.25">
      <c r="B41">
        <v>1997</v>
      </c>
      <c r="C41" s="1">
        <v>129558</v>
      </c>
      <c r="D41">
        <v>381.66300000000001</v>
      </c>
      <c r="E41" s="1">
        <v>8337300</v>
      </c>
      <c r="F41" s="1">
        <v>6739</v>
      </c>
      <c r="G41">
        <v>1457</v>
      </c>
      <c r="H41" s="1">
        <v>209846</v>
      </c>
    </row>
    <row r="42" spans="2:18" x14ac:dyDescent="0.25">
      <c r="B42">
        <v>1998</v>
      </c>
      <c r="C42" s="1">
        <v>131463</v>
      </c>
      <c r="D42">
        <v>385.88099999999997</v>
      </c>
      <c r="E42" s="1">
        <v>8768300</v>
      </c>
      <c r="F42" s="1">
        <v>6210</v>
      </c>
      <c r="G42">
        <v>1423</v>
      </c>
      <c r="H42" s="1">
        <v>212638</v>
      </c>
    </row>
    <row r="43" spans="2:18" x14ac:dyDescent="0.25">
      <c r="B43">
        <v>1999</v>
      </c>
      <c r="C43" s="1">
        <v>133488</v>
      </c>
      <c r="D43">
        <v>391.452</v>
      </c>
      <c r="E43" s="1">
        <v>9302200</v>
      </c>
      <c r="F43" s="1">
        <v>5880</v>
      </c>
      <c r="G43">
        <v>1380</v>
      </c>
      <c r="H43" s="1">
        <v>215404</v>
      </c>
    </row>
    <row r="44" spans="2:18" x14ac:dyDescent="0.25">
      <c r="B44">
        <v>2000</v>
      </c>
      <c r="C44" s="1">
        <v>136891</v>
      </c>
      <c r="D44">
        <v>399.98599999999999</v>
      </c>
      <c r="E44" s="1">
        <v>9855900</v>
      </c>
      <c r="F44" s="1">
        <v>5692</v>
      </c>
      <c r="G44">
        <v>1405</v>
      </c>
      <c r="H44" s="1">
        <v>218061</v>
      </c>
    </row>
    <row r="45" spans="2:18" x14ac:dyDescent="0.25">
      <c r="B45">
        <v>2001</v>
      </c>
      <c r="C45" s="1">
        <v>136933</v>
      </c>
      <c r="D45">
        <v>409.58199999999999</v>
      </c>
      <c r="E45" s="1">
        <v>10171600</v>
      </c>
      <c r="F45" s="1">
        <v>6801</v>
      </c>
      <c r="G45">
        <v>1412</v>
      </c>
      <c r="H45" s="1">
        <v>220800</v>
      </c>
    </row>
    <row r="46" spans="2:18" x14ac:dyDescent="0.25">
      <c r="B46">
        <v>2002</v>
      </c>
      <c r="C46" s="1">
        <v>136485</v>
      </c>
      <c r="D46">
        <v>416.70400000000001</v>
      </c>
      <c r="E46" s="1">
        <v>10500200</v>
      </c>
      <c r="F46" s="1">
        <v>8378</v>
      </c>
      <c r="G46">
        <v>1425</v>
      </c>
      <c r="H46" s="1">
        <v>223532</v>
      </c>
    </row>
    <row r="47" spans="2:18" x14ac:dyDescent="0.25">
      <c r="B47">
        <v>2003</v>
      </c>
      <c r="C47" s="1">
        <v>137736</v>
      </c>
      <c r="D47">
        <v>425.553</v>
      </c>
      <c r="E47" s="1">
        <v>11017600</v>
      </c>
      <c r="F47" s="1">
        <v>8774</v>
      </c>
      <c r="G47">
        <v>1423</v>
      </c>
      <c r="H47" s="1">
        <v>226223</v>
      </c>
    </row>
    <row r="48" spans="2:18" x14ac:dyDescent="0.25">
      <c r="B48">
        <v>2004</v>
      </c>
      <c r="C48" s="1">
        <v>139252</v>
      </c>
      <c r="D48">
        <v>437.79500000000002</v>
      </c>
      <c r="E48" s="1">
        <v>11762100</v>
      </c>
      <c r="F48" s="1">
        <v>8149</v>
      </c>
      <c r="G48">
        <v>1411</v>
      </c>
      <c r="H48" s="1">
        <v>228892</v>
      </c>
    </row>
    <row r="49" spans="2:8" x14ac:dyDescent="0.25">
      <c r="B49">
        <v>2005</v>
      </c>
      <c r="C49" s="1">
        <v>141730</v>
      </c>
      <c r="D49">
        <v>451.94600000000003</v>
      </c>
      <c r="E49" s="1">
        <v>12502400</v>
      </c>
      <c r="F49" s="1">
        <v>7591</v>
      </c>
      <c r="G49">
        <v>1378</v>
      </c>
      <c r="H49" s="1">
        <v>231552</v>
      </c>
    </row>
    <row r="51" spans="2:8" x14ac:dyDescent="0.25">
      <c r="B51" t="s">
        <v>7</v>
      </c>
    </row>
    <row r="52" spans="2:8" ht="15.75" thickBot="1" x14ac:dyDescent="0.3"/>
    <row r="53" spans="2:8" x14ac:dyDescent="0.25">
      <c r="B53" s="5" t="s">
        <v>8</v>
      </c>
      <c r="C53" s="5"/>
    </row>
    <row r="54" spans="2:8" x14ac:dyDescent="0.25">
      <c r="B54" s="2" t="s">
        <v>9</v>
      </c>
      <c r="C54" s="2">
        <v>0.99968262839727906</v>
      </c>
    </row>
    <row r="55" spans="2:8" x14ac:dyDescent="0.25">
      <c r="B55" s="2" t="s">
        <v>10</v>
      </c>
      <c r="C55" s="2">
        <v>0.99936535751929223</v>
      </c>
    </row>
    <row r="56" spans="2:8" x14ac:dyDescent="0.25">
      <c r="B56" s="2" t="s">
        <v>11</v>
      </c>
      <c r="C56" s="2">
        <v>0.99928602720920379</v>
      </c>
    </row>
    <row r="57" spans="2:8" x14ac:dyDescent="0.25">
      <c r="B57" s="2" t="s">
        <v>12</v>
      </c>
      <c r="C57" s="2">
        <v>643.30115473103183</v>
      </c>
    </row>
    <row r="58" spans="2:8" ht="15.75" thickBot="1" x14ac:dyDescent="0.3">
      <c r="B58" s="3" t="s">
        <v>13</v>
      </c>
      <c r="C58" s="3">
        <v>46</v>
      </c>
    </row>
    <row r="60" spans="2:8" ht="15.75" thickBot="1" x14ac:dyDescent="0.3">
      <c r="B60" t="s">
        <v>14</v>
      </c>
    </row>
    <row r="61" spans="2:8" x14ac:dyDescent="0.25">
      <c r="B61" s="4"/>
      <c r="C61" s="4" t="s">
        <v>19</v>
      </c>
      <c r="D61" s="4" t="s">
        <v>20</v>
      </c>
      <c r="E61" s="4" t="s">
        <v>21</v>
      </c>
      <c r="F61" s="4" t="s">
        <v>22</v>
      </c>
      <c r="G61" s="4" t="s">
        <v>23</v>
      </c>
    </row>
    <row r="62" spans="2:8" x14ac:dyDescent="0.25">
      <c r="B62" s="2" t="s">
        <v>15</v>
      </c>
      <c r="C62" s="2">
        <v>5</v>
      </c>
      <c r="D62" s="2">
        <v>26066565041.342438</v>
      </c>
      <c r="E62" s="2">
        <v>5213313008.2684879</v>
      </c>
      <c r="F62" s="2">
        <v>12597.522389673584</v>
      </c>
      <c r="G62" s="2">
        <v>8.2701993552999431E-63</v>
      </c>
    </row>
    <row r="63" spans="2:8" x14ac:dyDescent="0.25">
      <c r="B63" s="2" t="s">
        <v>16</v>
      </c>
      <c r="C63" s="2">
        <v>40</v>
      </c>
      <c r="D63" s="2">
        <v>16553455.027131159</v>
      </c>
      <c r="E63" s="2">
        <v>413836.37567827897</v>
      </c>
      <c r="F63" s="2"/>
      <c r="G63" s="2"/>
    </row>
    <row r="64" spans="2:8" ht="15.75" thickBot="1" x14ac:dyDescent="0.3">
      <c r="B64" s="3" t="s">
        <v>17</v>
      </c>
      <c r="C64" s="3">
        <v>45</v>
      </c>
      <c r="D64" s="3">
        <v>26083118496.369568</v>
      </c>
      <c r="E64" s="3"/>
      <c r="F64" s="3"/>
      <c r="G64" s="3"/>
    </row>
    <row r="65" spans="1:20" ht="15.75" thickBot="1" x14ac:dyDescent="0.3"/>
    <row r="66" spans="1:20" x14ac:dyDescent="0.25">
      <c r="B66" s="4"/>
      <c r="C66" s="4" t="s">
        <v>24</v>
      </c>
      <c r="D66" s="4" t="s">
        <v>12</v>
      </c>
      <c r="E66" s="4" t="s">
        <v>25</v>
      </c>
      <c r="F66" s="4" t="s">
        <v>26</v>
      </c>
      <c r="G66" s="4" t="s">
        <v>27</v>
      </c>
      <c r="H66" s="4" t="s">
        <v>28</v>
      </c>
      <c r="I66" s="4" t="s">
        <v>29</v>
      </c>
    </row>
    <row r="67" spans="1:20" x14ac:dyDescent="0.25">
      <c r="B67" s="2" t="s">
        <v>18</v>
      </c>
      <c r="C67" s="2">
        <v>-6959.2198365086515</v>
      </c>
      <c r="D67" s="2">
        <v>2530.9528622689804</v>
      </c>
      <c r="E67" s="2">
        <v>-2.7496441914251073</v>
      </c>
      <c r="F67" s="2">
        <v>8.9129107328805406E-3</v>
      </c>
      <c r="G67" s="2">
        <v>-12074.466380465712</v>
      </c>
      <c r="H67" s="2">
        <v>-1843.9732925515909</v>
      </c>
      <c r="I67" s="2">
        <v>-1843.9732925515909</v>
      </c>
    </row>
    <row r="68" spans="1:20" x14ac:dyDescent="0.25">
      <c r="B68" s="2" t="s">
        <v>2</v>
      </c>
      <c r="C68" s="2">
        <v>85.44923203594179</v>
      </c>
      <c r="D68" s="2">
        <v>6.7008877754321716</v>
      </c>
      <c r="E68" s="2">
        <v>12.751927043044796</v>
      </c>
      <c r="F68" s="2">
        <v>1.1255245972221509E-15</v>
      </c>
      <c r="G68" s="2">
        <v>71.906232659811678</v>
      </c>
      <c r="H68" s="2">
        <v>98.992231412071902</v>
      </c>
      <c r="I68" s="2">
        <v>98.992231412071902</v>
      </c>
    </row>
    <row r="69" spans="1:20" x14ac:dyDescent="0.25">
      <c r="B69" s="2" t="s">
        <v>3</v>
      </c>
      <c r="C69" s="2">
        <v>-1.4074876777005023E-3</v>
      </c>
      <c r="D69" s="2">
        <v>1.6791452451125617E-4</v>
      </c>
      <c r="E69" s="2">
        <v>-8.3821675450484996</v>
      </c>
      <c r="F69" s="2">
        <v>2.4161488281294765E-10</v>
      </c>
      <c r="G69" s="2">
        <v>-1.7468555908651817E-3</v>
      </c>
      <c r="H69" s="2">
        <v>-1.0681197645358229E-3</v>
      </c>
      <c r="I69" s="2">
        <v>-1.0681197645358229E-3</v>
      </c>
    </row>
    <row r="70" spans="1:20" x14ac:dyDescent="0.25">
      <c r="B70" s="2" t="s">
        <v>4</v>
      </c>
      <c r="C70" s="2">
        <v>-1.3960178148831317</v>
      </c>
      <c r="D70" s="2">
        <v>9.1299799155410061E-2</v>
      </c>
      <c r="E70" s="2">
        <v>-15.290480677912962</v>
      </c>
      <c r="F70" s="2">
        <v>2.6503748906630524E-18</v>
      </c>
      <c r="G70" s="2">
        <v>-1.5805415920960364</v>
      </c>
      <c r="H70" s="2">
        <v>-1.211494037670227</v>
      </c>
      <c r="I70" s="2">
        <v>-1.211494037670227</v>
      </c>
    </row>
    <row r="71" spans="1:20" x14ac:dyDescent="0.25">
      <c r="B71" s="2" t="s">
        <v>5</v>
      </c>
      <c r="C71" s="2">
        <v>-1.0816415860895952</v>
      </c>
      <c r="D71" s="2">
        <v>0.3516962244021975</v>
      </c>
      <c r="E71" s="2">
        <v>-3.0754995676400463</v>
      </c>
      <c r="F71" s="2">
        <v>3.7796474210924497E-3</v>
      </c>
      <c r="G71" s="2">
        <v>-1.7924461700925094</v>
      </c>
      <c r="H71" s="2">
        <v>-0.37083700208668102</v>
      </c>
      <c r="I71" s="2">
        <v>-0.37083700208668102</v>
      </c>
    </row>
    <row r="72" spans="1:20" ht="15.75" thickBot="1" x14ac:dyDescent="0.3">
      <c r="B72" s="3" t="s">
        <v>6</v>
      </c>
      <c r="C72" s="3">
        <v>0.60595538462888343</v>
      </c>
      <c r="D72" s="3">
        <v>1.966927906317956E-2</v>
      </c>
      <c r="E72" s="3">
        <v>30.807198509030158</v>
      </c>
      <c r="F72" s="3">
        <v>1.7509202419790746E-29</v>
      </c>
      <c r="G72" s="3">
        <v>0.56620228876922474</v>
      </c>
      <c r="H72" s="3">
        <v>0.64570848048854212</v>
      </c>
      <c r="I72" s="3">
        <v>0.64570848048854212</v>
      </c>
    </row>
    <row r="76" spans="1:20" x14ac:dyDescent="0.25">
      <c r="B76" t="s">
        <v>30</v>
      </c>
    </row>
    <row r="77" spans="1:20" ht="15.75" thickBot="1" x14ac:dyDescent="0.3">
      <c r="P77" s="6"/>
      <c r="Q77" s="6"/>
      <c r="R77" s="6"/>
      <c r="S77" s="6"/>
      <c r="T77" s="6"/>
    </row>
    <row r="78" spans="1:20" x14ac:dyDescent="0.25">
      <c r="A78">
        <v>100</v>
      </c>
      <c r="B78" t="s">
        <v>0</v>
      </c>
      <c r="C78" t="s">
        <v>31</v>
      </c>
      <c r="D78" s="4" t="s">
        <v>32</v>
      </c>
      <c r="P78" s="6"/>
      <c r="Q78" s="6"/>
      <c r="R78" s="6"/>
      <c r="S78" s="7"/>
      <c r="T78" s="6"/>
    </row>
    <row r="79" spans="1:20" x14ac:dyDescent="0.25">
      <c r="B79">
        <v>646.29999999999995</v>
      </c>
      <c r="C79">
        <v>643.15471014365289</v>
      </c>
      <c r="D79">
        <v>3.1452898563471536</v>
      </c>
      <c r="P79" s="6"/>
      <c r="Q79" s="6"/>
      <c r="R79" s="6"/>
      <c r="S79" s="2"/>
      <c r="T79" s="6"/>
    </row>
    <row r="80" spans="1:20" x14ac:dyDescent="0.25">
      <c r="B80">
        <v>657.78</v>
      </c>
      <c r="C80">
        <v>652.10046843624286</v>
      </c>
      <c r="D80">
        <v>5.679531563757191</v>
      </c>
      <c r="P80" s="6"/>
      <c r="Q80" s="6"/>
      <c r="R80" s="6"/>
      <c r="S80" s="2"/>
      <c r="T80" s="6"/>
    </row>
    <row r="81" spans="2:20" x14ac:dyDescent="0.25">
      <c r="B81">
        <v>657.46</v>
      </c>
      <c r="C81">
        <v>649.47088384486642</v>
      </c>
      <c r="D81">
        <v>7.9891161551335248</v>
      </c>
      <c r="P81" s="6"/>
      <c r="Q81" s="6"/>
      <c r="R81" s="6">
        <v>100</v>
      </c>
      <c r="S81" t="s">
        <v>0</v>
      </c>
      <c r="T81" t="s">
        <v>31</v>
      </c>
    </row>
    <row r="82" spans="2:20" x14ac:dyDescent="0.25">
      <c r="B82">
        <v>667.02</v>
      </c>
      <c r="C82">
        <v>667.19698900618732</v>
      </c>
      <c r="D82">
        <v>-0.17698900618735933</v>
      </c>
      <c r="P82" s="6"/>
      <c r="Q82" s="6"/>
      <c r="R82" s="6"/>
      <c r="S82">
        <v>64629.999999999993</v>
      </c>
      <c r="T82">
        <v>64315.471014365292</v>
      </c>
    </row>
    <row r="83" spans="2:20" x14ac:dyDescent="0.25">
      <c r="B83">
        <v>677.62</v>
      </c>
      <c r="C83">
        <v>680.8804588400767</v>
      </c>
      <c r="D83">
        <v>-3.2604588400767534</v>
      </c>
      <c r="P83" s="6"/>
      <c r="Q83" s="6"/>
      <c r="R83" s="6"/>
      <c r="S83">
        <v>65778</v>
      </c>
      <c r="T83">
        <v>65210.046843624288</v>
      </c>
    </row>
    <row r="84" spans="2:20" x14ac:dyDescent="0.25">
      <c r="B84">
        <v>693.05</v>
      </c>
      <c r="C84">
        <v>698.3696329024483</v>
      </c>
      <c r="D84">
        <v>-5.3196329024483564</v>
      </c>
      <c r="P84" s="6"/>
      <c r="Q84" s="6"/>
      <c r="R84" s="6"/>
      <c r="S84">
        <v>65746</v>
      </c>
      <c r="T84">
        <v>64947.08838448664</v>
      </c>
    </row>
    <row r="85" spans="2:20" x14ac:dyDescent="0.25">
      <c r="B85">
        <v>710.88</v>
      </c>
      <c r="C85">
        <v>717.8107956799729</v>
      </c>
      <c r="D85">
        <v>-6.9307956799729435</v>
      </c>
      <c r="P85" s="6"/>
      <c r="Q85" s="6"/>
      <c r="R85" s="6"/>
      <c r="S85">
        <v>66702</v>
      </c>
      <c r="T85">
        <v>66719.698900618736</v>
      </c>
    </row>
    <row r="86" spans="2:20" x14ac:dyDescent="0.25">
      <c r="B86">
        <v>728.95</v>
      </c>
      <c r="C86">
        <v>734.33852116443154</v>
      </c>
      <c r="D86">
        <v>-5.3885211644315856</v>
      </c>
      <c r="P86" s="6"/>
      <c r="Q86" s="6"/>
      <c r="R86" s="6"/>
      <c r="S86">
        <v>67762</v>
      </c>
      <c r="T86">
        <v>68088.045884007675</v>
      </c>
    </row>
    <row r="87" spans="2:20" x14ac:dyDescent="0.25">
      <c r="B87">
        <v>743.72</v>
      </c>
      <c r="C87">
        <v>744.92814748968783</v>
      </c>
      <c r="D87">
        <v>-1.2081474896878353</v>
      </c>
      <c r="P87" s="6"/>
      <c r="Q87" s="6"/>
      <c r="R87" s="6"/>
      <c r="S87">
        <v>69305</v>
      </c>
      <c r="T87">
        <v>69836.963290244836</v>
      </c>
    </row>
    <row r="88" spans="2:20" x14ac:dyDescent="0.25">
      <c r="B88">
        <v>759.2</v>
      </c>
      <c r="C88">
        <v>762.2798250165323</v>
      </c>
      <c r="D88">
        <v>-3.079825016532268</v>
      </c>
      <c r="P88" s="6"/>
      <c r="Q88" s="6"/>
      <c r="R88" s="6"/>
      <c r="S88">
        <v>71088</v>
      </c>
      <c r="T88">
        <v>71781.079567997294</v>
      </c>
    </row>
    <row r="89" spans="2:20" x14ac:dyDescent="0.25">
      <c r="B89">
        <v>779.02</v>
      </c>
      <c r="C89">
        <v>779.43510093655959</v>
      </c>
      <c r="D89">
        <v>-0.415100936559611</v>
      </c>
      <c r="P89" s="6"/>
      <c r="Q89" s="6"/>
      <c r="R89" s="6"/>
      <c r="S89">
        <v>72895</v>
      </c>
      <c r="T89">
        <v>73433.852116443159</v>
      </c>
    </row>
    <row r="90" spans="2:20" x14ac:dyDescent="0.25">
      <c r="B90">
        <v>786.78</v>
      </c>
      <c r="C90">
        <v>785.05305063773415</v>
      </c>
      <c r="D90">
        <v>1.7269493622658774</v>
      </c>
      <c r="P90" s="6"/>
      <c r="Q90" s="6"/>
      <c r="R90" s="6"/>
      <c r="S90">
        <v>74372</v>
      </c>
      <c r="T90">
        <v>74492.814748968784</v>
      </c>
    </row>
    <row r="91" spans="2:20" x14ac:dyDescent="0.25">
      <c r="B91">
        <v>793.67</v>
      </c>
      <c r="C91">
        <v>796.32999061135092</v>
      </c>
      <c r="D91">
        <v>-2.6599906113509495</v>
      </c>
      <c r="P91" s="6"/>
      <c r="Q91" s="6"/>
      <c r="R91" s="6"/>
      <c r="S91">
        <v>75920</v>
      </c>
      <c r="T91">
        <v>76227.982501653227</v>
      </c>
    </row>
    <row r="92" spans="2:20" x14ac:dyDescent="0.25">
      <c r="B92">
        <v>821.53</v>
      </c>
      <c r="C92">
        <v>821.63165440441549</v>
      </c>
      <c r="D92">
        <v>-0.10165440441545798</v>
      </c>
      <c r="P92" s="6"/>
      <c r="Q92" s="6"/>
      <c r="R92" s="6"/>
      <c r="S92">
        <v>77902</v>
      </c>
      <c r="T92">
        <v>77943.510093655961</v>
      </c>
    </row>
    <row r="93" spans="2:20" x14ac:dyDescent="0.25">
      <c r="B93">
        <v>850.64</v>
      </c>
      <c r="C93">
        <v>851.32298098844865</v>
      </c>
      <c r="D93">
        <v>-0.68298098844868949</v>
      </c>
      <c r="P93" s="6"/>
      <c r="Q93" s="6"/>
      <c r="R93" s="6"/>
      <c r="S93">
        <v>78678</v>
      </c>
      <c r="T93">
        <v>78505.305063773412</v>
      </c>
    </row>
    <row r="94" spans="2:20" x14ac:dyDescent="0.25">
      <c r="B94">
        <v>867.94</v>
      </c>
      <c r="C94">
        <v>867.0712839847231</v>
      </c>
      <c r="D94">
        <v>0.86871601527687747</v>
      </c>
      <c r="P94" s="6"/>
      <c r="Q94" s="6"/>
      <c r="R94" s="6"/>
      <c r="S94">
        <v>79367</v>
      </c>
      <c r="T94">
        <v>79632.999061135095</v>
      </c>
    </row>
    <row r="95" spans="2:20" x14ac:dyDescent="0.25">
      <c r="B95">
        <v>858.46</v>
      </c>
      <c r="C95">
        <v>856.09099917749893</v>
      </c>
      <c r="D95">
        <v>2.3690008225011114</v>
      </c>
      <c r="P95" s="6"/>
      <c r="Q95" s="6"/>
      <c r="R95" s="6"/>
      <c r="S95">
        <v>82153</v>
      </c>
      <c r="T95">
        <v>82163.165440441546</v>
      </c>
    </row>
    <row r="96" spans="2:20" x14ac:dyDescent="0.25">
      <c r="B96">
        <v>887.52</v>
      </c>
      <c r="C96">
        <v>886.66243526651783</v>
      </c>
      <c r="D96">
        <v>0.85756473348214057</v>
      </c>
      <c r="P96" s="6"/>
      <c r="Q96" s="6"/>
      <c r="R96" s="6"/>
      <c r="S96">
        <v>85064</v>
      </c>
      <c r="T96">
        <v>85132.298098844869</v>
      </c>
    </row>
    <row r="97" spans="2:20" x14ac:dyDescent="0.25">
      <c r="B97">
        <v>920.17</v>
      </c>
      <c r="C97">
        <v>916.88118833757949</v>
      </c>
      <c r="D97">
        <v>3.2888116624204851</v>
      </c>
      <c r="P97" s="6"/>
      <c r="Q97" s="6"/>
      <c r="R97" s="6"/>
      <c r="S97">
        <v>86794</v>
      </c>
      <c r="T97">
        <v>86707.128398472312</v>
      </c>
    </row>
    <row r="98" spans="2:20" x14ac:dyDescent="0.25">
      <c r="B98">
        <v>960.48</v>
      </c>
      <c r="C98">
        <v>953.02488668473291</v>
      </c>
      <c r="D98">
        <v>7.4551133152670808</v>
      </c>
      <c r="P98" s="6"/>
      <c r="Q98" s="6"/>
      <c r="R98" s="6"/>
      <c r="S98">
        <v>85846</v>
      </c>
      <c r="T98">
        <v>85609.099917749889</v>
      </c>
    </row>
    <row r="99" spans="2:20" x14ac:dyDescent="0.25">
      <c r="B99">
        <v>988.24</v>
      </c>
      <c r="C99">
        <v>981.60706337363638</v>
      </c>
      <c r="D99">
        <v>6.6329366263636622</v>
      </c>
      <c r="P99" s="6"/>
      <c r="Q99" s="6"/>
      <c r="R99" s="6"/>
      <c r="S99">
        <v>88752</v>
      </c>
      <c r="T99">
        <v>88666.243526651786</v>
      </c>
    </row>
    <row r="100" spans="2:20" x14ac:dyDescent="0.25">
      <c r="B100">
        <v>993.03</v>
      </c>
      <c r="C100">
        <v>990.83859114698453</v>
      </c>
      <c r="D100">
        <v>2.1914088530154547</v>
      </c>
      <c r="P100" s="6"/>
      <c r="Q100" s="6"/>
      <c r="R100" s="6"/>
      <c r="S100">
        <v>92017</v>
      </c>
      <c r="T100">
        <v>91688.118833757952</v>
      </c>
    </row>
    <row r="101" spans="2:20" x14ac:dyDescent="0.25">
      <c r="B101">
        <v>1003.97</v>
      </c>
      <c r="C101">
        <v>1009.2310315183896</v>
      </c>
      <c r="D101">
        <v>-5.2610315183896459</v>
      </c>
      <c r="P101" s="6"/>
      <c r="Q101" s="6"/>
      <c r="R101" s="6"/>
      <c r="S101">
        <v>96048</v>
      </c>
      <c r="T101">
        <v>95302.488668473292</v>
      </c>
    </row>
    <row r="102" spans="2:20" x14ac:dyDescent="0.25">
      <c r="B102">
        <v>995.26</v>
      </c>
      <c r="C102">
        <v>999.35706952086014</v>
      </c>
      <c r="D102">
        <v>-4.0970695208600958</v>
      </c>
      <c r="P102" s="6"/>
      <c r="Q102" s="6"/>
      <c r="R102" s="6"/>
      <c r="S102">
        <v>98824</v>
      </c>
      <c r="T102">
        <v>98160.706337363634</v>
      </c>
    </row>
    <row r="103" spans="2:20" x14ac:dyDescent="0.25">
      <c r="B103">
        <v>1008.34</v>
      </c>
      <c r="C103">
        <v>1015.5376114671436</v>
      </c>
      <c r="D103">
        <v>-7.1976114671435791</v>
      </c>
      <c r="P103" s="6"/>
      <c r="Q103" s="6"/>
      <c r="R103" s="6"/>
      <c r="S103">
        <v>99303</v>
      </c>
      <c r="T103">
        <v>99083.859114698455</v>
      </c>
    </row>
    <row r="104" spans="2:20" x14ac:dyDescent="0.25">
      <c r="B104">
        <v>1050.05</v>
      </c>
      <c r="C104">
        <v>1060.4094254651009</v>
      </c>
      <c r="D104">
        <v>-10.359425465100793</v>
      </c>
      <c r="P104" s="6"/>
      <c r="Q104" s="6"/>
      <c r="R104" s="6"/>
      <c r="S104">
        <v>100397</v>
      </c>
      <c r="T104">
        <v>100923.10315183896</v>
      </c>
    </row>
    <row r="105" spans="2:20" x14ac:dyDescent="0.25">
      <c r="B105">
        <v>1071.5</v>
      </c>
      <c r="C105">
        <v>1078.583882103183</v>
      </c>
      <c r="D105">
        <v>-7.0838821031829866</v>
      </c>
      <c r="P105" s="6"/>
      <c r="Q105" s="6"/>
      <c r="R105" s="6"/>
      <c r="S105">
        <v>99526</v>
      </c>
      <c r="T105">
        <v>99935.70695208601</v>
      </c>
    </row>
    <row r="106" spans="2:20" x14ac:dyDescent="0.25">
      <c r="B106">
        <v>1095.97</v>
      </c>
      <c r="C106">
        <v>1094.2608486086674</v>
      </c>
      <c r="D106">
        <v>1.7091513913325616</v>
      </c>
      <c r="P106" s="6"/>
      <c r="Q106" s="6"/>
      <c r="R106" s="6"/>
      <c r="S106">
        <v>100834</v>
      </c>
      <c r="T106">
        <v>101553.76114671436</v>
      </c>
    </row>
    <row r="107" spans="2:20" x14ac:dyDescent="0.25">
      <c r="B107">
        <v>1124.4000000000001</v>
      </c>
      <c r="C107">
        <v>1121.1587435588006</v>
      </c>
      <c r="D107">
        <v>3.241256441199512</v>
      </c>
      <c r="P107" s="6"/>
      <c r="Q107" s="6"/>
      <c r="R107" s="6"/>
      <c r="S107">
        <v>105005</v>
      </c>
      <c r="T107">
        <v>106040.94254651008</v>
      </c>
    </row>
    <row r="108" spans="2:20" x14ac:dyDescent="0.25">
      <c r="B108">
        <v>1149.68</v>
      </c>
      <c r="C108">
        <v>1145.9427043197104</v>
      </c>
      <c r="D108">
        <v>3.7372956802896806</v>
      </c>
      <c r="P108" s="6"/>
      <c r="Q108" s="6"/>
      <c r="R108" s="6"/>
      <c r="S108">
        <v>107150</v>
      </c>
      <c r="T108">
        <v>107858.3882103183</v>
      </c>
    </row>
    <row r="109" spans="2:20" x14ac:dyDescent="0.25">
      <c r="B109">
        <v>1173.42</v>
      </c>
      <c r="C109">
        <v>1162.8342054197014</v>
      </c>
      <c r="D109">
        <v>10.585794580298534</v>
      </c>
      <c r="P109" s="6"/>
      <c r="Q109" s="6"/>
      <c r="R109" s="6"/>
      <c r="S109">
        <v>109597</v>
      </c>
      <c r="T109">
        <v>109426.08486086674</v>
      </c>
    </row>
    <row r="110" spans="2:20" x14ac:dyDescent="0.25">
      <c r="B110">
        <v>1187.93</v>
      </c>
      <c r="C110">
        <v>1172.6297712730648</v>
      </c>
      <c r="D110">
        <v>15.300228726935165</v>
      </c>
      <c r="P110" s="6"/>
      <c r="Q110" s="6"/>
      <c r="R110" s="6"/>
      <c r="S110">
        <v>112440.00000000001</v>
      </c>
      <c r="T110">
        <v>112115.87435588005</v>
      </c>
    </row>
    <row r="111" spans="2:20" x14ac:dyDescent="0.25">
      <c r="B111">
        <v>1177.18</v>
      </c>
      <c r="C111">
        <v>1172.0581921567464</v>
      </c>
      <c r="D111">
        <v>5.1218078432536274</v>
      </c>
      <c r="P111" s="6"/>
      <c r="Q111" s="6"/>
      <c r="R111" s="6"/>
      <c r="S111">
        <v>114968</v>
      </c>
      <c r="T111">
        <v>114594.27043197105</v>
      </c>
    </row>
    <row r="112" spans="2:20" x14ac:dyDescent="0.25">
      <c r="B112">
        <v>1184.92</v>
      </c>
      <c r="C112">
        <v>1175.504924735975</v>
      </c>
      <c r="D112">
        <v>9.4150752640249262</v>
      </c>
      <c r="P112" s="6"/>
      <c r="Q112" s="6"/>
      <c r="R112" s="6"/>
      <c r="S112">
        <v>117342</v>
      </c>
      <c r="T112">
        <v>116283.42054197015</v>
      </c>
    </row>
    <row r="113" spans="2:20" x14ac:dyDescent="0.25">
      <c r="B113">
        <v>1202.5899999999999</v>
      </c>
      <c r="C113">
        <v>1204.1128088728146</v>
      </c>
      <c r="D113">
        <v>-1.5228088728146394</v>
      </c>
      <c r="P113" s="6"/>
      <c r="Q113" s="6"/>
      <c r="R113" s="6"/>
      <c r="S113">
        <v>118793</v>
      </c>
      <c r="T113">
        <v>117262.97712730648</v>
      </c>
    </row>
    <row r="114" spans="2:20" x14ac:dyDescent="0.25">
      <c r="B114">
        <v>1230.5999999999999</v>
      </c>
      <c r="C114">
        <v>1233.1192828927221</v>
      </c>
      <c r="D114">
        <v>-2.5192828927221127</v>
      </c>
      <c r="P114" s="6"/>
      <c r="Q114" s="6"/>
      <c r="R114" s="6"/>
      <c r="S114">
        <v>117718</v>
      </c>
      <c r="T114">
        <v>117205.81921567464</v>
      </c>
    </row>
    <row r="115" spans="2:20" x14ac:dyDescent="0.25">
      <c r="B115">
        <v>1249</v>
      </c>
      <c r="C115">
        <v>1258.8698986832915</v>
      </c>
      <c r="D115">
        <v>-9.8698986832915399</v>
      </c>
      <c r="P115" s="6"/>
      <c r="Q115" s="6"/>
      <c r="R115" s="6"/>
      <c r="S115">
        <v>118492</v>
      </c>
      <c r="T115">
        <v>117550.49247359751</v>
      </c>
    </row>
    <row r="116" spans="2:20" x14ac:dyDescent="0.25">
      <c r="B116">
        <v>1267.08</v>
      </c>
      <c r="C116">
        <v>1278.2871956681704</v>
      </c>
      <c r="D116">
        <v>-11.207195668170316</v>
      </c>
      <c r="P116" s="6"/>
      <c r="Q116" s="6"/>
      <c r="R116" s="6"/>
      <c r="S116">
        <v>120258.99999999999</v>
      </c>
      <c r="T116">
        <v>120411.28088728146</v>
      </c>
    </row>
    <row r="117" spans="2:20" x14ac:dyDescent="0.25">
      <c r="B117">
        <v>1295.58</v>
      </c>
      <c r="C117">
        <v>1300.9254119213531</v>
      </c>
      <c r="D117">
        <v>-5.3454119213530795</v>
      </c>
      <c r="P117" s="6"/>
      <c r="Q117" s="6"/>
      <c r="R117" s="6"/>
      <c r="S117">
        <v>123059.99999999999</v>
      </c>
      <c r="T117">
        <v>123311.92828927221</v>
      </c>
    </row>
    <row r="118" spans="2:20" x14ac:dyDescent="0.25">
      <c r="B118">
        <v>1314.63</v>
      </c>
      <c r="C118">
        <v>1323.1343553565807</v>
      </c>
      <c r="D118">
        <v>-8.5043553565806356</v>
      </c>
      <c r="P118" s="6"/>
      <c r="Q118" s="6"/>
      <c r="R118" s="6"/>
      <c r="S118">
        <v>124900</v>
      </c>
      <c r="T118">
        <v>125886.98986832914</v>
      </c>
    </row>
    <row r="119" spans="2:20" x14ac:dyDescent="0.25">
      <c r="B119">
        <v>1334.88</v>
      </c>
      <c r="C119">
        <v>1342.2128459720275</v>
      </c>
      <c r="D119">
        <v>-7.3328459720275712</v>
      </c>
      <c r="P119" s="6"/>
      <c r="Q119" s="6"/>
      <c r="R119" s="6"/>
      <c r="S119">
        <v>126708</v>
      </c>
      <c r="T119">
        <v>127828.71956681705</v>
      </c>
    </row>
    <row r="120" spans="2:20" x14ac:dyDescent="0.25">
      <c r="B120">
        <v>1368.91</v>
      </c>
      <c r="C120">
        <v>1360.1661618275946</v>
      </c>
      <c r="D120">
        <v>8.7438381724053755</v>
      </c>
      <c r="P120" s="6"/>
      <c r="Q120" s="6"/>
      <c r="R120" s="6"/>
      <c r="S120">
        <v>129558</v>
      </c>
      <c r="T120">
        <v>130092.54119213531</v>
      </c>
    </row>
    <row r="121" spans="2:20" x14ac:dyDescent="0.25">
      <c r="B121">
        <v>1369.33</v>
      </c>
      <c r="C121">
        <v>1364.9619970421679</v>
      </c>
      <c r="D121">
        <v>4.3680029578320685</v>
      </c>
      <c r="P121" s="6"/>
      <c r="Q121" s="6"/>
      <c r="R121" s="6"/>
      <c r="S121">
        <v>131463</v>
      </c>
      <c r="T121">
        <v>132313.43553565806</v>
      </c>
    </row>
    <row r="122" spans="2:20" x14ac:dyDescent="0.25">
      <c r="B122">
        <v>1364.85</v>
      </c>
      <c r="C122">
        <v>1360.8215736000066</v>
      </c>
      <c r="D122">
        <v>4.0284263999934771</v>
      </c>
      <c r="P122" s="6"/>
      <c r="Q122" s="6"/>
      <c r="R122" s="6"/>
      <c r="S122">
        <v>133488</v>
      </c>
      <c r="T122">
        <v>134221.28459720276</v>
      </c>
    </row>
    <row r="123" spans="2:20" x14ac:dyDescent="0.25">
      <c r="B123">
        <v>1377.36</v>
      </c>
      <c r="C123">
        <v>1371.9002965835925</v>
      </c>
      <c r="D123">
        <v>5.4597034164075744</v>
      </c>
      <c r="P123" s="6"/>
      <c r="Q123" s="6"/>
      <c r="R123" s="6"/>
      <c r="S123">
        <v>136891</v>
      </c>
      <c r="T123">
        <v>136016.61618275946</v>
      </c>
    </row>
    <row r="124" spans="2:20" x14ac:dyDescent="0.25">
      <c r="B124">
        <v>1392.52</v>
      </c>
      <c r="C124">
        <v>1396.9101033580475</v>
      </c>
      <c r="D124">
        <v>-4.3901033580474902</v>
      </c>
      <c r="P124" s="6"/>
      <c r="Q124" s="6"/>
      <c r="R124" s="6"/>
      <c r="S124">
        <v>136933</v>
      </c>
      <c r="T124">
        <v>136496.19970421679</v>
      </c>
    </row>
    <row r="125" spans="2:20" x14ac:dyDescent="0.25">
      <c r="S125">
        <v>136485</v>
      </c>
      <c r="T125">
        <v>136082.15736000065</v>
      </c>
    </row>
    <row r="126" spans="2:20" x14ac:dyDescent="0.25">
      <c r="S126">
        <v>137736</v>
      </c>
      <c r="T126">
        <v>137190.02965835924</v>
      </c>
    </row>
    <row r="127" spans="2:20" x14ac:dyDescent="0.25">
      <c r="S127">
        <v>139252</v>
      </c>
      <c r="T127">
        <v>139691.01033580475</v>
      </c>
    </row>
  </sheetData>
  <mergeCells count="3">
    <mergeCell ref="N7:S7"/>
    <mergeCell ref="N16:S16"/>
    <mergeCell ref="N25:S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StatLab</cp:lastModifiedBy>
  <dcterms:created xsi:type="dcterms:W3CDTF">2021-12-29T02:42:54Z</dcterms:created>
  <dcterms:modified xsi:type="dcterms:W3CDTF">2022-01-07T04:02:29Z</dcterms:modified>
</cp:coreProperties>
</file>