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A18D6F1-E1EC-4E67-BE4A-C201FA9ED22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Q.1." sheetId="1" r:id="rId1"/>
    <sheet name="Q.2.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2" l="1"/>
  <c r="G22" i="2"/>
  <c r="I34" i="2"/>
  <c r="I33" i="2"/>
  <c r="M34" i="2"/>
  <c r="M33" i="2"/>
  <c r="M32" i="2"/>
  <c r="M31" i="2"/>
  <c r="M30" i="2"/>
  <c r="M29" i="2"/>
  <c r="E15" i="2"/>
  <c r="E14" i="2"/>
  <c r="E13" i="2"/>
  <c r="E12" i="2"/>
  <c r="E11" i="2"/>
  <c r="E10" i="2"/>
  <c r="E9" i="2"/>
  <c r="E8" i="2"/>
  <c r="E7" i="2"/>
  <c r="W29" i="1"/>
  <c r="M29" i="1"/>
  <c r="F42" i="1"/>
  <c r="F41" i="1"/>
  <c r="H21" i="1" s="1"/>
  <c r="J30" i="2"/>
  <c r="J31" i="2"/>
  <c r="J32" i="2"/>
  <c r="J33" i="2"/>
  <c r="J34" i="2"/>
  <c r="I30" i="2"/>
  <c r="I31" i="2"/>
  <c r="I32" i="2"/>
  <c r="J29" i="2"/>
  <c r="I29" i="2"/>
  <c r="F30" i="2"/>
  <c r="F31" i="2"/>
  <c r="F32" i="2"/>
  <c r="F33" i="2"/>
  <c r="F34" i="2"/>
  <c r="F29" i="2"/>
  <c r="X42" i="1"/>
  <c r="X41" i="1"/>
  <c r="N42" i="1"/>
  <c r="N41" i="1"/>
  <c r="H23" i="1" l="1"/>
  <c r="Y38" i="1" l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O29" i="1"/>
  <c r="N2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G30" i="1"/>
  <c r="G31" i="1"/>
  <c r="G32" i="1"/>
  <c r="G33" i="1"/>
  <c r="G34" i="1"/>
  <c r="G35" i="1"/>
  <c r="G36" i="1"/>
  <c r="G37" i="1"/>
  <c r="G38" i="1"/>
  <c r="G29" i="1"/>
  <c r="F30" i="1"/>
  <c r="F31" i="1"/>
  <c r="F32" i="1"/>
  <c r="F33" i="1"/>
  <c r="F34" i="1"/>
  <c r="F35" i="1"/>
  <c r="F36" i="1"/>
  <c r="F37" i="1"/>
  <c r="F38" i="1"/>
  <c r="F29" i="1"/>
  <c r="W31" i="1"/>
  <c r="W32" i="1"/>
  <c r="W33" i="1" s="1"/>
  <c r="W34" i="1" s="1"/>
  <c r="W35" i="1" s="1"/>
  <c r="W36" i="1" s="1"/>
  <c r="W37" i="1" s="1"/>
  <c r="W38" i="1" s="1"/>
  <c r="W30" i="1"/>
  <c r="M31" i="1"/>
  <c r="M32" i="1" s="1"/>
  <c r="M33" i="1" s="1"/>
  <c r="M34" i="1" s="1"/>
  <c r="M35" i="1" s="1"/>
  <c r="M36" i="1" s="1"/>
  <c r="M37" i="1" s="1"/>
  <c r="M38" i="1" s="1"/>
  <c r="M30" i="1"/>
  <c r="E31" i="1"/>
  <c r="E32" i="1" s="1"/>
  <c r="E33" i="1" s="1"/>
  <c r="E34" i="1" s="1"/>
  <c r="E35" i="1" s="1"/>
  <c r="E36" i="1" s="1"/>
  <c r="E37" i="1" s="1"/>
  <c r="E38" i="1" s="1"/>
  <c r="E30" i="1"/>
  <c r="E29" i="1"/>
</calcChain>
</file>

<file path=xl/sharedStrings.xml><?xml version="1.0" encoding="utf-8"?>
<sst xmlns="http://schemas.openxmlformats.org/spreadsheetml/2006/main" count="79" uniqueCount="38">
  <si>
    <t>Q.1</t>
  </si>
  <si>
    <t>The population is divided into three wards, each having ten blocks. An eye estimate, X of the number of households in each block is obtained by rapid survey of area. Use it as an auxiliary information for drawing PPSWR samples of size 5 from each ward.</t>
  </si>
  <si>
    <t>Sr.No.</t>
  </si>
  <si>
    <t>Ward-1 (X1)</t>
  </si>
  <si>
    <t>Ward-1 (Y1)</t>
  </si>
  <si>
    <t>Ward-2 (X2)</t>
  </si>
  <si>
    <t>Ward-2 (Y2)</t>
  </si>
  <si>
    <t>Ward-3 (X3)</t>
  </si>
  <si>
    <t>Ward-3 (Y3)</t>
  </si>
  <si>
    <t>Tasks:</t>
  </si>
  <si>
    <t>Estimate the total number of households in the population.</t>
  </si>
  <si>
    <t>Estimate the variance of the above estimate unbiasedly.</t>
  </si>
  <si>
    <t>Q.2</t>
  </si>
  <si>
    <t>A health department divides a city into 3 strata based on area type: Urban, Semi-Urban, and Rural. Each stratum consists of several zones. An eye-estimate (X) of the number of households and an actual observed count (Y) of vaccinated children in a health camp are available.</t>
  </si>
  <si>
    <t>Zone</t>
  </si>
  <si>
    <t>Stratum</t>
  </si>
  <si>
    <t>X (Households)</t>
  </si>
  <si>
    <t>Y (Vaccinated Children)</t>
  </si>
  <si>
    <t>Urban</t>
  </si>
  <si>
    <t>Semi-Urban</t>
  </si>
  <si>
    <t>Rural</t>
  </si>
  <si>
    <t>Draw a PPSWR sample of size 2 from each stratum.</t>
  </si>
  <si>
    <t>Estimate the total number of vaccinated children.</t>
  </si>
  <si>
    <t>Unbiasedly estimate the variance of your estimate.</t>
  </si>
  <si>
    <t>cumulative</t>
  </si>
  <si>
    <t>randon no.</t>
  </si>
  <si>
    <t>sample</t>
  </si>
  <si>
    <t>y/x</t>
  </si>
  <si>
    <t>y^2/x^2</t>
  </si>
  <si>
    <t>y1(cap)</t>
  </si>
  <si>
    <t>V(y1(cap))</t>
  </si>
  <si>
    <t>y(cap)</t>
  </si>
  <si>
    <t>V(y(cap))</t>
  </si>
  <si>
    <t>random no.</t>
  </si>
  <si>
    <t>y2(cap)</t>
  </si>
  <si>
    <t>V(y2(cap))</t>
  </si>
  <si>
    <t>y3(cap)</t>
  </si>
  <si>
    <t>V(y3(cap))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</si>
</sst>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6">
    <xf numFmtId="0" fontId="0" fillId="0" borderId="0" xfId="0"/>
    <xf numFmtId="0" fontId="2" fillId="3" borderId="0" xfId="2"/>
    <xf numFmtId="0" fontId="1" fillId="2" borderId="0" xfId="1"/>
    <xf numFmtId="0" fontId="3" fillId="4" borderId="0" xfId="3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5"/>
  <sheetViews>
    <sheetView topLeftCell="G27" workbookViewId="0">
      <selection activeCell="N42" sqref="N42"/>
    </sheetView>
  </sheetViews>
  <sheetFormatPr defaultRowHeight="15" x14ac:dyDescent="0.25"/>
  <cols>
    <col min="2" max="3" width="11.140625" customWidth="1"/>
    <col min="4" max="4" width="10.85546875" customWidth="1"/>
    <col min="5" max="5" width="11" customWidth="1"/>
    <col min="6" max="6" width="10.85546875" customWidth="1"/>
    <col min="7" max="7" width="11.140625" customWidth="1"/>
    <col min="11" max="11" width="11.140625" customWidth="1"/>
    <col min="12" max="12" width="11.85546875" customWidth="1"/>
    <col min="21" max="21" width="12.42578125" customWidth="1"/>
    <col min="22" max="22" width="12.140625" customWidth="1"/>
  </cols>
  <sheetData>
    <row r="2" spans="1:7" x14ac:dyDescent="0.25">
      <c r="A2" t="s">
        <v>0</v>
      </c>
    </row>
    <row r="3" spans="1:7" x14ac:dyDescent="0.25">
      <c r="A3" t="s">
        <v>1</v>
      </c>
    </row>
    <row r="5" spans="1:7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7" spans="1:7" x14ac:dyDescent="0.25">
      <c r="A7">
        <v>1</v>
      </c>
      <c r="B7">
        <v>19</v>
      </c>
      <c r="C7">
        <v>18</v>
      </c>
      <c r="D7">
        <v>18</v>
      </c>
      <c r="E7">
        <v>18</v>
      </c>
      <c r="F7">
        <v>18</v>
      </c>
      <c r="G7">
        <v>21</v>
      </c>
    </row>
    <row r="8" spans="1:7" x14ac:dyDescent="0.25">
      <c r="A8">
        <v>2</v>
      </c>
      <c r="B8">
        <v>9</v>
      </c>
      <c r="C8">
        <v>9</v>
      </c>
      <c r="D8">
        <v>37</v>
      </c>
      <c r="E8">
        <v>14</v>
      </c>
      <c r="F8">
        <v>32</v>
      </c>
      <c r="G8">
        <v>19</v>
      </c>
    </row>
    <row r="9" spans="1:7" x14ac:dyDescent="0.25">
      <c r="A9">
        <v>3</v>
      </c>
      <c r="B9">
        <v>17</v>
      </c>
      <c r="C9">
        <v>14</v>
      </c>
      <c r="D9">
        <v>12</v>
      </c>
      <c r="E9">
        <v>12</v>
      </c>
      <c r="F9">
        <v>12</v>
      </c>
      <c r="G9">
        <v>18</v>
      </c>
    </row>
    <row r="10" spans="1:7" x14ac:dyDescent="0.25">
      <c r="A10">
        <v>4</v>
      </c>
      <c r="B10">
        <v>14</v>
      </c>
      <c r="C10">
        <v>12</v>
      </c>
      <c r="D10">
        <v>37</v>
      </c>
      <c r="E10">
        <v>30</v>
      </c>
      <c r="F10">
        <v>38</v>
      </c>
      <c r="G10">
        <v>34</v>
      </c>
    </row>
    <row r="11" spans="1:7" x14ac:dyDescent="0.25">
      <c r="A11">
        <v>5</v>
      </c>
      <c r="B11">
        <v>21</v>
      </c>
      <c r="C11">
        <v>24</v>
      </c>
      <c r="D11">
        <v>27</v>
      </c>
      <c r="E11">
        <v>27</v>
      </c>
      <c r="F11">
        <v>30</v>
      </c>
      <c r="G11">
        <v>25</v>
      </c>
    </row>
    <row r="12" spans="1:7" x14ac:dyDescent="0.25">
      <c r="A12">
        <v>6</v>
      </c>
      <c r="B12">
        <v>22</v>
      </c>
      <c r="C12">
        <v>25</v>
      </c>
      <c r="D12">
        <v>25</v>
      </c>
      <c r="E12">
        <v>21</v>
      </c>
      <c r="F12">
        <v>25</v>
      </c>
      <c r="G12">
        <v>15</v>
      </c>
    </row>
    <row r="13" spans="1:7" x14ac:dyDescent="0.25">
      <c r="A13">
        <v>7</v>
      </c>
      <c r="B13">
        <v>27</v>
      </c>
      <c r="C13">
        <v>23</v>
      </c>
      <c r="D13">
        <v>25</v>
      </c>
      <c r="E13">
        <v>21</v>
      </c>
      <c r="F13">
        <v>22</v>
      </c>
      <c r="G13">
        <v>27</v>
      </c>
    </row>
    <row r="14" spans="1:7" x14ac:dyDescent="0.25">
      <c r="A14">
        <v>8</v>
      </c>
      <c r="B14">
        <v>35</v>
      </c>
      <c r="C14">
        <v>24</v>
      </c>
      <c r="D14">
        <v>30</v>
      </c>
      <c r="E14">
        <v>7</v>
      </c>
      <c r="F14">
        <v>30</v>
      </c>
      <c r="G14">
        <v>12</v>
      </c>
    </row>
    <row r="15" spans="1:7" x14ac:dyDescent="0.25">
      <c r="A15">
        <v>9</v>
      </c>
      <c r="B15">
        <v>20</v>
      </c>
      <c r="C15">
        <v>17</v>
      </c>
      <c r="D15">
        <v>19</v>
      </c>
      <c r="E15">
        <v>19</v>
      </c>
      <c r="F15">
        <v>27</v>
      </c>
      <c r="G15">
        <v>19</v>
      </c>
    </row>
    <row r="16" spans="1:7" x14ac:dyDescent="0.25">
      <c r="A16">
        <v>10</v>
      </c>
      <c r="B16">
        <v>15</v>
      </c>
      <c r="C16">
        <v>14</v>
      </c>
      <c r="D16">
        <v>12</v>
      </c>
      <c r="E16">
        <v>12</v>
      </c>
      <c r="F16">
        <v>15</v>
      </c>
      <c r="G16">
        <v>17</v>
      </c>
    </row>
    <row r="19" spans="1:25" x14ac:dyDescent="0.25">
      <c r="A19" t="s">
        <v>9</v>
      </c>
    </row>
    <row r="20" spans="1:25" ht="15.75" thickBot="1" x14ac:dyDescent="0.3"/>
    <row r="21" spans="1:25" ht="15.75" thickBot="1" x14ac:dyDescent="0.3">
      <c r="A21" t="s">
        <v>10</v>
      </c>
      <c r="G21" s="4" t="s">
        <v>31</v>
      </c>
      <c r="H21" s="5">
        <f>SUM(F41,N41,X41)</f>
        <v>586.49555938713831</v>
      </c>
    </row>
    <row r="22" spans="1:25" ht="15.75" thickBot="1" x14ac:dyDescent="0.3"/>
    <row r="23" spans="1:25" ht="15.75" thickBot="1" x14ac:dyDescent="0.3">
      <c r="A23" t="s">
        <v>11</v>
      </c>
      <c r="G23" s="4" t="s">
        <v>32</v>
      </c>
      <c r="H23" s="5">
        <f>SUM(F42,N42,X42)</f>
        <v>2594.6126340473729</v>
      </c>
    </row>
    <row r="27" spans="1:25" x14ac:dyDescent="0.25">
      <c r="B27" t="s">
        <v>2</v>
      </c>
      <c r="C27" t="s">
        <v>3</v>
      </c>
      <c r="D27" t="s">
        <v>4</v>
      </c>
      <c r="E27" t="s">
        <v>24</v>
      </c>
      <c r="F27" t="s">
        <v>27</v>
      </c>
      <c r="G27" t="s">
        <v>28</v>
      </c>
      <c r="J27" t="s">
        <v>2</v>
      </c>
      <c r="K27" t="s">
        <v>5</v>
      </c>
      <c r="L27" t="s">
        <v>6</v>
      </c>
      <c r="M27" t="s">
        <v>24</v>
      </c>
      <c r="N27" t="s">
        <v>27</v>
      </c>
      <c r="O27" t="s">
        <v>28</v>
      </c>
      <c r="T27" t="s">
        <v>2</v>
      </c>
      <c r="U27" t="s">
        <v>7</v>
      </c>
      <c r="V27" t="s">
        <v>8</v>
      </c>
      <c r="W27" t="s">
        <v>24</v>
      </c>
      <c r="X27" t="s">
        <v>27</v>
      </c>
      <c r="Y27" t="s">
        <v>28</v>
      </c>
    </row>
    <row r="29" spans="1:25" x14ac:dyDescent="0.25">
      <c r="B29" s="1">
        <v>1</v>
      </c>
      <c r="C29" s="1">
        <v>19</v>
      </c>
      <c r="D29" s="1">
        <v>18</v>
      </c>
      <c r="E29" s="1">
        <f>C29</f>
        <v>19</v>
      </c>
      <c r="F29" s="1">
        <f>D29/C29</f>
        <v>0.94736842105263153</v>
      </c>
      <c r="G29" s="1">
        <f>D29^2/C29^2</f>
        <v>0.89750692520775621</v>
      </c>
      <c r="J29" s="2">
        <v>1</v>
      </c>
      <c r="K29" s="2">
        <v>18</v>
      </c>
      <c r="L29" s="2">
        <v>18</v>
      </c>
      <c r="M29" s="2">
        <f>K29</f>
        <v>18</v>
      </c>
      <c r="N29" s="2">
        <f>L29/K29</f>
        <v>1</v>
      </c>
      <c r="O29" s="2">
        <f>L29^2/K29^2</f>
        <v>1</v>
      </c>
      <c r="T29">
        <v>1</v>
      </c>
      <c r="U29">
        <v>18</v>
      </c>
      <c r="V29">
        <v>21</v>
      </c>
      <c r="W29">
        <f>U29</f>
        <v>18</v>
      </c>
      <c r="X29">
        <f>V29/U29</f>
        <v>1.1666666666666667</v>
      </c>
      <c r="Y29">
        <f>V29^2/U29^2</f>
        <v>1.3611111111111112</v>
      </c>
    </row>
    <row r="30" spans="1:25" x14ac:dyDescent="0.25">
      <c r="B30" s="1">
        <v>2</v>
      </c>
      <c r="C30" s="1">
        <v>9</v>
      </c>
      <c r="D30" s="1">
        <v>9</v>
      </c>
      <c r="E30" s="1">
        <f>E29+C30</f>
        <v>28</v>
      </c>
      <c r="F30" s="1">
        <f t="shared" ref="F30:F38" si="0">D30/C30</f>
        <v>1</v>
      </c>
      <c r="G30" s="1">
        <f t="shared" ref="G30:G38" si="1">D30^2/C30^2</f>
        <v>1</v>
      </c>
      <c r="J30">
        <v>2</v>
      </c>
      <c r="K30">
        <v>37</v>
      </c>
      <c r="L30">
        <v>14</v>
      </c>
      <c r="M30">
        <f>M29+K30</f>
        <v>55</v>
      </c>
      <c r="N30">
        <f t="shared" ref="N30:N38" si="2">L30/K30</f>
        <v>0.3783783783783784</v>
      </c>
      <c r="O30">
        <f t="shared" ref="O30:O38" si="3">L30^2/K30^2</f>
        <v>0.14317019722425128</v>
      </c>
      <c r="T30">
        <v>2</v>
      </c>
      <c r="U30">
        <v>32</v>
      </c>
      <c r="V30">
        <v>19</v>
      </c>
      <c r="W30">
        <f>W29+U30</f>
        <v>50</v>
      </c>
      <c r="X30">
        <f t="shared" ref="X30:X38" si="4">V30/U30</f>
        <v>0.59375</v>
      </c>
      <c r="Y30">
        <f t="shared" ref="Y30:Y38" si="5">V30^2/U30^2</f>
        <v>0.3525390625</v>
      </c>
    </row>
    <row r="31" spans="1:25" x14ac:dyDescent="0.25">
      <c r="B31">
        <v>3</v>
      </c>
      <c r="C31">
        <v>17</v>
      </c>
      <c r="D31">
        <v>14</v>
      </c>
      <c r="E31">
        <f t="shared" ref="E31:E38" si="6">E30+C31</f>
        <v>45</v>
      </c>
      <c r="F31">
        <f t="shared" si="0"/>
        <v>0.82352941176470584</v>
      </c>
      <c r="G31">
        <f t="shared" si="1"/>
        <v>0.67820069204152245</v>
      </c>
      <c r="J31">
        <v>3</v>
      </c>
      <c r="K31">
        <v>12</v>
      </c>
      <c r="L31">
        <v>12</v>
      </c>
      <c r="M31">
        <f t="shared" ref="M31:M38" si="7">M30+K31</f>
        <v>67</v>
      </c>
      <c r="N31">
        <f t="shared" si="2"/>
        <v>1</v>
      </c>
      <c r="O31">
        <f t="shared" si="3"/>
        <v>1</v>
      </c>
      <c r="T31">
        <v>3</v>
      </c>
      <c r="U31">
        <v>12</v>
      </c>
      <c r="V31">
        <v>18</v>
      </c>
      <c r="W31">
        <f t="shared" ref="W31:W38" si="8">W30+U31</f>
        <v>62</v>
      </c>
      <c r="X31">
        <f t="shared" si="4"/>
        <v>1.5</v>
      </c>
      <c r="Y31">
        <f t="shared" si="5"/>
        <v>2.25</v>
      </c>
    </row>
    <row r="32" spans="1:25" x14ac:dyDescent="0.25">
      <c r="B32">
        <v>4</v>
      </c>
      <c r="C32">
        <v>14</v>
      </c>
      <c r="D32">
        <v>12</v>
      </c>
      <c r="E32">
        <f t="shared" si="6"/>
        <v>59</v>
      </c>
      <c r="F32">
        <f t="shared" si="0"/>
        <v>0.8571428571428571</v>
      </c>
      <c r="G32">
        <f t="shared" si="1"/>
        <v>0.73469387755102045</v>
      </c>
      <c r="J32" s="2">
        <v>4</v>
      </c>
      <c r="K32" s="2">
        <v>37</v>
      </c>
      <c r="L32" s="2">
        <v>30</v>
      </c>
      <c r="M32" s="2">
        <f t="shared" si="7"/>
        <v>104</v>
      </c>
      <c r="N32" s="2">
        <f t="shared" si="2"/>
        <v>0.81081081081081086</v>
      </c>
      <c r="O32" s="2">
        <f t="shared" si="3"/>
        <v>0.65741417092768439</v>
      </c>
      <c r="T32" s="3">
        <v>4</v>
      </c>
      <c r="U32" s="3">
        <v>38</v>
      </c>
      <c r="V32" s="3">
        <v>34</v>
      </c>
      <c r="W32" s="3">
        <f t="shared" si="8"/>
        <v>100</v>
      </c>
      <c r="X32" s="3">
        <f t="shared" si="4"/>
        <v>0.89473684210526316</v>
      </c>
      <c r="Y32" s="3">
        <f t="shared" si="5"/>
        <v>0.80055401662049863</v>
      </c>
    </row>
    <row r="33" spans="2:25" x14ac:dyDescent="0.25">
      <c r="B33">
        <v>5</v>
      </c>
      <c r="C33">
        <v>21</v>
      </c>
      <c r="D33">
        <v>24</v>
      </c>
      <c r="E33">
        <f t="shared" si="6"/>
        <v>80</v>
      </c>
      <c r="F33">
        <f t="shared" si="0"/>
        <v>1.1428571428571428</v>
      </c>
      <c r="G33">
        <f t="shared" si="1"/>
        <v>1.3061224489795917</v>
      </c>
      <c r="J33" s="2">
        <v>5</v>
      </c>
      <c r="K33" s="2">
        <v>27</v>
      </c>
      <c r="L33" s="2">
        <v>27</v>
      </c>
      <c r="M33" s="2">
        <f t="shared" si="7"/>
        <v>131</v>
      </c>
      <c r="N33" s="2">
        <f t="shared" si="2"/>
        <v>1</v>
      </c>
      <c r="O33" s="2">
        <f t="shared" si="3"/>
        <v>1</v>
      </c>
      <c r="T33" s="3">
        <v>5</v>
      </c>
      <c r="U33" s="3">
        <v>30</v>
      </c>
      <c r="V33" s="3">
        <v>25</v>
      </c>
      <c r="W33" s="3">
        <f t="shared" si="8"/>
        <v>130</v>
      </c>
      <c r="X33" s="3">
        <f t="shared" si="4"/>
        <v>0.83333333333333337</v>
      </c>
      <c r="Y33" s="3">
        <f t="shared" si="5"/>
        <v>0.69444444444444442</v>
      </c>
    </row>
    <row r="34" spans="2:25" x14ac:dyDescent="0.25">
      <c r="B34" s="1">
        <v>6</v>
      </c>
      <c r="C34" s="1">
        <v>22</v>
      </c>
      <c r="D34" s="1">
        <v>25</v>
      </c>
      <c r="E34" s="1">
        <f t="shared" si="6"/>
        <v>102</v>
      </c>
      <c r="F34" s="1">
        <f t="shared" si="0"/>
        <v>1.1363636363636365</v>
      </c>
      <c r="G34" s="1">
        <f t="shared" si="1"/>
        <v>1.2913223140495869</v>
      </c>
      <c r="J34">
        <v>6</v>
      </c>
      <c r="K34">
        <v>25</v>
      </c>
      <c r="L34">
        <v>21</v>
      </c>
      <c r="M34">
        <f t="shared" si="7"/>
        <v>156</v>
      </c>
      <c r="N34">
        <f t="shared" si="2"/>
        <v>0.84</v>
      </c>
      <c r="O34">
        <f t="shared" si="3"/>
        <v>0.7056</v>
      </c>
      <c r="T34" s="3">
        <v>6</v>
      </c>
      <c r="U34" s="3">
        <v>25</v>
      </c>
      <c r="V34" s="3">
        <v>15</v>
      </c>
      <c r="W34" s="3">
        <f t="shared" si="8"/>
        <v>155</v>
      </c>
      <c r="X34" s="3">
        <f t="shared" si="4"/>
        <v>0.6</v>
      </c>
      <c r="Y34" s="3">
        <f t="shared" si="5"/>
        <v>0.36</v>
      </c>
    </row>
    <row r="35" spans="2:25" x14ac:dyDescent="0.25">
      <c r="B35" s="1">
        <v>7</v>
      </c>
      <c r="C35" s="1">
        <v>27</v>
      </c>
      <c r="D35" s="1">
        <v>23</v>
      </c>
      <c r="E35" s="1">
        <f t="shared" si="6"/>
        <v>129</v>
      </c>
      <c r="F35" s="1">
        <f t="shared" si="0"/>
        <v>0.85185185185185186</v>
      </c>
      <c r="G35" s="1">
        <f t="shared" si="1"/>
        <v>0.72565157750342935</v>
      </c>
      <c r="J35">
        <v>7</v>
      </c>
      <c r="K35">
        <v>25</v>
      </c>
      <c r="L35">
        <v>21</v>
      </c>
      <c r="M35">
        <f t="shared" si="7"/>
        <v>181</v>
      </c>
      <c r="N35">
        <f t="shared" si="2"/>
        <v>0.84</v>
      </c>
      <c r="O35">
        <f t="shared" si="3"/>
        <v>0.7056</v>
      </c>
      <c r="T35" s="3">
        <v>7</v>
      </c>
      <c r="U35" s="3">
        <v>22</v>
      </c>
      <c r="V35" s="3">
        <v>27</v>
      </c>
      <c r="W35" s="3">
        <f t="shared" si="8"/>
        <v>177</v>
      </c>
      <c r="X35" s="3">
        <f t="shared" si="4"/>
        <v>1.2272727272727273</v>
      </c>
      <c r="Y35" s="3">
        <f t="shared" si="5"/>
        <v>1.5061983471074381</v>
      </c>
    </row>
    <row r="36" spans="2:25" x14ac:dyDescent="0.25">
      <c r="B36">
        <v>8</v>
      </c>
      <c r="C36">
        <v>35</v>
      </c>
      <c r="D36">
        <v>24</v>
      </c>
      <c r="E36">
        <f t="shared" si="6"/>
        <v>164</v>
      </c>
      <c r="F36">
        <f t="shared" si="0"/>
        <v>0.68571428571428572</v>
      </c>
      <c r="G36">
        <f t="shared" si="1"/>
        <v>0.47020408163265304</v>
      </c>
      <c r="J36" s="2">
        <v>8</v>
      </c>
      <c r="K36" s="2">
        <v>30</v>
      </c>
      <c r="L36" s="2">
        <v>7</v>
      </c>
      <c r="M36" s="2">
        <f t="shared" si="7"/>
        <v>211</v>
      </c>
      <c r="N36" s="2">
        <f t="shared" si="2"/>
        <v>0.23333333333333334</v>
      </c>
      <c r="O36" s="2">
        <f t="shared" si="3"/>
        <v>5.4444444444444441E-2</v>
      </c>
      <c r="T36" s="3">
        <v>8</v>
      </c>
      <c r="U36" s="3">
        <v>30</v>
      </c>
      <c r="V36" s="3">
        <v>12</v>
      </c>
      <c r="W36" s="3">
        <f t="shared" si="8"/>
        <v>207</v>
      </c>
      <c r="X36" s="3">
        <f t="shared" si="4"/>
        <v>0.4</v>
      </c>
      <c r="Y36" s="3">
        <f t="shared" si="5"/>
        <v>0.16</v>
      </c>
    </row>
    <row r="37" spans="2:25" x14ac:dyDescent="0.25">
      <c r="B37">
        <v>9</v>
      </c>
      <c r="C37">
        <v>20</v>
      </c>
      <c r="D37">
        <v>17</v>
      </c>
      <c r="E37">
        <f t="shared" si="6"/>
        <v>184</v>
      </c>
      <c r="F37">
        <f t="shared" si="0"/>
        <v>0.85</v>
      </c>
      <c r="G37">
        <f t="shared" si="1"/>
        <v>0.72250000000000003</v>
      </c>
      <c r="J37" s="2">
        <v>9</v>
      </c>
      <c r="K37" s="2">
        <v>19</v>
      </c>
      <c r="L37" s="2">
        <v>19</v>
      </c>
      <c r="M37" s="2">
        <f t="shared" si="7"/>
        <v>230</v>
      </c>
      <c r="N37" s="2">
        <f t="shared" si="2"/>
        <v>1</v>
      </c>
      <c r="O37" s="2">
        <f t="shared" si="3"/>
        <v>1</v>
      </c>
      <c r="T37">
        <v>9</v>
      </c>
      <c r="U37">
        <v>27</v>
      </c>
      <c r="V37">
        <v>19</v>
      </c>
      <c r="W37">
        <f t="shared" si="8"/>
        <v>234</v>
      </c>
      <c r="X37">
        <f t="shared" si="4"/>
        <v>0.70370370370370372</v>
      </c>
      <c r="Y37">
        <f t="shared" si="5"/>
        <v>0.49519890260631</v>
      </c>
    </row>
    <row r="38" spans="2:25" x14ac:dyDescent="0.25">
      <c r="B38" s="1">
        <v>10</v>
      </c>
      <c r="C38" s="1">
        <v>15</v>
      </c>
      <c r="D38" s="1">
        <v>14</v>
      </c>
      <c r="E38" s="1">
        <f t="shared" si="6"/>
        <v>199</v>
      </c>
      <c r="F38" s="1">
        <f t="shared" si="0"/>
        <v>0.93333333333333335</v>
      </c>
      <c r="G38" s="1">
        <f t="shared" si="1"/>
        <v>0.87111111111111106</v>
      </c>
      <c r="J38">
        <v>10</v>
      </c>
      <c r="K38">
        <v>12</v>
      </c>
      <c r="L38">
        <v>12</v>
      </c>
      <c r="M38">
        <f t="shared" si="7"/>
        <v>242</v>
      </c>
      <c r="N38">
        <f t="shared" si="2"/>
        <v>1</v>
      </c>
      <c r="O38">
        <f t="shared" si="3"/>
        <v>1</v>
      </c>
      <c r="T38">
        <v>10</v>
      </c>
      <c r="U38">
        <v>15</v>
      </c>
      <c r="V38">
        <v>17</v>
      </c>
      <c r="W38">
        <f t="shared" si="8"/>
        <v>249</v>
      </c>
      <c r="X38">
        <f t="shared" si="4"/>
        <v>1.1333333333333333</v>
      </c>
      <c r="Y38">
        <f t="shared" si="5"/>
        <v>1.2844444444444445</v>
      </c>
    </row>
    <row r="40" spans="2:25" x14ac:dyDescent="0.25">
      <c r="B40" t="s">
        <v>25</v>
      </c>
      <c r="C40" t="s">
        <v>26</v>
      </c>
      <c r="J40" t="s">
        <v>25</v>
      </c>
      <c r="K40" t="s">
        <v>26</v>
      </c>
      <c r="T40" t="s">
        <v>25</v>
      </c>
      <c r="U40" t="s">
        <v>26</v>
      </c>
    </row>
    <row r="41" spans="2:25" x14ac:dyDescent="0.25">
      <c r="B41">
        <v>108</v>
      </c>
      <c r="C41">
        <v>6</v>
      </c>
      <c r="E41" t="s">
        <v>29</v>
      </c>
      <c r="F41">
        <f>SUM(F29,F30,F34,F35,F38)*(199/5)</f>
        <v>193.78290625553782</v>
      </c>
      <c r="J41">
        <v>203</v>
      </c>
      <c r="K41">
        <v>8</v>
      </c>
      <c r="M41" t="s">
        <v>29</v>
      </c>
      <c r="N41">
        <f>SUM(N29,N32,N33,N36,N37)*(242/5)</f>
        <v>195.7365765765766</v>
      </c>
      <c r="T41">
        <v>114</v>
      </c>
      <c r="U41">
        <v>4</v>
      </c>
      <c r="W41" t="s">
        <v>29</v>
      </c>
      <c r="X41">
        <f>SUM(X32:X36)*(249/5)</f>
        <v>196.97607655502392</v>
      </c>
    </row>
    <row r="42" spans="2:25" x14ac:dyDescent="0.25">
      <c r="B42">
        <v>36</v>
      </c>
      <c r="C42">
        <v>2</v>
      </c>
      <c r="E42" t="s">
        <v>30</v>
      </c>
      <c r="F42">
        <f>(1/20)*((199^2)*(SUM(G29,G30,G34,G35,G38))-(5*(F41^2)))</f>
        <v>87.757607572081909</v>
      </c>
      <c r="J42">
        <v>98</v>
      </c>
      <c r="K42">
        <v>4</v>
      </c>
      <c r="M42" t="s">
        <v>30</v>
      </c>
      <c r="N42">
        <f>(1/20)*((242^2)*(SUM(O29,O32,O33,O36,O37))-(5*(N41^2)))</f>
        <v>1290.8625450531617</v>
      </c>
      <c r="T42">
        <v>218</v>
      </c>
      <c r="U42">
        <v>8</v>
      </c>
      <c r="W42" t="s">
        <v>30</v>
      </c>
      <c r="X42">
        <f>(1/20)*((249^2)*(SUM(Y32:Y36))-(5*(X41^2)))</f>
        <v>1215.992481422129</v>
      </c>
    </row>
    <row r="43" spans="2:25" x14ac:dyDescent="0.25">
      <c r="B43">
        <v>13</v>
      </c>
      <c r="C43">
        <v>1</v>
      </c>
      <c r="J43">
        <v>18</v>
      </c>
      <c r="K43">
        <v>1</v>
      </c>
      <c r="T43">
        <v>151</v>
      </c>
      <c r="U43">
        <v>6</v>
      </c>
    </row>
    <row r="44" spans="2:25" x14ac:dyDescent="0.25">
      <c r="B44">
        <v>143</v>
      </c>
      <c r="C44">
        <v>7</v>
      </c>
      <c r="J44">
        <v>133</v>
      </c>
      <c r="K44">
        <v>5</v>
      </c>
      <c r="T44">
        <v>178</v>
      </c>
      <c r="U44">
        <v>7</v>
      </c>
    </row>
    <row r="45" spans="2:25" x14ac:dyDescent="0.25">
      <c r="B45">
        <v>195</v>
      </c>
      <c r="C45">
        <v>10</v>
      </c>
      <c r="J45">
        <v>220</v>
      </c>
      <c r="K45">
        <v>9</v>
      </c>
      <c r="T45">
        <v>132</v>
      </c>
      <c r="U4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0274-30DB-432E-8556-09A431E01509}">
  <dimension ref="A2:M34"/>
  <sheetViews>
    <sheetView tabSelected="1" topLeftCell="A16" workbookViewId="0">
      <selection activeCell="O27" sqref="O27"/>
    </sheetView>
  </sheetViews>
  <sheetFormatPr defaultRowHeight="15" x14ac:dyDescent="0.25"/>
  <cols>
    <col min="3" max="3" width="14.7109375" customWidth="1"/>
    <col min="4" max="4" width="21.28515625" customWidth="1"/>
    <col min="7" max="7" width="14.5703125" bestFit="1" customWidth="1"/>
    <col min="8" max="8" width="22" bestFit="1" customWidth="1"/>
    <col min="9" max="9" width="12" bestFit="1" customWidth="1"/>
    <col min="13" max="13" width="12.7109375" bestFit="1" customWidth="1"/>
  </cols>
  <sheetData>
    <row r="2" spans="1:5" x14ac:dyDescent="0.25">
      <c r="A2" t="s">
        <v>12</v>
      </c>
    </row>
    <row r="3" spans="1:5" x14ac:dyDescent="0.25">
      <c r="A3" t="s">
        <v>13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24</v>
      </c>
    </row>
    <row r="6" spans="1:5" ht="15.75" thickBot="1" x14ac:dyDescent="0.3"/>
    <row r="7" spans="1:5" x14ac:dyDescent="0.25">
      <c r="A7" s="6">
        <v>1</v>
      </c>
      <c r="B7" s="7" t="s">
        <v>18</v>
      </c>
      <c r="C7" s="7">
        <v>40</v>
      </c>
      <c r="D7" s="8">
        <v>38</v>
      </c>
      <c r="E7">
        <f>C7</f>
        <v>40</v>
      </c>
    </row>
    <row r="8" spans="1:5" x14ac:dyDescent="0.25">
      <c r="A8" s="9">
        <v>2</v>
      </c>
      <c r="B8" s="10" t="s">
        <v>18</v>
      </c>
      <c r="C8" s="10">
        <v>35</v>
      </c>
      <c r="D8" s="11">
        <v>30</v>
      </c>
      <c r="E8">
        <f>C8+E7</f>
        <v>75</v>
      </c>
    </row>
    <row r="9" spans="1:5" ht="15.75" thickBot="1" x14ac:dyDescent="0.3">
      <c r="A9" s="12">
        <v>3</v>
      </c>
      <c r="B9" s="13" t="s">
        <v>18</v>
      </c>
      <c r="C9" s="13">
        <v>50</v>
      </c>
      <c r="D9" s="14">
        <v>42</v>
      </c>
      <c r="E9">
        <f>C9+E8</f>
        <v>125</v>
      </c>
    </row>
    <row r="10" spans="1:5" x14ac:dyDescent="0.25">
      <c r="A10" s="6">
        <v>4</v>
      </c>
      <c r="B10" s="7" t="s">
        <v>19</v>
      </c>
      <c r="C10" s="7">
        <v>30</v>
      </c>
      <c r="D10" s="8">
        <v>28</v>
      </c>
      <c r="E10">
        <f>C10</f>
        <v>30</v>
      </c>
    </row>
    <row r="11" spans="1:5" x14ac:dyDescent="0.25">
      <c r="A11" s="9">
        <v>5</v>
      </c>
      <c r="B11" s="10" t="s">
        <v>19</v>
      </c>
      <c r="C11" s="10">
        <v>45</v>
      </c>
      <c r="D11" s="11">
        <v>40</v>
      </c>
      <c r="E11">
        <f>C11+E10</f>
        <v>75</v>
      </c>
    </row>
    <row r="12" spans="1:5" ht="15.75" thickBot="1" x14ac:dyDescent="0.3">
      <c r="A12" s="12">
        <v>6</v>
      </c>
      <c r="B12" s="13" t="s">
        <v>19</v>
      </c>
      <c r="C12" s="13">
        <v>25</v>
      </c>
      <c r="D12" s="14">
        <v>22</v>
      </c>
      <c r="E12">
        <f>C12+E11</f>
        <v>100</v>
      </c>
    </row>
    <row r="13" spans="1:5" x14ac:dyDescent="0.25">
      <c r="A13" s="6">
        <v>7</v>
      </c>
      <c r="B13" s="7" t="s">
        <v>20</v>
      </c>
      <c r="C13" s="7">
        <v>20</v>
      </c>
      <c r="D13" s="8">
        <v>18</v>
      </c>
      <c r="E13">
        <f>C13</f>
        <v>20</v>
      </c>
    </row>
    <row r="14" spans="1:5" x14ac:dyDescent="0.25">
      <c r="A14" s="9">
        <v>8</v>
      </c>
      <c r="B14" s="10" t="s">
        <v>20</v>
      </c>
      <c r="C14" s="10">
        <v>30</v>
      </c>
      <c r="D14" s="11">
        <v>27</v>
      </c>
      <c r="E14">
        <f>C14+E13</f>
        <v>50</v>
      </c>
    </row>
    <row r="15" spans="1:5" ht="15.75" thickBot="1" x14ac:dyDescent="0.3">
      <c r="A15" s="12">
        <v>9</v>
      </c>
      <c r="B15" s="13" t="s">
        <v>20</v>
      </c>
      <c r="C15" s="13">
        <v>15</v>
      </c>
      <c r="D15" s="14">
        <v>12</v>
      </c>
      <c r="E15">
        <f>C15+E14</f>
        <v>65</v>
      </c>
    </row>
    <row r="18" spans="1:13" x14ac:dyDescent="0.25">
      <c r="A18" t="s">
        <v>9</v>
      </c>
    </row>
    <row r="20" spans="1:13" x14ac:dyDescent="0.25">
      <c r="A20" t="s">
        <v>21</v>
      </c>
    </row>
    <row r="21" spans="1:13" ht="15.75" thickBot="1" x14ac:dyDescent="0.3"/>
    <row r="22" spans="1:13" ht="15.75" thickBot="1" x14ac:dyDescent="0.3">
      <c r="A22" t="s">
        <v>22</v>
      </c>
      <c r="E22" s="4" t="s">
        <v>31</v>
      </c>
      <c r="F22" s="15"/>
      <c r="G22" s="5">
        <f>SUM(M29,M31,M33)</f>
        <v>261.48611111111109</v>
      </c>
    </row>
    <row r="23" spans="1:13" ht="15.75" thickBot="1" x14ac:dyDescent="0.3"/>
    <row r="24" spans="1:13" ht="15.75" thickBot="1" x14ac:dyDescent="0.3">
      <c r="A24" t="s">
        <v>23</v>
      </c>
      <c r="E24" s="4" t="s">
        <v>32</v>
      </c>
      <c r="F24" s="15"/>
      <c r="G24" s="5">
        <f>SUM(M30,M32,M34)</f>
        <v>52.203896604934926</v>
      </c>
    </row>
    <row r="27" spans="1:13" x14ac:dyDescent="0.25">
      <c r="D27" t="s">
        <v>33</v>
      </c>
      <c r="E27" t="s">
        <v>26</v>
      </c>
      <c r="F27" t="s">
        <v>15</v>
      </c>
      <c r="G27" t="s">
        <v>16</v>
      </c>
      <c r="H27" t="s">
        <v>17</v>
      </c>
      <c r="I27" t="s">
        <v>27</v>
      </c>
      <c r="J27" t="s">
        <v>28</v>
      </c>
    </row>
    <row r="29" spans="1:13" x14ac:dyDescent="0.25">
      <c r="D29">
        <v>120</v>
      </c>
      <c r="E29">
        <v>3</v>
      </c>
      <c r="F29" t="str">
        <f>VLOOKUP(E29,A$7:B$15,2,FALSE)</f>
        <v>Urban</v>
      </c>
      <c r="G29" s="10">
        <v>50</v>
      </c>
      <c r="H29" s="10">
        <v>42</v>
      </c>
      <c r="I29">
        <f>H29/G29</f>
        <v>0.84</v>
      </c>
      <c r="J29">
        <f>I29^2</f>
        <v>0.70559999999999989</v>
      </c>
      <c r="L29" t="s">
        <v>29</v>
      </c>
      <c r="M29">
        <f>SUM(I29:I30)*(125/2)</f>
        <v>111.875</v>
      </c>
    </row>
    <row r="30" spans="1:13" x14ac:dyDescent="0.25">
      <c r="D30">
        <v>10</v>
      </c>
      <c r="E30">
        <v>1</v>
      </c>
      <c r="F30" t="str">
        <f t="shared" ref="F30:F34" si="0">VLOOKUP(E30,A$7:B$15,2,FALSE)</f>
        <v>Urban</v>
      </c>
      <c r="G30" s="10">
        <v>40</v>
      </c>
      <c r="H30" s="10">
        <v>38</v>
      </c>
      <c r="I30">
        <f t="shared" ref="I30:I34" si="1">H30/G30</f>
        <v>0.95</v>
      </c>
      <c r="J30">
        <f t="shared" ref="J30:J34" si="2">I30^2</f>
        <v>0.90249999999999997</v>
      </c>
      <c r="L30" t="s">
        <v>30</v>
      </c>
      <c r="M30">
        <f>(0.5)*((125^2)*(SUM(J29:J30))-(2*(M29^2)))</f>
        <v>47.265624999998181</v>
      </c>
    </row>
    <row r="31" spans="1:13" x14ac:dyDescent="0.25">
      <c r="D31">
        <v>8</v>
      </c>
      <c r="E31">
        <v>4</v>
      </c>
      <c r="F31" t="str">
        <f t="shared" si="0"/>
        <v>Semi-Urban</v>
      </c>
      <c r="G31" s="10">
        <v>30</v>
      </c>
      <c r="H31" s="10">
        <v>28</v>
      </c>
      <c r="I31">
        <f t="shared" si="1"/>
        <v>0.93333333333333335</v>
      </c>
      <c r="J31">
        <f t="shared" si="2"/>
        <v>0.87111111111111117</v>
      </c>
      <c r="L31" t="s">
        <v>34</v>
      </c>
      <c r="M31">
        <f>SUM(I31:I32)*(100/2)</f>
        <v>91.111111111111114</v>
      </c>
    </row>
    <row r="32" spans="1:13" x14ac:dyDescent="0.25">
      <c r="D32">
        <v>56</v>
      </c>
      <c r="E32">
        <v>5</v>
      </c>
      <c r="F32" t="str">
        <f t="shared" si="0"/>
        <v>Semi-Urban</v>
      </c>
      <c r="G32" s="10">
        <v>45</v>
      </c>
      <c r="H32" s="10">
        <v>40</v>
      </c>
      <c r="I32">
        <f t="shared" si="1"/>
        <v>0.88888888888888884</v>
      </c>
      <c r="J32">
        <f t="shared" si="2"/>
        <v>0.79012345679012341</v>
      </c>
      <c r="L32" t="s">
        <v>35</v>
      </c>
      <c r="M32">
        <f>(0.5)*((100^2)*(SUM(J31:J32))-(2*(M31^2)))</f>
        <v>4.9382716049367446</v>
      </c>
    </row>
    <row r="33" spans="4:13" x14ac:dyDescent="0.25">
      <c r="D33">
        <v>9</v>
      </c>
      <c r="E33">
        <v>7</v>
      </c>
      <c r="F33" t="str">
        <f t="shared" si="0"/>
        <v>Rural</v>
      </c>
      <c r="G33" s="10">
        <v>20</v>
      </c>
      <c r="H33" s="10">
        <v>18</v>
      </c>
      <c r="I33">
        <f>H33/G33</f>
        <v>0.9</v>
      </c>
      <c r="J33">
        <f t="shared" si="2"/>
        <v>0.81</v>
      </c>
      <c r="L33" t="s">
        <v>36</v>
      </c>
      <c r="M33">
        <f>SUM(I33:I34)*(65/2)</f>
        <v>58.5</v>
      </c>
    </row>
    <row r="34" spans="4:13" x14ac:dyDescent="0.25">
      <c r="D34">
        <v>33</v>
      </c>
      <c r="E34">
        <v>8</v>
      </c>
      <c r="F34" t="str">
        <f t="shared" si="0"/>
        <v>Rural</v>
      </c>
      <c r="G34" s="10">
        <v>30</v>
      </c>
      <c r="H34" s="10">
        <v>27</v>
      </c>
      <c r="I34">
        <f>H34/G34</f>
        <v>0.9</v>
      </c>
      <c r="J34">
        <f t="shared" si="2"/>
        <v>0.81</v>
      </c>
      <c r="L34" t="s">
        <v>37</v>
      </c>
      <c r="M34">
        <f>(0.5)*((65^2)*(SUM(J33:J34))-(2*(M33^2)))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Q.1.</vt:lpstr>
      <vt:lpstr>Q.2.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Julie Chaurasia</cp:lastModifiedBy>
  <dcterms:created xsi:type="dcterms:W3CDTF">2015-06-05T18:17:20Z</dcterms:created>
  <dcterms:modified xsi:type="dcterms:W3CDTF">2025-08-21T00:30:41Z</dcterms:modified>
</cp:coreProperties>
</file>