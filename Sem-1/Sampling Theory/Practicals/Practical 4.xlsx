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actical\Sampling Theory\"/>
    </mc:Choice>
  </mc:AlternateContent>
  <xr:revisionPtr revIDLastSave="0" documentId="13_ncr:1_{531CD558-0E09-4D15-BC5D-ADCB36525F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1" i="1" s="1"/>
  <c r="C33" i="1" s="1"/>
  <c r="D32" i="1"/>
  <c r="K7" i="2"/>
  <c r="L7" i="2" s="1"/>
  <c r="M7" i="2" s="1"/>
  <c r="K8" i="2"/>
  <c r="L8" i="2" s="1"/>
  <c r="M8" i="2" s="1"/>
  <c r="K9" i="2"/>
  <c r="L9" i="2" s="1"/>
  <c r="M9" i="2" s="1"/>
  <c r="K10" i="2"/>
  <c r="L10" i="2" s="1"/>
  <c r="M10" i="2" s="1"/>
  <c r="K11" i="2"/>
  <c r="L11" i="2" s="1"/>
  <c r="M11" i="2" s="1"/>
  <c r="K12" i="2"/>
  <c r="L12" i="2" s="1"/>
  <c r="M12" i="2" s="1"/>
  <c r="K13" i="2"/>
  <c r="L13" i="2" s="1"/>
  <c r="M13" i="2" s="1"/>
  <c r="K14" i="2"/>
  <c r="L14" i="2" s="1"/>
  <c r="M14" i="2" s="1"/>
  <c r="K15" i="2"/>
  <c r="L15" i="2" s="1"/>
  <c r="M15" i="2" s="1"/>
  <c r="K16" i="2"/>
  <c r="L16" i="2" s="1"/>
  <c r="M16" i="2" s="1"/>
  <c r="K17" i="2"/>
  <c r="L17" i="2" s="1"/>
  <c r="M17" i="2" s="1"/>
  <c r="K18" i="2"/>
  <c r="L18" i="2" s="1"/>
  <c r="M18" i="2" s="1"/>
  <c r="K19" i="2"/>
  <c r="L19" i="2" s="1"/>
  <c r="M19" i="2" s="1"/>
  <c r="K20" i="2"/>
  <c r="L20" i="2" s="1"/>
  <c r="M20" i="2" s="1"/>
  <c r="K21" i="2"/>
  <c r="L21" i="2" s="1"/>
  <c r="M21" i="2" s="1"/>
  <c r="K22" i="2"/>
  <c r="L22" i="2" s="1"/>
  <c r="M22" i="2" s="1"/>
  <c r="K23" i="2"/>
  <c r="L23" i="2" s="1"/>
  <c r="M23" i="2" s="1"/>
  <c r="K24" i="2"/>
  <c r="L24" i="2" s="1"/>
  <c r="M24" i="2" s="1"/>
  <c r="K25" i="2"/>
  <c r="L25" i="2" s="1"/>
  <c r="M25" i="2" s="1"/>
  <c r="K26" i="2"/>
  <c r="L26" i="2" s="1"/>
  <c r="M26" i="2" s="1"/>
  <c r="K27" i="2"/>
  <c r="L27" i="2" s="1"/>
  <c r="M27" i="2" s="1"/>
  <c r="K28" i="2"/>
  <c r="L28" i="2" s="1"/>
  <c r="M28" i="2" s="1"/>
  <c r="K29" i="2"/>
  <c r="L29" i="2" s="1"/>
  <c r="M29" i="2" s="1"/>
  <c r="K30" i="2"/>
  <c r="L30" i="2" s="1"/>
  <c r="M30" i="2" s="1"/>
  <c r="K31" i="2"/>
  <c r="L31" i="2" s="1"/>
  <c r="M31" i="2" s="1"/>
  <c r="K32" i="2"/>
  <c r="L32" i="2" s="1"/>
  <c r="M32" i="2" s="1"/>
  <c r="K33" i="2"/>
  <c r="L33" i="2" s="1"/>
  <c r="M33" i="2" s="1"/>
  <c r="K34" i="2"/>
  <c r="L34" i="2" s="1"/>
  <c r="M34" i="2" s="1"/>
  <c r="K35" i="2"/>
  <c r="L35" i="2" s="1"/>
  <c r="M35" i="2" s="1"/>
  <c r="K36" i="2"/>
  <c r="L36" i="2" s="1"/>
  <c r="M36" i="2" s="1"/>
  <c r="K37" i="2"/>
  <c r="L37" i="2" s="1"/>
  <c r="M37" i="2" s="1"/>
  <c r="K38" i="2"/>
  <c r="L38" i="2" s="1"/>
  <c r="M38" i="2" s="1"/>
  <c r="K39" i="2"/>
  <c r="L39" i="2" s="1"/>
  <c r="M39" i="2" s="1"/>
  <c r="K40" i="2"/>
  <c r="L40" i="2" s="1"/>
  <c r="M40" i="2" s="1"/>
  <c r="K41" i="2"/>
  <c r="L41" i="2" s="1"/>
  <c r="M41" i="2" s="1"/>
  <c r="K42" i="2"/>
  <c r="L42" i="2" s="1"/>
  <c r="M42" i="2" s="1"/>
  <c r="K43" i="2"/>
  <c r="L43" i="2" s="1"/>
  <c r="M43" i="2" s="1"/>
  <c r="K44" i="2"/>
  <c r="L44" i="2" s="1"/>
  <c r="M44" i="2" s="1"/>
  <c r="K45" i="2"/>
  <c r="L45" i="2" s="1"/>
  <c r="M45" i="2" s="1"/>
  <c r="K46" i="2"/>
  <c r="L46" i="2" s="1"/>
  <c r="M46" i="2" s="1"/>
  <c r="K47" i="2"/>
  <c r="L47" i="2" s="1"/>
  <c r="M47" i="2" s="1"/>
  <c r="K48" i="2"/>
  <c r="L48" i="2" s="1"/>
  <c r="M48" i="2" s="1"/>
  <c r="K49" i="2"/>
  <c r="L49" i="2" s="1"/>
  <c r="M49" i="2" s="1"/>
  <c r="K50" i="2"/>
  <c r="L50" i="2" s="1"/>
  <c r="M50" i="2" s="1"/>
  <c r="K51" i="2"/>
  <c r="L51" i="2" s="1"/>
  <c r="M51" i="2" s="1"/>
  <c r="K52" i="2"/>
  <c r="L52" i="2" s="1"/>
  <c r="M52" i="2" s="1"/>
  <c r="K53" i="2"/>
  <c r="L53" i="2" s="1"/>
  <c r="M53" i="2" s="1"/>
  <c r="K54" i="2"/>
  <c r="L54" i="2" s="1"/>
  <c r="M54" i="2" s="1"/>
  <c r="K55" i="2"/>
  <c r="L55" i="2" s="1"/>
  <c r="M55" i="2" s="1"/>
  <c r="K6" i="2"/>
  <c r="L6" i="2" s="1"/>
  <c r="M6" i="2" s="1"/>
  <c r="C30" i="1"/>
  <c r="E6" i="1"/>
  <c r="K6" i="1"/>
  <c r="L6" i="1" s="1"/>
  <c r="M6" i="1" s="1"/>
  <c r="N6" i="1" s="1"/>
  <c r="K7" i="1"/>
  <c r="L7" i="1" s="1"/>
  <c r="M7" i="1" s="1"/>
  <c r="K8" i="1"/>
  <c r="L8" i="1" s="1"/>
  <c r="M8" i="1" s="1"/>
  <c r="K10" i="1"/>
  <c r="L10" i="1"/>
  <c r="M10" i="1" s="1"/>
  <c r="K11" i="1"/>
  <c r="L11" i="1" s="1"/>
  <c r="M11" i="1" s="1"/>
  <c r="K12" i="1"/>
  <c r="L12" i="1" s="1"/>
  <c r="M12" i="1" s="1"/>
  <c r="K13" i="1"/>
  <c r="L13" i="1" s="1"/>
  <c r="M13" i="1" s="1"/>
  <c r="K15" i="1"/>
  <c r="L15" i="1" s="1"/>
  <c r="M15" i="1" s="1"/>
  <c r="K16" i="1"/>
  <c r="L16" i="1" s="1"/>
  <c r="M16" i="1" s="1"/>
  <c r="K17" i="1"/>
  <c r="L17" i="1"/>
  <c r="M17" i="1" s="1"/>
  <c r="K18" i="1"/>
  <c r="L18" i="1" s="1"/>
  <c r="M18" i="1" s="1"/>
  <c r="K19" i="1"/>
  <c r="L19" i="1" s="1"/>
  <c r="M19" i="1" s="1"/>
  <c r="K21" i="1"/>
  <c r="L21" i="1" s="1"/>
  <c r="M21" i="1" s="1"/>
  <c r="K22" i="1"/>
  <c r="L22" i="1" s="1"/>
  <c r="M22" i="1" s="1"/>
  <c r="K23" i="1"/>
  <c r="L23" i="1" s="1"/>
  <c r="M23" i="1" s="1"/>
  <c r="K24" i="1"/>
  <c r="L24" i="1" s="1"/>
  <c r="M24" i="1" s="1"/>
  <c r="K25" i="1"/>
  <c r="L25" i="1" s="1"/>
  <c r="M25" i="1" s="1"/>
  <c r="K5" i="1"/>
  <c r="L5" i="1" s="1"/>
  <c r="M5" i="1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C34" i="1" l="1"/>
  <c r="N11" i="1"/>
  <c r="N5" i="1"/>
  <c r="N19" i="1"/>
  <c r="N18" i="1"/>
  <c r="N17" i="1"/>
  <c r="N16" i="1"/>
  <c r="N15" i="1"/>
  <c r="N7" i="1"/>
  <c r="E24" i="1"/>
  <c r="N25" i="1"/>
  <c r="N23" i="1"/>
  <c r="N21" i="1"/>
  <c r="N26" i="1" s="1"/>
  <c r="N13" i="1"/>
  <c r="N8" i="1"/>
  <c r="N22" i="1"/>
  <c r="N12" i="1"/>
  <c r="N10" i="1"/>
  <c r="N24" i="1"/>
  <c r="D34" i="1" l="1"/>
  <c r="N20" i="1"/>
  <c r="N9" i="1"/>
  <c r="N14" i="1"/>
</calcChain>
</file>

<file path=xl/sharedStrings.xml><?xml version="1.0" encoding="utf-8"?>
<sst xmlns="http://schemas.openxmlformats.org/spreadsheetml/2006/main" count="127" uniqueCount="100">
  <si>
    <t>Q1: Wheat Residual Yield Data (RHC Sampling)</t>
  </si>
  <si>
    <t>Village No.</t>
  </si>
  <si>
    <t>Village Name</t>
  </si>
  <si>
    <t>Area under Wheat (Xi)</t>
  </si>
  <si>
    <t>Total Yield (Yi)</t>
  </si>
  <si>
    <t>Pi = Xi / X</t>
  </si>
  <si>
    <t>Akhara</t>
  </si>
  <si>
    <t>Sujapur</t>
  </si>
  <si>
    <t>Sidhwankhurd</t>
  </si>
  <si>
    <t>Sohian</t>
  </si>
  <si>
    <t>Sekhupura</t>
  </si>
  <si>
    <t>Hanskalan</t>
  </si>
  <si>
    <t>Kular</t>
  </si>
  <si>
    <t>Kamalpur</t>
  </si>
  <si>
    <t>Lakha</t>
  </si>
  <si>
    <t>Kaunke</t>
  </si>
  <si>
    <t>Gagrha</t>
  </si>
  <si>
    <t>Dala</t>
  </si>
  <si>
    <t>Dangia</t>
  </si>
  <si>
    <t>Dholan</t>
  </si>
  <si>
    <t>Mallah</t>
  </si>
  <si>
    <t>Bhammipur</t>
  </si>
  <si>
    <t>Manuke</t>
  </si>
  <si>
    <t>Rasalpur</t>
  </si>
  <si>
    <t>Totals</t>
  </si>
  <si>
    <t>—</t>
  </si>
  <si>
    <t>Q2: Non-real Estate &amp; Real Estate Farm Loans (USA States, RHC Sampling)</t>
  </si>
  <si>
    <t>Sr. No.</t>
  </si>
  <si>
    <t>State/Territory</t>
  </si>
  <si>
    <t>Non-real Estate Farm Loans</t>
  </si>
  <si>
    <t>Real Estate Farm Loans</t>
  </si>
  <si>
    <t>AL</t>
  </si>
  <si>
    <t>MT</t>
  </si>
  <si>
    <t>AK</t>
  </si>
  <si>
    <t>NE</t>
  </si>
  <si>
    <t>AZ</t>
  </si>
  <si>
    <t>NV</t>
  </si>
  <si>
    <t>AR</t>
  </si>
  <si>
    <t>NH</t>
  </si>
  <si>
    <t>CA</t>
  </si>
  <si>
    <t>NJ</t>
  </si>
  <si>
    <t>CO</t>
  </si>
  <si>
    <t>NM</t>
  </si>
  <si>
    <t>CT</t>
  </si>
  <si>
    <t>NY</t>
  </si>
  <si>
    <t>DE</t>
  </si>
  <si>
    <t>NC</t>
  </si>
  <si>
    <t>FL</t>
  </si>
  <si>
    <t>ND</t>
  </si>
  <si>
    <t>GA</t>
  </si>
  <si>
    <t>OH</t>
  </si>
  <si>
    <t>HI</t>
  </si>
  <si>
    <t>OK</t>
  </si>
  <si>
    <t>ID</t>
  </si>
  <si>
    <t>OR</t>
  </si>
  <si>
    <t>IL</t>
  </si>
  <si>
    <t>PA</t>
  </si>
  <si>
    <t>IN</t>
  </si>
  <si>
    <t>RI</t>
  </si>
  <si>
    <t>IA</t>
  </si>
  <si>
    <t>SC</t>
  </si>
  <si>
    <t>KS</t>
  </si>
  <si>
    <t>SD</t>
  </si>
  <si>
    <t>KY</t>
  </si>
  <si>
    <t>TN</t>
  </si>
  <si>
    <t>LA</t>
  </si>
  <si>
    <t>TX</t>
  </si>
  <si>
    <t>ME</t>
  </si>
  <si>
    <t>UT</t>
  </si>
  <si>
    <t>MD</t>
  </si>
  <si>
    <t>VT</t>
  </si>
  <si>
    <t>MA</t>
  </si>
  <si>
    <t>VA</t>
  </si>
  <si>
    <t>MI</t>
  </si>
  <si>
    <t>WA</t>
  </si>
  <si>
    <t>MN</t>
  </si>
  <si>
    <t>WV</t>
  </si>
  <si>
    <t>MS</t>
  </si>
  <si>
    <t>WI</t>
  </si>
  <si>
    <t>MO</t>
  </si>
  <si>
    <t>WY</t>
  </si>
  <si>
    <t>GROUP I</t>
  </si>
  <si>
    <t>GROUP II</t>
  </si>
  <si>
    <t>GROUP III</t>
  </si>
  <si>
    <t>GROUP IV</t>
  </si>
  <si>
    <t>I</t>
  </si>
  <si>
    <t>i</t>
  </si>
  <si>
    <t>value of i</t>
  </si>
  <si>
    <t>j</t>
  </si>
  <si>
    <t>j&lt;=X(i)</t>
  </si>
  <si>
    <t>REJECT</t>
  </si>
  <si>
    <t>ACCEPT</t>
  </si>
  <si>
    <t>IV</t>
  </si>
  <si>
    <t>III</t>
  </si>
  <si>
    <t>II</t>
  </si>
  <si>
    <t>Y(RHC)</t>
  </si>
  <si>
    <t>V(Y(RHC))</t>
  </si>
  <si>
    <t>SE</t>
  </si>
  <si>
    <t>CI</t>
  </si>
  <si>
    <t>Sr.No.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</si>
</sst>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18">
    <xf numFmtId="0" fontId="0" fillId="0" borderId="0" xfId="0"/>
    <xf numFmtId="0" fontId="3" fillId="3" borderId="0" xfId="2"/>
    <xf numFmtId="0" fontId="2" fillId="2" borderId="0" xfId="1"/>
    <xf numFmtId="0" fontId="4" fillId="4" borderId="0" xfId="3"/>
    <xf numFmtId="0" fontId="1" fillId="5" borderId="0" xfId="4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</cellXfs>
  <cellStyles count="5">
    <cellStyle name="40% - Accent2" xfId="4" builtinId="35"/>
    <cellStyle name="Bad" xfId="2" builtinId="27"/>
    <cellStyle name="Good" xfId="1" builtinId="26"/>
    <cellStyle name="Neutral" xfId="3" builtinId="2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4"/>
  <sheetViews>
    <sheetView tabSelected="1" workbookViewId="0">
      <selection activeCell="C32" sqref="C32"/>
    </sheetView>
  </sheetViews>
  <sheetFormatPr defaultRowHeight="15" x14ac:dyDescent="0.25"/>
  <cols>
    <col min="1" max="1" width="9.5703125" customWidth="1"/>
    <col min="2" max="2" width="16.140625" customWidth="1"/>
    <col min="3" max="3" width="20.5703125" customWidth="1"/>
    <col min="4" max="4" width="13.7109375" customWidth="1"/>
    <col min="5" max="5" width="12" bestFit="1" customWidth="1"/>
    <col min="10" max="10" width="9.42578125" bestFit="1" customWidth="1"/>
    <col min="11" max="11" width="13.85546875" bestFit="1" customWidth="1"/>
    <col min="12" max="12" width="21.85546875" customWidth="1"/>
    <col min="13" max="13" width="13.7109375" customWidth="1"/>
    <col min="14" max="14" width="13.85546875" bestFit="1" customWidth="1"/>
  </cols>
  <sheetData>
    <row r="2" spans="1:21" x14ac:dyDescent="0.25">
      <c r="A2" t="s">
        <v>0</v>
      </c>
    </row>
    <row r="4" spans="1:21" ht="15.75" thickBot="1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J4" t="s">
        <v>1</v>
      </c>
      <c r="K4" t="s">
        <v>2</v>
      </c>
      <c r="L4" t="s">
        <v>3</v>
      </c>
      <c r="M4" t="s">
        <v>4</v>
      </c>
      <c r="N4" t="s">
        <v>5</v>
      </c>
      <c r="R4" t="s">
        <v>86</v>
      </c>
      <c r="S4" t="s">
        <v>87</v>
      </c>
      <c r="T4" t="s">
        <v>88</v>
      </c>
      <c r="U4" t="s">
        <v>89</v>
      </c>
    </row>
    <row r="5" spans="1:21" x14ac:dyDescent="0.25">
      <c r="I5" s="17" t="s">
        <v>81</v>
      </c>
      <c r="J5" s="1">
        <v>7</v>
      </c>
      <c r="K5" s="6" t="str">
        <f t="shared" ref="K5:N8" si="0">VLOOKUP(J5,A$6:B$23,2,)</f>
        <v>Kular</v>
      </c>
      <c r="L5" s="7">
        <f t="shared" si="0"/>
        <v>603</v>
      </c>
      <c r="M5" s="7">
        <f t="shared" si="0"/>
        <v>14.532</v>
      </c>
      <c r="N5" s="8">
        <f t="shared" si="0"/>
        <v>3.8297872340425532E-2</v>
      </c>
      <c r="Q5" t="s">
        <v>85</v>
      </c>
      <c r="R5" s="2">
        <v>7</v>
      </c>
      <c r="S5" s="2">
        <v>603</v>
      </c>
      <c r="T5" s="2">
        <v>81</v>
      </c>
      <c r="U5" s="2" t="s">
        <v>91</v>
      </c>
    </row>
    <row r="6" spans="1:21" x14ac:dyDescent="0.25">
      <c r="A6">
        <v>1</v>
      </c>
      <c r="B6" t="s">
        <v>6</v>
      </c>
      <c r="C6">
        <v>950</v>
      </c>
      <c r="D6">
        <v>21.16</v>
      </c>
      <c r="E6">
        <f>C6/C$24</f>
        <v>6.0336614798348683E-2</v>
      </c>
      <c r="I6" s="17"/>
      <c r="J6" s="1">
        <v>1</v>
      </c>
      <c r="K6" s="9" t="str">
        <f t="shared" si="0"/>
        <v>Akhara</v>
      </c>
      <c r="L6">
        <f t="shared" si="0"/>
        <v>950</v>
      </c>
      <c r="M6">
        <f t="shared" si="0"/>
        <v>21.16</v>
      </c>
      <c r="N6" s="10">
        <f t="shared" si="0"/>
        <v>6.0336614798348683E-2</v>
      </c>
      <c r="R6">
        <v>11</v>
      </c>
      <c r="S6">
        <v>315</v>
      </c>
      <c r="T6">
        <v>7457</v>
      </c>
      <c r="U6" t="s">
        <v>90</v>
      </c>
    </row>
    <row r="7" spans="1:21" x14ac:dyDescent="0.25">
      <c r="A7">
        <v>2</v>
      </c>
      <c r="B7" t="s">
        <v>7</v>
      </c>
      <c r="C7">
        <v>250</v>
      </c>
      <c r="D7">
        <v>4.55</v>
      </c>
      <c r="E7">
        <f t="shared" ref="E7:E23" si="1">C7/C$24</f>
        <v>1.5878056525881232E-2</v>
      </c>
      <c r="I7" s="17"/>
      <c r="J7" s="1">
        <v>9</v>
      </c>
      <c r="K7" s="9" t="str">
        <f t="shared" si="0"/>
        <v>Lakha</v>
      </c>
      <c r="L7">
        <f t="shared" si="0"/>
        <v>1425</v>
      </c>
      <c r="M7">
        <f t="shared" si="0"/>
        <v>30.068000000000001</v>
      </c>
      <c r="N7" s="10">
        <f t="shared" si="0"/>
        <v>9.0504922197523027E-2</v>
      </c>
      <c r="R7">
        <v>7</v>
      </c>
      <c r="S7">
        <v>603</v>
      </c>
      <c r="T7">
        <v>5972</v>
      </c>
      <c r="U7" t="s">
        <v>90</v>
      </c>
    </row>
    <row r="8" spans="1:21" ht="15.75" thickBot="1" x14ac:dyDescent="0.3">
      <c r="A8">
        <v>3</v>
      </c>
      <c r="B8" t="s">
        <v>8</v>
      </c>
      <c r="C8">
        <v>220</v>
      </c>
      <c r="D8">
        <v>4.3120000000000003</v>
      </c>
      <c r="E8">
        <f t="shared" si="1"/>
        <v>1.3972689742775483E-2</v>
      </c>
      <c r="I8" s="17"/>
      <c r="J8" s="1">
        <v>8</v>
      </c>
      <c r="K8" s="11" t="str">
        <f t="shared" si="0"/>
        <v>Kamalpur</v>
      </c>
      <c r="L8" s="12">
        <f t="shared" si="0"/>
        <v>785</v>
      </c>
      <c r="M8" s="12">
        <f t="shared" si="0"/>
        <v>13.785</v>
      </c>
      <c r="N8" s="13">
        <f t="shared" si="0"/>
        <v>4.9857097491267072E-2</v>
      </c>
      <c r="R8">
        <v>4</v>
      </c>
      <c r="S8">
        <v>460</v>
      </c>
      <c r="T8">
        <v>12396</v>
      </c>
      <c r="U8" t="s">
        <v>90</v>
      </c>
    </row>
    <row r="9" spans="1:21" ht="15.75" thickBot="1" x14ac:dyDescent="0.3">
      <c r="A9">
        <v>4</v>
      </c>
      <c r="B9" t="s">
        <v>9</v>
      </c>
      <c r="C9">
        <v>460</v>
      </c>
      <c r="D9">
        <v>7.8860000000000001</v>
      </c>
      <c r="E9">
        <f t="shared" si="1"/>
        <v>2.9215624007621468E-2</v>
      </c>
      <c r="I9" s="5"/>
      <c r="J9" s="1"/>
      <c r="K9" s="9"/>
      <c r="N9" s="10">
        <f>SUM(N5:N8)</f>
        <v>0.23899650682756432</v>
      </c>
      <c r="Q9" t="s">
        <v>92</v>
      </c>
      <c r="R9" s="2">
        <v>18</v>
      </c>
      <c r="S9" s="2">
        <v>1576</v>
      </c>
      <c r="T9" s="2">
        <v>1136</v>
      </c>
      <c r="U9" s="2" t="s">
        <v>91</v>
      </c>
    </row>
    <row r="10" spans="1:21" x14ac:dyDescent="0.25">
      <c r="A10">
        <v>5</v>
      </c>
      <c r="B10" t="s">
        <v>10</v>
      </c>
      <c r="C10">
        <v>235</v>
      </c>
      <c r="D10">
        <v>5.4640000000000004</v>
      </c>
      <c r="E10">
        <f t="shared" si="1"/>
        <v>1.4925373134328358E-2</v>
      </c>
      <c r="I10" s="17" t="s">
        <v>82</v>
      </c>
      <c r="J10" s="2">
        <v>6</v>
      </c>
      <c r="K10" s="6" t="str">
        <f t="shared" ref="K10:N13" si="2">VLOOKUP(J10,A$6:B$23,2,)</f>
        <v>Hanskalan</v>
      </c>
      <c r="L10" s="7">
        <f t="shared" si="2"/>
        <v>970</v>
      </c>
      <c r="M10" s="7">
        <f t="shared" si="2"/>
        <v>19.468</v>
      </c>
      <c r="N10" s="8">
        <f t="shared" si="2"/>
        <v>6.1606859320419177E-2</v>
      </c>
      <c r="R10">
        <v>18</v>
      </c>
      <c r="S10">
        <v>1576</v>
      </c>
      <c r="T10">
        <v>11436</v>
      </c>
      <c r="U10" t="s">
        <v>90</v>
      </c>
    </row>
    <row r="11" spans="1:21" x14ac:dyDescent="0.25">
      <c r="A11">
        <v>6</v>
      </c>
      <c r="B11" t="s">
        <v>11</v>
      </c>
      <c r="C11">
        <v>970</v>
      </c>
      <c r="D11">
        <v>19.468</v>
      </c>
      <c r="E11">
        <f t="shared" si="1"/>
        <v>6.1606859320419177E-2</v>
      </c>
      <c r="I11" s="17"/>
      <c r="J11" s="2">
        <v>5</v>
      </c>
      <c r="K11" s="9" t="str">
        <f t="shared" si="2"/>
        <v>Sekhupura</v>
      </c>
      <c r="L11">
        <f t="shared" si="2"/>
        <v>235</v>
      </c>
      <c r="M11">
        <f t="shared" si="2"/>
        <v>5.4640000000000004</v>
      </c>
      <c r="N11" s="10">
        <f t="shared" si="2"/>
        <v>1.4925373134328358E-2</v>
      </c>
      <c r="R11">
        <v>5</v>
      </c>
      <c r="S11">
        <v>235</v>
      </c>
      <c r="T11">
        <v>10994</v>
      </c>
      <c r="U11" t="s">
        <v>90</v>
      </c>
    </row>
    <row r="12" spans="1:21" x14ac:dyDescent="0.25">
      <c r="A12">
        <v>7</v>
      </c>
      <c r="B12" t="s">
        <v>12</v>
      </c>
      <c r="C12">
        <v>603</v>
      </c>
      <c r="D12">
        <v>14.532</v>
      </c>
      <c r="E12">
        <f t="shared" si="1"/>
        <v>3.8297872340425532E-2</v>
      </c>
      <c r="I12" s="17"/>
      <c r="J12" s="2">
        <v>14</v>
      </c>
      <c r="K12" s="9" t="str">
        <f t="shared" si="2"/>
        <v>Dholan</v>
      </c>
      <c r="L12">
        <f t="shared" si="2"/>
        <v>524</v>
      </c>
      <c r="M12">
        <f t="shared" si="2"/>
        <v>9.8149999999999995</v>
      </c>
      <c r="N12" s="10">
        <f t="shared" si="2"/>
        <v>3.3280406478247065E-2</v>
      </c>
      <c r="R12">
        <v>17</v>
      </c>
      <c r="S12">
        <v>1550</v>
      </c>
      <c r="T12">
        <v>10707</v>
      </c>
      <c r="U12" t="s">
        <v>90</v>
      </c>
    </row>
    <row r="13" spans="1:21" ht="15.75" thickBot="1" x14ac:dyDescent="0.3">
      <c r="A13">
        <v>8</v>
      </c>
      <c r="B13" t="s">
        <v>13</v>
      </c>
      <c r="C13">
        <v>785</v>
      </c>
      <c r="D13">
        <v>13.785</v>
      </c>
      <c r="E13">
        <f t="shared" si="1"/>
        <v>4.9857097491267072E-2</v>
      </c>
      <c r="I13" s="17"/>
      <c r="J13" s="2">
        <v>16</v>
      </c>
      <c r="K13" s="11" t="str">
        <f t="shared" si="2"/>
        <v>Bhammipur</v>
      </c>
      <c r="L13" s="12">
        <f t="shared" si="2"/>
        <v>1040</v>
      </c>
      <c r="M13" s="12">
        <f t="shared" si="2"/>
        <v>21.361999999999998</v>
      </c>
      <c r="N13" s="13">
        <f t="shared" si="2"/>
        <v>6.6052715147665919E-2</v>
      </c>
      <c r="R13">
        <v>9</v>
      </c>
      <c r="S13">
        <v>1425</v>
      </c>
      <c r="T13">
        <v>7864</v>
      </c>
      <c r="U13" t="s">
        <v>90</v>
      </c>
    </row>
    <row r="14" spans="1:21" ht="15.75" thickBot="1" x14ac:dyDescent="0.3">
      <c r="A14">
        <v>9</v>
      </c>
      <c r="B14" t="s">
        <v>14</v>
      </c>
      <c r="C14">
        <v>1425</v>
      </c>
      <c r="D14">
        <v>30.068000000000001</v>
      </c>
      <c r="E14">
        <f t="shared" si="1"/>
        <v>9.0504922197523027E-2</v>
      </c>
      <c r="I14" s="5"/>
      <c r="J14" s="2"/>
      <c r="K14" s="9"/>
      <c r="N14" s="10">
        <f>SUM(N10:N13)</f>
        <v>0.17586535408066051</v>
      </c>
      <c r="Q14" t="s">
        <v>93</v>
      </c>
      <c r="R14" s="2">
        <v>15</v>
      </c>
      <c r="S14" s="2">
        <v>1245</v>
      </c>
      <c r="T14" s="2">
        <v>806</v>
      </c>
      <c r="U14" s="2" t="s">
        <v>91</v>
      </c>
    </row>
    <row r="15" spans="1:21" x14ac:dyDescent="0.25">
      <c r="A15">
        <v>10</v>
      </c>
      <c r="B15" t="s">
        <v>15</v>
      </c>
      <c r="C15">
        <v>2196</v>
      </c>
      <c r="D15">
        <v>45.588999999999999</v>
      </c>
      <c r="E15">
        <f t="shared" si="1"/>
        <v>0.13947284852334074</v>
      </c>
      <c r="I15" s="17" t="s">
        <v>83</v>
      </c>
      <c r="J15" s="3">
        <v>13</v>
      </c>
      <c r="K15" s="6" t="str">
        <f t="shared" ref="K15:N19" si="3">VLOOKUP(J15,A$6:B$23,2,)</f>
        <v>Dangia</v>
      </c>
      <c r="L15" s="7">
        <f t="shared" si="3"/>
        <v>426</v>
      </c>
      <c r="M15" s="7">
        <f t="shared" si="3"/>
        <v>8.375</v>
      </c>
      <c r="N15" s="8">
        <f t="shared" si="3"/>
        <v>2.7056208320101621E-2</v>
      </c>
      <c r="R15">
        <v>6</v>
      </c>
      <c r="S15">
        <v>970</v>
      </c>
      <c r="T15">
        <v>12322</v>
      </c>
      <c r="U15" t="s">
        <v>90</v>
      </c>
    </row>
    <row r="16" spans="1:21" x14ac:dyDescent="0.25">
      <c r="A16">
        <v>11</v>
      </c>
      <c r="B16" t="s">
        <v>16</v>
      </c>
      <c r="C16">
        <v>315</v>
      </c>
      <c r="D16">
        <v>6.8920000000000003</v>
      </c>
      <c r="E16">
        <f t="shared" si="1"/>
        <v>2.0006351222610352E-2</v>
      </c>
      <c r="I16" s="17"/>
      <c r="J16" s="3">
        <v>17</v>
      </c>
      <c r="K16" s="9" t="str">
        <f t="shared" si="3"/>
        <v>Manuke</v>
      </c>
      <c r="L16">
        <f t="shared" si="3"/>
        <v>1550</v>
      </c>
      <c r="M16">
        <f t="shared" si="3"/>
        <v>32.116</v>
      </c>
      <c r="N16" s="10">
        <f t="shared" si="3"/>
        <v>9.8443950460463642E-2</v>
      </c>
      <c r="R16">
        <v>8</v>
      </c>
      <c r="S16">
        <v>785</v>
      </c>
      <c r="T16">
        <v>12247</v>
      </c>
      <c r="U16" t="s">
        <v>90</v>
      </c>
    </row>
    <row r="17" spans="1:21" x14ac:dyDescent="0.25">
      <c r="A17">
        <v>12</v>
      </c>
      <c r="B17" t="s">
        <v>17</v>
      </c>
      <c r="C17">
        <v>975</v>
      </c>
      <c r="D17">
        <v>18.856999999999999</v>
      </c>
      <c r="E17">
        <f t="shared" si="1"/>
        <v>6.1924420450936803E-2</v>
      </c>
      <c r="I17" s="17"/>
      <c r="J17" s="3">
        <v>15</v>
      </c>
      <c r="K17" s="9" t="str">
        <f t="shared" si="3"/>
        <v>Mallah</v>
      </c>
      <c r="L17">
        <f t="shared" si="3"/>
        <v>1245</v>
      </c>
      <c r="M17">
        <f t="shared" si="3"/>
        <v>28.099</v>
      </c>
      <c r="N17" s="10">
        <f t="shared" si="3"/>
        <v>7.907272149888854E-2</v>
      </c>
      <c r="R17">
        <v>16</v>
      </c>
      <c r="S17">
        <v>1040</v>
      </c>
      <c r="T17">
        <v>12501</v>
      </c>
      <c r="U17" t="s">
        <v>90</v>
      </c>
    </row>
    <row r="18" spans="1:21" x14ac:dyDescent="0.25">
      <c r="A18">
        <v>13</v>
      </c>
      <c r="B18" t="s">
        <v>18</v>
      </c>
      <c r="C18">
        <v>426</v>
      </c>
      <c r="D18">
        <v>8.375</v>
      </c>
      <c r="E18">
        <f t="shared" si="1"/>
        <v>2.7056208320101621E-2</v>
      </c>
      <c r="I18" s="17"/>
      <c r="J18" s="3">
        <v>11</v>
      </c>
      <c r="K18" s="9" t="str">
        <f t="shared" si="3"/>
        <v>Gagrha</v>
      </c>
      <c r="L18">
        <f t="shared" si="3"/>
        <v>315</v>
      </c>
      <c r="M18">
        <f t="shared" si="3"/>
        <v>6.8920000000000003</v>
      </c>
      <c r="N18" s="10">
        <f t="shared" si="3"/>
        <v>2.0006351222610352E-2</v>
      </c>
      <c r="R18">
        <v>7</v>
      </c>
      <c r="S18">
        <v>603</v>
      </c>
      <c r="T18">
        <v>13686</v>
      </c>
      <c r="U18" t="s">
        <v>90</v>
      </c>
    </row>
    <row r="19" spans="1:21" ht="15.75" thickBot="1" x14ac:dyDescent="0.3">
      <c r="A19">
        <v>14</v>
      </c>
      <c r="B19" t="s">
        <v>19</v>
      </c>
      <c r="C19">
        <v>524</v>
      </c>
      <c r="D19">
        <v>9.8149999999999995</v>
      </c>
      <c r="E19">
        <f t="shared" si="1"/>
        <v>3.3280406478247065E-2</v>
      </c>
      <c r="I19" s="17"/>
      <c r="J19" s="3">
        <v>3</v>
      </c>
      <c r="K19" s="11" t="str">
        <f t="shared" si="3"/>
        <v>Sidhwankhurd</v>
      </c>
      <c r="L19" s="12">
        <f t="shared" si="3"/>
        <v>220</v>
      </c>
      <c r="M19" s="12">
        <f t="shared" si="3"/>
        <v>4.3120000000000003</v>
      </c>
      <c r="N19" s="13">
        <f t="shared" si="3"/>
        <v>1.3972689742775483E-2</v>
      </c>
      <c r="R19">
        <v>15</v>
      </c>
      <c r="S19">
        <v>1245</v>
      </c>
      <c r="T19">
        <v>10755</v>
      </c>
      <c r="U19" t="s">
        <v>90</v>
      </c>
    </row>
    <row r="20" spans="1:21" ht="15.75" thickBot="1" x14ac:dyDescent="0.3">
      <c r="A20">
        <v>15</v>
      </c>
      <c r="B20" t="s">
        <v>20</v>
      </c>
      <c r="C20">
        <v>1245</v>
      </c>
      <c r="D20">
        <v>28.099</v>
      </c>
      <c r="E20">
        <f t="shared" si="1"/>
        <v>7.907272149888854E-2</v>
      </c>
      <c r="I20" s="5"/>
      <c r="J20" s="3"/>
      <c r="K20" s="9"/>
      <c r="N20" s="10">
        <f>SUM(N15:N19)</f>
        <v>0.23855192124483965</v>
      </c>
      <c r="R20">
        <v>3</v>
      </c>
      <c r="S20">
        <v>220</v>
      </c>
      <c r="T20">
        <v>479</v>
      </c>
      <c r="U20" t="s">
        <v>90</v>
      </c>
    </row>
    <row r="21" spans="1:21" x14ac:dyDescent="0.25">
      <c r="A21">
        <v>16</v>
      </c>
      <c r="B21" t="s">
        <v>21</v>
      </c>
      <c r="C21">
        <v>1040</v>
      </c>
      <c r="D21">
        <v>21.361999999999998</v>
      </c>
      <c r="E21">
        <f t="shared" si="1"/>
        <v>6.6052715147665919E-2</v>
      </c>
      <c r="I21" s="17" t="s">
        <v>84</v>
      </c>
      <c r="J21" s="4">
        <v>2</v>
      </c>
      <c r="K21" s="6" t="str">
        <f t="shared" ref="K21:N25" si="4">VLOOKUP(J21,A$6:B$23,2,)</f>
        <v>Sujapur</v>
      </c>
      <c r="L21" s="7">
        <f t="shared" si="4"/>
        <v>250</v>
      </c>
      <c r="M21" s="7">
        <f t="shared" si="4"/>
        <v>4.55</v>
      </c>
      <c r="N21" s="8">
        <f t="shared" si="4"/>
        <v>1.5878056525881232E-2</v>
      </c>
      <c r="R21">
        <v>13</v>
      </c>
      <c r="S21">
        <v>426</v>
      </c>
      <c r="T21">
        <v>14915</v>
      </c>
      <c r="U21" t="s">
        <v>90</v>
      </c>
    </row>
    <row r="22" spans="1:21" x14ac:dyDescent="0.25">
      <c r="A22">
        <v>17</v>
      </c>
      <c r="B22" t="s">
        <v>22</v>
      </c>
      <c r="C22">
        <v>1550</v>
      </c>
      <c r="D22">
        <v>32.116</v>
      </c>
      <c r="E22">
        <f t="shared" si="1"/>
        <v>9.8443950460463642E-2</v>
      </c>
      <c r="I22" s="17"/>
      <c r="J22" s="4">
        <v>18</v>
      </c>
      <c r="K22" s="9" t="str">
        <f t="shared" si="4"/>
        <v>Rasalpur</v>
      </c>
      <c r="L22">
        <f t="shared" si="4"/>
        <v>1576</v>
      </c>
      <c r="M22">
        <f t="shared" si="4"/>
        <v>36.075000000000003</v>
      </c>
      <c r="N22" s="10">
        <f t="shared" si="4"/>
        <v>0.10009526833915529</v>
      </c>
      <c r="R22">
        <v>3</v>
      </c>
      <c r="S22">
        <v>220</v>
      </c>
      <c r="T22">
        <v>14778</v>
      </c>
      <c r="U22" t="s">
        <v>90</v>
      </c>
    </row>
    <row r="23" spans="1:21" x14ac:dyDescent="0.25">
      <c r="A23">
        <v>18</v>
      </c>
      <c r="B23" t="s">
        <v>23</v>
      </c>
      <c r="C23">
        <v>1576</v>
      </c>
      <c r="D23">
        <v>36.075000000000003</v>
      </c>
      <c r="E23">
        <f t="shared" si="1"/>
        <v>0.10009526833915529</v>
      </c>
      <c r="I23" s="17"/>
      <c r="J23" s="4">
        <v>4</v>
      </c>
      <c r="K23" s="9" t="str">
        <f t="shared" si="4"/>
        <v>Sohian</v>
      </c>
      <c r="L23">
        <f t="shared" si="4"/>
        <v>460</v>
      </c>
      <c r="M23">
        <f t="shared" si="4"/>
        <v>7.8860000000000001</v>
      </c>
      <c r="N23" s="10">
        <f t="shared" si="4"/>
        <v>2.9215624007621468E-2</v>
      </c>
      <c r="R23">
        <v>5</v>
      </c>
      <c r="S23">
        <v>235</v>
      </c>
      <c r="T23">
        <v>14129</v>
      </c>
      <c r="U23" t="s">
        <v>90</v>
      </c>
    </row>
    <row r="24" spans="1:21" x14ac:dyDescent="0.25">
      <c r="A24" t="s">
        <v>24</v>
      </c>
      <c r="B24" t="s">
        <v>25</v>
      </c>
      <c r="C24">
        <v>15745</v>
      </c>
      <c r="D24">
        <v>328.40499999999997</v>
      </c>
      <c r="E24">
        <f>SUM(E6:E23)</f>
        <v>0.99999999999999978</v>
      </c>
      <c r="I24" s="17"/>
      <c r="J24" s="4">
        <v>12</v>
      </c>
      <c r="K24" s="9" t="str">
        <f t="shared" si="4"/>
        <v>Dala</v>
      </c>
      <c r="L24">
        <f t="shared" si="4"/>
        <v>975</v>
      </c>
      <c r="M24">
        <f t="shared" si="4"/>
        <v>18.856999999999999</v>
      </c>
      <c r="N24" s="10">
        <f t="shared" si="4"/>
        <v>6.1924420450936803E-2</v>
      </c>
      <c r="R24">
        <v>17</v>
      </c>
      <c r="S24">
        <v>1550</v>
      </c>
      <c r="T24">
        <v>14660</v>
      </c>
      <c r="U24" t="s">
        <v>90</v>
      </c>
    </row>
    <row r="25" spans="1:21" ht="15.75" thickBot="1" x14ac:dyDescent="0.3">
      <c r="I25" s="17"/>
      <c r="J25" s="4">
        <v>10</v>
      </c>
      <c r="K25" s="11" t="str">
        <f t="shared" si="4"/>
        <v>Kaunke</v>
      </c>
      <c r="L25" s="12">
        <f t="shared" si="4"/>
        <v>2196</v>
      </c>
      <c r="M25" s="12">
        <f t="shared" si="4"/>
        <v>45.588999999999999</v>
      </c>
      <c r="N25" s="13">
        <f t="shared" si="4"/>
        <v>0.13947284852334074</v>
      </c>
      <c r="R25">
        <v>14</v>
      </c>
      <c r="S25">
        <v>524</v>
      </c>
      <c r="T25">
        <v>7497</v>
      </c>
      <c r="U25" t="s">
        <v>90</v>
      </c>
    </row>
    <row r="26" spans="1:21" ht="15.75" thickBot="1" x14ac:dyDescent="0.3">
      <c r="I26" s="5"/>
      <c r="J26" s="4"/>
      <c r="K26" s="14"/>
      <c r="L26" s="15"/>
      <c r="M26" s="15"/>
      <c r="N26" s="16">
        <f>SUM(N21:N25)</f>
        <v>0.34658621784693555</v>
      </c>
      <c r="R26">
        <v>3</v>
      </c>
      <c r="S26">
        <v>220</v>
      </c>
      <c r="T26">
        <v>8511</v>
      </c>
      <c r="U26" t="s">
        <v>90</v>
      </c>
    </row>
    <row r="27" spans="1:21" x14ac:dyDescent="0.25">
      <c r="R27">
        <v>14</v>
      </c>
      <c r="S27">
        <v>524</v>
      </c>
      <c r="T27">
        <v>12302</v>
      </c>
      <c r="U27" t="s">
        <v>90</v>
      </c>
    </row>
    <row r="28" spans="1:21" x14ac:dyDescent="0.25">
      <c r="Q28" t="s">
        <v>94</v>
      </c>
      <c r="R28" s="2">
        <v>16</v>
      </c>
      <c r="S28" s="2">
        <v>1040</v>
      </c>
      <c r="T28" s="2">
        <v>16</v>
      </c>
      <c r="U28" s="2" t="s">
        <v>91</v>
      </c>
    </row>
    <row r="30" spans="1:21" x14ac:dyDescent="0.25">
      <c r="B30" t="s">
        <v>95</v>
      </c>
      <c r="C30">
        <f>((M5/N5)*N9)+((M13/N13)*N14)+((M17/N17)*N20)+((M22/N22)*N26)</f>
        <v>357.24568841968374</v>
      </c>
    </row>
    <row r="31" spans="1:21" x14ac:dyDescent="0.25">
      <c r="B31" t="s">
        <v>96</v>
      </c>
      <c r="C31">
        <f>C32*D32</f>
        <v>85.546192938558775</v>
      </c>
    </row>
    <row r="32" spans="1:21" x14ac:dyDescent="0.25">
      <c r="C32">
        <f>((16+16+25+25-18)/(18^2-(16+16+25+25)))</f>
        <v>0.26446280991735538</v>
      </c>
      <c r="D32">
        <f>(((M5/N5)-C30)^2*N9)+(((M13/N13)-C30)^2*N14)+(((M17/N17)-C30)^2*N20)+(((M22/N22)-C30)^2*N26)</f>
        <v>323.47154204892536</v>
      </c>
    </row>
    <row r="33" spans="2:4" x14ac:dyDescent="0.25">
      <c r="B33" t="s">
        <v>97</v>
      </c>
      <c r="C33">
        <f>SQRT(C31)</f>
        <v>9.2491184952166527</v>
      </c>
    </row>
    <row r="34" spans="2:4" x14ac:dyDescent="0.25">
      <c r="B34" t="s">
        <v>98</v>
      </c>
      <c r="C34">
        <f>C30-2*C33</f>
        <v>338.74745142925042</v>
      </c>
      <c r="D34">
        <f>C30+2*C33</f>
        <v>375.74392541011707</v>
      </c>
    </row>
  </sheetData>
  <mergeCells count="4">
    <mergeCell ref="I5:I8"/>
    <mergeCell ref="I10:I13"/>
    <mergeCell ref="I15:I19"/>
    <mergeCell ref="I21:I25"/>
  </mergeCells>
  <conditionalFormatting sqref="K5:N26">
    <cfRule type="duplicateValues" dxfId="2" priority="2"/>
  </conditionalFormatting>
  <conditionalFormatting sqref="L5:N2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3BCF-1AA6-4C19-BFDE-CD4CFB90DBE3}">
  <dimension ref="A2:M55"/>
  <sheetViews>
    <sheetView workbookViewId="0">
      <selection activeCell="J51" sqref="J51"/>
    </sheetView>
  </sheetViews>
  <sheetFormatPr defaultRowHeight="15" x14ac:dyDescent="0.25"/>
  <cols>
    <col min="2" max="2" width="14.28515625" customWidth="1"/>
    <col min="3" max="3" width="19.5703125" customWidth="1"/>
    <col min="4" max="4" width="22" customWidth="1"/>
  </cols>
  <sheetData>
    <row r="2" spans="1:13" x14ac:dyDescent="0.25">
      <c r="A2" t="s">
        <v>26</v>
      </c>
    </row>
    <row r="4" spans="1:13" x14ac:dyDescent="0.25">
      <c r="A4" t="s">
        <v>27</v>
      </c>
      <c r="B4" t="s">
        <v>28</v>
      </c>
      <c r="C4" t="s">
        <v>29</v>
      </c>
      <c r="D4" t="s">
        <v>30</v>
      </c>
      <c r="J4" t="s">
        <v>99</v>
      </c>
    </row>
    <row r="6" spans="1:13" x14ac:dyDescent="0.25">
      <c r="A6">
        <v>1</v>
      </c>
      <c r="B6" t="s">
        <v>31</v>
      </c>
      <c r="C6">
        <v>348.334</v>
      </c>
      <c r="D6">
        <v>408.97800000000001</v>
      </c>
      <c r="J6">
        <v>48</v>
      </c>
      <c r="K6" t="str">
        <f>VLOOKUP(J6,A$6:B$55,2,FALSE)</f>
        <v>WV</v>
      </c>
      <c r="L6">
        <f t="shared" ref="L6:M21" si="0">VLOOKUP(K6,B$6:C$55,2,FALSE)</f>
        <v>29.291</v>
      </c>
      <c r="M6">
        <f t="shared" si="0"/>
        <v>99.277000000000001</v>
      </c>
    </row>
    <row r="7" spans="1:13" x14ac:dyDescent="0.25">
      <c r="A7">
        <v>2</v>
      </c>
      <c r="B7" t="s">
        <v>33</v>
      </c>
      <c r="C7">
        <v>3.4329999999999998</v>
      </c>
      <c r="D7">
        <v>2.605</v>
      </c>
      <c r="J7">
        <v>32</v>
      </c>
      <c r="K7" t="str">
        <f t="shared" ref="K7:M55" si="1">VLOOKUP(J7,A$6:B$55,2,FALSE)</f>
        <v>NY</v>
      </c>
      <c r="L7">
        <f t="shared" si="0"/>
        <v>426.274</v>
      </c>
      <c r="M7">
        <f t="shared" si="0"/>
        <v>201.631</v>
      </c>
    </row>
    <row r="8" spans="1:13" x14ac:dyDescent="0.25">
      <c r="A8">
        <v>3</v>
      </c>
      <c r="B8" t="s">
        <v>35</v>
      </c>
      <c r="C8">
        <v>431.43900000000002</v>
      </c>
      <c r="D8">
        <v>54.633000000000003</v>
      </c>
      <c r="J8">
        <v>47</v>
      </c>
      <c r="K8" t="str">
        <f t="shared" si="1"/>
        <v>WA</v>
      </c>
      <c r="L8">
        <f t="shared" si="0"/>
        <v>1228.607</v>
      </c>
      <c r="M8">
        <f t="shared" si="0"/>
        <v>1100.7449999999999</v>
      </c>
    </row>
    <row r="9" spans="1:13" x14ac:dyDescent="0.25">
      <c r="A9">
        <v>4</v>
      </c>
      <c r="B9" t="s">
        <v>37</v>
      </c>
      <c r="C9">
        <v>848.31700000000001</v>
      </c>
      <c r="D9">
        <v>907.7</v>
      </c>
      <c r="J9">
        <v>49</v>
      </c>
      <c r="K9" t="str">
        <f t="shared" si="1"/>
        <v>WI</v>
      </c>
      <c r="L9">
        <f t="shared" si="0"/>
        <v>1372.4390000000001</v>
      </c>
      <c r="M9">
        <f t="shared" si="0"/>
        <v>1229.752</v>
      </c>
    </row>
    <row r="10" spans="1:13" x14ac:dyDescent="0.25">
      <c r="A10">
        <v>5</v>
      </c>
      <c r="B10" t="s">
        <v>39</v>
      </c>
      <c r="C10">
        <v>3928.732</v>
      </c>
      <c r="D10">
        <v>1343.461</v>
      </c>
      <c r="J10">
        <v>11</v>
      </c>
      <c r="K10" t="str">
        <f t="shared" si="1"/>
        <v>HI</v>
      </c>
      <c r="L10">
        <f t="shared" si="0"/>
        <v>38.067</v>
      </c>
      <c r="M10">
        <f t="shared" si="0"/>
        <v>40.765000000000001</v>
      </c>
    </row>
    <row r="11" spans="1:13" x14ac:dyDescent="0.25">
      <c r="A11">
        <v>6</v>
      </c>
      <c r="B11" t="s">
        <v>41</v>
      </c>
      <c r="C11">
        <v>906.28099999999995</v>
      </c>
      <c r="D11">
        <v>315.80900000000003</v>
      </c>
      <c r="J11">
        <v>14</v>
      </c>
      <c r="K11" t="str">
        <f t="shared" si="1"/>
        <v>IN</v>
      </c>
      <c r="L11">
        <f t="shared" si="0"/>
        <v>1022.782</v>
      </c>
      <c r="M11">
        <f t="shared" si="0"/>
        <v>1213.0239999999999</v>
      </c>
    </row>
    <row r="12" spans="1:13" x14ac:dyDescent="0.25">
      <c r="A12">
        <v>7</v>
      </c>
      <c r="B12" t="s">
        <v>43</v>
      </c>
      <c r="C12">
        <v>4.3730000000000002</v>
      </c>
      <c r="D12">
        <v>7.13</v>
      </c>
      <c r="J12">
        <v>12</v>
      </c>
      <c r="K12" t="str">
        <f t="shared" si="1"/>
        <v>ID</v>
      </c>
      <c r="L12">
        <f t="shared" si="0"/>
        <v>1006.0359999999999</v>
      </c>
      <c r="M12">
        <f t="shared" si="0"/>
        <v>53.753</v>
      </c>
    </row>
    <row r="13" spans="1:13" x14ac:dyDescent="0.25">
      <c r="A13">
        <v>8</v>
      </c>
      <c r="B13" t="s">
        <v>45</v>
      </c>
      <c r="C13">
        <v>43.228999999999999</v>
      </c>
      <c r="D13">
        <v>42.808</v>
      </c>
      <c r="J13">
        <v>36</v>
      </c>
      <c r="K13" t="str">
        <f t="shared" si="1"/>
        <v>OK</v>
      </c>
      <c r="L13">
        <f t="shared" si="0"/>
        <v>1716.087</v>
      </c>
      <c r="M13">
        <f t="shared" si="0"/>
        <v>612.10799999999995</v>
      </c>
    </row>
    <row r="14" spans="1:13" x14ac:dyDescent="0.25">
      <c r="A14">
        <v>9</v>
      </c>
      <c r="B14" t="s">
        <v>47</v>
      </c>
      <c r="C14">
        <v>464.51600000000002</v>
      </c>
      <c r="D14">
        <v>825.74800000000005</v>
      </c>
      <c r="J14">
        <v>27</v>
      </c>
      <c r="K14" t="str">
        <f t="shared" si="1"/>
        <v>NE</v>
      </c>
      <c r="L14">
        <f t="shared" si="0"/>
        <v>3585.4059999999999</v>
      </c>
      <c r="M14">
        <f t="shared" si="0"/>
        <v>1337.8520000000001</v>
      </c>
    </row>
    <row r="15" spans="1:13" x14ac:dyDescent="0.25">
      <c r="A15">
        <v>10</v>
      </c>
      <c r="B15" t="s">
        <v>49</v>
      </c>
      <c r="C15">
        <v>540.69600000000003</v>
      </c>
      <c r="D15">
        <v>939.46</v>
      </c>
      <c r="J15">
        <v>28</v>
      </c>
      <c r="K15" t="str">
        <f t="shared" si="1"/>
        <v>NV</v>
      </c>
      <c r="L15">
        <f t="shared" si="0"/>
        <v>16.71</v>
      </c>
      <c r="M15">
        <f t="shared" si="0"/>
        <v>5.86</v>
      </c>
    </row>
    <row r="16" spans="1:13" x14ac:dyDescent="0.25">
      <c r="A16">
        <v>11</v>
      </c>
      <c r="B16" t="s">
        <v>51</v>
      </c>
      <c r="C16">
        <v>38.067</v>
      </c>
      <c r="D16">
        <v>40.765000000000001</v>
      </c>
      <c r="J16">
        <v>3</v>
      </c>
      <c r="K16" t="str">
        <f t="shared" si="1"/>
        <v>AZ</v>
      </c>
      <c r="L16">
        <f t="shared" si="0"/>
        <v>431.43900000000002</v>
      </c>
      <c r="M16">
        <f t="shared" si="0"/>
        <v>54.633000000000003</v>
      </c>
    </row>
    <row r="17" spans="1:13" x14ac:dyDescent="0.25">
      <c r="A17">
        <v>12</v>
      </c>
      <c r="B17" t="s">
        <v>53</v>
      </c>
      <c r="C17">
        <v>1006.0359999999999</v>
      </c>
      <c r="D17">
        <v>53.753</v>
      </c>
      <c r="J17">
        <v>38</v>
      </c>
      <c r="K17" t="str">
        <f t="shared" si="1"/>
        <v>PA</v>
      </c>
      <c r="L17">
        <f t="shared" si="0"/>
        <v>298.351</v>
      </c>
      <c r="M17">
        <f t="shared" si="0"/>
        <v>756.16899999999998</v>
      </c>
    </row>
    <row r="18" spans="1:13" x14ac:dyDescent="0.25">
      <c r="A18">
        <v>13</v>
      </c>
      <c r="B18" t="s">
        <v>55</v>
      </c>
      <c r="C18">
        <v>2610.5720000000001</v>
      </c>
      <c r="D18">
        <v>2131.0479999999998</v>
      </c>
      <c r="J18">
        <v>24</v>
      </c>
      <c r="K18" t="str">
        <f t="shared" si="1"/>
        <v>MS</v>
      </c>
      <c r="L18">
        <f t="shared" si="0"/>
        <v>549.55100000000004</v>
      </c>
      <c r="M18">
        <f t="shared" si="0"/>
        <v>627.01300000000003</v>
      </c>
    </row>
    <row r="19" spans="1:13" x14ac:dyDescent="0.25">
      <c r="A19">
        <v>14</v>
      </c>
      <c r="B19" t="s">
        <v>57</v>
      </c>
      <c r="C19">
        <v>1022.782</v>
      </c>
      <c r="D19">
        <v>1213.0239999999999</v>
      </c>
      <c r="J19">
        <v>35</v>
      </c>
      <c r="K19" t="str">
        <f t="shared" si="1"/>
        <v>OH</v>
      </c>
      <c r="L19">
        <f t="shared" si="0"/>
        <v>635.774</v>
      </c>
      <c r="M19">
        <f t="shared" si="0"/>
        <v>870.72</v>
      </c>
    </row>
    <row r="20" spans="1:13" x14ac:dyDescent="0.25">
      <c r="A20">
        <v>15</v>
      </c>
      <c r="B20" t="s">
        <v>59</v>
      </c>
      <c r="C20">
        <v>3909.7379999999998</v>
      </c>
      <c r="D20">
        <v>2327.0250000000001</v>
      </c>
      <c r="J20">
        <v>29</v>
      </c>
      <c r="K20" t="str">
        <f t="shared" si="1"/>
        <v>NH</v>
      </c>
      <c r="L20">
        <f t="shared" si="0"/>
        <v>0.47099999999999997</v>
      </c>
      <c r="M20">
        <f t="shared" si="0"/>
        <v>6.0439999999999996</v>
      </c>
    </row>
    <row r="21" spans="1:13" x14ac:dyDescent="0.25">
      <c r="A21">
        <v>16</v>
      </c>
      <c r="B21" t="s">
        <v>61</v>
      </c>
      <c r="C21">
        <v>2580.3040000000001</v>
      </c>
      <c r="D21">
        <v>1049.8340000000001</v>
      </c>
      <c r="J21">
        <v>13</v>
      </c>
      <c r="K21" t="str">
        <f t="shared" si="1"/>
        <v>IL</v>
      </c>
      <c r="L21">
        <f t="shared" si="0"/>
        <v>2610.5720000000001</v>
      </c>
      <c r="M21">
        <f t="shared" si="0"/>
        <v>2131.0479999999998</v>
      </c>
    </row>
    <row r="22" spans="1:13" x14ac:dyDescent="0.25">
      <c r="A22">
        <v>17</v>
      </c>
      <c r="B22" t="s">
        <v>63</v>
      </c>
      <c r="C22">
        <v>557.65599999999995</v>
      </c>
      <c r="D22">
        <v>1045.106</v>
      </c>
      <c r="J22">
        <v>16</v>
      </c>
      <c r="K22" t="str">
        <f t="shared" si="1"/>
        <v>KS</v>
      </c>
      <c r="L22">
        <f t="shared" si="1"/>
        <v>2580.3040000000001</v>
      </c>
      <c r="M22">
        <f t="shared" si="1"/>
        <v>1049.8340000000001</v>
      </c>
    </row>
    <row r="23" spans="1:13" x14ac:dyDescent="0.25">
      <c r="A23">
        <v>18</v>
      </c>
      <c r="B23" t="s">
        <v>65</v>
      </c>
      <c r="C23">
        <v>405.79899999999998</v>
      </c>
      <c r="D23">
        <v>282.565</v>
      </c>
      <c r="J23">
        <v>22</v>
      </c>
      <c r="K23" t="str">
        <f t="shared" si="1"/>
        <v>MI</v>
      </c>
      <c r="L23">
        <f t="shared" si="1"/>
        <v>440.51799999999997</v>
      </c>
      <c r="M23">
        <f t="shared" si="1"/>
        <v>323.02800000000002</v>
      </c>
    </row>
    <row r="24" spans="1:13" x14ac:dyDescent="0.25">
      <c r="A24">
        <v>19</v>
      </c>
      <c r="B24" t="s">
        <v>67</v>
      </c>
      <c r="C24">
        <v>51.539000000000001</v>
      </c>
      <c r="D24">
        <v>8.8490000000000002</v>
      </c>
      <c r="J24">
        <v>25</v>
      </c>
      <c r="K24" t="str">
        <f t="shared" si="1"/>
        <v>MO</v>
      </c>
      <c r="L24">
        <f t="shared" si="1"/>
        <v>1519.9939999999999</v>
      </c>
      <c r="M24">
        <f t="shared" si="1"/>
        <v>1579.6859999999999</v>
      </c>
    </row>
    <row r="25" spans="1:13" x14ac:dyDescent="0.25">
      <c r="A25">
        <v>20</v>
      </c>
      <c r="B25" t="s">
        <v>69</v>
      </c>
      <c r="C25">
        <v>57.683999999999997</v>
      </c>
      <c r="D25">
        <v>139.62799999999999</v>
      </c>
      <c r="J25">
        <v>2</v>
      </c>
      <c r="K25" t="str">
        <f t="shared" si="1"/>
        <v>AK</v>
      </c>
      <c r="L25">
        <f t="shared" si="1"/>
        <v>3.4329999999999998</v>
      </c>
      <c r="M25">
        <f t="shared" si="1"/>
        <v>2.605</v>
      </c>
    </row>
    <row r="26" spans="1:13" x14ac:dyDescent="0.25">
      <c r="A26">
        <v>21</v>
      </c>
      <c r="B26" t="s">
        <v>71</v>
      </c>
      <c r="C26">
        <v>56.470999999999997</v>
      </c>
      <c r="D26">
        <v>79.5</v>
      </c>
      <c r="J26">
        <v>1</v>
      </c>
      <c r="K26" t="str">
        <f t="shared" si="1"/>
        <v>AL</v>
      </c>
      <c r="L26">
        <f t="shared" si="1"/>
        <v>348.334</v>
      </c>
      <c r="M26">
        <f t="shared" si="1"/>
        <v>408.97800000000001</v>
      </c>
    </row>
    <row r="27" spans="1:13" x14ac:dyDescent="0.25">
      <c r="A27">
        <v>22</v>
      </c>
      <c r="B27" t="s">
        <v>73</v>
      </c>
      <c r="C27">
        <v>440.51799999999997</v>
      </c>
      <c r="D27">
        <v>323.02800000000002</v>
      </c>
      <c r="J27">
        <v>30</v>
      </c>
      <c r="K27" t="str">
        <f t="shared" si="1"/>
        <v>NJ</v>
      </c>
      <c r="L27">
        <f t="shared" si="1"/>
        <v>27.507999999999999</v>
      </c>
      <c r="M27">
        <f t="shared" si="1"/>
        <v>39.86</v>
      </c>
    </row>
    <row r="28" spans="1:13" x14ac:dyDescent="0.25">
      <c r="A28">
        <v>23</v>
      </c>
      <c r="B28" t="s">
        <v>75</v>
      </c>
      <c r="C28">
        <v>2466.8919999999998</v>
      </c>
      <c r="D28">
        <v>1354.768</v>
      </c>
      <c r="J28">
        <v>26</v>
      </c>
      <c r="K28" t="str">
        <f t="shared" si="1"/>
        <v>MT</v>
      </c>
      <c r="L28">
        <f t="shared" si="1"/>
        <v>722.03399999999999</v>
      </c>
      <c r="M28">
        <f t="shared" si="1"/>
        <v>292.96499999999997</v>
      </c>
    </row>
    <row r="29" spans="1:13" x14ac:dyDescent="0.25">
      <c r="A29">
        <v>24</v>
      </c>
      <c r="B29" t="s">
        <v>77</v>
      </c>
      <c r="C29">
        <v>549.55100000000004</v>
      </c>
      <c r="D29">
        <v>627.01300000000003</v>
      </c>
      <c r="J29">
        <v>31</v>
      </c>
      <c r="K29" t="str">
        <f t="shared" si="1"/>
        <v>NM</v>
      </c>
      <c r="L29">
        <f t="shared" si="1"/>
        <v>274.03500000000003</v>
      </c>
      <c r="M29">
        <f t="shared" si="1"/>
        <v>140.58199999999999</v>
      </c>
    </row>
    <row r="30" spans="1:13" x14ac:dyDescent="0.25">
      <c r="A30">
        <v>25</v>
      </c>
      <c r="B30" t="s">
        <v>79</v>
      </c>
      <c r="C30">
        <v>1519.9939999999999</v>
      </c>
      <c r="D30">
        <v>1579.6859999999999</v>
      </c>
      <c r="J30">
        <v>4</v>
      </c>
      <c r="K30" t="str">
        <f t="shared" si="1"/>
        <v>AR</v>
      </c>
      <c r="L30">
        <f t="shared" si="1"/>
        <v>848.31700000000001</v>
      </c>
      <c r="M30">
        <f t="shared" si="1"/>
        <v>907.7</v>
      </c>
    </row>
    <row r="31" spans="1:13" x14ac:dyDescent="0.25">
      <c r="A31">
        <v>26</v>
      </c>
      <c r="B31" t="s">
        <v>32</v>
      </c>
      <c r="C31">
        <v>722.03399999999999</v>
      </c>
      <c r="D31">
        <v>292.96499999999997</v>
      </c>
      <c r="J31">
        <v>43</v>
      </c>
      <c r="K31" t="str">
        <f t="shared" si="1"/>
        <v>TX</v>
      </c>
      <c r="L31">
        <f t="shared" si="1"/>
        <v>3520.3609999999999</v>
      </c>
      <c r="M31">
        <f t="shared" si="1"/>
        <v>1248.761</v>
      </c>
    </row>
    <row r="32" spans="1:13" x14ac:dyDescent="0.25">
      <c r="A32">
        <v>27</v>
      </c>
      <c r="B32" t="s">
        <v>34</v>
      </c>
      <c r="C32">
        <v>3585.4059999999999</v>
      </c>
      <c r="D32">
        <v>1337.8520000000001</v>
      </c>
      <c r="J32">
        <v>7</v>
      </c>
      <c r="K32" t="str">
        <f t="shared" si="1"/>
        <v>CT</v>
      </c>
      <c r="L32">
        <f t="shared" si="1"/>
        <v>4.3730000000000002</v>
      </c>
      <c r="M32">
        <f t="shared" si="1"/>
        <v>7.13</v>
      </c>
    </row>
    <row r="33" spans="1:13" x14ac:dyDescent="0.25">
      <c r="A33">
        <v>28</v>
      </c>
      <c r="B33" t="s">
        <v>36</v>
      </c>
      <c r="C33">
        <v>16.71</v>
      </c>
      <c r="D33">
        <v>5.86</v>
      </c>
      <c r="J33">
        <v>17</v>
      </c>
      <c r="K33" t="str">
        <f t="shared" si="1"/>
        <v>KY</v>
      </c>
      <c r="L33">
        <f t="shared" si="1"/>
        <v>557.65599999999995</v>
      </c>
      <c r="M33">
        <f t="shared" si="1"/>
        <v>1045.106</v>
      </c>
    </row>
    <row r="34" spans="1:13" x14ac:dyDescent="0.25">
      <c r="A34">
        <v>29</v>
      </c>
      <c r="B34" t="s">
        <v>38</v>
      </c>
      <c r="C34">
        <v>0.47099999999999997</v>
      </c>
      <c r="D34">
        <v>6.0439999999999996</v>
      </c>
      <c r="J34">
        <v>23</v>
      </c>
      <c r="K34" t="str">
        <f t="shared" si="1"/>
        <v>MN</v>
      </c>
      <c r="L34">
        <f t="shared" si="1"/>
        <v>2466.8919999999998</v>
      </c>
      <c r="M34">
        <f t="shared" si="1"/>
        <v>1354.768</v>
      </c>
    </row>
    <row r="35" spans="1:13" x14ac:dyDescent="0.25">
      <c r="A35">
        <v>30</v>
      </c>
      <c r="B35" t="s">
        <v>40</v>
      </c>
      <c r="C35">
        <v>27.507999999999999</v>
      </c>
      <c r="D35">
        <v>39.86</v>
      </c>
      <c r="J35">
        <v>18</v>
      </c>
      <c r="K35" t="str">
        <f t="shared" si="1"/>
        <v>LA</v>
      </c>
      <c r="L35">
        <f t="shared" si="1"/>
        <v>405.79899999999998</v>
      </c>
      <c r="M35">
        <f t="shared" si="1"/>
        <v>282.565</v>
      </c>
    </row>
    <row r="36" spans="1:13" x14ac:dyDescent="0.25">
      <c r="A36">
        <v>31</v>
      </c>
      <c r="B36" t="s">
        <v>42</v>
      </c>
      <c r="C36">
        <v>274.03500000000003</v>
      </c>
      <c r="D36">
        <v>140.58199999999999</v>
      </c>
      <c r="J36">
        <v>19</v>
      </c>
      <c r="K36" t="str">
        <f t="shared" si="1"/>
        <v>ME</v>
      </c>
      <c r="L36">
        <f t="shared" si="1"/>
        <v>51.539000000000001</v>
      </c>
      <c r="M36">
        <f t="shared" si="1"/>
        <v>8.8490000000000002</v>
      </c>
    </row>
    <row r="37" spans="1:13" x14ac:dyDescent="0.25">
      <c r="A37">
        <v>32</v>
      </c>
      <c r="B37" t="s">
        <v>44</v>
      </c>
      <c r="C37">
        <v>426.274</v>
      </c>
      <c r="D37">
        <v>201.631</v>
      </c>
      <c r="J37">
        <v>20</v>
      </c>
      <c r="K37" t="str">
        <f t="shared" si="1"/>
        <v>MD</v>
      </c>
      <c r="L37">
        <f t="shared" si="1"/>
        <v>57.683999999999997</v>
      </c>
      <c r="M37">
        <f t="shared" si="1"/>
        <v>139.62799999999999</v>
      </c>
    </row>
    <row r="38" spans="1:13" x14ac:dyDescent="0.25">
      <c r="A38">
        <v>33</v>
      </c>
      <c r="B38" t="s">
        <v>46</v>
      </c>
      <c r="C38">
        <v>494.73</v>
      </c>
      <c r="D38">
        <v>639.57100000000003</v>
      </c>
      <c r="J38">
        <v>34</v>
      </c>
      <c r="K38" t="str">
        <f t="shared" si="1"/>
        <v>ND</v>
      </c>
      <c r="L38">
        <f t="shared" si="1"/>
        <v>1241.3689999999999</v>
      </c>
      <c r="M38">
        <f t="shared" si="1"/>
        <v>449.09899999999999</v>
      </c>
    </row>
    <row r="39" spans="1:13" x14ac:dyDescent="0.25">
      <c r="A39">
        <v>34</v>
      </c>
      <c r="B39" t="s">
        <v>48</v>
      </c>
      <c r="C39">
        <v>1241.3689999999999</v>
      </c>
      <c r="D39">
        <v>449.09899999999999</v>
      </c>
      <c r="J39">
        <v>37</v>
      </c>
      <c r="K39" t="str">
        <f t="shared" si="1"/>
        <v>OR</v>
      </c>
      <c r="L39">
        <f t="shared" si="1"/>
        <v>571.48699999999997</v>
      </c>
      <c r="M39">
        <f t="shared" si="1"/>
        <v>114.899</v>
      </c>
    </row>
    <row r="40" spans="1:13" x14ac:dyDescent="0.25">
      <c r="A40">
        <v>35</v>
      </c>
      <c r="B40" t="s">
        <v>50</v>
      </c>
      <c r="C40">
        <v>635.774</v>
      </c>
      <c r="D40">
        <v>870.72</v>
      </c>
      <c r="J40">
        <v>33</v>
      </c>
      <c r="K40" t="str">
        <f t="shared" si="1"/>
        <v>NC</v>
      </c>
      <c r="L40">
        <f t="shared" si="1"/>
        <v>494.73</v>
      </c>
      <c r="M40">
        <f t="shared" si="1"/>
        <v>639.57100000000003</v>
      </c>
    </row>
    <row r="41" spans="1:13" x14ac:dyDescent="0.25">
      <c r="A41">
        <v>36</v>
      </c>
      <c r="B41" t="s">
        <v>52</v>
      </c>
      <c r="C41">
        <v>1716.087</v>
      </c>
      <c r="D41">
        <v>612.10799999999995</v>
      </c>
      <c r="J41">
        <v>41</v>
      </c>
      <c r="K41" t="str">
        <f t="shared" si="1"/>
        <v>SD</v>
      </c>
      <c r="L41">
        <f t="shared" si="1"/>
        <v>1692.817</v>
      </c>
      <c r="M41">
        <f t="shared" si="1"/>
        <v>413.77699999999999</v>
      </c>
    </row>
    <row r="42" spans="1:13" x14ac:dyDescent="0.25">
      <c r="A42">
        <v>37</v>
      </c>
      <c r="B42" t="s">
        <v>54</v>
      </c>
      <c r="C42">
        <v>571.48699999999997</v>
      </c>
      <c r="D42">
        <v>114.899</v>
      </c>
      <c r="J42">
        <v>39</v>
      </c>
      <c r="K42" t="str">
        <f t="shared" si="1"/>
        <v>RI</v>
      </c>
      <c r="L42">
        <f t="shared" si="1"/>
        <v>0.23300000000000001</v>
      </c>
      <c r="M42">
        <f t="shared" si="1"/>
        <v>1.611</v>
      </c>
    </row>
    <row r="43" spans="1:13" x14ac:dyDescent="0.25">
      <c r="A43">
        <v>38</v>
      </c>
      <c r="B43" t="s">
        <v>56</v>
      </c>
      <c r="C43">
        <v>298.351</v>
      </c>
      <c r="D43">
        <v>756.16899999999998</v>
      </c>
      <c r="J43">
        <v>5</v>
      </c>
      <c r="K43" t="str">
        <f t="shared" si="1"/>
        <v>CA</v>
      </c>
      <c r="L43">
        <f t="shared" si="1"/>
        <v>3928.732</v>
      </c>
      <c r="M43">
        <f t="shared" si="1"/>
        <v>1343.461</v>
      </c>
    </row>
    <row r="44" spans="1:13" x14ac:dyDescent="0.25">
      <c r="A44">
        <v>39</v>
      </c>
      <c r="B44" t="s">
        <v>58</v>
      </c>
      <c r="C44">
        <v>0.23300000000000001</v>
      </c>
      <c r="D44">
        <v>1.611</v>
      </c>
      <c r="J44">
        <v>21</v>
      </c>
      <c r="K44" t="str">
        <f t="shared" si="1"/>
        <v>MA</v>
      </c>
      <c r="L44">
        <f t="shared" si="1"/>
        <v>56.470999999999997</v>
      </c>
      <c r="M44">
        <f t="shared" si="1"/>
        <v>79.5</v>
      </c>
    </row>
    <row r="45" spans="1:13" x14ac:dyDescent="0.25">
      <c r="A45">
        <v>40</v>
      </c>
      <c r="B45" t="s">
        <v>60</v>
      </c>
      <c r="C45">
        <v>80.75</v>
      </c>
      <c r="D45">
        <v>87.950999999999993</v>
      </c>
      <c r="J45">
        <v>46</v>
      </c>
      <c r="K45" t="str">
        <f t="shared" si="1"/>
        <v>VA</v>
      </c>
      <c r="L45">
        <f t="shared" si="1"/>
        <v>188.477</v>
      </c>
      <c r="M45">
        <f t="shared" si="1"/>
        <v>321.58300000000003</v>
      </c>
    </row>
    <row r="46" spans="1:13" x14ac:dyDescent="0.25">
      <c r="A46">
        <v>41</v>
      </c>
      <c r="B46" t="s">
        <v>62</v>
      </c>
      <c r="C46">
        <v>1692.817</v>
      </c>
      <c r="D46">
        <v>413.77699999999999</v>
      </c>
      <c r="J46">
        <v>10</v>
      </c>
      <c r="K46" t="str">
        <f t="shared" si="1"/>
        <v>GA</v>
      </c>
      <c r="L46">
        <f t="shared" si="1"/>
        <v>540.69600000000003</v>
      </c>
      <c r="M46">
        <f t="shared" si="1"/>
        <v>939.46</v>
      </c>
    </row>
    <row r="47" spans="1:13" x14ac:dyDescent="0.25">
      <c r="A47">
        <v>42</v>
      </c>
      <c r="B47" t="s">
        <v>64</v>
      </c>
      <c r="C47">
        <v>388.86900000000003</v>
      </c>
      <c r="D47">
        <v>553.26599999999996</v>
      </c>
      <c r="J47">
        <v>42</v>
      </c>
      <c r="K47" t="str">
        <f t="shared" si="1"/>
        <v>TN</v>
      </c>
      <c r="L47">
        <f t="shared" si="1"/>
        <v>388.86900000000003</v>
      </c>
      <c r="M47">
        <f t="shared" si="1"/>
        <v>553.26599999999996</v>
      </c>
    </row>
    <row r="48" spans="1:13" x14ac:dyDescent="0.25">
      <c r="A48">
        <v>43</v>
      </c>
      <c r="B48" t="s">
        <v>66</v>
      </c>
      <c r="C48">
        <v>3520.3609999999999</v>
      </c>
      <c r="D48">
        <v>1248.761</v>
      </c>
      <c r="J48">
        <v>9</v>
      </c>
      <c r="K48" t="str">
        <f t="shared" si="1"/>
        <v>FL</v>
      </c>
      <c r="L48">
        <f t="shared" si="1"/>
        <v>464.51600000000002</v>
      </c>
      <c r="M48">
        <f t="shared" si="1"/>
        <v>825.74800000000005</v>
      </c>
    </row>
    <row r="49" spans="1:13" x14ac:dyDescent="0.25">
      <c r="A49">
        <v>44</v>
      </c>
      <c r="B49" t="s">
        <v>68</v>
      </c>
      <c r="C49">
        <v>197.244</v>
      </c>
      <c r="D49">
        <v>56.908000000000001</v>
      </c>
      <c r="J49">
        <v>40</v>
      </c>
      <c r="K49" t="str">
        <f t="shared" si="1"/>
        <v>SC</v>
      </c>
      <c r="L49">
        <f t="shared" si="1"/>
        <v>80.75</v>
      </c>
      <c r="M49">
        <f t="shared" si="1"/>
        <v>87.950999999999993</v>
      </c>
    </row>
    <row r="50" spans="1:13" x14ac:dyDescent="0.25">
      <c r="A50">
        <v>45</v>
      </c>
      <c r="B50" t="s">
        <v>70</v>
      </c>
      <c r="C50">
        <v>19.363</v>
      </c>
      <c r="D50">
        <v>57.747</v>
      </c>
      <c r="J50">
        <v>50</v>
      </c>
      <c r="K50" t="str">
        <f t="shared" si="1"/>
        <v>WY</v>
      </c>
      <c r="L50">
        <f t="shared" si="1"/>
        <v>386.47899999999998</v>
      </c>
      <c r="M50">
        <f t="shared" si="1"/>
        <v>100.964</v>
      </c>
    </row>
    <row r="51" spans="1:13" x14ac:dyDescent="0.25">
      <c r="A51">
        <v>46</v>
      </c>
      <c r="B51" t="s">
        <v>72</v>
      </c>
      <c r="C51">
        <v>188.477</v>
      </c>
      <c r="D51">
        <v>321.58300000000003</v>
      </c>
      <c r="J51">
        <v>44</v>
      </c>
      <c r="K51" t="str">
        <f t="shared" si="1"/>
        <v>UT</v>
      </c>
      <c r="L51">
        <f t="shared" si="1"/>
        <v>197.244</v>
      </c>
      <c r="M51">
        <f t="shared" si="1"/>
        <v>56.908000000000001</v>
      </c>
    </row>
    <row r="52" spans="1:13" x14ac:dyDescent="0.25">
      <c r="A52">
        <v>47</v>
      </c>
      <c r="B52" t="s">
        <v>74</v>
      </c>
      <c r="C52">
        <v>1228.607</v>
      </c>
      <c r="D52">
        <v>1100.7449999999999</v>
      </c>
      <c r="J52">
        <v>39</v>
      </c>
      <c r="K52" t="str">
        <f t="shared" si="1"/>
        <v>RI</v>
      </c>
      <c r="L52">
        <f t="shared" si="1"/>
        <v>0.23300000000000001</v>
      </c>
      <c r="M52">
        <f t="shared" si="1"/>
        <v>1.611</v>
      </c>
    </row>
    <row r="53" spans="1:13" x14ac:dyDescent="0.25">
      <c r="A53">
        <v>48</v>
      </c>
      <c r="B53" t="s">
        <v>76</v>
      </c>
      <c r="C53">
        <v>29.291</v>
      </c>
      <c r="D53">
        <v>99.277000000000001</v>
      </c>
      <c r="J53">
        <v>45</v>
      </c>
      <c r="K53" t="str">
        <f t="shared" si="1"/>
        <v>VT</v>
      </c>
      <c r="L53">
        <f t="shared" si="1"/>
        <v>19.363</v>
      </c>
      <c r="M53">
        <f t="shared" si="1"/>
        <v>57.747</v>
      </c>
    </row>
    <row r="54" spans="1:13" x14ac:dyDescent="0.25">
      <c r="A54">
        <v>49</v>
      </c>
      <c r="B54" t="s">
        <v>78</v>
      </c>
      <c r="C54">
        <v>1372.4390000000001</v>
      </c>
      <c r="D54">
        <v>1229.752</v>
      </c>
      <c r="J54">
        <v>6</v>
      </c>
      <c r="K54" t="str">
        <f t="shared" si="1"/>
        <v>CO</v>
      </c>
      <c r="L54">
        <f t="shared" si="1"/>
        <v>906.28099999999995</v>
      </c>
      <c r="M54">
        <f t="shared" si="1"/>
        <v>315.80900000000003</v>
      </c>
    </row>
    <row r="55" spans="1:13" x14ac:dyDescent="0.25">
      <c r="A55">
        <v>50</v>
      </c>
      <c r="B55" t="s">
        <v>80</v>
      </c>
      <c r="C55">
        <v>386.47899999999998</v>
      </c>
      <c r="D55">
        <v>100.964</v>
      </c>
      <c r="J55">
        <v>8</v>
      </c>
      <c r="K55" t="str">
        <f t="shared" si="1"/>
        <v>DE</v>
      </c>
      <c r="L55">
        <f t="shared" si="1"/>
        <v>43.228999999999999</v>
      </c>
      <c r="M55">
        <f t="shared" si="1"/>
        <v>42.808</v>
      </c>
    </row>
  </sheetData>
  <conditionalFormatting sqref="J6:J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</dc:creator>
  <cp:lastModifiedBy>lab5 stat</cp:lastModifiedBy>
  <dcterms:created xsi:type="dcterms:W3CDTF">2015-06-05T18:17:20Z</dcterms:created>
  <dcterms:modified xsi:type="dcterms:W3CDTF">2025-08-28T19:33:03Z</dcterms:modified>
</cp:coreProperties>
</file>