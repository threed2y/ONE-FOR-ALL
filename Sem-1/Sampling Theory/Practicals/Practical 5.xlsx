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tatLab\Desktop\Tanya MSc\Sampling Theory\"/>
    </mc:Choice>
  </mc:AlternateContent>
  <xr:revisionPtr revIDLastSave="0" documentId="13_ncr:1_{2BF2BA2D-6CA9-41CE-BB42-9009BB06C7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.1." sheetId="1" r:id="rId1"/>
    <sheet name="Q.2.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3" i="1" l="1"/>
  <c r="AY34" i="1" s="1"/>
  <c r="AY32" i="1"/>
  <c r="C54" i="1"/>
  <c r="C53" i="1"/>
  <c r="AU32" i="1"/>
  <c r="AU33" i="1" s="1"/>
  <c r="AU31" i="1"/>
  <c r="AQ31" i="1"/>
  <c r="AQ32" i="1" s="1"/>
  <c r="AQ30" i="1"/>
  <c r="F29" i="1"/>
  <c r="F28" i="1"/>
  <c r="AM29" i="1"/>
  <c r="AM30" i="1" s="1"/>
  <c r="AM31" i="1" s="1"/>
  <c r="AI28" i="1"/>
  <c r="AI29" i="1" s="1"/>
  <c r="AI30" i="1" s="1"/>
  <c r="AE27" i="1"/>
  <c r="AE28" i="1" s="1"/>
  <c r="AE29" i="1" s="1"/>
  <c r="AA26" i="1"/>
  <c r="AA27" i="1" s="1"/>
  <c r="AA28" i="1" s="1"/>
  <c r="W25" i="1"/>
  <c r="W26" i="1" s="1"/>
  <c r="W27" i="1" s="1"/>
  <c r="S24" i="1"/>
  <c r="S25" i="1" s="1"/>
  <c r="S26" i="1" s="1"/>
  <c r="O23" i="1"/>
  <c r="O24" i="1" s="1"/>
  <c r="O25" i="1" s="1"/>
  <c r="K22" i="1"/>
  <c r="K23" i="1" s="1"/>
  <c r="K24" i="1" s="1"/>
  <c r="G21" i="1"/>
  <c r="G22" i="1" s="1"/>
  <c r="G23" i="1" s="1"/>
  <c r="C20" i="1"/>
  <c r="C21" i="1" s="1"/>
  <c r="C22" i="1" s="1"/>
  <c r="C55" i="1" l="1"/>
</calcChain>
</file>

<file path=xl/sharedStrings.xml><?xml version="1.0" encoding="utf-8"?>
<sst xmlns="http://schemas.openxmlformats.org/spreadsheetml/2006/main" count="187" uniqueCount="44">
  <si>
    <t>Given the number of workers in 10 different factories as shown in the table below:</t>
  </si>
  <si>
    <t>Factory</t>
  </si>
  <si>
    <t>No. of workers</t>
  </si>
  <si>
    <t>Task: Calculate the probability of factory using Lahiri's Method. Determine the minimized probability using the split method.</t>
  </si>
  <si>
    <t>Q.1.</t>
  </si>
  <si>
    <t>Q.2</t>
  </si>
  <si>
    <t>Given the number of sales of 15 different products as shown in the table below:</t>
  </si>
  <si>
    <t>Product</t>
  </si>
  <si>
    <t>Sales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</si>
  <si>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</si>
  <si>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</si>
  <si>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</si>
  <si>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</si>
  <si>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</si>
  <si>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</si>
  <si>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</si>
  <si>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</si>
  <si>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</si>
  <si>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</si>
  <si>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</si>
  <si>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</si>
  <si>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</si>
  <si>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</si>
  <si>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</si>
  <si>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</si>
  <si>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</si>
  <si>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</si>
  <si>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Task: Calculate the probability of product using Lahiri's Method. Determine the minimized probability using the split method.</t>
  </si>
  <si>
    <t xml:space="preserve"> REPLACEMENT</t>
  </si>
  <si>
    <t>X(bar)</t>
  </si>
  <si>
    <t>Q=1-X(bar)/M</t>
  </si>
  <si>
    <t>P=1-Q</t>
  </si>
  <si>
    <t>6(1)</t>
  </si>
  <si>
    <t>6(2)</t>
  </si>
  <si>
    <t>6(3)</t>
  </si>
  <si>
    <t>2(1)</t>
  </si>
  <si>
    <t>6(4)</t>
  </si>
  <si>
    <t>10(1)</t>
  </si>
  <si>
    <t>10(2)</t>
  </si>
  <si>
    <t>8(1)</t>
  </si>
  <si>
    <t>10(3)</t>
  </si>
  <si>
    <t>5(1)</t>
  </si>
  <si>
    <t>7(1)</t>
  </si>
  <si>
    <t>8(2)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</si>
</sst>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5"/>
  <sheetViews>
    <sheetView tabSelected="1" topLeftCell="A2" workbookViewId="0">
      <selection activeCell="AT18" sqref="AT18"/>
    </sheetView>
  </sheetViews>
  <sheetFormatPr defaultRowHeight="15" x14ac:dyDescent="0.25"/>
  <cols>
    <col min="2" max="2" width="14.28515625" bestFit="1" customWidth="1"/>
    <col min="3" max="3" width="14.140625" bestFit="1" customWidth="1"/>
    <col min="6" max="6" width="13.28515625" bestFit="1" customWidth="1"/>
    <col min="7" max="7" width="14.140625" bestFit="1" customWidth="1"/>
    <col min="10" max="10" width="13.28515625" bestFit="1" customWidth="1"/>
    <col min="11" max="11" width="14.140625" bestFit="1" customWidth="1"/>
    <col min="14" max="14" width="13.28515625" bestFit="1" customWidth="1"/>
    <col min="15" max="15" width="14.140625" bestFit="1" customWidth="1"/>
    <col min="18" max="18" width="13.28515625" bestFit="1" customWidth="1"/>
    <col min="19" max="19" width="14.140625" bestFit="1" customWidth="1"/>
  </cols>
  <sheetData>
    <row r="1" spans="1:51" x14ac:dyDescent="0.25">
      <c r="A1" t="s">
        <v>4</v>
      </c>
      <c r="B1" t="s">
        <v>28</v>
      </c>
    </row>
    <row r="3" spans="1:51" x14ac:dyDescent="0.25">
      <c r="A3" t="s">
        <v>0</v>
      </c>
    </row>
    <row r="4" spans="1:51" x14ac:dyDescent="0.25">
      <c r="A4" t="s">
        <v>3</v>
      </c>
    </row>
    <row r="7" spans="1:51" x14ac:dyDescent="0.25">
      <c r="B7" t="s">
        <v>1</v>
      </c>
      <c r="C7" t="s">
        <v>2</v>
      </c>
      <c r="F7" t="s">
        <v>1</v>
      </c>
      <c r="G7" t="s">
        <v>2</v>
      </c>
      <c r="J7" t="s">
        <v>1</v>
      </c>
      <c r="K7" t="s">
        <v>2</v>
      </c>
      <c r="N7" t="s">
        <v>1</v>
      </c>
      <c r="O7" t="s">
        <v>2</v>
      </c>
      <c r="R7" t="s">
        <v>1</v>
      </c>
      <c r="S7" t="s">
        <v>2</v>
      </c>
      <c r="V7" t="s">
        <v>1</v>
      </c>
      <c r="W7" t="s">
        <v>2</v>
      </c>
      <c r="Z7" t="s">
        <v>1</v>
      </c>
      <c r="AA7" t="s">
        <v>2</v>
      </c>
      <c r="AD7" t="s">
        <v>1</v>
      </c>
      <c r="AE7" t="s">
        <v>2</v>
      </c>
      <c r="AH7" t="s">
        <v>1</v>
      </c>
      <c r="AI7" t="s">
        <v>2</v>
      </c>
      <c r="AL7" t="s">
        <v>1</v>
      </c>
      <c r="AM7" t="s">
        <v>2</v>
      </c>
      <c r="AP7" t="s">
        <v>1</v>
      </c>
      <c r="AQ7" t="s">
        <v>2</v>
      </c>
      <c r="AT7" t="s">
        <v>1</v>
      </c>
      <c r="AU7" t="s">
        <v>2</v>
      </c>
      <c r="AX7" t="s">
        <v>1</v>
      </c>
      <c r="AY7" t="s">
        <v>2</v>
      </c>
    </row>
    <row r="9" spans="1:51" x14ac:dyDescent="0.25">
      <c r="B9">
        <v>1</v>
      </c>
      <c r="C9">
        <v>58</v>
      </c>
      <c r="F9">
        <v>1</v>
      </c>
      <c r="G9">
        <v>58</v>
      </c>
      <c r="J9">
        <v>1</v>
      </c>
      <c r="K9">
        <v>58</v>
      </c>
      <c r="N9">
        <v>1</v>
      </c>
      <c r="O9">
        <v>58</v>
      </c>
      <c r="R9">
        <v>1</v>
      </c>
      <c r="S9">
        <v>58</v>
      </c>
      <c r="V9">
        <v>1</v>
      </c>
      <c r="W9">
        <v>58</v>
      </c>
      <c r="Z9">
        <v>1</v>
      </c>
      <c r="AA9">
        <v>58</v>
      </c>
      <c r="AD9">
        <v>1</v>
      </c>
      <c r="AE9">
        <v>58</v>
      </c>
      <c r="AH9">
        <v>1</v>
      </c>
      <c r="AI9">
        <v>58</v>
      </c>
      <c r="AL9">
        <v>1</v>
      </c>
      <c r="AM9">
        <v>58</v>
      </c>
      <c r="AP9">
        <v>1</v>
      </c>
      <c r="AQ9">
        <v>58</v>
      </c>
      <c r="AT9">
        <v>1</v>
      </c>
      <c r="AU9">
        <v>58</v>
      </c>
      <c r="AX9">
        <v>1</v>
      </c>
      <c r="AY9">
        <v>58</v>
      </c>
    </row>
    <row r="10" spans="1:51" x14ac:dyDescent="0.25">
      <c r="B10">
        <v>2</v>
      </c>
      <c r="C10">
        <v>908</v>
      </c>
      <c r="F10">
        <v>2</v>
      </c>
      <c r="G10">
        <v>908</v>
      </c>
      <c r="J10">
        <v>2</v>
      </c>
      <c r="K10">
        <v>908</v>
      </c>
      <c r="N10">
        <v>2</v>
      </c>
      <c r="O10">
        <v>908</v>
      </c>
      <c r="R10" t="s">
        <v>35</v>
      </c>
      <c r="S10">
        <v>400</v>
      </c>
      <c r="V10" t="s">
        <v>35</v>
      </c>
      <c r="W10">
        <v>400</v>
      </c>
      <c r="Z10" t="s">
        <v>35</v>
      </c>
      <c r="AA10">
        <v>400</v>
      </c>
      <c r="AD10" t="s">
        <v>35</v>
      </c>
      <c r="AE10">
        <v>400</v>
      </c>
      <c r="AH10" t="s">
        <v>35</v>
      </c>
      <c r="AI10">
        <v>400</v>
      </c>
      <c r="AL10" t="s">
        <v>35</v>
      </c>
      <c r="AM10">
        <v>400</v>
      </c>
      <c r="AP10" t="s">
        <v>35</v>
      </c>
      <c r="AQ10">
        <v>400</v>
      </c>
      <c r="AT10" t="s">
        <v>35</v>
      </c>
      <c r="AU10">
        <v>400</v>
      </c>
      <c r="AX10" t="s">
        <v>35</v>
      </c>
      <c r="AY10">
        <v>400</v>
      </c>
    </row>
    <row r="11" spans="1:51" x14ac:dyDescent="0.25">
      <c r="B11">
        <v>3</v>
      </c>
      <c r="C11">
        <v>418</v>
      </c>
      <c r="F11">
        <v>3</v>
      </c>
      <c r="G11">
        <v>418</v>
      </c>
      <c r="J11">
        <v>3</v>
      </c>
      <c r="K11">
        <v>418</v>
      </c>
      <c r="N11">
        <v>3</v>
      </c>
      <c r="O11">
        <v>418</v>
      </c>
      <c r="R11">
        <v>2</v>
      </c>
      <c r="S11">
        <v>508</v>
      </c>
      <c r="V11">
        <v>2</v>
      </c>
      <c r="W11">
        <v>508</v>
      </c>
      <c r="Z11">
        <v>2</v>
      </c>
      <c r="AA11">
        <v>508</v>
      </c>
      <c r="AD11">
        <v>2</v>
      </c>
      <c r="AE11">
        <v>508</v>
      </c>
      <c r="AH11">
        <v>2</v>
      </c>
      <c r="AI11">
        <v>508</v>
      </c>
      <c r="AL11">
        <v>2</v>
      </c>
      <c r="AM11">
        <v>508</v>
      </c>
      <c r="AP11">
        <v>2</v>
      </c>
      <c r="AQ11">
        <v>508</v>
      </c>
      <c r="AT11">
        <v>2</v>
      </c>
      <c r="AU11">
        <v>508</v>
      </c>
      <c r="AX11">
        <v>2</v>
      </c>
      <c r="AY11">
        <v>508</v>
      </c>
    </row>
    <row r="12" spans="1:51" x14ac:dyDescent="0.25">
      <c r="B12">
        <v>4</v>
      </c>
      <c r="C12">
        <v>442</v>
      </c>
      <c r="F12">
        <v>4</v>
      </c>
      <c r="G12">
        <v>442</v>
      </c>
      <c r="J12">
        <v>4</v>
      </c>
      <c r="K12">
        <v>442</v>
      </c>
      <c r="N12">
        <v>4</v>
      </c>
      <c r="O12">
        <v>442</v>
      </c>
      <c r="R12">
        <v>3</v>
      </c>
      <c r="S12">
        <v>418</v>
      </c>
      <c r="V12">
        <v>3</v>
      </c>
      <c r="W12">
        <v>418</v>
      </c>
      <c r="Z12">
        <v>3</v>
      </c>
      <c r="AA12">
        <v>418</v>
      </c>
      <c r="AD12">
        <v>3</v>
      </c>
      <c r="AE12">
        <v>418</v>
      </c>
      <c r="AH12">
        <v>3</v>
      </c>
      <c r="AI12">
        <v>418</v>
      </c>
      <c r="AL12">
        <v>3</v>
      </c>
      <c r="AM12">
        <v>418</v>
      </c>
      <c r="AP12">
        <v>3</v>
      </c>
      <c r="AQ12">
        <v>418</v>
      </c>
      <c r="AT12">
        <v>3</v>
      </c>
      <c r="AU12">
        <v>418</v>
      </c>
      <c r="AX12">
        <v>3</v>
      </c>
      <c r="AY12">
        <v>418</v>
      </c>
    </row>
    <row r="13" spans="1:51" x14ac:dyDescent="0.25">
      <c r="B13">
        <v>5</v>
      </c>
      <c r="C13">
        <v>615</v>
      </c>
      <c r="F13">
        <v>5</v>
      </c>
      <c r="G13">
        <v>615</v>
      </c>
      <c r="J13">
        <v>5</v>
      </c>
      <c r="K13">
        <v>615</v>
      </c>
      <c r="N13">
        <v>5</v>
      </c>
      <c r="O13">
        <v>615</v>
      </c>
      <c r="R13">
        <v>4</v>
      </c>
      <c r="S13">
        <v>442</v>
      </c>
      <c r="V13">
        <v>4</v>
      </c>
      <c r="W13">
        <v>442</v>
      </c>
      <c r="Z13">
        <v>4</v>
      </c>
      <c r="AA13">
        <v>442</v>
      </c>
      <c r="AD13">
        <v>4</v>
      </c>
      <c r="AE13">
        <v>442</v>
      </c>
      <c r="AH13">
        <v>4</v>
      </c>
      <c r="AI13">
        <v>442</v>
      </c>
      <c r="AL13">
        <v>4</v>
      </c>
      <c r="AM13">
        <v>442</v>
      </c>
      <c r="AP13">
        <v>4</v>
      </c>
      <c r="AQ13">
        <v>442</v>
      </c>
      <c r="AT13">
        <v>4</v>
      </c>
      <c r="AU13">
        <v>442</v>
      </c>
      <c r="AX13">
        <v>4</v>
      </c>
      <c r="AY13">
        <v>442</v>
      </c>
    </row>
    <row r="14" spans="1:51" x14ac:dyDescent="0.25">
      <c r="B14">
        <v>6</v>
      </c>
      <c r="C14">
        <v>1972</v>
      </c>
      <c r="F14">
        <v>6</v>
      </c>
      <c r="G14">
        <v>1000</v>
      </c>
      <c r="J14">
        <v>6</v>
      </c>
      <c r="K14">
        <v>400</v>
      </c>
      <c r="N14">
        <v>6</v>
      </c>
      <c r="O14">
        <v>400</v>
      </c>
      <c r="R14">
        <v>5</v>
      </c>
      <c r="S14">
        <v>615</v>
      </c>
      <c r="V14">
        <v>5</v>
      </c>
      <c r="W14">
        <v>615</v>
      </c>
      <c r="Z14">
        <v>5</v>
      </c>
      <c r="AA14">
        <v>615</v>
      </c>
      <c r="AD14">
        <v>5</v>
      </c>
      <c r="AE14">
        <v>615</v>
      </c>
      <c r="AH14">
        <v>5</v>
      </c>
      <c r="AI14">
        <v>615</v>
      </c>
      <c r="AL14">
        <v>5</v>
      </c>
      <c r="AM14">
        <v>615</v>
      </c>
      <c r="AP14" t="s">
        <v>41</v>
      </c>
      <c r="AQ14">
        <v>300</v>
      </c>
      <c r="AT14" t="s">
        <v>41</v>
      </c>
      <c r="AU14">
        <v>300</v>
      </c>
      <c r="AX14" t="s">
        <v>41</v>
      </c>
      <c r="AY14">
        <v>300</v>
      </c>
    </row>
    <row r="15" spans="1:51" x14ac:dyDescent="0.25">
      <c r="B15">
        <v>7</v>
      </c>
      <c r="C15">
        <v>613</v>
      </c>
      <c r="F15" t="s">
        <v>32</v>
      </c>
      <c r="G15">
        <v>972</v>
      </c>
      <c r="J15" t="s">
        <v>33</v>
      </c>
      <c r="K15">
        <v>600</v>
      </c>
      <c r="N15" t="s">
        <v>33</v>
      </c>
      <c r="O15">
        <v>600</v>
      </c>
      <c r="R15">
        <v>6</v>
      </c>
      <c r="S15">
        <v>400</v>
      </c>
      <c r="V15">
        <v>6</v>
      </c>
      <c r="W15">
        <v>400</v>
      </c>
      <c r="Z15">
        <v>6</v>
      </c>
      <c r="AA15">
        <v>400</v>
      </c>
      <c r="AD15">
        <v>6</v>
      </c>
      <c r="AE15">
        <v>400</v>
      </c>
      <c r="AH15">
        <v>6</v>
      </c>
      <c r="AI15">
        <v>400</v>
      </c>
      <c r="AL15">
        <v>6</v>
      </c>
      <c r="AM15">
        <v>400</v>
      </c>
      <c r="AP15">
        <v>5</v>
      </c>
      <c r="AQ15">
        <v>315</v>
      </c>
      <c r="AT15">
        <v>5</v>
      </c>
      <c r="AU15">
        <v>315</v>
      </c>
      <c r="AX15">
        <v>5</v>
      </c>
      <c r="AY15">
        <v>315</v>
      </c>
    </row>
    <row r="16" spans="1:51" x14ac:dyDescent="0.25">
      <c r="B16">
        <v>8</v>
      </c>
      <c r="C16">
        <v>734</v>
      </c>
      <c r="F16">
        <v>7</v>
      </c>
      <c r="G16">
        <v>613</v>
      </c>
      <c r="J16" t="s">
        <v>32</v>
      </c>
      <c r="K16">
        <v>972</v>
      </c>
      <c r="N16" t="s">
        <v>34</v>
      </c>
      <c r="O16">
        <v>72</v>
      </c>
      <c r="R16" t="s">
        <v>33</v>
      </c>
      <c r="S16">
        <v>600</v>
      </c>
      <c r="V16" t="s">
        <v>33</v>
      </c>
      <c r="W16">
        <v>600</v>
      </c>
      <c r="Z16" t="s">
        <v>33</v>
      </c>
      <c r="AA16">
        <v>600</v>
      </c>
      <c r="AD16" t="s">
        <v>33</v>
      </c>
      <c r="AE16">
        <v>600</v>
      </c>
      <c r="AH16" t="s">
        <v>33</v>
      </c>
      <c r="AI16">
        <v>600</v>
      </c>
      <c r="AL16" t="s">
        <v>33</v>
      </c>
      <c r="AM16">
        <v>600</v>
      </c>
      <c r="AP16">
        <v>6</v>
      </c>
      <c r="AQ16">
        <v>400</v>
      </c>
      <c r="AT16">
        <v>6</v>
      </c>
      <c r="AU16">
        <v>400</v>
      </c>
      <c r="AX16">
        <v>6</v>
      </c>
      <c r="AY16">
        <v>400</v>
      </c>
    </row>
    <row r="17" spans="2:51" x14ac:dyDescent="0.25">
      <c r="B17">
        <v>9</v>
      </c>
      <c r="C17">
        <v>514</v>
      </c>
      <c r="F17">
        <v>8</v>
      </c>
      <c r="G17">
        <v>734</v>
      </c>
      <c r="J17">
        <v>7</v>
      </c>
      <c r="K17">
        <v>613</v>
      </c>
      <c r="N17" t="s">
        <v>32</v>
      </c>
      <c r="O17">
        <v>900</v>
      </c>
      <c r="R17" t="s">
        <v>34</v>
      </c>
      <c r="S17">
        <v>72</v>
      </c>
      <c r="V17" t="s">
        <v>34</v>
      </c>
      <c r="W17">
        <v>72</v>
      </c>
      <c r="Z17" t="s">
        <v>34</v>
      </c>
      <c r="AA17">
        <v>72</v>
      </c>
      <c r="AD17" t="s">
        <v>34</v>
      </c>
      <c r="AE17">
        <v>72</v>
      </c>
      <c r="AH17" t="s">
        <v>34</v>
      </c>
      <c r="AI17">
        <v>72</v>
      </c>
      <c r="AL17" t="s">
        <v>34</v>
      </c>
      <c r="AM17">
        <v>72</v>
      </c>
      <c r="AP17" t="s">
        <v>33</v>
      </c>
      <c r="AQ17">
        <v>600</v>
      </c>
      <c r="AT17" t="s">
        <v>33</v>
      </c>
      <c r="AU17">
        <v>600</v>
      </c>
      <c r="AX17" t="s">
        <v>33</v>
      </c>
      <c r="AY17">
        <v>600</v>
      </c>
    </row>
    <row r="18" spans="2:51" x14ac:dyDescent="0.25">
      <c r="B18">
        <v>10</v>
      </c>
      <c r="C18">
        <v>846</v>
      </c>
      <c r="F18">
        <v>9</v>
      </c>
      <c r="G18">
        <v>514</v>
      </c>
      <c r="J18">
        <v>8</v>
      </c>
      <c r="K18">
        <v>734</v>
      </c>
      <c r="N18">
        <v>7</v>
      </c>
      <c r="O18">
        <v>613</v>
      </c>
      <c r="R18" t="s">
        <v>32</v>
      </c>
      <c r="S18">
        <v>900</v>
      </c>
      <c r="V18" t="s">
        <v>36</v>
      </c>
      <c r="W18">
        <v>300</v>
      </c>
      <c r="Z18" t="s">
        <v>36</v>
      </c>
      <c r="AA18">
        <v>300</v>
      </c>
      <c r="AD18" t="s">
        <v>36</v>
      </c>
      <c r="AE18">
        <v>300</v>
      </c>
      <c r="AH18" t="s">
        <v>36</v>
      </c>
      <c r="AI18">
        <v>300</v>
      </c>
      <c r="AL18" t="s">
        <v>36</v>
      </c>
      <c r="AM18">
        <v>300</v>
      </c>
      <c r="AP18" t="s">
        <v>34</v>
      </c>
      <c r="AQ18">
        <v>72</v>
      </c>
      <c r="AT18" t="s">
        <v>34</v>
      </c>
      <c r="AU18">
        <v>72</v>
      </c>
      <c r="AX18" t="s">
        <v>34</v>
      </c>
      <c r="AY18">
        <v>72</v>
      </c>
    </row>
    <row r="19" spans="2:51" x14ac:dyDescent="0.25">
      <c r="F19">
        <v>10</v>
      </c>
      <c r="G19">
        <v>846</v>
      </c>
      <c r="J19">
        <v>9</v>
      </c>
      <c r="K19">
        <v>514</v>
      </c>
      <c r="N19">
        <v>8</v>
      </c>
      <c r="O19">
        <v>734</v>
      </c>
      <c r="R19">
        <v>7</v>
      </c>
      <c r="S19">
        <v>613</v>
      </c>
      <c r="V19" t="s">
        <v>32</v>
      </c>
      <c r="W19">
        <v>600</v>
      </c>
      <c r="Z19" t="s">
        <v>32</v>
      </c>
      <c r="AA19">
        <v>600</v>
      </c>
      <c r="AD19" t="s">
        <v>32</v>
      </c>
      <c r="AE19">
        <v>600</v>
      </c>
      <c r="AH19" t="s">
        <v>32</v>
      </c>
      <c r="AI19">
        <v>600</v>
      </c>
      <c r="AL19" t="s">
        <v>32</v>
      </c>
      <c r="AM19">
        <v>600</v>
      </c>
      <c r="AP19" t="s">
        <v>36</v>
      </c>
      <c r="AQ19">
        <v>300</v>
      </c>
      <c r="AT19" t="s">
        <v>36</v>
      </c>
      <c r="AU19">
        <v>300</v>
      </c>
      <c r="AX19" t="s">
        <v>36</v>
      </c>
      <c r="AY19">
        <v>300</v>
      </c>
    </row>
    <row r="20" spans="2:51" x14ac:dyDescent="0.25">
      <c r="B20" t="s">
        <v>29</v>
      </c>
      <c r="C20">
        <f>SUM(C9:C18)/10</f>
        <v>712</v>
      </c>
      <c r="J20">
        <v>10</v>
      </c>
      <c r="K20">
        <v>846</v>
      </c>
      <c r="N20">
        <v>9</v>
      </c>
      <c r="O20">
        <v>514</v>
      </c>
      <c r="R20">
        <v>8</v>
      </c>
      <c r="S20">
        <v>734</v>
      </c>
      <c r="V20">
        <v>7</v>
      </c>
      <c r="W20">
        <v>613</v>
      </c>
      <c r="Z20">
        <v>7</v>
      </c>
      <c r="AA20">
        <v>613</v>
      </c>
      <c r="AD20">
        <v>7</v>
      </c>
      <c r="AE20">
        <v>613</v>
      </c>
      <c r="AH20">
        <v>7</v>
      </c>
      <c r="AI20">
        <v>613</v>
      </c>
      <c r="AL20">
        <v>7</v>
      </c>
      <c r="AM20">
        <v>613</v>
      </c>
      <c r="AP20" t="s">
        <v>32</v>
      </c>
      <c r="AQ20">
        <v>600</v>
      </c>
      <c r="AT20" t="s">
        <v>32</v>
      </c>
      <c r="AU20">
        <v>600</v>
      </c>
      <c r="AX20" t="s">
        <v>32</v>
      </c>
      <c r="AY20">
        <v>600</v>
      </c>
    </row>
    <row r="21" spans="2:51" x14ac:dyDescent="0.25">
      <c r="B21" t="s">
        <v>30</v>
      </c>
      <c r="C21">
        <f>1-(C20/1972)</f>
        <v>0.63894523326572006</v>
      </c>
      <c r="F21" t="s">
        <v>29</v>
      </c>
      <c r="G21">
        <f>SUM(G9:G19)/11</f>
        <v>647.27272727272725</v>
      </c>
      <c r="N21">
        <v>10</v>
      </c>
      <c r="O21">
        <v>846</v>
      </c>
      <c r="R21">
        <v>9</v>
      </c>
      <c r="S21">
        <v>514</v>
      </c>
      <c r="V21">
        <v>8</v>
      </c>
      <c r="W21">
        <v>734</v>
      </c>
      <c r="Z21">
        <v>8</v>
      </c>
      <c r="AA21">
        <v>734</v>
      </c>
      <c r="AD21">
        <v>8</v>
      </c>
      <c r="AE21">
        <v>734</v>
      </c>
      <c r="AH21" t="s">
        <v>39</v>
      </c>
      <c r="AI21">
        <v>600</v>
      </c>
      <c r="AL21" t="s">
        <v>39</v>
      </c>
      <c r="AM21">
        <v>600</v>
      </c>
      <c r="AP21">
        <v>7</v>
      </c>
      <c r="AQ21">
        <v>613</v>
      </c>
      <c r="AT21" t="s">
        <v>42</v>
      </c>
      <c r="AU21">
        <v>300</v>
      </c>
      <c r="AX21" t="s">
        <v>42</v>
      </c>
      <c r="AY21">
        <v>300</v>
      </c>
    </row>
    <row r="22" spans="2:51" x14ac:dyDescent="0.25">
      <c r="B22" t="s">
        <v>31</v>
      </c>
      <c r="C22">
        <f>1-C21</f>
        <v>0.36105476673427994</v>
      </c>
      <c r="F22" t="s">
        <v>30</v>
      </c>
      <c r="G22">
        <f>1-(G21/1000)</f>
        <v>0.35272727272727278</v>
      </c>
      <c r="J22" t="s">
        <v>29</v>
      </c>
      <c r="K22">
        <f>SUM(K9:K20)/12</f>
        <v>593.33333333333337</v>
      </c>
      <c r="R22">
        <v>10</v>
      </c>
      <c r="S22">
        <v>846</v>
      </c>
      <c r="V22">
        <v>9</v>
      </c>
      <c r="W22">
        <v>514</v>
      </c>
      <c r="Z22">
        <v>9</v>
      </c>
      <c r="AA22">
        <v>514</v>
      </c>
      <c r="AD22">
        <v>9</v>
      </c>
      <c r="AE22">
        <v>514</v>
      </c>
      <c r="AH22">
        <v>8</v>
      </c>
      <c r="AI22">
        <v>134</v>
      </c>
      <c r="AL22">
        <v>8</v>
      </c>
      <c r="AM22">
        <v>134</v>
      </c>
      <c r="AP22" t="s">
        <v>39</v>
      </c>
      <c r="AQ22">
        <v>600</v>
      </c>
      <c r="AT22">
        <v>7</v>
      </c>
      <c r="AU22">
        <v>313</v>
      </c>
      <c r="AX22">
        <v>7</v>
      </c>
      <c r="AY22">
        <v>313</v>
      </c>
    </row>
    <row r="23" spans="2:51" x14ac:dyDescent="0.25">
      <c r="F23" t="s">
        <v>31</v>
      </c>
      <c r="G23">
        <f>1-G22</f>
        <v>0.64727272727272722</v>
      </c>
      <c r="J23" t="s">
        <v>30</v>
      </c>
      <c r="K23">
        <f>1-(K22/972)</f>
        <v>0.38957475994513024</v>
      </c>
      <c r="N23" t="s">
        <v>29</v>
      </c>
      <c r="O23">
        <f>SUM(O9:O21)/13</f>
        <v>547.69230769230774</v>
      </c>
      <c r="V23">
        <v>10</v>
      </c>
      <c r="W23">
        <v>846</v>
      </c>
      <c r="Z23" t="s">
        <v>37</v>
      </c>
      <c r="AA23">
        <v>800</v>
      </c>
      <c r="AD23" t="s">
        <v>38</v>
      </c>
      <c r="AE23">
        <v>700</v>
      </c>
      <c r="AH23">
        <v>9</v>
      </c>
      <c r="AI23">
        <v>514</v>
      </c>
      <c r="AL23">
        <v>9</v>
      </c>
      <c r="AM23">
        <v>514</v>
      </c>
      <c r="AP23">
        <v>8</v>
      </c>
      <c r="AQ23">
        <v>134</v>
      </c>
      <c r="AT23" t="s">
        <v>39</v>
      </c>
      <c r="AU23">
        <v>600</v>
      </c>
      <c r="AX23" t="s">
        <v>43</v>
      </c>
      <c r="AY23">
        <v>200</v>
      </c>
    </row>
    <row r="24" spans="2:51" x14ac:dyDescent="0.25">
      <c r="J24" t="s">
        <v>31</v>
      </c>
      <c r="K24">
        <f>1-K23</f>
        <v>0.61042524005486976</v>
      </c>
      <c r="N24" t="s">
        <v>30</v>
      </c>
      <c r="O24">
        <f>1-(O23/908)</f>
        <v>0.39681463910538795</v>
      </c>
      <c r="R24" t="s">
        <v>29</v>
      </c>
      <c r="S24">
        <f>SUM(S9:S22)/14</f>
        <v>508.57142857142856</v>
      </c>
      <c r="Z24">
        <v>10</v>
      </c>
      <c r="AA24">
        <v>46</v>
      </c>
      <c r="AD24" t="s">
        <v>37</v>
      </c>
      <c r="AE24">
        <v>100</v>
      </c>
      <c r="AH24" t="s">
        <v>38</v>
      </c>
      <c r="AI24">
        <v>700</v>
      </c>
      <c r="AL24" t="s">
        <v>40</v>
      </c>
      <c r="AM24">
        <v>400</v>
      </c>
      <c r="AP24">
        <v>9</v>
      </c>
      <c r="AQ24">
        <v>514</v>
      </c>
      <c r="AT24">
        <v>8</v>
      </c>
      <c r="AU24">
        <v>134</v>
      </c>
      <c r="AX24" t="s">
        <v>39</v>
      </c>
      <c r="AY24">
        <v>400</v>
      </c>
    </row>
    <row r="25" spans="2:51" x14ac:dyDescent="0.25">
      <c r="N25" t="s">
        <v>31</v>
      </c>
      <c r="O25">
        <f>1-O24</f>
        <v>0.60318536089461205</v>
      </c>
      <c r="R25" t="s">
        <v>30</v>
      </c>
      <c r="S25">
        <f>1-(S24/900)</f>
        <v>0.43492063492063493</v>
      </c>
      <c r="V25" t="s">
        <v>29</v>
      </c>
      <c r="W25">
        <f>SUM(W9:W23)/15</f>
        <v>474.66666666666669</v>
      </c>
      <c r="AD25">
        <v>10</v>
      </c>
      <c r="AE25">
        <v>46</v>
      </c>
      <c r="AH25" t="s">
        <v>37</v>
      </c>
      <c r="AI25">
        <v>100</v>
      </c>
      <c r="AL25" t="s">
        <v>38</v>
      </c>
      <c r="AM25">
        <v>300</v>
      </c>
      <c r="AP25" t="s">
        <v>40</v>
      </c>
      <c r="AQ25">
        <v>400</v>
      </c>
      <c r="AT25">
        <v>9</v>
      </c>
      <c r="AU25">
        <v>514</v>
      </c>
      <c r="AX25">
        <v>8</v>
      </c>
      <c r="AY25">
        <v>134</v>
      </c>
    </row>
    <row r="26" spans="2:51" x14ac:dyDescent="0.25">
      <c r="R26" t="s">
        <v>31</v>
      </c>
      <c r="S26">
        <f>1-S25</f>
        <v>0.56507936507936507</v>
      </c>
      <c r="V26" t="s">
        <v>30</v>
      </c>
      <c r="W26">
        <f>1-(W25/846)</f>
        <v>0.43892828999211975</v>
      </c>
      <c r="Z26" t="s">
        <v>29</v>
      </c>
      <c r="AA26">
        <f>SUM(AA9:AA24)/16</f>
        <v>445</v>
      </c>
      <c r="AH26">
        <v>10</v>
      </c>
      <c r="AI26">
        <v>46</v>
      </c>
      <c r="AL26" t="s">
        <v>37</v>
      </c>
      <c r="AM26">
        <v>100</v>
      </c>
      <c r="AP26" t="s">
        <v>38</v>
      </c>
      <c r="AQ26">
        <v>300</v>
      </c>
      <c r="AT26" t="s">
        <v>40</v>
      </c>
      <c r="AU26">
        <v>400</v>
      </c>
      <c r="AX26">
        <v>9</v>
      </c>
      <c r="AY26">
        <v>514</v>
      </c>
    </row>
    <row r="27" spans="2:51" x14ac:dyDescent="0.25">
      <c r="V27" t="s">
        <v>31</v>
      </c>
      <c r="W27">
        <f>1-W26</f>
        <v>0.56107171000788025</v>
      </c>
      <c r="Z27" t="s">
        <v>30</v>
      </c>
      <c r="AA27">
        <f>1-(AA26/800)</f>
        <v>0.44374999999999998</v>
      </c>
      <c r="AD27" t="s">
        <v>29</v>
      </c>
      <c r="AE27">
        <f>SUM(AE9:AE25)/17</f>
        <v>418.8235294117647</v>
      </c>
      <c r="AL27">
        <v>10</v>
      </c>
      <c r="AM27">
        <v>46</v>
      </c>
      <c r="AP27" t="s">
        <v>37</v>
      </c>
      <c r="AQ27">
        <v>100</v>
      </c>
      <c r="AT27" t="s">
        <v>38</v>
      </c>
      <c r="AU27">
        <v>300</v>
      </c>
      <c r="AX27" t="s">
        <v>40</v>
      </c>
      <c r="AY27">
        <v>400</v>
      </c>
    </row>
    <row r="28" spans="2:51" x14ac:dyDescent="0.25">
      <c r="B28" t="s">
        <v>1</v>
      </c>
      <c r="C28" t="s">
        <v>2</v>
      </c>
      <c r="F28">
        <f>SUM(C9:C18)</f>
        <v>7120</v>
      </c>
      <c r="Z28" t="s">
        <v>31</v>
      </c>
      <c r="AA28">
        <f>1-AA27</f>
        <v>0.55625000000000002</v>
      </c>
      <c r="AD28" t="s">
        <v>30</v>
      </c>
      <c r="AE28">
        <f>1-(AE27/734)</f>
        <v>0.42939573649623342</v>
      </c>
      <c r="AH28" t="s">
        <v>29</v>
      </c>
      <c r="AI28">
        <f>SUM(AI9:AI26)/18</f>
        <v>395.55555555555554</v>
      </c>
      <c r="AP28">
        <v>10</v>
      </c>
      <c r="AQ28">
        <v>46</v>
      </c>
      <c r="AT28" t="s">
        <v>37</v>
      </c>
      <c r="AU28">
        <v>100</v>
      </c>
      <c r="AX28" t="s">
        <v>38</v>
      </c>
      <c r="AY28">
        <v>300</v>
      </c>
    </row>
    <row r="29" spans="2:51" x14ac:dyDescent="0.25">
      <c r="F29">
        <f>SUM(C30:C51)</f>
        <v>7120</v>
      </c>
      <c r="AD29" t="s">
        <v>31</v>
      </c>
      <c r="AE29">
        <f>1-AE28</f>
        <v>0.57060426350376658</v>
      </c>
      <c r="AH29" t="s">
        <v>30</v>
      </c>
      <c r="AI29">
        <f>1-(AI28/700)</f>
        <v>0.43492063492063493</v>
      </c>
      <c r="AL29" t="s">
        <v>29</v>
      </c>
      <c r="AM29">
        <f>SUM(AM9:AM27)/19</f>
        <v>374.73684210526318</v>
      </c>
      <c r="AT29">
        <v>10</v>
      </c>
      <c r="AU29">
        <v>46</v>
      </c>
      <c r="AX29" t="s">
        <v>37</v>
      </c>
      <c r="AY29">
        <v>100</v>
      </c>
    </row>
    <row r="30" spans="2:51" x14ac:dyDescent="0.25">
      <c r="B30">
        <v>1</v>
      </c>
      <c r="C30">
        <v>58</v>
      </c>
      <c r="AH30" t="s">
        <v>31</v>
      </c>
      <c r="AI30">
        <f>1-AI29</f>
        <v>0.56507936507936507</v>
      </c>
      <c r="AL30" t="s">
        <v>30</v>
      </c>
      <c r="AM30">
        <f>1-(AM29/615)</f>
        <v>0.39067180145485658</v>
      </c>
      <c r="AP30" t="s">
        <v>29</v>
      </c>
      <c r="AQ30">
        <f>SUM(AQ9:AQ28)/20</f>
        <v>356</v>
      </c>
      <c r="AX30">
        <v>10</v>
      </c>
      <c r="AY30">
        <v>46</v>
      </c>
    </row>
    <row r="31" spans="2:51" x14ac:dyDescent="0.25">
      <c r="B31" t="s">
        <v>35</v>
      </c>
      <c r="C31">
        <v>400</v>
      </c>
      <c r="AL31" t="s">
        <v>31</v>
      </c>
      <c r="AM31">
        <f>1-AM30</f>
        <v>0.60932819854514342</v>
      </c>
      <c r="AP31" t="s">
        <v>30</v>
      </c>
      <c r="AQ31">
        <f>1-(AQ30/613)</f>
        <v>0.4192495921696574</v>
      </c>
      <c r="AT31" t="s">
        <v>29</v>
      </c>
      <c r="AU31">
        <f>SUM(AU9:AU29)/21</f>
        <v>339.04761904761904</v>
      </c>
    </row>
    <row r="32" spans="2:51" x14ac:dyDescent="0.25">
      <c r="B32">
        <v>2</v>
      </c>
      <c r="C32">
        <v>508</v>
      </c>
      <c r="AP32" t="s">
        <v>31</v>
      </c>
      <c r="AQ32">
        <f>1-AQ31</f>
        <v>0.5807504078303426</v>
      </c>
      <c r="AT32" t="s">
        <v>30</v>
      </c>
      <c r="AU32">
        <f>1-(AU31/600)</f>
        <v>0.43492063492063493</v>
      </c>
      <c r="AX32" t="s">
        <v>29</v>
      </c>
      <c r="AY32">
        <f>SUM(AY9:AY30)/22</f>
        <v>323.63636363636363</v>
      </c>
    </row>
    <row r="33" spans="2:51" x14ac:dyDescent="0.25">
      <c r="B33">
        <v>3</v>
      </c>
      <c r="C33">
        <v>418</v>
      </c>
      <c r="AT33" t="s">
        <v>31</v>
      </c>
      <c r="AU33">
        <f>1-AU32</f>
        <v>0.56507936507936507</v>
      </c>
      <c r="AX33" t="s">
        <v>30</v>
      </c>
      <c r="AY33">
        <f>1-(AY32/600)</f>
        <v>0.46060606060606057</v>
      </c>
    </row>
    <row r="34" spans="2:51" x14ac:dyDescent="0.25">
      <c r="B34">
        <v>4</v>
      </c>
      <c r="C34">
        <v>442</v>
      </c>
      <c r="AX34" t="s">
        <v>31</v>
      </c>
      <c r="AY34">
        <f>1-AY33</f>
        <v>0.53939393939393943</v>
      </c>
    </row>
    <row r="35" spans="2:51" x14ac:dyDescent="0.25">
      <c r="B35" t="s">
        <v>41</v>
      </c>
      <c r="C35">
        <v>300</v>
      </c>
    </row>
    <row r="36" spans="2:51" x14ac:dyDescent="0.25">
      <c r="B36">
        <v>5</v>
      </c>
      <c r="C36">
        <v>315</v>
      </c>
    </row>
    <row r="37" spans="2:51" x14ac:dyDescent="0.25">
      <c r="B37">
        <v>6</v>
      </c>
      <c r="C37">
        <v>400</v>
      </c>
    </row>
    <row r="38" spans="2:51" x14ac:dyDescent="0.25">
      <c r="B38" t="s">
        <v>33</v>
      </c>
      <c r="C38">
        <v>600</v>
      </c>
    </row>
    <row r="39" spans="2:51" x14ac:dyDescent="0.25">
      <c r="B39" t="s">
        <v>34</v>
      </c>
      <c r="C39">
        <v>72</v>
      </c>
    </row>
    <row r="40" spans="2:51" x14ac:dyDescent="0.25">
      <c r="B40" t="s">
        <v>36</v>
      </c>
      <c r="C40">
        <v>300</v>
      </c>
    </row>
    <row r="41" spans="2:51" x14ac:dyDescent="0.25">
      <c r="B41" t="s">
        <v>32</v>
      </c>
      <c r="C41">
        <v>600</v>
      </c>
    </row>
    <row r="42" spans="2:51" x14ac:dyDescent="0.25">
      <c r="B42" t="s">
        <v>42</v>
      </c>
      <c r="C42">
        <v>300</v>
      </c>
    </row>
    <row r="43" spans="2:51" x14ac:dyDescent="0.25">
      <c r="B43">
        <v>7</v>
      </c>
      <c r="C43">
        <v>313</v>
      </c>
    </row>
    <row r="44" spans="2:51" x14ac:dyDescent="0.25">
      <c r="B44" t="s">
        <v>43</v>
      </c>
      <c r="C44">
        <v>200</v>
      </c>
    </row>
    <row r="45" spans="2:51" x14ac:dyDescent="0.25">
      <c r="B45" t="s">
        <v>39</v>
      </c>
      <c r="C45">
        <v>400</v>
      </c>
    </row>
    <row r="46" spans="2:51" x14ac:dyDescent="0.25">
      <c r="B46">
        <v>8</v>
      </c>
      <c r="C46">
        <v>134</v>
      </c>
    </row>
    <row r="47" spans="2:51" x14ac:dyDescent="0.25">
      <c r="B47">
        <v>9</v>
      </c>
      <c r="C47">
        <v>514</v>
      </c>
    </row>
    <row r="48" spans="2:51" x14ac:dyDescent="0.25">
      <c r="B48" t="s">
        <v>40</v>
      </c>
      <c r="C48">
        <v>400</v>
      </c>
    </row>
    <row r="49" spans="2:3" x14ac:dyDescent="0.25">
      <c r="B49" t="s">
        <v>38</v>
      </c>
      <c r="C49">
        <v>300</v>
      </c>
    </row>
    <row r="50" spans="2:3" x14ac:dyDescent="0.25">
      <c r="B50" t="s">
        <v>37</v>
      </c>
      <c r="C50">
        <v>100</v>
      </c>
    </row>
    <row r="51" spans="2:3" x14ac:dyDescent="0.25">
      <c r="B51">
        <v>10</v>
      </c>
      <c r="C51">
        <v>46</v>
      </c>
    </row>
    <row r="53" spans="2:3" x14ac:dyDescent="0.25">
      <c r="B53" t="s">
        <v>29</v>
      </c>
      <c r="C53">
        <f>SUM(C30:C51)/22</f>
        <v>323.63636363636363</v>
      </c>
    </row>
    <row r="54" spans="2:3" x14ac:dyDescent="0.25">
      <c r="B54" t="s">
        <v>30</v>
      </c>
      <c r="C54">
        <f>1-(C53/600)</f>
        <v>0.46060606060606057</v>
      </c>
    </row>
    <row r="55" spans="2:3" x14ac:dyDescent="0.25">
      <c r="B55" t="s">
        <v>31</v>
      </c>
      <c r="C55">
        <f>1-C54</f>
        <v>0.53939393939393943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1599-FD7E-4663-BB8F-F4EB8B7BDCAB}">
  <dimension ref="A2:C27"/>
  <sheetViews>
    <sheetView workbookViewId="0">
      <selection activeCell="I9" sqref="I9"/>
    </sheetView>
  </sheetViews>
  <sheetFormatPr defaultRowHeight="15" x14ac:dyDescent="0.25"/>
  <sheetData>
    <row r="2" spans="1:3" x14ac:dyDescent="0.25">
      <c r="A2" t="s">
        <v>5</v>
      </c>
    </row>
    <row r="4" spans="1:3" x14ac:dyDescent="0.25">
      <c r="A4" t="s">
        <v>6</v>
      </c>
    </row>
    <row r="5" spans="1:3" x14ac:dyDescent="0.25">
      <c r="A5" t="s">
        <v>27</v>
      </c>
    </row>
    <row r="8" spans="1:3" x14ac:dyDescent="0.25">
      <c r="B8" t="s">
        <v>7</v>
      </c>
      <c r="C8" t="s">
        <v>8</v>
      </c>
    </row>
    <row r="10" spans="1:3" x14ac:dyDescent="0.25">
      <c r="B10" t="s">
        <v>9</v>
      </c>
      <c r="C10">
        <v>3</v>
      </c>
    </row>
    <row r="11" spans="1:3" x14ac:dyDescent="0.25">
      <c r="B11" t="s">
        <v>10</v>
      </c>
      <c r="C11">
        <v>908</v>
      </c>
    </row>
    <row r="12" spans="1:3" x14ac:dyDescent="0.25">
      <c r="B12" t="s">
        <v>11</v>
      </c>
      <c r="C12">
        <v>15</v>
      </c>
    </row>
    <row r="13" spans="1:3" x14ac:dyDescent="0.25">
      <c r="B13" t="s">
        <v>12</v>
      </c>
      <c r="C13">
        <v>64</v>
      </c>
    </row>
    <row r="14" spans="1:3" x14ac:dyDescent="0.25">
      <c r="B14" t="s">
        <v>13</v>
      </c>
      <c r="C14">
        <v>418</v>
      </c>
    </row>
    <row r="15" spans="1:3" x14ac:dyDescent="0.25">
      <c r="B15" t="s">
        <v>14</v>
      </c>
      <c r="C15">
        <v>345</v>
      </c>
    </row>
    <row r="16" spans="1:3" x14ac:dyDescent="0.25">
      <c r="B16" t="s">
        <v>15</v>
      </c>
      <c r="C16">
        <v>442</v>
      </c>
    </row>
    <row r="17" spans="2:3" x14ac:dyDescent="0.25">
      <c r="B17" t="s">
        <v>16</v>
      </c>
      <c r="C17">
        <v>75</v>
      </c>
    </row>
    <row r="18" spans="2:3" x14ac:dyDescent="0.25">
      <c r="B18" t="s">
        <v>17</v>
      </c>
      <c r="C18">
        <v>615</v>
      </c>
    </row>
    <row r="19" spans="2:3" x14ac:dyDescent="0.25">
      <c r="B19" t="s">
        <v>18</v>
      </c>
      <c r="C19">
        <v>42</v>
      </c>
    </row>
    <row r="20" spans="2:3" x14ac:dyDescent="0.25">
      <c r="B20" t="s">
        <v>19</v>
      </c>
      <c r="C20">
        <v>39</v>
      </c>
    </row>
    <row r="21" spans="2:3" x14ac:dyDescent="0.25">
      <c r="B21" t="s">
        <v>20</v>
      </c>
      <c r="C21">
        <v>734</v>
      </c>
    </row>
    <row r="22" spans="2:3" x14ac:dyDescent="0.25">
      <c r="B22" t="s">
        <v>21</v>
      </c>
      <c r="C22">
        <v>56</v>
      </c>
    </row>
    <row r="23" spans="2:3" x14ac:dyDescent="0.25">
      <c r="B23" t="s">
        <v>22</v>
      </c>
      <c r="C23">
        <v>84</v>
      </c>
    </row>
    <row r="24" spans="2:3" x14ac:dyDescent="0.25">
      <c r="B24" t="s">
        <v>23</v>
      </c>
      <c r="C24">
        <v>514</v>
      </c>
    </row>
    <row r="25" spans="2:3" x14ac:dyDescent="0.25">
      <c r="B25" t="s">
        <v>24</v>
      </c>
      <c r="C25">
        <v>101</v>
      </c>
    </row>
    <row r="26" spans="2:3" x14ac:dyDescent="0.25">
      <c r="B26" t="s">
        <v>25</v>
      </c>
      <c r="C26">
        <v>25</v>
      </c>
    </row>
    <row r="27" spans="2:3" x14ac:dyDescent="0.25">
      <c r="B27" t="s">
        <v>26</v>
      </c>
      <c r="C27">
        <v>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Q.1.</vt:lpstr>
      <vt:lpstr>Q.2.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StatLab</dc:creator>
  <cp:lastModifiedBy>lab1 stat</cp:lastModifiedBy>
  <dcterms:created xsi:type="dcterms:W3CDTF">2015-06-05T18:17:20Z</dcterms:created>
  <dcterms:modified xsi:type="dcterms:W3CDTF">2025-08-20T05:50:29Z</dcterms:modified>
</cp:coreProperties>
</file>