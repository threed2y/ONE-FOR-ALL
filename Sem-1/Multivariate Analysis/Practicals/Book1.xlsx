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lab\Desktop\Alok\Multivariate_Analysis\"/>
    </mc:Choice>
  </mc:AlternateContent>
  <xr:revisionPtr revIDLastSave="0" documentId="8_{F819B889-44DB-4AEE-87A1-B1A677DB7303}" xr6:coauthVersionLast="47" xr6:coauthVersionMax="47" xr10:uidLastSave="{00000000-0000-0000-0000-000000000000}"/>
  <bookViews>
    <workbookView xWindow="-120" yWindow="-120" windowWidth="29040" windowHeight="15720" xr2:uid="{9BDF6516-E56C-4B52-BA47-06CF8470C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G24" i="1"/>
  <c r="G22" i="1"/>
  <c r="F23" i="1"/>
  <c r="F22" i="1"/>
</calcChain>
</file>

<file path=xl/sharedStrings.xml><?xml version="1.0" encoding="utf-8"?>
<sst xmlns="http://schemas.openxmlformats.org/spreadsheetml/2006/main" count="19" uniqueCount="19">
  <si>
    <t>S1</t>
  </si>
  <si>
    <t>S2</t>
  </si>
  <si>
    <t>X1 bar</t>
  </si>
  <si>
    <t>X2 bar</t>
  </si>
  <si>
    <t xml:space="preserve">S pooled </t>
  </si>
  <si>
    <t xml:space="preserve">X0 </t>
  </si>
  <si>
    <t>Question 2:</t>
  </si>
  <si>
    <t xml:space="preserve">n1 </t>
  </si>
  <si>
    <t>n2</t>
  </si>
  <si>
    <t>n</t>
  </si>
  <si>
    <t xml:space="preserve">Classification when population parameters are unknown. </t>
  </si>
  <si>
    <t>The first step is to check whether the given data is homogenous or not.</t>
  </si>
  <si>
    <t>for it, we use the Box M-test</t>
  </si>
  <si>
    <r>
      <t xml:space="preserve">MC-1 ~ </t>
    </r>
    <r>
      <rPr>
        <sz val="11"/>
        <color theme="1"/>
        <rFont val="Aptos Narrow"/>
        <family val="2"/>
      </rPr>
      <t>χ2</t>
    </r>
  </si>
  <si>
    <r>
      <t xml:space="preserve">M = (n-k)ln|Su|- </t>
    </r>
    <r>
      <rPr>
        <sz val="11"/>
        <color theme="1"/>
        <rFont val="Aptos Narrow"/>
        <family val="2"/>
      </rPr>
      <t>Σ(xi-1)ln|Si|</t>
    </r>
  </si>
  <si>
    <t xml:space="preserve">M = </t>
  </si>
  <si>
    <t>p</t>
  </si>
  <si>
    <t>k</t>
  </si>
  <si>
    <t xml:space="preserve">C-1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</si>
</sst>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5196-1C65-4411-A560-DD468852A7AD}">
  <dimension ref="A2:J25"/>
  <sheetViews>
    <sheetView tabSelected="1" workbookViewId="0">
      <selection activeCell="F24" sqref="F24"/>
    </sheetView>
  </sheetViews>
  <sheetFormatPr defaultRowHeight="15" x14ac:dyDescent="0.25"/>
  <cols>
    <col min="1" max="1" width="11" bestFit="1" customWidth="1"/>
  </cols>
  <sheetData>
    <row r="2" spans="1:10" x14ac:dyDescent="0.25">
      <c r="A2" t="s">
        <v>6</v>
      </c>
    </row>
    <row r="4" spans="1:10" x14ac:dyDescent="0.25">
      <c r="A4" s="3" t="s">
        <v>0</v>
      </c>
      <c r="B4" s="1">
        <v>4.1459999999999999</v>
      </c>
      <c r="C4" s="1">
        <v>1.0169999999999999</v>
      </c>
      <c r="D4" s="1">
        <v>-5.992</v>
      </c>
      <c r="F4" s="3" t="s">
        <v>2</v>
      </c>
      <c r="G4" s="1">
        <v>4.8209999999999997</v>
      </c>
      <c r="I4" t="s">
        <v>7</v>
      </c>
      <c r="J4">
        <v>28</v>
      </c>
    </row>
    <row r="5" spans="1:10" x14ac:dyDescent="0.25">
      <c r="A5" s="3"/>
      <c r="B5" s="1">
        <v>1.0169999999999999</v>
      </c>
      <c r="C5" s="1">
        <v>0.60699999999999998</v>
      </c>
      <c r="D5" s="1">
        <v>-1.4279999999999999</v>
      </c>
      <c r="F5" s="3"/>
      <c r="G5" s="1">
        <v>0.5</v>
      </c>
      <c r="I5" t="s">
        <v>8</v>
      </c>
      <c r="J5">
        <v>16</v>
      </c>
    </row>
    <row r="6" spans="1:10" x14ac:dyDescent="0.25">
      <c r="A6" s="3"/>
      <c r="B6" s="1">
        <v>-5.992</v>
      </c>
      <c r="C6" s="1">
        <v>-1.4279999999999999</v>
      </c>
      <c r="D6" s="1">
        <v>24.779</v>
      </c>
      <c r="F6" s="3"/>
      <c r="G6" s="1">
        <v>7.6429999999999998</v>
      </c>
      <c r="I6" t="s">
        <v>9</v>
      </c>
      <c r="J6">
        <v>44</v>
      </c>
    </row>
    <row r="7" spans="1:10" x14ac:dyDescent="0.25">
      <c r="A7" s="3"/>
      <c r="F7" s="3"/>
    </row>
    <row r="8" spans="1:10" x14ac:dyDescent="0.25">
      <c r="A8" s="3" t="s">
        <v>1</v>
      </c>
      <c r="B8" s="1">
        <v>4.359</v>
      </c>
      <c r="C8" s="1">
        <v>1.4530000000000001</v>
      </c>
      <c r="D8" s="1">
        <v>-5.008</v>
      </c>
      <c r="F8" s="3" t="s">
        <v>3</v>
      </c>
      <c r="G8">
        <v>3.625</v>
      </c>
      <c r="I8" t="s">
        <v>16</v>
      </c>
      <c r="J8">
        <v>3</v>
      </c>
    </row>
    <row r="9" spans="1:10" x14ac:dyDescent="0.25">
      <c r="A9" s="3"/>
      <c r="B9" s="1">
        <v>1.4530000000000001</v>
      </c>
      <c r="C9" s="1">
        <v>0.98399999999999999</v>
      </c>
      <c r="D9" s="1">
        <v>-1.367</v>
      </c>
      <c r="F9" s="3"/>
      <c r="G9">
        <v>0.375</v>
      </c>
      <c r="I9" t="s">
        <v>17</v>
      </c>
      <c r="J9">
        <v>2</v>
      </c>
    </row>
    <row r="10" spans="1:10" x14ac:dyDescent="0.25">
      <c r="A10" s="3"/>
      <c r="B10" s="1">
        <v>-5.008</v>
      </c>
      <c r="C10" s="1">
        <v>-1.367</v>
      </c>
      <c r="D10" s="1">
        <v>18.338999999999999</v>
      </c>
      <c r="F10" s="3"/>
      <c r="G10">
        <v>9.3119999999999994</v>
      </c>
    </row>
    <row r="11" spans="1:10" x14ac:dyDescent="0.25">
      <c r="A11" s="3"/>
      <c r="F11" s="3"/>
    </row>
    <row r="12" spans="1:10" x14ac:dyDescent="0.25">
      <c r="A12" s="3" t="s">
        <v>4</v>
      </c>
      <c r="B12" s="1">
        <v>4.4249999999999998</v>
      </c>
      <c r="C12" s="1">
        <v>1.232</v>
      </c>
      <c r="D12" s="1">
        <v>-5.9020000000000001</v>
      </c>
      <c r="F12" s="3" t="s">
        <v>5</v>
      </c>
      <c r="G12" s="1">
        <v>6</v>
      </c>
    </row>
    <row r="13" spans="1:10" x14ac:dyDescent="0.25">
      <c r="A13" s="2"/>
      <c r="B13" s="1">
        <v>1.232</v>
      </c>
      <c r="C13" s="1">
        <v>0.78</v>
      </c>
      <c r="D13" s="1">
        <v>-1.4730000000000001</v>
      </c>
      <c r="G13" s="1">
        <v>1</v>
      </c>
    </row>
    <row r="14" spans="1:10" x14ac:dyDescent="0.25">
      <c r="B14" s="1">
        <v>-5.9020000000000001</v>
      </c>
      <c r="C14" s="1">
        <v>-1.4730000000000001</v>
      </c>
      <c r="D14" s="1">
        <v>23.472000000000001</v>
      </c>
      <c r="G14" s="1">
        <v>9</v>
      </c>
    </row>
    <row r="17" spans="1:7" x14ac:dyDescent="0.25">
      <c r="A17" s="4" t="s">
        <v>10</v>
      </c>
      <c r="B17" s="4"/>
      <c r="C17" s="4"/>
      <c r="D17" s="4"/>
      <c r="E17" s="4"/>
      <c r="F17" s="4"/>
    </row>
    <row r="18" spans="1:7" x14ac:dyDescent="0.25">
      <c r="A18" t="s">
        <v>11</v>
      </c>
    </row>
    <row r="20" spans="1:7" x14ac:dyDescent="0.25">
      <c r="A20" t="s">
        <v>12</v>
      </c>
    </row>
    <row r="21" spans="1:7" x14ac:dyDescent="0.25">
      <c r="A21" t="s">
        <v>13</v>
      </c>
    </row>
    <row r="22" spans="1:7" x14ac:dyDescent="0.25">
      <c r="A22" t="s">
        <v>14</v>
      </c>
      <c r="E22" t="s">
        <v>15</v>
      </c>
      <c r="F22">
        <f>(J6-J9)*LN(MDETERM(B12:D14))</f>
        <v>142.90223271640951</v>
      </c>
      <c r="G22">
        <f>F22-F23</f>
        <v>7.7778512350107292</v>
      </c>
    </row>
    <row r="23" spans="1:7" x14ac:dyDescent="0.25">
      <c r="F23">
        <f>27*LN(MDETERM(B4:D6))+15*LN(MDETERM(B8:D10))</f>
        <v>135.12438148139879</v>
      </c>
    </row>
    <row r="24" spans="1:7" x14ac:dyDescent="0.25">
      <c r="E24" t="s">
        <v>18</v>
      </c>
      <c r="F24">
        <f>(1-(2*9)+9-1)*(3)/(6*4)</f>
        <v>-1.125</v>
      </c>
      <c r="G24">
        <f>((1/27)-(1/42)) + ((1/15)-(1/42))</f>
        <v>5.6084656084656084E-2</v>
      </c>
    </row>
    <row r="25" spans="1:7" x14ac:dyDescent="0.25">
      <c r="F25">
        <f>F24*G24</f>
        <v>-6.3095238095238093E-2</v>
      </c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 stat</dc:creator>
  <cp:lastModifiedBy>lab5 stat</cp:lastModifiedBy>
  <dcterms:created xsi:type="dcterms:W3CDTF">2025-09-18T18:42:03Z</dcterms:created>
  <dcterms:modified xsi:type="dcterms:W3CDTF">2025-09-18T20:09:25Z</dcterms:modified>
</cp:coreProperties>
</file>