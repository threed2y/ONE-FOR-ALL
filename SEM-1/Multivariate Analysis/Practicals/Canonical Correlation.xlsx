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tlab\Desktop\Alok\Multivariate_Analysis\"/>
    </mc:Choice>
  </mc:AlternateContent>
  <xr:revisionPtr revIDLastSave="0" documentId="8_{6B0CDF90-6E38-4227-A3B4-E5C20EEA0165}" xr6:coauthVersionLast="47" xr6:coauthVersionMax="47" xr10:uidLastSave="{00000000-0000-0000-0000-000000000000}"/>
  <bookViews>
    <workbookView xWindow="-120" yWindow="-120" windowWidth="29040" windowHeight="15720" xr2:uid="{2F904A72-1CCE-45CE-AFC6-D09AAAC852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" i="1" l="1" a="1"/>
  <c r="E63" i="1" s="1"/>
  <c r="E66" i="1" s="1" a="1"/>
  <c r="E66" i="1" s="1"/>
  <c r="E69" i="1" s="1" a="1"/>
  <c r="E69" i="1" s="1"/>
  <c r="C66" i="1" a="1"/>
  <c r="C66" i="1" s="1"/>
  <c r="C63" i="1" a="1"/>
  <c r="C63" i="1" s="1"/>
  <c r="C61" i="1"/>
  <c r="G19" i="1" a="1"/>
  <c r="G19" i="1" s="1"/>
  <c r="G16" i="1" a="1"/>
  <c r="G16" i="1" s="1"/>
  <c r="C42" i="1"/>
  <c r="C41" i="1"/>
  <c r="D45" i="1"/>
  <c r="B47" i="1" s="1" a="1"/>
  <c r="B47" i="1" s="1"/>
  <c r="C39" i="1"/>
  <c r="C38" i="1"/>
  <c r="B18" i="1" a="1"/>
  <c r="B18" i="1" s="1"/>
  <c r="B15" i="1" a="1"/>
  <c r="B15" i="1" s="1"/>
  <c r="F12" i="1" a="1"/>
  <c r="F12" i="1" s="1"/>
  <c r="F13" i="1" l="1"/>
  <c r="G12" i="1"/>
  <c r="G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<sst xmlns="http://schemas.openxmlformats.org/spreadsheetml/2006/main" count="42" uniqueCount="37">
  <si>
    <t>S22</t>
  </si>
  <si>
    <t>S22 inv</t>
  </si>
  <si>
    <t>S12 * S22 inv</t>
  </si>
  <si>
    <t>S12 * S22 inv *S21</t>
  </si>
  <si>
    <t>S12 * S22 inv *S21 - r2 * S11 | =0</t>
  </si>
  <si>
    <t xml:space="preserve">r2 * S11 </t>
  </si>
  <si>
    <t>95.2933 r2</t>
  </si>
  <si>
    <t>52.8683 r2</t>
  </si>
  <si>
    <t>52.8683 * r2</t>
  </si>
  <si>
    <t>54.36 * r2</t>
  </si>
  <si>
    <t>| S12 * S22 inv *S21 - r2 * S11 | =0</t>
  </si>
  <si>
    <t>-</t>
  </si>
  <si>
    <t>51.84539 - 95.2933 r2</t>
  </si>
  <si>
    <t>2385.087 r4 - 1489.508 r2 +4.273 = 0</t>
  </si>
  <si>
    <t>a</t>
  </si>
  <si>
    <t>b</t>
  </si>
  <si>
    <t>c</t>
  </si>
  <si>
    <t>r2</t>
  </si>
  <si>
    <t>r</t>
  </si>
  <si>
    <t xml:space="preserve">First canonical correlation = max(r1, r2) </t>
  </si>
  <si>
    <t>l1</t>
  </si>
  <si>
    <t>l2</t>
  </si>
  <si>
    <t>-7.38 l1 + 5.904 l2</t>
  </si>
  <si>
    <t>5.904 l1 - 4.723 l2</t>
  </si>
  <si>
    <t>so we can say that head length and head bredth of first son is strongly pridictive of the head length and bredth of the second son.</t>
  </si>
  <si>
    <t>r1 = 0.7884 (First canonical correlation ) it indicates that there exists a linear association between linear combination of head length and head bredth of the first son (x1,x2) and a linear comnbination of head measurements of ther second son (x3,x4).</t>
  </si>
  <si>
    <t xml:space="preserve">m </t>
  </si>
  <si>
    <t>m</t>
  </si>
  <si>
    <t>m'y</t>
  </si>
  <si>
    <t>X3</t>
  </si>
  <si>
    <t>X4</t>
  </si>
  <si>
    <t>0.8883 X3 + 1.4118 X4</t>
  </si>
  <si>
    <t>1st canonical variable for X space</t>
  </si>
  <si>
    <t>l'x</t>
  </si>
  <si>
    <t>X1</t>
  </si>
  <si>
    <t>X2</t>
  </si>
  <si>
    <t>X1+1.245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</si>
</sst>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70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170" fontId="0" fillId="0" borderId="0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5" borderId="0" xfId="0" applyFill="1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0819B-FEC5-4281-BFB1-063B274E2B3E}">
  <dimension ref="A1:N79"/>
  <sheetViews>
    <sheetView tabSelected="1" topLeftCell="A49" workbookViewId="0">
      <selection activeCell="G76" sqref="G76"/>
    </sheetView>
  </sheetViews>
  <sheetFormatPr defaultRowHeight="15" x14ac:dyDescent="0.25"/>
  <cols>
    <col min="1" max="1" width="21.140625" customWidth="1"/>
    <col min="2" max="2" width="37" bestFit="1" customWidth="1"/>
    <col min="3" max="3" width="14.7109375" bestFit="1" customWidth="1"/>
    <col min="5" max="5" width="9.7109375" bestFit="1" customWidth="1"/>
    <col min="6" max="6" width="12" bestFit="1" customWidth="1"/>
  </cols>
  <sheetData>
    <row r="1" spans="1:14" x14ac:dyDescent="0.25">
      <c r="A1">
        <v>95.293300000000002</v>
      </c>
      <c r="B1">
        <v>52.868299999999998</v>
      </c>
      <c r="C1">
        <v>69.661900000000003</v>
      </c>
      <c r="D1">
        <v>46.111699999999999</v>
      </c>
    </row>
    <row r="2" spans="1:14" x14ac:dyDescent="0.25">
      <c r="A2">
        <v>52.868299999999998</v>
      </c>
      <c r="B2">
        <v>54.36</v>
      </c>
      <c r="C2">
        <v>51.311700000000002</v>
      </c>
      <c r="D2">
        <v>35.0533</v>
      </c>
    </row>
    <row r="3" spans="1:14" x14ac:dyDescent="0.25">
      <c r="A3">
        <v>69.661900000000003</v>
      </c>
      <c r="B3">
        <v>51.311700000000002</v>
      </c>
      <c r="C3">
        <v>100.80670000000001</v>
      </c>
      <c r="D3">
        <v>56.54</v>
      </c>
    </row>
    <row r="4" spans="1:14" x14ac:dyDescent="0.25">
      <c r="A4">
        <v>46.111699999999999</v>
      </c>
      <c r="B4">
        <v>35.0533</v>
      </c>
      <c r="C4">
        <v>56.54</v>
      </c>
      <c r="D4">
        <v>45.0533</v>
      </c>
    </row>
    <row r="7" spans="1:14" x14ac:dyDescent="0.25">
      <c r="A7" s="1">
        <v>95.293300000000002</v>
      </c>
      <c r="B7" s="1">
        <v>52.868299999999998</v>
      </c>
      <c r="C7" s="2">
        <v>69.661900000000003</v>
      </c>
      <c r="D7" s="2">
        <v>46.111699999999999</v>
      </c>
    </row>
    <row r="8" spans="1:14" x14ac:dyDescent="0.25">
      <c r="A8" s="1">
        <v>52.868299999999998</v>
      </c>
      <c r="B8" s="1">
        <v>54.36</v>
      </c>
      <c r="C8" s="2">
        <v>51.311700000000002</v>
      </c>
      <c r="D8" s="2">
        <v>35.0533</v>
      </c>
    </row>
    <row r="9" spans="1:14" x14ac:dyDescent="0.25">
      <c r="A9" s="3">
        <v>69.661900000000003</v>
      </c>
      <c r="B9" s="3">
        <v>51.311700000000002</v>
      </c>
      <c r="C9" s="4">
        <v>100.80670000000001</v>
      </c>
      <c r="D9" s="4">
        <v>56.54</v>
      </c>
    </row>
    <row r="10" spans="1:14" x14ac:dyDescent="0.25">
      <c r="A10" s="3">
        <v>46.111699999999999</v>
      </c>
      <c r="B10" s="3">
        <v>35.0533</v>
      </c>
      <c r="C10" s="4">
        <v>56.54</v>
      </c>
      <c r="D10" s="4">
        <v>45.0533</v>
      </c>
    </row>
    <row r="12" spans="1:14" x14ac:dyDescent="0.25">
      <c r="A12" t="s">
        <v>0</v>
      </c>
      <c r="B12">
        <v>100.80670000000001</v>
      </c>
      <c r="C12">
        <v>56.54</v>
      </c>
      <c r="E12" t="s">
        <v>1</v>
      </c>
      <c r="F12" s="9">
        <f t="array" ref="F12:G13">MINVERSE(B12:C13)</f>
        <v>3.3499295820399344E-2</v>
      </c>
      <c r="G12" s="9">
        <v>-4.2040209833361354E-2</v>
      </c>
    </row>
    <row r="13" spans="1:14" x14ac:dyDescent="0.25">
      <c r="B13">
        <v>56.54</v>
      </c>
      <c r="C13">
        <v>45.0533</v>
      </c>
      <c r="F13" s="9">
        <v>-4.2040209833361354E-2</v>
      </c>
      <c r="G13" s="9">
        <v>7.4954630714692397E-2</v>
      </c>
    </row>
    <row r="15" spans="1:14" x14ac:dyDescent="0.25">
      <c r="A15" t="s">
        <v>2</v>
      </c>
      <c r="B15" cm="1">
        <f t="array" ref="B15:C16">MMULT(C7:D8,F12:G13)</f>
        <v>0.39507905173806845</v>
      </c>
      <c r="C15">
        <v>0.52768455173604556</v>
      </c>
      <c r="E15" s="10"/>
      <c r="F15" s="11"/>
      <c r="G15" s="11"/>
      <c r="H15" s="11"/>
      <c r="I15" s="11"/>
      <c r="J15" s="11"/>
      <c r="K15" s="11"/>
      <c r="L15" s="11"/>
      <c r="M15" s="11"/>
      <c r="N15" s="12"/>
    </row>
    <row r="16" spans="1:14" x14ac:dyDescent="0.25">
      <c r="B16">
        <v>0.24525772999581941</v>
      </c>
      <c r="C16">
        <v>0.4702525219248388</v>
      </c>
      <c r="E16" s="13"/>
      <c r="F16" s="14"/>
      <c r="G16" s="20" cm="1">
        <f t="array" ref="G16:H17">_xlfn.ANCHORARRAY(B18)-B50:C51</f>
        <v>59.236873202968781</v>
      </c>
      <c r="H16" s="20">
        <v>32.864354404312955</v>
      </c>
      <c r="I16" s="21">
        <v>1</v>
      </c>
      <c r="J16" s="14"/>
      <c r="K16" s="14"/>
      <c r="L16" s="14"/>
      <c r="M16" s="14"/>
      <c r="N16" s="15"/>
    </row>
    <row r="17" spans="1:14" x14ac:dyDescent="0.25">
      <c r="E17" s="13"/>
      <c r="F17" s="14"/>
      <c r="G17" s="20">
        <v>32.864354404312955</v>
      </c>
      <c r="H17" s="20">
        <v>33.791635165466879</v>
      </c>
      <c r="I17" s="21">
        <v>1.2450000000000001</v>
      </c>
      <c r="J17" s="14"/>
      <c r="K17" s="14"/>
      <c r="L17" s="14"/>
      <c r="M17" s="14"/>
      <c r="N17" s="15"/>
    </row>
    <row r="18" spans="1:14" x14ac:dyDescent="0.25">
      <c r="A18" t="s">
        <v>3</v>
      </c>
      <c r="B18" cm="1">
        <f t="array" ref="B18:C19">MMULT(B15:C16,A9:B10)</f>
        <v>51.854389138559164</v>
      </c>
      <c r="C18">
        <v>38.769262676437378</v>
      </c>
      <c r="E18" s="13"/>
      <c r="F18" s="14"/>
      <c r="G18" s="14"/>
      <c r="H18" s="14"/>
      <c r="I18" s="14"/>
      <c r="J18" s="16"/>
      <c r="K18" s="14"/>
      <c r="L18" s="14"/>
      <c r="M18" s="14"/>
      <c r="N18" s="15"/>
    </row>
    <row r="19" spans="1:14" x14ac:dyDescent="0.25">
      <c r="B19">
        <v>38.769262676437364</v>
      </c>
      <c r="C19">
        <v>29.06849379101444</v>
      </c>
      <c r="E19" s="13"/>
      <c r="F19" s="14"/>
      <c r="G19" s="14" cm="1">
        <f t="array" ref="G19:G20">MMULT(G16:H17,I16:I17)</f>
        <v>100.15299443633842</v>
      </c>
      <c r="H19" s="14"/>
      <c r="I19" s="14"/>
      <c r="J19" s="14"/>
      <c r="K19" s="14"/>
      <c r="L19" s="14"/>
      <c r="M19" s="14"/>
      <c r="N19" s="15"/>
    </row>
    <row r="20" spans="1:14" x14ac:dyDescent="0.25">
      <c r="E20" s="13"/>
      <c r="F20" s="14"/>
      <c r="G20" s="14">
        <v>74.934940185319221</v>
      </c>
      <c r="H20" s="14"/>
      <c r="I20" s="14"/>
      <c r="J20" s="14"/>
      <c r="K20" s="14"/>
      <c r="L20" s="14"/>
      <c r="M20" s="14"/>
      <c r="N20" s="15"/>
    </row>
    <row r="21" spans="1:14" x14ac:dyDescent="0.25">
      <c r="A21" s="5" t="s">
        <v>4</v>
      </c>
      <c r="B21" s="5"/>
      <c r="C21" s="5"/>
      <c r="D21" s="5"/>
      <c r="E21" s="13"/>
      <c r="F21" s="14"/>
      <c r="G21" s="14"/>
      <c r="H21" s="14"/>
      <c r="I21" s="14"/>
      <c r="J21" s="14"/>
      <c r="K21" s="14"/>
      <c r="L21" s="14"/>
      <c r="M21" s="14"/>
      <c r="N21" s="15"/>
    </row>
    <row r="22" spans="1:14" x14ac:dyDescent="0.25">
      <c r="E22" s="13"/>
      <c r="F22" s="14"/>
      <c r="G22" s="14"/>
      <c r="H22" s="14"/>
      <c r="I22" s="14"/>
      <c r="J22" s="14"/>
      <c r="K22" s="14"/>
      <c r="L22" s="14"/>
      <c r="M22" s="14"/>
      <c r="N22" s="15"/>
    </row>
    <row r="23" spans="1:14" x14ac:dyDescent="0.25">
      <c r="A23" t="s">
        <v>5</v>
      </c>
      <c r="B23" t="s">
        <v>6</v>
      </c>
      <c r="C23" t="s">
        <v>8</v>
      </c>
      <c r="E23" s="17"/>
      <c r="F23" s="18"/>
      <c r="G23" s="18"/>
      <c r="H23" s="18"/>
      <c r="I23" s="18"/>
      <c r="J23" s="18"/>
      <c r="K23" s="18"/>
      <c r="L23" s="18"/>
      <c r="M23" s="18"/>
      <c r="N23" s="19"/>
    </row>
    <row r="24" spans="1:14" x14ac:dyDescent="0.25">
      <c r="B24" t="s">
        <v>7</v>
      </c>
      <c r="C24" t="s">
        <v>9</v>
      </c>
    </row>
    <row r="26" spans="1:14" x14ac:dyDescent="0.25">
      <c r="A26" s="5" t="s">
        <v>10</v>
      </c>
      <c r="B26" s="5"/>
      <c r="C26" s="5"/>
      <c r="D26" s="5"/>
    </row>
    <row r="27" spans="1:14" x14ac:dyDescent="0.25">
      <c r="B27" s="8">
        <v>51.854389138559199</v>
      </c>
      <c r="C27" s="8">
        <v>38.769262676437378</v>
      </c>
      <c r="D27" s="7" t="s">
        <v>11</v>
      </c>
      <c r="E27" t="s">
        <v>6</v>
      </c>
      <c r="F27" t="s">
        <v>8</v>
      </c>
    </row>
    <row r="28" spans="1:14" x14ac:dyDescent="0.25">
      <c r="B28" s="8">
        <v>38.769262676437364</v>
      </c>
      <c r="C28" s="8">
        <v>29.06849379101444</v>
      </c>
      <c r="E28" t="s">
        <v>7</v>
      </c>
      <c r="F28" t="s">
        <v>9</v>
      </c>
    </row>
    <row r="30" spans="1:14" x14ac:dyDescent="0.25">
      <c r="B30" s="8" t="s">
        <v>12</v>
      </c>
      <c r="C30">
        <v>38.769260000000003</v>
      </c>
    </row>
    <row r="32" spans="1:14" x14ac:dyDescent="0.25">
      <c r="B32" t="s">
        <v>13</v>
      </c>
    </row>
    <row r="34" spans="2:4" x14ac:dyDescent="0.25">
      <c r="B34" t="s">
        <v>14</v>
      </c>
      <c r="C34">
        <v>2385.087</v>
      </c>
    </row>
    <row r="35" spans="2:4" x14ac:dyDescent="0.25">
      <c r="B35" t="s">
        <v>15</v>
      </c>
      <c r="C35">
        <v>-1489.508</v>
      </c>
    </row>
    <row r="36" spans="2:4" x14ac:dyDescent="0.25">
      <c r="B36" t="s">
        <v>16</v>
      </c>
      <c r="C36">
        <v>4.2729999999999997</v>
      </c>
    </row>
    <row r="38" spans="2:4" x14ac:dyDescent="0.25">
      <c r="B38" t="s">
        <v>17</v>
      </c>
      <c r="C38">
        <f>(-$C$35+SQRT($C$35^2 - (4*$C$34*$C$36))) / (2*$C$34)</f>
        <v>0.62162684263184098</v>
      </c>
    </row>
    <row r="39" spans="2:4" x14ac:dyDescent="0.25">
      <c r="C39">
        <f>(-$C$35-SQRT($C$35^2 - (4*$C$34*$C$36))) / (2*$C$34)</f>
        <v>2.8820327257455388E-3</v>
      </c>
    </row>
    <row r="41" spans="2:4" x14ac:dyDescent="0.25">
      <c r="B41" t="s">
        <v>18</v>
      </c>
      <c r="C41">
        <f>SQRT(ABS(C38))</f>
        <v>0.78843315673038572</v>
      </c>
    </row>
    <row r="42" spans="2:4" x14ac:dyDescent="0.25">
      <c r="C42">
        <f>SQRT(ABS(C39))</f>
        <v>5.3684566923330387E-2</v>
      </c>
    </row>
    <row r="44" spans="2:4" x14ac:dyDescent="0.25">
      <c r="B44" t="s">
        <v>19</v>
      </c>
    </row>
    <row r="45" spans="2:4" x14ac:dyDescent="0.25">
      <c r="C45" s="9">
        <v>0.78843315673038572</v>
      </c>
      <c r="D45">
        <f>C45^2</f>
        <v>0.62162684263184098</v>
      </c>
    </row>
    <row r="47" spans="2:4" x14ac:dyDescent="0.25">
      <c r="B47" s="8" cm="1">
        <f t="array" ref="B47:C48">D45*A7:B8</f>
        <v>59.236873202968816</v>
      </c>
      <c r="C47" s="8">
        <v>32.864354404312955</v>
      </c>
    </row>
    <row r="48" spans="2:4" x14ac:dyDescent="0.25">
      <c r="B48" s="8">
        <v>32.864354404312955</v>
      </c>
      <c r="C48" s="8">
        <v>33.791635165466879</v>
      </c>
    </row>
    <row r="50" spans="2:6" x14ac:dyDescent="0.25">
      <c r="B50">
        <v>-7.382484064409617</v>
      </c>
      <c r="C50">
        <v>5.9049082721244233</v>
      </c>
    </row>
    <row r="51" spans="2:6" x14ac:dyDescent="0.25">
      <c r="B51">
        <v>5.9049082721244091</v>
      </c>
      <c r="C51">
        <v>-4.7231413744524389</v>
      </c>
    </row>
    <row r="53" spans="2:6" x14ac:dyDescent="0.25">
      <c r="B53">
        <v>-7.382484064409617</v>
      </c>
      <c r="C53">
        <v>5.9049082721244233</v>
      </c>
      <c r="D53" t="s">
        <v>20</v>
      </c>
    </row>
    <row r="54" spans="2:6" x14ac:dyDescent="0.25">
      <c r="B54">
        <v>5.9049082721244091</v>
      </c>
      <c r="C54">
        <v>-4.7231413744524389</v>
      </c>
      <c r="D54" t="s">
        <v>21</v>
      </c>
    </row>
    <row r="56" spans="2:6" x14ac:dyDescent="0.25">
      <c r="B56" s="7" t="s">
        <v>22</v>
      </c>
      <c r="C56">
        <v>0</v>
      </c>
    </row>
    <row r="57" spans="2:6" x14ac:dyDescent="0.25">
      <c r="B57" s="6" t="s">
        <v>23</v>
      </c>
      <c r="C57">
        <v>0</v>
      </c>
    </row>
    <row r="58" spans="2:6" x14ac:dyDescent="0.25">
      <c r="B58" t="s">
        <v>25</v>
      </c>
    </row>
    <row r="59" spans="2:6" x14ac:dyDescent="0.25">
      <c r="B59" t="s">
        <v>24</v>
      </c>
    </row>
    <row r="61" spans="2:6" x14ac:dyDescent="0.25">
      <c r="B61" t="s">
        <v>21</v>
      </c>
      <c r="C61">
        <f>7.38/5.904</f>
        <v>1.25</v>
      </c>
    </row>
    <row r="63" spans="2:6" x14ac:dyDescent="0.25">
      <c r="B63" t="s">
        <v>26</v>
      </c>
      <c r="C63" cm="1">
        <f t="array" ref="C63:C64" xml:space="preserve"> MMULT(_xlfn.ANCHORARRAY(B15),I16:I17)</f>
        <v>1.0520463186494453</v>
      </c>
      <c r="E63" cm="1">
        <f t="array" ref="E63:F64">MMULT(F12:G13,A9:B10)</f>
        <v>0.39507905173806845</v>
      </c>
      <c r="F63">
        <v>0.24525772999581941</v>
      </c>
    </row>
    <row r="64" spans="2:6" x14ac:dyDescent="0.25">
      <c r="C64">
        <v>0.83072211979224375</v>
      </c>
      <c r="E64">
        <v>0.52768455173604556</v>
      </c>
      <c r="F64">
        <v>0.4702525219248388</v>
      </c>
    </row>
    <row r="66" spans="2:6" x14ac:dyDescent="0.25">
      <c r="B66" t="s">
        <v>27</v>
      </c>
      <c r="C66" cm="1">
        <f t="array" ref="C66:C67">(1/C45)*_xlfn.ANCHORARRAY(C63)</f>
        <v>1.3343506797865494</v>
      </c>
      <c r="E66" cm="1">
        <f t="array" ref="E66:E67">MMULT(_xlfn.ANCHORARRAY(E63),I16:I17)</f>
        <v>0.70042492558286362</v>
      </c>
    </row>
    <row r="67" spans="2:6" x14ac:dyDescent="0.25">
      <c r="C67">
        <v>1.053636713145385</v>
      </c>
      <c r="E67">
        <v>1.11314894153247</v>
      </c>
    </row>
    <row r="69" spans="2:6" x14ac:dyDescent="0.25">
      <c r="E69" cm="1">
        <f t="array" ref="E69:E70">(1/C45)*_xlfn.ANCHORARRAY(E66)</f>
        <v>0.88837578633489966</v>
      </c>
    </row>
    <row r="70" spans="2:6" x14ac:dyDescent="0.25">
      <c r="E70">
        <v>1.4118494789700033</v>
      </c>
    </row>
    <row r="72" spans="2:6" x14ac:dyDescent="0.25">
      <c r="B72" t="s">
        <v>28</v>
      </c>
      <c r="C72">
        <v>0.88837578633489966</v>
      </c>
      <c r="D72">
        <v>1.4118494789700033</v>
      </c>
      <c r="E72" t="s">
        <v>29</v>
      </c>
    </row>
    <row r="73" spans="2:6" x14ac:dyDescent="0.25">
      <c r="E73" t="s">
        <v>30</v>
      </c>
    </row>
    <row r="75" spans="2:6" x14ac:dyDescent="0.25">
      <c r="C75" s="9" t="s">
        <v>31</v>
      </c>
      <c r="D75" s="9"/>
    </row>
    <row r="77" spans="2:6" x14ac:dyDescent="0.25">
      <c r="B77" t="s">
        <v>32</v>
      </c>
      <c r="C77" t="s">
        <v>33</v>
      </c>
      <c r="D77">
        <v>1</v>
      </c>
      <c r="E77">
        <v>1.2450000000000001</v>
      </c>
      <c r="F77" t="s">
        <v>34</v>
      </c>
    </row>
    <row r="78" spans="2:6" x14ac:dyDescent="0.25">
      <c r="F78" t="s">
        <v>35</v>
      </c>
    </row>
    <row r="79" spans="2:6" x14ac:dyDescent="0.25">
      <c r="D79" s="9" t="s">
        <v>36</v>
      </c>
      <c r="E79" s="9"/>
    </row>
  </sheetData>
  <mergeCells count="2">
    <mergeCell ref="A21:D21"/>
    <mergeCell ref="A26:D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2B2CCA9EA44408DC94AEDCA7604D0" ma:contentTypeVersion="9" ma:contentTypeDescription="Create a new document." ma:contentTypeScope="" ma:versionID="3f3c4f045fc783a6cb35318fe77d1aff">
  <xsd:schema xmlns:xsd="http://www.w3.org/2001/XMLSchema" xmlns:xs="http://www.w3.org/2001/XMLSchema" xmlns:p="http://schemas.microsoft.com/office/2006/metadata/properties" xmlns:ns3="40b00b73-9f74-4bf7-aa5e-94909e149d3c" xmlns:ns4="b19fb536-88f2-4007-bcd4-3c177fcb69c2" targetNamespace="http://schemas.microsoft.com/office/2006/metadata/properties" ma:root="true" ma:fieldsID="6872b4ded9539d95f39cb85232165a33" ns3:_="" ns4:_="">
    <xsd:import namespace="40b00b73-9f74-4bf7-aa5e-94909e149d3c"/>
    <xsd:import namespace="b19fb536-88f2-4007-bcd4-3c177fcb69c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b00b73-9f74-4bf7-aa5e-94909e149d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fb536-88f2-4007-bcd4-3c177fcb69c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b00b73-9f74-4bf7-aa5e-94909e149d3c" xsi:nil="true"/>
  </documentManagement>
</p:properties>
</file>

<file path=customXml/itemProps1.xml><?xml version="1.0" encoding="utf-8"?>
<ds:datastoreItem xmlns:ds="http://schemas.openxmlformats.org/officeDocument/2006/customXml" ds:itemID="{511188CD-2B29-4107-A528-9CA5CA07B0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b00b73-9f74-4bf7-aa5e-94909e149d3c"/>
    <ds:schemaRef ds:uri="b19fb536-88f2-4007-bcd4-3c177fcb69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D950D9-9108-4A46-B965-86D0E3F4E6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E8F6E7-6C72-4A70-8730-C3368654D0D2}">
  <ds:schemaRefs>
    <ds:schemaRef ds:uri="http://purl.org/dc/elements/1.1/"/>
    <ds:schemaRef ds:uri="b19fb536-88f2-4007-bcd4-3c177fcb69c2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40b00b73-9f74-4bf7-aa5e-94909e149d3c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lab5 stat</dc:creator>
  <cp:lastModifiedBy>lab5 stat</cp:lastModifiedBy>
  <dcterms:created xsi:type="dcterms:W3CDTF">2025-10-01T17:30:16Z</dcterms:created>
  <dcterms:modified xsi:type="dcterms:W3CDTF">2025-10-01T18:31:41Z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0x0101007CE2B2CCA9EA44408DC94AEDCA7604D0</vt:lpwstr>
  </property>
</Properties>
</file>