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tatLab\Desktop\Tanya MSc\Multivairate Analysis\"/>
    </mc:Choice>
  </mc:AlternateContent>
  <xr:revisionPtr revIDLastSave="0" documentId="13_ncr:1_{BF280B69-9AD4-46C7-8FC0-5A6C712CAD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6" i="1"/>
  <c r="F12" i="1"/>
  <c r="F21" i="1"/>
  <c r="E8" i="1"/>
  <c r="E3" i="1"/>
  <c r="E4" i="1"/>
  <c r="F4" i="1" s="1"/>
  <c r="E5" i="1"/>
  <c r="F5" i="1" s="1"/>
  <c r="E6" i="1"/>
  <c r="E7" i="1"/>
  <c r="F7" i="1" s="1"/>
  <c r="E9" i="1"/>
  <c r="F9" i="1" s="1"/>
  <c r="E10" i="1"/>
  <c r="F10" i="1" s="1"/>
  <c r="E11" i="1"/>
  <c r="F11" i="1" s="1"/>
  <c r="E12" i="1"/>
  <c r="E13" i="1"/>
  <c r="E14" i="1"/>
  <c r="F14" i="1" s="1"/>
  <c r="E15" i="1"/>
  <c r="F15" i="1" s="1"/>
  <c r="E16" i="1"/>
  <c r="F16" i="1" s="1"/>
  <c r="E17" i="1"/>
  <c r="E18" i="1"/>
  <c r="F18" i="1" s="1"/>
  <c r="E19" i="1"/>
  <c r="E20" i="1"/>
  <c r="E21" i="1"/>
  <c r="E22" i="1"/>
  <c r="I50" i="1"/>
  <c r="I51" i="1" s="1"/>
  <c r="I49" i="1"/>
</calcChain>
</file>

<file path=xl/sharedStrings.xml><?xml version="1.0" encoding="utf-8"?>
<sst xmlns="http://schemas.openxmlformats.org/spreadsheetml/2006/main" count="51" uniqueCount="45">
  <si>
    <t>x1</t>
  </si>
  <si>
    <t>x2</t>
  </si>
  <si>
    <t>Glucose</t>
  </si>
  <si>
    <t>BP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</si>
  <si>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</si>
  <si>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</si>
  <si>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</si>
  <si>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</si>
  <si>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</si>
  <si>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</si>
  <si>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</si>
  <si>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</si>
  <si>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</si>
  <si>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</si>
  <si>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</si>
  <si>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</si>
  <si>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</si>
  <si>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</si>
  <si>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</si>
  <si>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</si>
  <si>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</si>
  <si>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</si>
  <si>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</si>
  <si>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</si>
  <si>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</si>
  <si>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</si>
  <si>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</si>
  <si>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</si>
  <si>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</si>
  <si>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</si>
  <si>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RESIDUAL OUTPUT</t>
  </si>
  <si>
    <t>Observation</t>
  </si>
  <si>
    <t>Predicted Y</t>
  </si>
  <si>
    <t>Residuals</t>
  </si>
  <si>
    <t>Standard Residuals</t>
  </si>
  <si>
    <t>PROBABILITY OUTPUT</t>
  </si>
  <si>
    <t>Percentile</t>
  </si>
  <si>
    <t>Y</t>
  </si>
  <si>
    <t>Mean(Y(cap)1</t>
  </si>
  <si>
    <t>Mean(Y(cap)2</t>
  </si>
  <si>
    <t>c=(n1y1+n2y2)/n1+n2</t>
  </si>
  <si>
    <t>cut off point</t>
  </si>
  <si>
    <t>MISSCLASSIFICATION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</si>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</sst>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Sheet1!$B$3:$B$22</c:f>
              <c:numCache>
                <c:formatCode>General</c:formatCode>
                <c:ptCount val="20"/>
                <c:pt idx="0">
                  <c:v>172</c:v>
                </c:pt>
                <c:pt idx="1">
                  <c:v>222</c:v>
                </c:pt>
                <c:pt idx="2">
                  <c:v>110</c:v>
                </c:pt>
                <c:pt idx="3">
                  <c:v>133</c:v>
                </c:pt>
                <c:pt idx="4">
                  <c:v>366</c:v>
                </c:pt>
                <c:pt idx="5">
                  <c:v>181</c:v>
                </c:pt>
                <c:pt idx="6">
                  <c:v>185</c:v>
                </c:pt>
                <c:pt idx="7">
                  <c:v>144</c:v>
                </c:pt>
                <c:pt idx="8">
                  <c:v>244</c:v>
                </c:pt>
                <c:pt idx="9">
                  <c:v>241</c:v>
                </c:pt>
                <c:pt idx="10">
                  <c:v>329</c:v>
                </c:pt>
                <c:pt idx="11">
                  <c:v>314</c:v>
                </c:pt>
                <c:pt idx="12">
                  <c:v>228</c:v>
                </c:pt>
                <c:pt idx="13">
                  <c:v>215</c:v>
                </c:pt>
                <c:pt idx="14">
                  <c:v>153</c:v>
                </c:pt>
                <c:pt idx="15">
                  <c:v>179</c:v>
                </c:pt>
                <c:pt idx="16">
                  <c:v>156</c:v>
                </c:pt>
                <c:pt idx="17">
                  <c:v>196</c:v>
                </c:pt>
                <c:pt idx="18">
                  <c:v>253</c:v>
                </c:pt>
                <c:pt idx="19">
                  <c:v>208</c:v>
                </c:pt>
              </c:numCache>
            </c:numRef>
          </c:xVal>
          <c:yVal>
            <c:numRef>
              <c:f>Sheet1!$J$28:$J$47</c:f>
              <c:numCache>
                <c:formatCode>General</c:formatCode>
                <c:ptCount val="20"/>
                <c:pt idx="0">
                  <c:v>-0.31099626757066323</c:v>
                </c:pt>
                <c:pt idx="1">
                  <c:v>-0.42231491408773669</c:v>
                </c:pt>
                <c:pt idx="2">
                  <c:v>-0.32224849653792065</c:v>
                </c:pt>
                <c:pt idx="3">
                  <c:v>-0.37354802994489544</c:v>
                </c:pt>
                <c:pt idx="4">
                  <c:v>-0.44805615512489427</c:v>
                </c:pt>
                <c:pt idx="5">
                  <c:v>-0.76634661465767806</c:v>
                </c:pt>
                <c:pt idx="6">
                  <c:v>-0.39627045719246712</c:v>
                </c:pt>
                <c:pt idx="7">
                  <c:v>-0.42657562697881835</c:v>
                </c:pt>
                <c:pt idx="8">
                  <c:v>-0.45865310131478454</c:v>
                </c:pt>
                <c:pt idx="9">
                  <c:v>-0.48116216938777412</c:v>
                </c:pt>
                <c:pt idx="10">
                  <c:v>0.21313596597020057</c:v>
                </c:pt>
                <c:pt idx="11">
                  <c:v>0.2446724397429012</c:v>
                </c:pt>
                <c:pt idx="12">
                  <c:v>0.23925968443385459</c:v>
                </c:pt>
                <c:pt idx="13">
                  <c:v>0.3268577742836849</c:v>
                </c:pt>
                <c:pt idx="14">
                  <c:v>0.61306477450383157</c:v>
                </c:pt>
                <c:pt idx="15">
                  <c:v>0.38209498933153263</c:v>
                </c:pt>
                <c:pt idx="16">
                  <c:v>0.80754245945078895</c:v>
                </c:pt>
                <c:pt idx="17">
                  <c:v>0.68084035854309954</c:v>
                </c:pt>
                <c:pt idx="18">
                  <c:v>0.38577968101363158</c:v>
                </c:pt>
                <c:pt idx="19">
                  <c:v>0.51292370552410604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C7-4834-BC71-92B35F38D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186736"/>
        <c:axId val="1274171376"/>
      </c:scatterChart>
      <c:valAx>
        <c:axId val="127418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171376"/>
        <c:crosses val="autoZero"/>
        <c:crossBetween val="midCat"/>
      </c:valAx>
      <c:valAx>
        <c:axId val="1274171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18673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Sheet1!$C$3:$C$22</c:f>
              <c:numCache>
                <c:formatCode>General</c:formatCode>
                <c:ptCount val="20"/>
                <c:pt idx="0">
                  <c:v>174</c:v>
                </c:pt>
                <c:pt idx="1">
                  <c:v>200</c:v>
                </c:pt>
                <c:pt idx="2">
                  <c:v>206</c:v>
                </c:pt>
                <c:pt idx="3">
                  <c:v>218</c:v>
                </c:pt>
                <c:pt idx="4">
                  <c:v>148</c:v>
                </c:pt>
                <c:pt idx="5">
                  <c:v>366</c:v>
                </c:pt>
                <c:pt idx="6">
                  <c:v>205</c:v>
                </c:pt>
                <c:pt idx="7">
                  <c:v>236</c:v>
                </c:pt>
                <c:pt idx="8">
                  <c:v>206</c:v>
                </c:pt>
                <c:pt idx="9">
                  <c:v>217</c:v>
                </c:pt>
                <c:pt idx="10">
                  <c:v>310</c:v>
                </c:pt>
                <c:pt idx="11">
                  <c:v>303</c:v>
                </c:pt>
                <c:pt idx="12">
                  <c:v>343</c:v>
                </c:pt>
                <c:pt idx="13">
                  <c:v>311</c:v>
                </c:pt>
                <c:pt idx="14">
                  <c:v>215</c:v>
                </c:pt>
                <c:pt idx="15">
                  <c:v>303</c:v>
                </c:pt>
                <c:pt idx="16">
                  <c:v>130</c:v>
                </c:pt>
                <c:pt idx="17">
                  <c:v>167</c:v>
                </c:pt>
                <c:pt idx="18">
                  <c:v>269</c:v>
                </c:pt>
                <c:pt idx="19">
                  <c:v>234</c:v>
                </c:pt>
              </c:numCache>
            </c:numRef>
          </c:xVal>
          <c:yVal>
            <c:numRef>
              <c:f>Sheet1!$J$28:$J$47</c:f>
              <c:numCache>
                <c:formatCode>General</c:formatCode>
                <c:ptCount val="20"/>
                <c:pt idx="0">
                  <c:v>-0.31099626757066323</c:v>
                </c:pt>
                <c:pt idx="1">
                  <c:v>-0.42231491408773669</c:v>
                </c:pt>
                <c:pt idx="2">
                  <c:v>-0.32224849653792065</c:v>
                </c:pt>
                <c:pt idx="3">
                  <c:v>-0.37354802994489544</c:v>
                </c:pt>
                <c:pt idx="4">
                  <c:v>-0.44805615512489427</c:v>
                </c:pt>
                <c:pt idx="5">
                  <c:v>-0.76634661465767806</c:v>
                </c:pt>
                <c:pt idx="6">
                  <c:v>-0.39627045719246712</c:v>
                </c:pt>
                <c:pt idx="7">
                  <c:v>-0.42657562697881835</c:v>
                </c:pt>
                <c:pt idx="8">
                  <c:v>-0.45865310131478454</c:v>
                </c:pt>
                <c:pt idx="9">
                  <c:v>-0.48116216938777412</c:v>
                </c:pt>
                <c:pt idx="10">
                  <c:v>0.21313596597020057</c:v>
                </c:pt>
                <c:pt idx="11">
                  <c:v>0.2446724397429012</c:v>
                </c:pt>
                <c:pt idx="12">
                  <c:v>0.23925968443385459</c:v>
                </c:pt>
                <c:pt idx="13">
                  <c:v>0.3268577742836849</c:v>
                </c:pt>
                <c:pt idx="14">
                  <c:v>0.61306477450383157</c:v>
                </c:pt>
                <c:pt idx="15">
                  <c:v>0.38209498933153263</c:v>
                </c:pt>
                <c:pt idx="16">
                  <c:v>0.80754245945078895</c:v>
                </c:pt>
                <c:pt idx="17">
                  <c:v>0.68084035854309954</c:v>
                </c:pt>
                <c:pt idx="18">
                  <c:v>0.38577968101363158</c:v>
                </c:pt>
                <c:pt idx="19">
                  <c:v>0.51292370552410604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3D-4D59-87B2-68D11866B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186736"/>
        <c:axId val="1274186256"/>
      </c:scatterChart>
      <c:valAx>
        <c:axId val="127418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186256"/>
        <c:crosses val="autoZero"/>
        <c:crossBetween val="midCat"/>
      </c:valAx>
      <c:valAx>
        <c:axId val="12741862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18673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Sheet1!$B$3:$B$22</c:f>
              <c:numCache>
                <c:formatCode>General</c:formatCode>
                <c:ptCount val="20"/>
                <c:pt idx="0">
                  <c:v>172</c:v>
                </c:pt>
                <c:pt idx="1">
                  <c:v>222</c:v>
                </c:pt>
                <c:pt idx="2">
                  <c:v>110</c:v>
                </c:pt>
                <c:pt idx="3">
                  <c:v>133</c:v>
                </c:pt>
                <c:pt idx="4">
                  <c:v>366</c:v>
                </c:pt>
                <c:pt idx="5">
                  <c:v>181</c:v>
                </c:pt>
                <c:pt idx="6">
                  <c:v>185</c:v>
                </c:pt>
                <c:pt idx="7">
                  <c:v>144</c:v>
                </c:pt>
                <c:pt idx="8">
                  <c:v>244</c:v>
                </c:pt>
                <c:pt idx="9">
                  <c:v>241</c:v>
                </c:pt>
                <c:pt idx="10">
                  <c:v>329</c:v>
                </c:pt>
                <c:pt idx="11">
                  <c:v>314</c:v>
                </c:pt>
                <c:pt idx="12">
                  <c:v>228</c:v>
                </c:pt>
                <c:pt idx="13">
                  <c:v>215</c:v>
                </c:pt>
                <c:pt idx="14">
                  <c:v>153</c:v>
                </c:pt>
                <c:pt idx="15">
                  <c:v>179</c:v>
                </c:pt>
                <c:pt idx="16">
                  <c:v>156</c:v>
                </c:pt>
                <c:pt idx="17">
                  <c:v>196</c:v>
                </c:pt>
                <c:pt idx="18">
                  <c:v>253</c:v>
                </c:pt>
                <c:pt idx="19">
                  <c:v>208</c:v>
                </c:pt>
              </c:numCache>
            </c:numRef>
          </c:xVal>
          <c:yVal>
            <c:numRef>
              <c:f>Sheet1!$A$3:$A$22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19-40C8-86EA-CD962A656B65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Sheet1!$B$3:$B$22</c:f>
              <c:numCache>
                <c:formatCode>General</c:formatCode>
                <c:ptCount val="20"/>
                <c:pt idx="0">
                  <c:v>172</c:v>
                </c:pt>
                <c:pt idx="1">
                  <c:v>222</c:v>
                </c:pt>
                <c:pt idx="2">
                  <c:v>110</c:v>
                </c:pt>
                <c:pt idx="3">
                  <c:v>133</c:v>
                </c:pt>
                <c:pt idx="4">
                  <c:v>366</c:v>
                </c:pt>
                <c:pt idx="5">
                  <c:v>181</c:v>
                </c:pt>
                <c:pt idx="6">
                  <c:v>185</c:v>
                </c:pt>
                <c:pt idx="7">
                  <c:v>144</c:v>
                </c:pt>
                <c:pt idx="8">
                  <c:v>244</c:v>
                </c:pt>
                <c:pt idx="9">
                  <c:v>241</c:v>
                </c:pt>
                <c:pt idx="10">
                  <c:v>329</c:v>
                </c:pt>
                <c:pt idx="11">
                  <c:v>314</c:v>
                </c:pt>
                <c:pt idx="12">
                  <c:v>228</c:v>
                </c:pt>
                <c:pt idx="13">
                  <c:v>215</c:v>
                </c:pt>
                <c:pt idx="14">
                  <c:v>153</c:v>
                </c:pt>
                <c:pt idx="15">
                  <c:v>179</c:v>
                </c:pt>
                <c:pt idx="16">
                  <c:v>156</c:v>
                </c:pt>
                <c:pt idx="17">
                  <c:v>196</c:v>
                </c:pt>
                <c:pt idx="18">
                  <c:v>253</c:v>
                </c:pt>
                <c:pt idx="19">
                  <c:v>208</c:v>
                </c:pt>
              </c:numCache>
            </c:numRef>
          </c:xVal>
          <c:yVal>
            <c:numRef>
              <c:f>Sheet1!$I$28:$I$47</c:f>
              <c:numCache>
                <c:formatCode>General</c:formatCode>
                <c:ptCount val="20"/>
                <c:pt idx="0">
                  <c:v>1.3109962675706632</c:v>
                </c:pt>
                <c:pt idx="1">
                  <c:v>1.4223149140877367</c:v>
                </c:pt>
                <c:pt idx="2">
                  <c:v>1.3222484965379206</c:v>
                </c:pt>
                <c:pt idx="3">
                  <c:v>1.3735480299448954</c:v>
                </c:pt>
                <c:pt idx="4">
                  <c:v>1.4480561551248943</c:v>
                </c:pt>
                <c:pt idx="5">
                  <c:v>1.7663466146576781</c:v>
                </c:pt>
                <c:pt idx="6">
                  <c:v>1.3962704571924671</c:v>
                </c:pt>
                <c:pt idx="7">
                  <c:v>1.4265756269788183</c:v>
                </c:pt>
                <c:pt idx="8">
                  <c:v>1.4586531013147845</c:v>
                </c:pt>
                <c:pt idx="9">
                  <c:v>1.4811621693877741</c:v>
                </c:pt>
                <c:pt idx="10">
                  <c:v>1.7868640340297994</c:v>
                </c:pt>
                <c:pt idx="11">
                  <c:v>1.7553275602570988</c:v>
                </c:pt>
                <c:pt idx="12">
                  <c:v>1.7607403155661454</c:v>
                </c:pt>
                <c:pt idx="13">
                  <c:v>1.6731422257163151</c:v>
                </c:pt>
                <c:pt idx="14">
                  <c:v>1.3869352254961684</c:v>
                </c:pt>
                <c:pt idx="15">
                  <c:v>1.6179050106684674</c:v>
                </c:pt>
                <c:pt idx="16">
                  <c:v>1.192457540549211</c:v>
                </c:pt>
                <c:pt idx="17">
                  <c:v>1.3191596414569005</c:v>
                </c:pt>
                <c:pt idx="18">
                  <c:v>1.6142203189863684</c:v>
                </c:pt>
                <c:pt idx="19">
                  <c:v>1.487076294475894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19-40C8-86EA-CD962A656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161776"/>
        <c:axId val="1274172336"/>
      </c:scatterChart>
      <c:valAx>
        <c:axId val="1274161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172336"/>
        <c:crosses val="autoZero"/>
        <c:crossBetween val="midCat"/>
      </c:valAx>
      <c:valAx>
        <c:axId val="1274172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1617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Sheet1!$C$3:$C$22</c:f>
              <c:numCache>
                <c:formatCode>General</c:formatCode>
                <c:ptCount val="20"/>
                <c:pt idx="0">
                  <c:v>174</c:v>
                </c:pt>
                <c:pt idx="1">
                  <c:v>200</c:v>
                </c:pt>
                <c:pt idx="2">
                  <c:v>206</c:v>
                </c:pt>
                <c:pt idx="3">
                  <c:v>218</c:v>
                </c:pt>
                <c:pt idx="4">
                  <c:v>148</c:v>
                </c:pt>
                <c:pt idx="5">
                  <c:v>366</c:v>
                </c:pt>
                <c:pt idx="6">
                  <c:v>205</c:v>
                </c:pt>
                <c:pt idx="7">
                  <c:v>236</c:v>
                </c:pt>
                <c:pt idx="8">
                  <c:v>206</c:v>
                </c:pt>
                <c:pt idx="9">
                  <c:v>217</c:v>
                </c:pt>
                <c:pt idx="10">
                  <c:v>310</c:v>
                </c:pt>
                <c:pt idx="11">
                  <c:v>303</c:v>
                </c:pt>
                <c:pt idx="12">
                  <c:v>343</c:v>
                </c:pt>
                <c:pt idx="13">
                  <c:v>311</c:v>
                </c:pt>
                <c:pt idx="14">
                  <c:v>215</c:v>
                </c:pt>
                <c:pt idx="15">
                  <c:v>303</c:v>
                </c:pt>
                <c:pt idx="16">
                  <c:v>130</c:v>
                </c:pt>
                <c:pt idx="17">
                  <c:v>167</c:v>
                </c:pt>
                <c:pt idx="18">
                  <c:v>269</c:v>
                </c:pt>
                <c:pt idx="19">
                  <c:v>234</c:v>
                </c:pt>
              </c:numCache>
            </c:numRef>
          </c:xVal>
          <c:yVal>
            <c:numRef>
              <c:f>Sheet1!$A$3:$A$22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CD-4F8E-A419-FF920E342371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Sheet1!$C$3:$C$22</c:f>
              <c:numCache>
                <c:formatCode>General</c:formatCode>
                <c:ptCount val="20"/>
                <c:pt idx="0">
                  <c:v>174</c:v>
                </c:pt>
                <c:pt idx="1">
                  <c:v>200</c:v>
                </c:pt>
                <c:pt idx="2">
                  <c:v>206</c:v>
                </c:pt>
                <c:pt idx="3">
                  <c:v>218</c:v>
                </c:pt>
                <c:pt idx="4">
                  <c:v>148</c:v>
                </c:pt>
                <c:pt idx="5">
                  <c:v>366</c:v>
                </c:pt>
                <c:pt idx="6">
                  <c:v>205</c:v>
                </c:pt>
                <c:pt idx="7">
                  <c:v>236</c:v>
                </c:pt>
                <c:pt idx="8">
                  <c:v>206</c:v>
                </c:pt>
                <c:pt idx="9">
                  <c:v>217</c:v>
                </c:pt>
                <c:pt idx="10">
                  <c:v>310</c:v>
                </c:pt>
                <c:pt idx="11">
                  <c:v>303</c:v>
                </c:pt>
                <c:pt idx="12">
                  <c:v>343</c:v>
                </c:pt>
                <c:pt idx="13">
                  <c:v>311</c:v>
                </c:pt>
                <c:pt idx="14">
                  <c:v>215</c:v>
                </c:pt>
                <c:pt idx="15">
                  <c:v>303</c:v>
                </c:pt>
                <c:pt idx="16">
                  <c:v>130</c:v>
                </c:pt>
                <c:pt idx="17">
                  <c:v>167</c:v>
                </c:pt>
                <c:pt idx="18">
                  <c:v>269</c:v>
                </c:pt>
                <c:pt idx="19">
                  <c:v>234</c:v>
                </c:pt>
              </c:numCache>
            </c:numRef>
          </c:xVal>
          <c:yVal>
            <c:numRef>
              <c:f>Sheet1!$I$28:$I$47</c:f>
              <c:numCache>
                <c:formatCode>General</c:formatCode>
                <c:ptCount val="20"/>
                <c:pt idx="0">
                  <c:v>1.3109962675706632</c:v>
                </c:pt>
                <c:pt idx="1">
                  <c:v>1.4223149140877367</c:v>
                </c:pt>
                <c:pt idx="2">
                  <c:v>1.3222484965379206</c:v>
                </c:pt>
                <c:pt idx="3">
                  <c:v>1.3735480299448954</c:v>
                </c:pt>
                <c:pt idx="4">
                  <c:v>1.4480561551248943</c:v>
                </c:pt>
                <c:pt idx="5">
                  <c:v>1.7663466146576781</c:v>
                </c:pt>
                <c:pt idx="6">
                  <c:v>1.3962704571924671</c:v>
                </c:pt>
                <c:pt idx="7">
                  <c:v>1.4265756269788183</c:v>
                </c:pt>
                <c:pt idx="8">
                  <c:v>1.4586531013147845</c:v>
                </c:pt>
                <c:pt idx="9">
                  <c:v>1.4811621693877741</c:v>
                </c:pt>
                <c:pt idx="10">
                  <c:v>1.7868640340297994</c:v>
                </c:pt>
                <c:pt idx="11">
                  <c:v>1.7553275602570988</c:v>
                </c:pt>
                <c:pt idx="12">
                  <c:v>1.7607403155661454</c:v>
                </c:pt>
                <c:pt idx="13">
                  <c:v>1.6731422257163151</c:v>
                </c:pt>
                <c:pt idx="14">
                  <c:v>1.3869352254961684</c:v>
                </c:pt>
                <c:pt idx="15">
                  <c:v>1.6179050106684674</c:v>
                </c:pt>
                <c:pt idx="16">
                  <c:v>1.192457540549211</c:v>
                </c:pt>
                <c:pt idx="17">
                  <c:v>1.3191596414569005</c:v>
                </c:pt>
                <c:pt idx="18">
                  <c:v>1.6142203189863684</c:v>
                </c:pt>
                <c:pt idx="19">
                  <c:v>1.487076294475894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CD-4F8E-A419-FF920E342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173776"/>
        <c:axId val="1274195376"/>
      </c:scatterChart>
      <c:valAx>
        <c:axId val="1274173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195376"/>
        <c:crosses val="autoZero"/>
        <c:crossBetween val="midCat"/>
      </c:valAx>
      <c:valAx>
        <c:axId val="1274195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1737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Sheet1!$M$28:$M$47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Sheet1!$N$28:$N$47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40-4C6B-AB48-CA86ABB6E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193456"/>
        <c:axId val="1274192976"/>
      </c:scatterChart>
      <c:valAx>
        <c:axId val="1274193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192976"/>
        <c:crosses val="autoZero"/>
        <c:crossBetween val="midCat"/>
      </c:valAx>
      <c:valAx>
        <c:axId val="1274192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19345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581025</xdr:colOff>
      <xdr:row>3</xdr:row>
      <xdr:rowOff>152400</xdr:rowOff>
    </xdr:from>
    <xdr:to>
      <xdr:col>22</xdr:col>
      <xdr:colOff>581025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EAED7-7C92-C6B2-3859-3290DC198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209550</xdr:colOff>
      <xdr:row>17</xdr:row>
      <xdr:rowOff>28575</xdr:rowOff>
    </xdr:from>
    <xdr:to>
      <xdr:col>23</xdr:col>
      <xdr:colOff>209550</xdr:colOff>
      <xdr:row>27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976068-4837-238D-2C5F-7B6C35C2A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76200</xdr:colOff>
      <xdr:row>13</xdr:row>
      <xdr:rowOff>114300</xdr:rowOff>
    </xdr:from>
    <xdr:to>
      <xdr:col>31</xdr:col>
      <xdr:colOff>76200</xdr:colOff>
      <xdr:row>23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C8407B-82AA-F7B3-3E1A-FB26A8D06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38100</xdr:colOff>
      <xdr:row>1</xdr:row>
      <xdr:rowOff>180975</xdr:rowOff>
    </xdr:from>
    <xdr:to>
      <xdr:col>31</xdr:col>
      <xdr:colOff>38100</xdr:colOff>
      <xdr:row>12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D2415F-DB07-8DB1-DF30-1C4D52EB5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190500</xdr:colOff>
      <xdr:row>24</xdr:row>
      <xdr:rowOff>180975</xdr:rowOff>
    </xdr:from>
    <xdr:to>
      <xdr:col>31</xdr:col>
      <xdr:colOff>190500</xdr:colOff>
      <xdr:row>35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556D65-5358-C7CA-7E73-52DCDCF42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zoomScale="106" zoomScaleNormal="106" workbookViewId="0">
      <selection activeCell="F29" sqref="F29"/>
    </sheetView>
  </sheetViews>
  <sheetFormatPr defaultRowHeight="15" x14ac:dyDescent="0.25"/>
  <cols>
    <col min="1" max="1" width="8" bestFit="1" customWidth="1"/>
    <col min="2" max="2" width="8" customWidth="1"/>
    <col min="3" max="3" width="9.5703125" customWidth="1"/>
    <col min="4" max="4" width="12.85546875" bestFit="1" customWidth="1"/>
    <col min="5" max="5" width="12.85546875" customWidth="1"/>
    <col min="6" max="6" width="19.85546875" bestFit="1" customWidth="1"/>
    <col min="7" max="7" width="19.85546875" customWidth="1"/>
    <col min="8" max="8" width="20.28515625" bestFit="1" customWidth="1"/>
    <col min="9" max="9" width="12" bestFit="1" customWidth="1"/>
    <col min="10" max="10" width="14.5703125" bestFit="1" customWidth="1"/>
    <col min="11" max="11" width="18.5703125" bestFit="1" customWidth="1"/>
    <col min="12" max="12" width="12" bestFit="1" customWidth="1"/>
    <col min="13" max="13" width="20.140625" bestFit="1" customWidth="1"/>
    <col min="14" max="14" width="12" bestFit="1" customWidth="1"/>
    <col min="15" max="15" width="12.7109375" bestFit="1" customWidth="1"/>
    <col min="16" max="16" width="12.5703125" bestFit="1" customWidth="1"/>
  </cols>
  <sheetData>
    <row r="1" spans="1:13" ht="15.75" thickBot="1" x14ac:dyDescent="0.3">
      <c r="B1" t="s">
        <v>2</v>
      </c>
      <c r="C1" t="s">
        <v>3</v>
      </c>
    </row>
    <row r="2" spans="1:13" x14ac:dyDescent="0.25">
      <c r="B2" t="s">
        <v>0</v>
      </c>
      <c r="C2" t="s">
        <v>1</v>
      </c>
      <c r="D2" s="3" t="s">
        <v>32</v>
      </c>
      <c r="E2" s="5"/>
      <c r="F2" t="s">
        <v>42</v>
      </c>
    </row>
    <row r="3" spans="1:13" x14ac:dyDescent="0.25">
      <c r="A3">
        <v>1</v>
      </c>
      <c r="B3">
        <v>172</v>
      </c>
      <c r="C3">
        <v>174</v>
      </c>
      <c r="D3" s="1">
        <v>1.3109962675706632</v>
      </c>
      <c r="E3" s="1" t="str">
        <f>IF(D3&lt;1.5,"1","2")</f>
        <v>1</v>
      </c>
      <c r="F3" t="str">
        <f>IF(A3=E3,"YES","NO")</f>
        <v>NO</v>
      </c>
      <c r="H3" t="s">
        <v>4</v>
      </c>
    </row>
    <row r="4" spans="1:13" ht="15.75" thickBot="1" x14ac:dyDescent="0.3">
      <c r="A4">
        <v>1</v>
      </c>
      <c r="B4">
        <v>222</v>
      </c>
      <c r="C4">
        <v>200</v>
      </c>
      <c r="D4" s="1">
        <v>1.4223149140877367</v>
      </c>
      <c r="E4" s="1" t="str">
        <f t="shared" ref="E4:E22" si="0">IF(D4&lt;1.5,"1","2")</f>
        <v>1</v>
      </c>
      <c r="F4" t="str">
        <f t="shared" ref="F4:F21" si="1">IF(A4=E4,"YES","NO")</f>
        <v>NO</v>
      </c>
    </row>
    <row r="5" spans="1:13" x14ac:dyDescent="0.25">
      <c r="A5">
        <v>1</v>
      </c>
      <c r="B5">
        <v>110</v>
      </c>
      <c r="C5">
        <v>206</v>
      </c>
      <c r="D5" s="1">
        <v>1.3222484965379206</v>
      </c>
      <c r="E5" s="1" t="str">
        <f t="shared" si="0"/>
        <v>1</v>
      </c>
      <c r="F5" t="str">
        <f t="shared" si="1"/>
        <v>NO</v>
      </c>
      <c r="H5" s="4" t="s">
        <v>5</v>
      </c>
      <c r="I5" s="4"/>
    </row>
    <row r="6" spans="1:13" x14ac:dyDescent="0.25">
      <c r="A6">
        <v>1</v>
      </c>
      <c r="B6">
        <v>133</v>
      </c>
      <c r="C6">
        <v>218</v>
      </c>
      <c r="D6" s="1">
        <v>1.3735480299448954</v>
      </c>
      <c r="E6" s="1" t="str">
        <f t="shared" si="0"/>
        <v>1</v>
      </c>
      <c r="F6" t="str">
        <f t="shared" si="1"/>
        <v>NO</v>
      </c>
      <c r="H6" s="1" t="s">
        <v>6</v>
      </c>
      <c r="I6" s="1">
        <v>0.34462390143527993</v>
      </c>
    </row>
    <row r="7" spans="1:13" x14ac:dyDescent="0.25">
      <c r="A7">
        <v>1</v>
      </c>
      <c r="B7">
        <v>366</v>
      </c>
      <c r="C7">
        <v>148</v>
      </c>
      <c r="D7" s="1">
        <v>1.4480561551248943</v>
      </c>
      <c r="E7" s="1" t="str">
        <f t="shared" si="0"/>
        <v>1</v>
      </c>
      <c r="F7" t="str">
        <f t="shared" si="1"/>
        <v>NO</v>
      </c>
      <c r="H7" s="1" t="s">
        <v>7</v>
      </c>
      <c r="I7" s="1">
        <v>0.11876563344047356</v>
      </c>
    </row>
    <row r="8" spans="1:13" x14ac:dyDescent="0.25">
      <c r="A8">
        <v>1</v>
      </c>
      <c r="B8">
        <v>181</v>
      </c>
      <c r="C8">
        <v>366</v>
      </c>
      <c r="D8" s="1">
        <v>1.7663466146576781</v>
      </c>
      <c r="E8" s="1" t="str">
        <f>IF(D8&lt;1.5,"1","2")</f>
        <v>2</v>
      </c>
      <c r="F8" t="s">
        <v>43</v>
      </c>
      <c r="H8" s="1" t="s">
        <v>8</v>
      </c>
      <c r="I8" s="1">
        <v>1.5091002080529256E-2</v>
      </c>
    </row>
    <row r="9" spans="1:13" x14ac:dyDescent="0.25">
      <c r="A9">
        <v>1</v>
      </c>
      <c r="B9">
        <v>185</v>
      </c>
      <c r="C9">
        <v>205</v>
      </c>
      <c r="D9" s="1">
        <v>1.3962704571924671</v>
      </c>
      <c r="E9" s="1" t="str">
        <f t="shared" si="0"/>
        <v>1</v>
      </c>
      <c r="F9" t="str">
        <f t="shared" si="1"/>
        <v>NO</v>
      </c>
      <c r="H9" s="1" t="s">
        <v>9</v>
      </c>
      <c r="I9" s="1">
        <v>0.50910370102746327</v>
      </c>
    </row>
    <row r="10" spans="1:13" ht="15.75" thickBot="1" x14ac:dyDescent="0.3">
      <c r="A10">
        <v>1</v>
      </c>
      <c r="B10">
        <v>144</v>
      </c>
      <c r="C10">
        <v>236</v>
      </c>
      <c r="D10" s="1">
        <v>1.4265756269788183</v>
      </c>
      <c r="E10" s="1" t="str">
        <f t="shared" si="0"/>
        <v>1</v>
      </c>
      <c r="F10" t="str">
        <f>IF(A10=E10,"YES","NO")</f>
        <v>NO</v>
      </c>
      <c r="H10" s="2" t="s">
        <v>10</v>
      </c>
      <c r="I10" s="2">
        <v>20</v>
      </c>
    </row>
    <row r="11" spans="1:13" x14ac:dyDescent="0.25">
      <c r="A11">
        <v>1</v>
      </c>
      <c r="B11">
        <v>244</v>
      </c>
      <c r="C11">
        <v>206</v>
      </c>
      <c r="D11" s="1">
        <v>1.4586531013147845</v>
      </c>
      <c r="E11" s="1" t="str">
        <f t="shared" si="0"/>
        <v>1</v>
      </c>
      <c r="F11" t="str">
        <f t="shared" si="1"/>
        <v>NO</v>
      </c>
    </row>
    <row r="12" spans="1:13" ht="15.75" thickBot="1" x14ac:dyDescent="0.3">
      <c r="A12">
        <v>1</v>
      </c>
      <c r="B12">
        <v>241</v>
      </c>
      <c r="C12">
        <v>217</v>
      </c>
      <c r="D12" s="1">
        <v>1.4811621693877741</v>
      </c>
      <c r="E12" s="1" t="str">
        <f t="shared" si="0"/>
        <v>1</v>
      </c>
      <c r="F12" t="str">
        <f t="shared" si="1"/>
        <v>NO</v>
      </c>
      <c r="H12" t="s">
        <v>11</v>
      </c>
    </row>
    <row r="13" spans="1:13" x14ac:dyDescent="0.25">
      <c r="A13">
        <v>2</v>
      </c>
      <c r="B13">
        <v>329</v>
      </c>
      <c r="C13">
        <v>310</v>
      </c>
      <c r="D13" s="1">
        <v>1.7868640340297994</v>
      </c>
      <c r="E13" s="1" t="str">
        <f t="shared" si="0"/>
        <v>2</v>
      </c>
      <c r="F13" t="s">
        <v>44</v>
      </c>
      <c r="H13" s="3"/>
      <c r="I13" s="3" t="s">
        <v>16</v>
      </c>
      <c r="J13" s="3" t="s">
        <v>17</v>
      </c>
      <c r="K13" s="3" t="s">
        <v>18</v>
      </c>
      <c r="L13" s="3" t="s">
        <v>19</v>
      </c>
      <c r="M13" s="3" t="s">
        <v>20</v>
      </c>
    </row>
    <row r="14" spans="1:13" x14ac:dyDescent="0.25">
      <c r="A14">
        <v>2</v>
      </c>
      <c r="B14">
        <v>314</v>
      </c>
      <c r="C14">
        <v>303</v>
      </c>
      <c r="D14" s="1">
        <v>1.7553275602570988</v>
      </c>
      <c r="E14" s="1" t="str">
        <f t="shared" si="0"/>
        <v>2</v>
      </c>
      <c r="F14" t="str">
        <f t="shared" si="1"/>
        <v>NO</v>
      </c>
      <c r="H14" s="1" t="s">
        <v>12</v>
      </c>
      <c r="I14" s="1">
        <v>2</v>
      </c>
      <c r="J14" s="1">
        <v>0.59382816720236775</v>
      </c>
      <c r="K14" s="1">
        <v>0.29691408360118388</v>
      </c>
      <c r="L14" s="1">
        <v>1.145561183894017</v>
      </c>
      <c r="M14" s="1">
        <v>0.34141069123801049</v>
      </c>
    </row>
    <row r="15" spans="1:13" x14ac:dyDescent="0.25">
      <c r="A15">
        <v>2</v>
      </c>
      <c r="B15">
        <v>228</v>
      </c>
      <c r="C15">
        <v>343</v>
      </c>
      <c r="D15" s="1">
        <v>1.7607403155661454</v>
      </c>
      <c r="E15" s="1" t="str">
        <f t="shared" si="0"/>
        <v>2</v>
      </c>
      <c r="F15" t="str">
        <f t="shared" si="1"/>
        <v>NO</v>
      </c>
      <c r="H15" s="1" t="s">
        <v>13</v>
      </c>
      <c r="I15" s="1">
        <v>17</v>
      </c>
      <c r="J15" s="1">
        <v>4.4061718327976322</v>
      </c>
      <c r="K15" s="1">
        <v>0.2591865783998607</v>
      </c>
      <c r="L15" s="1"/>
      <c r="M15" s="1"/>
    </row>
    <row r="16" spans="1:13" ht="15.75" thickBot="1" x14ac:dyDescent="0.3">
      <c r="A16">
        <v>2</v>
      </c>
      <c r="B16">
        <v>215</v>
      </c>
      <c r="C16">
        <v>311</v>
      </c>
      <c r="D16" s="1">
        <v>1.6731422257163151</v>
      </c>
      <c r="E16" s="1" t="str">
        <f t="shared" si="0"/>
        <v>2</v>
      </c>
      <c r="F16" t="str">
        <f t="shared" si="1"/>
        <v>NO</v>
      </c>
      <c r="H16" s="2" t="s">
        <v>14</v>
      </c>
      <c r="I16" s="2">
        <v>19</v>
      </c>
      <c r="J16" s="2">
        <v>5</v>
      </c>
      <c r="K16" s="2"/>
      <c r="L16" s="2"/>
      <c r="M16" s="2"/>
    </row>
    <row r="17" spans="1:16" ht="15.75" thickBot="1" x14ac:dyDescent="0.3">
      <c r="A17">
        <v>2</v>
      </c>
      <c r="B17">
        <v>153</v>
      </c>
      <c r="C17">
        <v>215</v>
      </c>
      <c r="D17" s="1">
        <v>1.3869352254961684</v>
      </c>
      <c r="E17" s="1" t="str">
        <f t="shared" si="0"/>
        <v>1</v>
      </c>
      <c r="F17" t="s">
        <v>43</v>
      </c>
    </row>
    <row r="18" spans="1:16" x14ac:dyDescent="0.25">
      <c r="A18">
        <v>2</v>
      </c>
      <c r="B18">
        <v>179</v>
      </c>
      <c r="C18">
        <v>303</v>
      </c>
      <c r="D18" s="1">
        <v>1.6179050106684674</v>
      </c>
      <c r="E18" s="1" t="str">
        <f t="shared" si="0"/>
        <v>2</v>
      </c>
      <c r="F18" t="str">
        <f t="shared" si="1"/>
        <v>NO</v>
      </c>
      <c r="H18" s="3"/>
      <c r="I18" s="3" t="s">
        <v>21</v>
      </c>
      <c r="J18" s="3" t="s">
        <v>9</v>
      </c>
      <c r="K18" s="3" t="s">
        <v>22</v>
      </c>
      <c r="L18" s="3" t="s">
        <v>23</v>
      </c>
      <c r="M18" s="3" t="s">
        <v>24</v>
      </c>
      <c r="N18" s="3" t="s">
        <v>25</v>
      </c>
      <c r="O18" s="3" t="s">
        <v>26</v>
      </c>
      <c r="P18" s="3" t="s">
        <v>27</v>
      </c>
    </row>
    <row r="19" spans="1:16" x14ac:dyDescent="0.25">
      <c r="A19">
        <v>2</v>
      </c>
      <c r="B19">
        <v>156</v>
      </c>
      <c r="C19">
        <v>130</v>
      </c>
      <c r="D19" s="1">
        <v>1.192457540549211</v>
      </c>
      <c r="E19" s="1" t="str">
        <f t="shared" si="0"/>
        <v>1</v>
      </c>
      <c r="F19" t="s">
        <v>43</v>
      </c>
      <c r="H19" s="1" t="s">
        <v>15</v>
      </c>
      <c r="I19" s="1">
        <v>0.73155112027000202</v>
      </c>
      <c r="J19" s="1">
        <v>0.53502299761055427</v>
      </c>
      <c r="K19" s="1">
        <v>1.3673264953789921</v>
      </c>
      <c r="L19" s="1">
        <v>0.18933096544168004</v>
      </c>
      <c r="M19" s="1">
        <v>-0.39724873458782284</v>
      </c>
      <c r="N19" s="1">
        <v>1.8603509751278269</v>
      </c>
      <c r="O19" s="1">
        <v>-0.39724873458782284</v>
      </c>
      <c r="P19" s="1">
        <v>1.8603509751278269</v>
      </c>
    </row>
    <row r="20" spans="1:16" x14ac:dyDescent="0.25">
      <c r="A20">
        <v>2</v>
      </c>
      <c r="B20">
        <v>196</v>
      </c>
      <c r="C20">
        <v>167</v>
      </c>
      <c r="D20" s="1">
        <v>1.3191596414569005</v>
      </c>
      <c r="E20" s="1" t="str">
        <f t="shared" si="0"/>
        <v>1</v>
      </c>
      <c r="F20" t="s">
        <v>43</v>
      </c>
      <c r="H20" s="1" t="s">
        <v>28</v>
      </c>
      <c r="I20" s="1">
        <v>1.0179448117676403E-3</v>
      </c>
      <c r="J20" s="1">
        <v>1.7765371298593985E-3</v>
      </c>
      <c r="K20" s="1">
        <v>0.57299382864472082</v>
      </c>
      <c r="L20" s="1">
        <v>0.57415051525525573</v>
      </c>
      <c r="M20" s="1">
        <v>-2.7302208994090089E-3</v>
      </c>
      <c r="N20" s="1">
        <v>4.7661105229442891E-3</v>
      </c>
      <c r="O20" s="1">
        <v>-2.7302208994090089E-3</v>
      </c>
      <c r="P20" s="1">
        <v>4.7661105229442891E-3</v>
      </c>
    </row>
    <row r="21" spans="1:16" ht="15.75" thickBot="1" x14ac:dyDescent="0.3">
      <c r="A21">
        <v>2</v>
      </c>
      <c r="B21">
        <v>253</v>
      </c>
      <c r="C21">
        <v>269</v>
      </c>
      <c r="D21" s="1">
        <v>1.6142203189863684</v>
      </c>
      <c r="E21" s="1" t="str">
        <f t="shared" si="0"/>
        <v>2</v>
      </c>
      <c r="F21" t="str">
        <f t="shared" si="1"/>
        <v>NO</v>
      </c>
      <c r="H21" s="2" t="s">
        <v>29</v>
      </c>
      <c r="I21" s="2">
        <v>2.3239002280265931E-3</v>
      </c>
      <c r="J21" s="2">
        <v>1.7985093803318804E-3</v>
      </c>
      <c r="K21" s="2">
        <v>1.2921257200214114</v>
      </c>
      <c r="L21" s="2">
        <v>0.2136031419176066</v>
      </c>
      <c r="M21" s="2">
        <v>-1.4706228794769539E-3</v>
      </c>
      <c r="N21" s="2">
        <v>6.1184233355301397E-3</v>
      </c>
      <c r="O21" s="2">
        <v>-1.4706228794769539E-3</v>
      </c>
      <c r="P21" s="2">
        <v>6.1184233355301397E-3</v>
      </c>
    </row>
    <row r="22" spans="1:16" ht="15.75" thickBot="1" x14ac:dyDescent="0.3">
      <c r="A22">
        <v>2</v>
      </c>
      <c r="B22">
        <v>208</v>
      </c>
      <c r="C22">
        <v>234</v>
      </c>
      <c r="D22" s="2">
        <v>1.487076294475894</v>
      </c>
      <c r="E22" s="1" t="str">
        <f t="shared" si="0"/>
        <v>1</v>
      </c>
      <c r="F22" t="s">
        <v>43</v>
      </c>
    </row>
    <row r="25" spans="1:16" x14ac:dyDescent="0.25">
      <c r="H25" t="s">
        <v>30</v>
      </c>
      <c r="M25" t="s">
        <v>35</v>
      </c>
    </row>
    <row r="26" spans="1:16" ht="15.75" thickBot="1" x14ac:dyDescent="0.3"/>
    <row r="27" spans="1:16" x14ac:dyDescent="0.25">
      <c r="H27" s="3" t="s">
        <v>31</v>
      </c>
      <c r="I27" s="3" t="s">
        <v>32</v>
      </c>
      <c r="J27" s="3" t="s">
        <v>33</v>
      </c>
      <c r="K27" s="3" t="s">
        <v>34</v>
      </c>
      <c r="M27" s="3" t="s">
        <v>36</v>
      </c>
      <c r="N27" s="3" t="s">
        <v>37</v>
      </c>
    </row>
    <row r="28" spans="1:16" x14ac:dyDescent="0.25">
      <c r="H28" s="1">
        <v>1</v>
      </c>
      <c r="I28" s="1">
        <v>1.3109962675706632</v>
      </c>
      <c r="J28" s="1">
        <v>-0.31099626757066323</v>
      </c>
      <c r="K28" s="1">
        <v>-0.64580479076389441</v>
      </c>
      <c r="M28" s="1">
        <v>2.5</v>
      </c>
      <c r="N28" s="1">
        <v>1</v>
      </c>
    </row>
    <row r="29" spans="1:16" x14ac:dyDescent="0.25">
      <c r="H29" s="1">
        <v>2</v>
      </c>
      <c r="I29" s="1">
        <v>1.4223149140877367</v>
      </c>
      <c r="J29" s="1">
        <v>-0.42231491408773669</v>
      </c>
      <c r="K29" s="1">
        <v>-0.87696549177051986</v>
      </c>
      <c r="M29" s="1">
        <v>7.5</v>
      </c>
      <c r="N29" s="1">
        <v>1</v>
      </c>
    </row>
    <row r="30" spans="1:16" x14ac:dyDescent="0.25">
      <c r="H30" s="1">
        <v>3</v>
      </c>
      <c r="I30" s="1">
        <v>1.3222484965379206</v>
      </c>
      <c r="J30" s="1">
        <v>-0.32224849653792065</v>
      </c>
      <c r="K30" s="1">
        <v>-0.66917080550931574</v>
      </c>
      <c r="M30" s="1">
        <v>12.5</v>
      </c>
      <c r="N30" s="1">
        <v>1</v>
      </c>
    </row>
    <row r="31" spans="1:16" x14ac:dyDescent="0.25">
      <c r="H31" s="1">
        <v>4</v>
      </c>
      <c r="I31" s="1">
        <v>1.3735480299448954</v>
      </c>
      <c r="J31" s="1">
        <v>-0.37354802994489544</v>
      </c>
      <c r="K31" s="1">
        <v>-0.77569775741445157</v>
      </c>
      <c r="M31" s="1">
        <v>17.5</v>
      </c>
      <c r="N31" s="1">
        <v>1</v>
      </c>
    </row>
    <row r="32" spans="1:16" x14ac:dyDescent="0.25">
      <c r="H32" s="1">
        <v>5</v>
      </c>
      <c r="I32" s="1">
        <v>1.4480561551248943</v>
      </c>
      <c r="J32" s="1">
        <v>-0.44805615512489427</v>
      </c>
      <c r="K32" s="1">
        <v>-0.93041892036585605</v>
      </c>
      <c r="M32" s="1">
        <v>22.5</v>
      </c>
      <c r="N32" s="1">
        <v>1</v>
      </c>
    </row>
    <row r="33" spans="8:14" x14ac:dyDescent="0.25">
      <c r="H33" s="1">
        <v>6</v>
      </c>
      <c r="I33" s="1">
        <v>1.7663466146576781</v>
      </c>
      <c r="J33" s="1">
        <v>-0.76634661465767806</v>
      </c>
      <c r="K33" s="1">
        <v>-1.5913705942440908</v>
      </c>
      <c r="M33" s="1">
        <v>27.5</v>
      </c>
      <c r="N33" s="1">
        <v>1</v>
      </c>
    </row>
    <row r="34" spans="8:14" x14ac:dyDescent="0.25">
      <c r="H34" s="1">
        <v>7</v>
      </c>
      <c r="I34" s="1">
        <v>1.3962704571924671</v>
      </c>
      <c r="J34" s="1">
        <v>-0.39627045719246712</v>
      </c>
      <c r="K34" s="1">
        <v>-0.82288241493106185</v>
      </c>
      <c r="M34" s="1">
        <v>32.5</v>
      </c>
      <c r="N34" s="1">
        <v>1</v>
      </c>
    </row>
    <row r="35" spans="8:14" x14ac:dyDescent="0.25">
      <c r="H35" s="1">
        <v>8</v>
      </c>
      <c r="I35" s="1">
        <v>1.4265756269788183</v>
      </c>
      <c r="J35" s="1">
        <v>-0.42657562697881835</v>
      </c>
      <c r="K35" s="1">
        <v>-0.88581315035698449</v>
      </c>
      <c r="M35" s="1">
        <v>37.5</v>
      </c>
      <c r="N35" s="1">
        <v>1</v>
      </c>
    </row>
    <row r="36" spans="8:14" x14ac:dyDescent="0.25">
      <c r="H36" s="1">
        <v>9</v>
      </c>
      <c r="I36" s="1">
        <v>1.4586531013147845</v>
      </c>
      <c r="J36" s="1">
        <v>-0.45865310131478454</v>
      </c>
      <c r="K36" s="1">
        <v>-0.95242419608944129</v>
      </c>
      <c r="M36" s="1">
        <v>42.5</v>
      </c>
      <c r="N36" s="1">
        <v>1</v>
      </c>
    </row>
    <row r="37" spans="8:14" x14ac:dyDescent="0.25">
      <c r="H37" s="1">
        <v>10</v>
      </c>
      <c r="I37" s="1">
        <v>1.4811621693877741</v>
      </c>
      <c r="J37" s="1">
        <v>-0.48116216938777412</v>
      </c>
      <c r="K37" s="1">
        <v>-0.99916579884473611</v>
      </c>
      <c r="M37" s="1">
        <v>47.5</v>
      </c>
      <c r="N37" s="1">
        <v>1</v>
      </c>
    </row>
    <row r="38" spans="8:14" x14ac:dyDescent="0.25">
      <c r="H38" s="1">
        <v>11</v>
      </c>
      <c r="I38" s="1">
        <v>1.7868640340297994</v>
      </c>
      <c r="J38" s="1">
        <v>0.21313596597020057</v>
      </c>
      <c r="K38" s="1">
        <v>0.44259125353126944</v>
      </c>
      <c r="M38" s="1">
        <v>52.5</v>
      </c>
      <c r="N38" s="1">
        <v>2</v>
      </c>
    </row>
    <row r="39" spans="8:14" x14ac:dyDescent="0.25">
      <c r="H39" s="1">
        <v>12</v>
      </c>
      <c r="I39" s="1">
        <v>1.7553275602570988</v>
      </c>
      <c r="J39" s="1">
        <v>0.2446724397429012</v>
      </c>
      <c r="K39" s="1">
        <v>0.50807887499149296</v>
      </c>
      <c r="M39" s="1">
        <v>57.5</v>
      </c>
      <c r="N39" s="1">
        <v>2</v>
      </c>
    </row>
    <row r="40" spans="8:14" x14ac:dyDescent="0.25">
      <c r="H40" s="1">
        <v>13</v>
      </c>
      <c r="I40" s="1">
        <v>1.7607403155661454</v>
      </c>
      <c r="J40" s="1">
        <v>0.23925968443385459</v>
      </c>
      <c r="K40" s="1">
        <v>0.4968389223800978</v>
      </c>
      <c r="M40" s="1">
        <v>62.5</v>
      </c>
      <c r="N40" s="1">
        <v>2</v>
      </c>
    </row>
    <row r="41" spans="8:14" x14ac:dyDescent="0.25">
      <c r="H41" s="1">
        <v>14</v>
      </c>
      <c r="I41" s="1">
        <v>1.6731422257163151</v>
      </c>
      <c r="J41" s="1">
        <v>0.3268577742836849</v>
      </c>
      <c r="K41" s="1">
        <v>0.67874228259946956</v>
      </c>
      <c r="M41" s="1">
        <v>67.5</v>
      </c>
      <c r="N41" s="1">
        <v>2</v>
      </c>
    </row>
    <row r="42" spans="8:14" x14ac:dyDescent="0.25">
      <c r="H42" s="1">
        <v>15</v>
      </c>
      <c r="I42" s="1">
        <v>1.3869352254961684</v>
      </c>
      <c r="J42" s="1">
        <v>0.61306477450383157</v>
      </c>
      <c r="K42" s="1">
        <v>1.2730704825362633</v>
      </c>
      <c r="M42" s="1">
        <v>72.5</v>
      </c>
      <c r="N42" s="1">
        <v>2</v>
      </c>
    </row>
    <row r="43" spans="8:14" x14ac:dyDescent="0.25">
      <c r="H43" s="1">
        <v>16</v>
      </c>
      <c r="I43" s="1">
        <v>1.6179050106684674</v>
      </c>
      <c r="J43" s="1">
        <v>0.38209498933153263</v>
      </c>
      <c r="K43" s="1">
        <v>0.79344609684460421</v>
      </c>
      <c r="M43" s="1">
        <v>77.5</v>
      </c>
      <c r="N43" s="1">
        <v>2</v>
      </c>
    </row>
    <row r="44" spans="8:14" x14ac:dyDescent="0.25">
      <c r="H44" s="1">
        <v>17</v>
      </c>
      <c r="I44" s="1">
        <v>1.192457540549211</v>
      </c>
      <c r="J44" s="1">
        <v>0.80754245945078895</v>
      </c>
      <c r="K44" s="1">
        <v>1.6769165531547132</v>
      </c>
      <c r="M44" s="1">
        <v>82.5</v>
      </c>
      <c r="N44" s="1">
        <v>2</v>
      </c>
    </row>
    <row r="45" spans="8:14" x14ac:dyDescent="0.25">
      <c r="H45" s="1">
        <v>18</v>
      </c>
      <c r="I45" s="1">
        <v>1.3191596414569005</v>
      </c>
      <c r="J45" s="1">
        <v>0.68084035854309954</v>
      </c>
      <c r="K45" s="1">
        <v>1.4138110683036955</v>
      </c>
      <c r="M45" s="1">
        <v>87.5</v>
      </c>
      <c r="N45" s="1">
        <v>2</v>
      </c>
    </row>
    <row r="46" spans="8:14" x14ac:dyDescent="0.25">
      <c r="H46" s="1">
        <v>19</v>
      </c>
      <c r="I46" s="1">
        <v>1.6142203189863684</v>
      </c>
      <c r="J46" s="1">
        <v>0.38577968101363158</v>
      </c>
      <c r="K46" s="1">
        <v>0.80109760841860311</v>
      </c>
      <c r="M46" s="1">
        <v>92.5</v>
      </c>
      <c r="N46" s="1">
        <v>2</v>
      </c>
    </row>
    <row r="47" spans="8:14" ht="15.75" thickBot="1" x14ac:dyDescent="0.3">
      <c r="H47" s="2">
        <v>20</v>
      </c>
      <c r="I47" s="2">
        <v>1.487076294475894</v>
      </c>
      <c r="J47" s="2">
        <v>0.51292370552410604</v>
      </c>
      <c r="K47" s="2">
        <v>1.0651207775301414</v>
      </c>
      <c r="M47" s="2">
        <v>97.5</v>
      </c>
      <c r="N47" s="2">
        <v>2</v>
      </c>
    </row>
    <row r="49" spans="6:9" x14ac:dyDescent="0.25">
      <c r="H49" t="s">
        <v>38</v>
      </c>
      <c r="I49">
        <f>AVERAGE(I28:I37)</f>
        <v>1.4406171832797634</v>
      </c>
    </row>
    <row r="50" spans="6:9" x14ac:dyDescent="0.25">
      <c r="H50" t="s">
        <v>39</v>
      </c>
      <c r="I50">
        <f>AVERAGE(I38:I47)</f>
        <v>1.559382816720237</v>
      </c>
    </row>
    <row r="51" spans="6:9" x14ac:dyDescent="0.25">
      <c r="F51" t="s">
        <v>41</v>
      </c>
      <c r="H51" t="s">
        <v>40</v>
      </c>
      <c r="I51">
        <f>(I49+I50)/2</f>
        <v>1.5000000000000002</v>
      </c>
    </row>
  </sheetData>
  <sortState xmlns:xlrd2="http://schemas.microsoft.com/office/spreadsheetml/2017/richdata2" ref="N28:N47">
    <sortCondition ref="N28"/>
  </sortState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StatLab</dc:creator>
  <cp:lastModifiedBy>lab1 stat</cp:lastModifiedBy>
  <dcterms:created xsi:type="dcterms:W3CDTF">2015-06-05T18:17:20Z</dcterms:created>
  <dcterms:modified xsi:type="dcterms:W3CDTF">2025-08-28T06:37:18Z</dcterms:modified>
</cp:coreProperties>
</file>