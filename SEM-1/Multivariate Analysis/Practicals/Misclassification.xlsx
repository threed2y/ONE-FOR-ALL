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tlab\Desktop\Alok\Multivariate_Analysis\"/>
    </mc:Choice>
  </mc:AlternateContent>
  <xr:revisionPtr revIDLastSave="0" documentId="8_{04ACFB3A-3A17-474C-8FC7-E04E5A7AD7E4}" xr6:coauthVersionLast="47" xr6:coauthVersionMax="47" xr10:uidLastSave="{00000000-0000-0000-0000-000000000000}"/>
  <bookViews>
    <workbookView xWindow="-120" yWindow="-120" windowWidth="29040" windowHeight="15720" xr2:uid="{A39B54B8-B6FA-456A-941F-FC99D0863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B25" i="1"/>
  <c r="B24" i="1"/>
  <c r="B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<sst xmlns="http://schemas.openxmlformats.org/spreadsheetml/2006/main" count="45" uniqueCount="43">
  <si>
    <t xml:space="preserve">y </t>
  </si>
  <si>
    <t>x1</t>
  </si>
  <si>
    <t>x2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</si>
  <si>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</si>
  <si>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</si>
  <si>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</si>
  <si>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</si>
  <si>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</si>
  <si>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</si>
  <si>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</si>
  <si>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</si>
  <si>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</si>
  <si>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</si>
  <si>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</si>
  <si>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</si>
  <si>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</si>
  <si>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</si>
  <si>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</si>
  <si>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</si>
  <si>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</si>
  <si>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</si>
  <si>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</si>
  <si>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</si>
  <si>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</si>
  <si>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</si>
  <si>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</si>
  <si>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</si>
  <si>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</si>
  <si>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</si>
  <si>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RESIDUAL OUTPUT</t>
  </si>
  <si>
    <t>Observation</t>
  </si>
  <si>
    <t>Predicted Y</t>
  </si>
  <si>
    <t>Residuals</t>
  </si>
  <si>
    <t>y hat</t>
  </si>
  <si>
    <t>Type 1 mean</t>
  </si>
  <si>
    <t>Type 2 mean</t>
  </si>
  <si>
    <t>Cut off point</t>
  </si>
  <si>
    <t xml:space="preserve">Predicted </t>
  </si>
  <si>
    <t>Misclassification</t>
  </si>
  <si>
    <t>Count "No"</t>
  </si>
  <si>
    <t>Count "Yes"</t>
  </si>
  <si>
    <t xml:space="preserve">Probability  of </t>
  </si>
  <si>
    <t>5/20 = 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</si>
</sst>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0" borderId="0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7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CB45-36F0-46A4-AADF-D5806466F188}">
  <dimension ref="A1:T30"/>
  <sheetViews>
    <sheetView showGridLines="0" tabSelected="1" workbookViewId="0">
      <selection activeCell="L26" sqref="L26"/>
    </sheetView>
  </sheetViews>
  <sheetFormatPr defaultRowHeight="15" x14ac:dyDescent="0.25"/>
  <cols>
    <col min="1" max="1" width="16.28515625" bestFit="1" customWidth="1"/>
    <col min="2" max="3" width="10.140625" bestFit="1" customWidth="1"/>
    <col min="5" max="5" width="10.140625" bestFit="1" customWidth="1"/>
    <col min="6" max="6" width="16.28515625" bestFit="1" customWidth="1"/>
    <col min="7" max="7" width="10.5703125" customWidth="1"/>
    <col min="8" max="8" width="17.5703125" bestFit="1" customWidth="1"/>
    <col min="9" max="10" width="14.7109375" bestFit="1" customWidth="1"/>
    <col min="11" max="11" width="12" bestFit="1" customWidth="1"/>
    <col min="12" max="13" width="13.7109375" bestFit="1" customWidth="1"/>
    <col min="14" max="16" width="12.85546875" bestFit="1" customWidth="1"/>
    <col min="18" max="18" width="17" bestFit="1" customWidth="1"/>
    <col min="19" max="19" width="12" bestFit="1" customWidth="1"/>
    <col min="20" max="20" width="12.7109375" bestFit="1" customWidth="1"/>
  </cols>
  <sheetData>
    <row r="1" spans="1:20" x14ac:dyDescent="0.25">
      <c r="A1" s="7" t="s">
        <v>0</v>
      </c>
      <c r="B1" s="7" t="s">
        <v>1</v>
      </c>
      <c r="C1" s="7" t="s">
        <v>2</v>
      </c>
      <c r="D1" s="7" t="s">
        <v>33</v>
      </c>
      <c r="E1" s="7" t="s">
        <v>37</v>
      </c>
      <c r="F1" s="7" t="s">
        <v>38</v>
      </c>
      <c r="H1" t="s">
        <v>3</v>
      </c>
      <c r="R1" t="s">
        <v>29</v>
      </c>
    </row>
    <row r="2" spans="1:20" ht="15.75" thickBot="1" x14ac:dyDescent="0.3">
      <c r="A2">
        <v>1</v>
      </c>
      <c r="B2">
        <v>172</v>
      </c>
      <c r="C2">
        <v>174</v>
      </c>
      <c r="D2" s="1">
        <v>1.3226612374941764</v>
      </c>
      <c r="E2">
        <f>IF(D2&gt;1.5, 2,1)</f>
        <v>1</v>
      </c>
      <c r="F2" s="6" t="str">
        <f>IF(A2=E2, "No", "Yes")</f>
        <v>No</v>
      </c>
    </row>
    <row r="3" spans="1:20" x14ac:dyDescent="0.25">
      <c r="A3">
        <v>1</v>
      </c>
      <c r="B3">
        <v>222</v>
      </c>
      <c r="C3">
        <v>200</v>
      </c>
      <c r="D3" s="1">
        <v>1.410760532181599</v>
      </c>
      <c r="E3">
        <f t="shared" ref="E3:E21" si="0">IF(D3&gt;1.5, 2,1)</f>
        <v>1</v>
      </c>
      <c r="F3" s="6" t="str">
        <f t="shared" ref="F3:F21" si="1">IF(A3=E3, "No", "Yes")</f>
        <v>No</v>
      </c>
      <c r="H3" s="4" t="s">
        <v>4</v>
      </c>
      <c r="I3" s="4"/>
      <c r="R3" s="3" t="s">
        <v>30</v>
      </c>
      <c r="S3" s="3" t="s">
        <v>31</v>
      </c>
      <c r="T3" s="3" t="s">
        <v>32</v>
      </c>
    </row>
    <row r="4" spans="1:20" x14ac:dyDescent="0.25">
      <c r="A4">
        <v>1</v>
      </c>
      <c r="B4">
        <v>110</v>
      </c>
      <c r="C4">
        <v>206</v>
      </c>
      <c r="D4" s="1">
        <v>1.3688057358682686</v>
      </c>
      <c r="E4">
        <f t="shared" si="0"/>
        <v>1</v>
      </c>
      <c r="F4" s="6" t="str">
        <f t="shared" si="1"/>
        <v>No</v>
      </c>
      <c r="H4" s="1" t="s">
        <v>5</v>
      </c>
      <c r="I4" s="1">
        <v>0.32501843176232281</v>
      </c>
      <c r="R4" s="1">
        <v>1</v>
      </c>
      <c r="S4" s="1">
        <v>1.3226612374941764</v>
      </c>
      <c r="T4" s="1">
        <v>-0.32266123749417641</v>
      </c>
    </row>
    <row r="5" spans="1:20" x14ac:dyDescent="0.25">
      <c r="A5">
        <v>1</v>
      </c>
      <c r="B5">
        <v>233</v>
      </c>
      <c r="C5">
        <v>218</v>
      </c>
      <c r="D5" s="1">
        <v>1.4598459887827286</v>
      </c>
      <c r="E5">
        <f t="shared" si="0"/>
        <v>1</v>
      </c>
      <c r="F5" s="6" t="str">
        <f t="shared" si="1"/>
        <v>No</v>
      </c>
      <c r="H5" s="1" t="s">
        <v>6</v>
      </c>
      <c r="I5" s="1">
        <v>0.10563698098523969</v>
      </c>
      <c r="R5" s="1">
        <v>2</v>
      </c>
      <c r="S5" s="1">
        <v>1.410760532181599</v>
      </c>
      <c r="T5" s="1">
        <v>-0.41076053218159903</v>
      </c>
    </row>
    <row r="6" spans="1:20" x14ac:dyDescent="0.25">
      <c r="A6">
        <v>1</v>
      </c>
      <c r="B6">
        <v>366</v>
      </c>
      <c r="C6">
        <v>148</v>
      </c>
      <c r="D6" s="1">
        <v>1.3575814307376859</v>
      </c>
      <c r="E6">
        <f t="shared" si="0"/>
        <v>1</v>
      </c>
      <c r="F6" s="6" t="str">
        <f t="shared" si="1"/>
        <v>No</v>
      </c>
      <c r="H6" s="1" t="s">
        <v>7</v>
      </c>
      <c r="I6" s="1">
        <v>4.17802277620815E-4</v>
      </c>
      <c r="R6" s="1">
        <v>3</v>
      </c>
      <c r="S6" s="1">
        <v>1.3688057358682686</v>
      </c>
      <c r="T6" s="1">
        <v>-0.36880573586826859</v>
      </c>
    </row>
    <row r="7" spans="1:20" x14ac:dyDescent="0.25">
      <c r="A7">
        <v>1</v>
      </c>
      <c r="B7">
        <v>181</v>
      </c>
      <c r="C7">
        <v>366</v>
      </c>
      <c r="D7" s="1">
        <v>1.7916201330735047</v>
      </c>
      <c r="E7">
        <f t="shared" si="0"/>
        <v>2</v>
      </c>
      <c r="F7" s="6" t="str">
        <f t="shared" si="1"/>
        <v>Yes</v>
      </c>
      <c r="H7" s="1" t="s">
        <v>8</v>
      </c>
      <c r="I7" s="1">
        <v>0.51288200082382218</v>
      </c>
      <c r="R7" s="1">
        <v>4</v>
      </c>
      <c r="S7" s="1">
        <v>1.4598459887827286</v>
      </c>
      <c r="T7" s="1">
        <v>-0.45984598878272864</v>
      </c>
    </row>
    <row r="8" spans="1:20" ht="15.75" thickBot="1" x14ac:dyDescent="0.3">
      <c r="A8">
        <v>1</v>
      </c>
      <c r="B8">
        <v>185</v>
      </c>
      <c r="C8">
        <v>205</v>
      </c>
      <c r="D8" s="1">
        <v>1.4042002421668394</v>
      </c>
      <c r="E8">
        <f t="shared" si="0"/>
        <v>1</v>
      </c>
      <c r="F8" s="6" t="str">
        <f t="shared" si="1"/>
        <v>No</v>
      </c>
      <c r="H8" s="2" t="s">
        <v>9</v>
      </c>
      <c r="I8" s="2">
        <v>20</v>
      </c>
      <c r="R8" s="1">
        <v>5</v>
      </c>
      <c r="S8" s="1">
        <v>1.3575814307376859</v>
      </c>
      <c r="T8" s="1">
        <v>-0.35758143073768589</v>
      </c>
    </row>
    <row r="9" spans="1:20" x14ac:dyDescent="0.25">
      <c r="A9">
        <v>1</v>
      </c>
      <c r="B9">
        <v>144</v>
      </c>
      <c r="C9">
        <v>236</v>
      </c>
      <c r="D9" s="1">
        <v>1.4585136224613453</v>
      </c>
      <c r="E9">
        <f t="shared" si="0"/>
        <v>1</v>
      </c>
      <c r="F9" s="6" t="str">
        <f t="shared" si="1"/>
        <v>No</v>
      </c>
      <c r="R9" s="1">
        <v>6</v>
      </c>
      <c r="S9" s="1">
        <v>1.7916201330735047</v>
      </c>
      <c r="T9" s="1">
        <v>-0.79162013307350465</v>
      </c>
    </row>
    <row r="10" spans="1:20" ht="15.75" thickBot="1" x14ac:dyDescent="0.3">
      <c r="A10">
        <v>1</v>
      </c>
      <c r="B10">
        <v>244</v>
      </c>
      <c r="C10">
        <v>206</v>
      </c>
      <c r="D10" s="1">
        <v>1.4363656185844362</v>
      </c>
      <c r="E10">
        <f t="shared" si="0"/>
        <v>1</v>
      </c>
      <c r="F10" s="6" t="str">
        <f t="shared" si="1"/>
        <v>No</v>
      </c>
      <c r="H10" t="s">
        <v>10</v>
      </c>
      <c r="R10" s="1">
        <v>7</v>
      </c>
      <c r="S10" s="1">
        <v>1.4042002421668394</v>
      </c>
      <c r="T10" s="1">
        <v>-0.40420024216683936</v>
      </c>
    </row>
    <row r="11" spans="1:20" x14ac:dyDescent="0.25">
      <c r="A11">
        <v>1</v>
      </c>
      <c r="B11">
        <v>241</v>
      </c>
      <c r="C11">
        <v>217</v>
      </c>
      <c r="D11" s="1">
        <v>1.4614605537232155</v>
      </c>
      <c r="E11">
        <f t="shared" si="0"/>
        <v>1</v>
      </c>
      <c r="F11" s="6" t="str">
        <f t="shared" si="1"/>
        <v>No</v>
      </c>
      <c r="H11" s="3"/>
      <c r="I11" s="3" t="s">
        <v>15</v>
      </c>
      <c r="J11" s="3" t="s">
        <v>16</v>
      </c>
      <c r="K11" s="3" t="s">
        <v>17</v>
      </c>
      <c r="L11" s="3" t="s">
        <v>18</v>
      </c>
      <c r="M11" s="3" t="s">
        <v>19</v>
      </c>
      <c r="R11" s="1">
        <v>8</v>
      </c>
      <c r="S11" s="1">
        <v>1.4585136224613453</v>
      </c>
      <c r="T11" s="1">
        <v>-0.4585136224613453</v>
      </c>
    </row>
    <row r="12" spans="1:20" x14ac:dyDescent="0.25">
      <c r="A12">
        <v>2</v>
      </c>
      <c r="B12">
        <v>329</v>
      </c>
      <c r="C12">
        <v>310</v>
      </c>
      <c r="D12" s="1">
        <v>1.7307823009732359</v>
      </c>
      <c r="E12">
        <f t="shared" si="0"/>
        <v>2</v>
      </c>
      <c r="F12" s="6" t="str">
        <f t="shared" si="1"/>
        <v>No</v>
      </c>
      <c r="H12" s="1" t="s">
        <v>11</v>
      </c>
      <c r="I12" s="1">
        <v>2</v>
      </c>
      <c r="J12" s="1">
        <v>0.52818490492619841</v>
      </c>
      <c r="K12" s="1">
        <v>0.2640924524630992</v>
      </c>
      <c r="L12" s="1">
        <v>1.0039707806385927</v>
      </c>
      <c r="M12" s="1">
        <v>0.38713958745868376</v>
      </c>
      <c r="R12" s="1">
        <v>9</v>
      </c>
      <c r="S12" s="1">
        <v>1.4363656185844362</v>
      </c>
      <c r="T12" s="1">
        <v>-0.43636561858443623</v>
      </c>
    </row>
    <row r="13" spans="1:20" x14ac:dyDescent="0.25">
      <c r="A13">
        <v>2</v>
      </c>
      <c r="B13">
        <v>314</v>
      </c>
      <c r="C13">
        <v>303</v>
      </c>
      <c r="D13" s="1">
        <v>1.7062876012816603</v>
      </c>
      <c r="E13">
        <f t="shared" si="0"/>
        <v>2</v>
      </c>
      <c r="F13" s="6" t="str">
        <f t="shared" si="1"/>
        <v>No</v>
      </c>
      <c r="H13" s="1" t="s">
        <v>12</v>
      </c>
      <c r="I13" s="1">
        <v>17</v>
      </c>
      <c r="J13" s="1">
        <v>4.4718150950738016</v>
      </c>
      <c r="K13" s="1">
        <v>0.26304794676904714</v>
      </c>
      <c r="L13" s="1"/>
      <c r="M13" s="1"/>
      <c r="R13" s="1">
        <v>10</v>
      </c>
      <c r="S13" s="1">
        <v>1.4614605537232155</v>
      </c>
      <c r="T13" s="1">
        <v>-0.46146055372321548</v>
      </c>
    </row>
    <row r="14" spans="1:20" ht="15.75" thickBot="1" x14ac:dyDescent="0.3">
      <c r="A14">
        <v>2</v>
      </c>
      <c r="B14">
        <v>228</v>
      </c>
      <c r="C14">
        <v>343</v>
      </c>
      <c r="D14" s="1">
        <v>1.759682709300862</v>
      </c>
      <c r="E14">
        <f t="shared" si="0"/>
        <v>2</v>
      </c>
      <c r="F14" s="6" t="str">
        <f t="shared" si="1"/>
        <v>No</v>
      </c>
      <c r="H14" s="2" t="s">
        <v>13</v>
      </c>
      <c r="I14" s="2">
        <v>19</v>
      </c>
      <c r="J14" s="2">
        <v>5</v>
      </c>
      <c r="K14" s="2"/>
      <c r="L14" s="2"/>
      <c r="M14" s="2"/>
      <c r="R14" s="1">
        <v>11</v>
      </c>
      <c r="S14" s="1">
        <v>1.7307823009732359</v>
      </c>
      <c r="T14" s="1">
        <v>0.26921769902676407</v>
      </c>
    </row>
    <row r="15" spans="1:20" ht="15.75" thickBot="1" x14ac:dyDescent="0.3">
      <c r="A15">
        <v>2</v>
      </c>
      <c r="B15">
        <v>215</v>
      </c>
      <c r="C15">
        <v>311</v>
      </c>
      <c r="D15" s="1">
        <v>1.6757248437348848</v>
      </c>
      <c r="E15">
        <f t="shared" si="0"/>
        <v>2</v>
      </c>
      <c r="F15" s="6" t="str">
        <f t="shared" si="1"/>
        <v>No</v>
      </c>
      <c r="R15" s="1">
        <v>12</v>
      </c>
      <c r="S15" s="1">
        <v>1.7062876012816603</v>
      </c>
      <c r="T15" s="1">
        <v>0.29371239871833965</v>
      </c>
    </row>
    <row r="16" spans="1:20" x14ac:dyDescent="0.25">
      <c r="A16">
        <v>2</v>
      </c>
      <c r="B16">
        <v>153</v>
      </c>
      <c r="C16">
        <v>215</v>
      </c>
      <c r="D16" s="1">
        <v>1.412255147764776</v>
      </c>
      <c r="E16">
        <f t="shared" si="0"/>
        <v>1</v>
      </c>
      <c r="F16" s="6" t="str">
        <f t="shared" si="1"/>
        <v>Yes</v>
      </c>
      <c r="H16" s="3"/>
      <c r="I16" s="3" t="s">
        <v>20</v>
      </c>
      <c r="J16" s="3" t="s">
        <v>8</v>
      </c>
      <c r="K16" s="3" t="s">
        <v>21</v>
      </c>
      <c r="L16" s="3" t="s">
        <v>22</v>
      </c>
      <c r="M16" s="3" t="s">
        <v>23</v>
      </c>
      <c r="N16" s="3" t="s">
        <v>24</v>
      </c>
      <c r="O16" s="3" t="s">
        <v>25</v>
      </c>
      <c r="P16" s="3" t="s">
        <v>26</v>
      </c>
      <c r="R16" s="1">
        <v>13</v>
      </c>
      <c r="S16" s="1">
        <v>1.759682709300862</v>
      </c>
      <c r="T16" s="1">
        <v>0.24031729069913799</v>
      </c>
    </row>
    <row r="17" spans="1:20" x14ac:dyDescent="0.25">
      <c r="A17">
        <v>2</v>
      </c>
      <c r="B17">
        <v>179</v>
      </c>
      <c r="C17">
        <v>303</v>
      </c>
      <c r="D17" s="1">
        <v>1.6382235403362677</v>
      </c>
      <c r="E17">
        <f t="shared" si="0"/>
        <v>2</v>
      </c>
      <c r="F17" s="6" t="str">
        <f t="shared" si="1"/>
        <v>No</v>
      </c>
      <c r="H17" s="1" t="s">
        <v>14</v>
      </c>
      <c r="I17" s="1">
        <v>0.81506078663080539</v>
      </c>
      <c r="J17" s="1">
        <v>0.55749182115393603</v>
      </c>
      <c r="K17" s="1">
        <v>1.4620138909728486</v>
      </c>
      <c r="L17" s="1">
        <v>0.1619775662928637</v>
      </c>
      <c r="M17" s="1">
        <v>-0.36114414215443424</v>
      </c>
      <c r="N17" s="1">
        <v>1.9912657154160449</v>
      </c>
      <c r="O17" s="1">
        <v>-0.36114414215443424</v>
      </c>
      <c r="P17" s="1">
        <v>1.9912657154160449</v>
      </c>
      <c r="R17" s="1">
        <v>14</v>
      </c>
      <c r="S17" s="1">
        <v>1.6757248437348848</v>
      </c>
      <c r="T17" s="1">
        <v>0.32427515626511516</v>
      </c>
    </row>
    <row r="18" spans="1:20" x14ac:dyDescent="0.25">
      <c r="A18">
        <v>2</v>
      </c>
      <c r="B18">
        <v>156</v>
      </c>
      <c r="C18">
        <v>130</v>
      </c>
      <c r="D18" s="1">
        <v>1.2081645065207551</v>
      </c>
      <c r="E18">
        <f t="shared" si="0"/>
        <v>1</v>
      </c>
      <c r="F18" s="6" t="str">
        <f t="shared" si="1"/>
        <v>Yes</v>
      </c>
      <c r="H18" s="1" t="s">
        <v>27</v>
      </c>
      <c r="I18" s="1">
        <v>5.0417822922513061E-4</v>
      </c>
      <c r="J18" s="1">
        <v>1.8539758382547504E-3</v>
      </c>
      <c r="K18" s="1">
        <v>0.27194433650210964</v>
      </c>
      <c r="L18" s="1">
        <v>0.78893995697036423</v>
      </c>
      <c r="M18" s="1">
        <v>-3.4073688752513241E-3</v>
      </c>
      <c r="N18" s="1">
        <v>4.4157253337015851E-3</v>
      </c>
      <c r="O18" s="1">
        <v>-3.4073688752513241E-3</v>
      </c>
      <c r="P18" s="1">
        <v>4.4157253337015851E-3</v>
      </c>
      <c r="R18" s="1">
        <v>15</v>
      </c>
      <c r="S18" s="1">
        <v>1.412255147764776</v>
      </c>
      <c r="T18" s="1">
        <v>0.58774485223522399</v>
      </c>
    </row>
    <row r="19" spans="1:20" ht="15.75" thickBot="1" x14ac:dyDescent="0.3">
      <c r="A19">
        <v>2</v>
      </c>
      <c r="B19">
        <v>196</v>
      </c>
      <c r="C19">
        <v>167</v>
      </c>
      <c r="D19" s="1">
        <v>1.3178294887423811</v>
      </c>
      <c r="E19">
        <f t="shared" si="0"/>
        <v>1</v>
      </c>
      <c r="F19" s="6" t="str">
        <f t="shared" si="1"/>
        <v>Yes</v>
      </c>
      <c r="H19" s="2" t="s">
        <v>28</v>
      </c>
      <c r="I19" s="2">
        <v>2.4188608933140726E-3</v>
      </c>
      <c r="J19" s="2">
        <v>1.8066415800793336E-3</v>
      </c>
      <c r="K19" s="2">
        <v>1.3388714839652118</v>
      </c>
      <c r="L19" s="2">
        <v>0.19824212943813255</v>
      </c>
      <c r="M19" s="2">
        <v>-1.3928196558987034E-3</v>
      </c>
      <c r="N19" s="2">
        <v>6.2305414425268485E-3</v>
      </c>
      <c r="O19" s="2">
        <v>-1.3928196558987034E-3</v>
      </c>
      <c r="P19" s="2">
        <v>6.2305414425268485E-3</v>
      </c>
      <c r="R19" s="1">
        <v>16</v>
      </c>
      <c r="S19" s="1">
        <v>1.6382235403362677</v>
      </c>
      <c r="T19" s="1">
        <v>0.36177645966373229</v>
      </c>
    </row>
    <row r="20" spans="1:20" x14ac:dyDescent="0.25">
      <c r="A20">
        <v>2</v>
      </c>
      <c r="B20">
        <v>253</v>
      </c>
      <c r="C20">
        <v>269</v>
      </c>
      <c r="D20" s="1">
        <v>1.5932914589262488</v>
      </c>
      <c r="E20">
        <f t="shared" si="0"/>
        <v>2</v>
      </c>
      <c r="F20" s="6" t="str">
        <f t="shared" si="1"/>
        <v>No</v>
      </c>
      <c r="R20" s="1">
        <v>17</v>
      </c>
      <c r="S20" s="1">
        <v>1.2081645065207551</v>
      </c>
      <c r="T20" s="1">
        <v>0.79183549347924487</v>
      </c>
    </row>
    <row r="21" spans="1:20" x14ac:dyDescent="0.25">
      <c r="A21">
        <v>2</v>
      </c>
      <c r="B21">
        <v>208</v>
      </c>
      <c r="C21">
        <v>234</v>
      </c>
      <c r="D21" s="1">
        <v>1.4859433073451256</v>
      </c>
      <c r="E21">
        <f t="shared" si="0"/>
        <v>1</v>
      </c>
      <c r="F21" s="6" t="str">
        <f t="shared" si="1"/>
        <v>Yes</v>
      </c>
      <c r="R21" s="1">
        <v>18</v>
      </c>
      <c r="S21" s="1">
        <v>1.3178294887423811</v>
      </c>
      <c r="T21" s="1">
        <v>0.68217051125761885</v>
      </c>
    </row>
    <row r="22" spans="1:20" x14ac:dyDescent="0.25">
      <c r="D22" s="5"/>
      <c r="R22" s="1">
        <v>19</v>
      </c>
      <c r="S22" s="1">
        <v>1.5932914589262488</v>
      </c>
      <c r="T22" s="1">
        <v>0.40670854107375121</v>
      </c>
    </row>
    <row r="23" spans="1:20" ht="15.75" thickBot="1" x14ac:dyDescent="0.3">
      <c r="A23" s="6" t="s">
        <v>34</v>
      </c>
      <c r="B23" s="9">
        <f>AVERAGE(D2:D11)</f>
        <v>1.4471815095073799</v>
      </c>
      <c r="R23" s="2">
        <v>20</v>
      </c>
      <c r="S23" s="2">
        <v>1.4859433073451256</v>
      </c>
      <c r="T23" s="2">
        <v>0.51405669265487441</v>
      </c>
    </row>
    <row r="24" spans="1:20" x14ac:dyDescent="0.25">
      <c r="A24" s="6" t="s">
        <v>35</v>
      </c>
      <c r="B24" s="9">
        <f>AVERAGE(D12:D21)</f>
        <v>1.5528184904926199</v>
      </c>
    </row>
    <row r="25" spans="1:20" x14ac:dyDescent="0.25">
      <c r="A25" s="7" t="s">
        <v>36</v>
      </c>
      <c r="B25" s="7">
        <f>((10*B23)+(10*B24))/20</f>
        <v>1.5</v>
      </c>
    </row>
    <row r="26" spans="1:20" x14ac:dyDescent="0.25">
      <c r="A26" s="6" t="s">
        <v>39</v>
      </c>
      <c r="B26">
        <f>COUNTIF(F2:F21, "No")</f>
        <v>15</v>
      </c>
    </row>
    <row r="27" spans="1:20" x14ac:dyDescent="0.25">
      <c r="A27" s="6" t="s">
        <v>40</v>
      </c>
      <c r="B27">
        <f>COUNTIF(F2:F21, "Yes")</f>
        <v>5</v>
      </c>
    </row>
    <row r="28" spans="1:20" x14ac:dyDescent="0.25">
      <c r="A28" s="6"/>
    </row>
    <row r="29" spans="1:20" x14ac:dyDescent="0.25">
      <c r="A29" s="6" t="s">
        <v>41</v>
      </c>
      <c r="B29" s="8" t="s">
        <v>42</v>
      </c>
    </row>
    <row r="30" spans="1:20" x14ac:dyDescent="0.25">
      <c r="A30" s="6" t="s">
        <v>38</v>
      </c>
    </row>
  </sheetData>
  <conditionalFormatting sqref="F1:F21">
    <cfRule type="containsText" dxfId="0" priority="1" operator="containsText" text="Yes">
      <formula>NOT(ISERROR(SEARCH("Yes",F1)))</formula>
    </cfRule>
  </conditionalFormatting>
  <pageMargins left="0.7" right="0.7" top="0.75" bottom="0.75" header="0.3" footer="0.3"/>
  <ignoredErrors>
    <ignoredError sqref="B23:B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lab5 stat</dc:creator>
  <cp:lastModifiedBy>lab5 stat</cp:lastModifiedBy>
  <dcterms:created xsi:type="dcterms:W3CDTF">2025-08-28T18:23:20Z</dcterms:created>
  <dcterms:modified xsi:type="dcterms:W3CDTF">2025-08-28T19:00:53Z</dcterms:modified>
</cp:coreProperties>
</file>