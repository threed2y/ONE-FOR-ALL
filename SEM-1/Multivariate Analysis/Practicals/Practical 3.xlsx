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StatLab\Desktop\Tanya MSc\Multivairate Analysis\"/>
    </mc:Choice>
  </mc:AlternateContent>
  <xr:revisionPtr revIDLastSave="0" documentId="13_ncr:1_{85B7A3D5-280E-424A-A8CD-CC3950315BBE}" xr6:coauthVersionLast="47" xr6:coauthVersionMax="47" xr10:uidLastSave="{00000000-0000-0000-0000-000000000000}"/>
  <bookViews>
    <workbookView xWindow="-120" yWindow="-120" windowWidth="29040" windowHeight="15840" activeTab="2" xr2:uid="{00000000-000D-0000-FFFF-FFFF00000000}"/>
  </bookViews>
  <sheets>
    <sheet name="Q.1." sheetId="1" r:id="rId1"/>
    <sheet name="Q.2." sheetId="2" r:id="rId2"/>
    <sheet name="Q.3." sheetId="3" r:id="rId3"/>
    <sheet name="Q.4." sheetId="4" r:id="rId4"/>
    <sheet name="Q.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6" i="5" l="1"/>
  <c r="L27" i="5"/>
  <c r="L25" i="5"/>
  <c r="L24" i="5"/>
  <c r="L23" i="5"/>
  <c r="L21" i="5"/>
  <c r="V15" i="5" a="1"/>
  <c r="V15" i="5" s="1"/>
  <c r="R15" i="5"/>
  <c r="S15" i="5"/>
  <c r="R16" i="5"/>
  <c r="S16" i="5"/>
  <c r="R17" i="5"/>
  <c r="S17" i="5"/>
  <c r="Q16" i="5"/>
  <c r="Q17" i="5"/>
  <c r="Q15" i="5"/>
  <c r="V10" i="5" a="1"/>
  <c r="V10" i="5" s="1"/>
  <c r="Q10" i="5" a="1"/>
  <c r="Q10" i="5" s="1"/>
  <c r="L20" i="5"/>
  <c r="I20" i="5"/>
  <c r="M10" i="5"/>
  <c r="N10" i="5"/>
  <c r="M11" i="5"/>
  <c r="N11" i="5"/>
  <c r="M12" i="5"/>
  <c r="N12" i="5"/>
  <c r="L11" i="5"/>
  <c r="L12" i="5"/>
  <c r="L10" i="5"/>
  <c r="F20" i="5"/>
  <c r="C20" i="5"/>
  <c r="O31" i="3"/>
  <c r="E35" i="3"/>
  <c r="R31" i="3"/>
  <c r="R29" i="3"/>
  <c r="R28" i="3"/>
  <c r="R27" i="3"/>
  <c r="E33" i="3"/>
  <c r="J31" i="3"/>
  <c r="E31" i="3"/>
  <c r="J27" i="3" a="1"/>
  <c r="J27" i="3" s="1"/>
  <c r="E27" i="3" a="1"/>
  <c r="E27" i="3" s="1"/>
  <c r="R13" i="2"/>
  <c r="R12" i="2"/>
  <c r="R11" i="2"/>
  <c r="R10" i="2"/>
  <c r="P16" i="2"/>
  <c r="I15" i="2"/>
  <c r="B15" i="2"/>
  <c r="C67" i="1" a="1"/>
  <c r="C67" i="1" s="1"/>
  <c r="C72" i="1" s="1" a="1"/>
  <c r="C72" i="1" s="1"/>
  <c r="C75" i="1" s="1"/>
  <c r="M62" i="1" a="1"/>
  <c r="M62" i="1" s="1"/>
  <c r="C53" i="1" a="1"/>
  <c r="C53" i="1" s="1"/>
  <c r="C58" i="1" s="1" a="1"/>
  <c r="C58" i="1" s="1"/>
  <c r="M48" i="1" a="1"/>
  <c r="M48" i="1" s="1"/>
  <c r="I42" i="1" a="1"/>
  <c r="I42" i="1" s="1"/>
  <c r="P15" i="2" l="1" a="1"/>
  <c r="P15"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<sst xmlns="http://schemas.openxmlformats.org/spreadsheetml/2006/main" count="130" uniqueCount="114">
  <si>
    <t>The variables are:</t>
  </si>
  <si>
    <t>The sample covariance matrix is given as:</t>
  </si>
  <si>
    <t>Q1.</t>
  </si>
  <si>
    <t>In a study of the market structure of firms, data were collected on four variables that determine market structure for a sample of N = 231 large U.S. firms during 1960–1961.</t>
  </si>
  <si>
    <t>X1: Market share at a given time (%)</t>
  </si>
  <si>
    <t>X2: Firm size (natural logarithm of net total assets)</t>
  </si>
  <si>
    <t>X3: Rate of return on capital (%)</t>
  </si>
  <si>
    <t>X4: Growth (change in total revenue over a given period, %)</t>
  </si>
  <si>
    <t>S=</t>
  </si>
  <si>
    <t>A=(N-1)S=</t>
  </si>
  <si>
    <t>N=</t>
  </si>
  <si>
    <t>Assume the data follows a multivariate normal distribution N₄(μ, Σ).</t>
  </si>
  <si>
    <t>Verify the linear transformation property of the Wishart distribution, which states:</t>
  </si>
  <si>
    <t>If A ∼ Wp(Σ, n) and B is a q × p matrix of rank q ≤ p, then</t>
  </si>
  <si>
    <t>BABᵀ ∼ Wq(BΣBᵀ, n)</t>
  </si>
  <si>
    <t>Specifically:</t>
  </si>
  <si>
    <t>Use the sample covariance matrix to form A = (N−1)S, assuming it follows W₄(Σ, N−1).</t>
  </si>
  <si>
    <t>Choose a transformation matrix B = [0.25, 0.25, 0.25, 0.25] (equally weighted average of the variables).</t>
  </si>
  <si>
    <t>Compute BABᵀ and verify that it follows W₁(BΣBᵀ, N−1) by checking the mean and distribution properties, approximating Σ ≈ S.</t>
  </si>
  <si>
    <t>Provide all calculations manually in matrix form and interpret the results in the context of the market structure study.</t>
  </si>
  <si>
    <t>B =</t>
  </si>
  <si>
    <t>BAB'=</t>
  </si>
  <si>
    <t>*</t>
  </si>
  <si>
    <r>
      <t>S=</t>
    </r>
    <r>
      <rPr>
        <sz val="11"/>
        <color theme="1"/>
        <rFont val="Aptos Narrow"/>
        <family val="2"/>
      </rPr>
      <t>∑</t>
    </r>
    <r>
      <rPr>
        <sz val="11"/>
        <color theme="1"/>
        <rFont val="Calibri"/>
        <family val="2"/>
      </rPr>
      <t>=</t>
    </r>
  </si>
  <si>
    <t>E(BAB')=B∑B'=</t>
  </si>
  <si>
    <r>
      <rPr>
        <sz val="11"/>
        <color theme="1"/>
        <rFont val="Aptos Narrow"/>
        <family val="2"/>
      </rPr>
      <t>µ</t>
    </r>
    <r>
      <rPr>
        <sz val="11"/>
        <color theme="1"/>
        <rFont val="Calibri"/>
        <family val="2"/>
      </rPr>
      <t>=E(BAB')=n(BSB')</t>
    </r>
  </si>
  <si>
    <t>n(B∑B')=n(BSB')</t>
  </si>
  <si>
    <t>Q2.</t>
  </si>
  <si>
    <t>Using the Market Structure data, verify the determinant property of the Wishart distribution, which states:</t>
  </si>
  <si>
    <t>If A ∼ Wp(Σ, n), then the ratio of the determinants |A| / |Σ| is distributed as the product of p independent chi-squared random variables with degrees of freedom n, n−1, …, n−(p−1).</t>
  </si>
  <si>
    <t>p=</t>
  </si>
  <si>
    <t>|A|=</t>
  </si>
  <si>
    <r>
      <t>|</t>
    </r>
    <r>
      <rPr>
        <sz val="11"/>
        <color theme="1"/>
        <rFont val="Aptos Narrow"/>
        <family val="2"/>
      </rPr>
      <t>∑</t>
    </r>
    <r>
      <rPr>
        <sz val="11"/>
        <color theme="1"/>
        <rFont val="Calibri"/>
        <family val="2"/>
        <scheme val="minor"/>
      </rPr>
      <t>|=</t>
    </r>
  </si>
  <si>
    <t>Φ=</t>
  </si>
  <si>
    <t>A1=</t>
  </si>
  <si>
    <t>A2=</t>
  </si>
  <si>
    <t>A3=</t>
  </si>
  <si>
    <t>A4=</t>
  </si>
  <si>
    <r>
      <rPr>
        <sz val="11"/>
        <color theme="1"/>
        <rFont val="Aptos Narrow"/>
        <family val="2"/>
      </rPr>
      <t>χ</t>
    </r>
    <r>
      <rPr>
        <sz val="11"/>
        <color theme="1"/>
        <rFont val="Calibri"/>
        <family val="2"/>
      </rPr>
      <t>^2(230)=</t>
    </r>
  </si>
  <si>
    <r>
      <rPr>
        <sz val="11"/>
        <color theme="1"/>
        <rFont val="Aptos Narrow"/>
        <family val="2"/>
      </rPr>
      <t>χ</t>
    </r>
    <r>
      <rPr>
        <sz val="11"/>
        <color theme="1"/>
        <rFont val="Calibri"/>
        <family val="2"/>
      </rPr>
      <t>^2(229)=</t>
    </r>
  </si>
  <si>
    <t>χ^2(228)=</t>
  </si>
  <si>
    <t>Пχ^2=</t>
  </si>
  <si>
    <t>wishart distributin is used estimate population variance as complexity increses in multivariate data</t>
  </si>
  <si>
    <t>Q3.</t>
  </si>
  <si>
    <t>In the study of financial performance of mid-sized technology firms, data were collected on three variables for two independent samples of firms in 2024.</t>
  </si>
  <si>
    <t>X1: Annual revenue growth (%)</t>
  </si>
  <si>
    <t>X2: Research and development expenditure</t>
  </si>
  <si>
    <t>X3: Debt to equity ratio</t>
  </si>
  <si>
    <t>Sample sizes:</t>
  </si>
  <si>
    <t>N₁ = 151 firms</t>
  </si>
  <si>
    <t>N₂ = 101 firms</t>
  </si>
  <si>
    <t>Covariance matrices:</t>
  </si>
  <si>
    <t>Assume a multivariate normal distribution with the same population variance-covariance matrix Σ.</t>
  </si>
  <si>
    <t>Let:</t>
  </si>
  <si>
    <t>Compute the determinant ratio |B| / |A|.</t>
  </si>
  <si>
    <t>According to the Wishart distribution property, this ratio is proportional to the product of p independent F-distributed random variables.</t>
  </si>
  <si>
    <t>Specify the degrees of freedom for these F-distributions and simulate one realization of their product.</t>
  </si>
  <si>
    <t>χ^2(227)=</t>
  </si>
  <si>
    <t>Sₐ=</t>
  </si>
  <si>
    <t>Sᵦ=</t>
  </si>
  <si>
    <t>n1=</t>
  </si>
  <si>
    <t>n2=</t>
  </si>
  <si>
    <t>A = (N₁−1)Sₐ ∼ W₃(Σ, m=150)</t>
  </si>
  <si>
    <t>B = (N₂−1)Sᵦ ∼ W₃(Σ, n=100)</t>
  </si>
  <si>
    <t>A=n1*Sₐ=</t>
  </si>
  <si>
    <t>B=n2*Sᵦ=</t>
  </si>
  <si>
    <t>|B|=</t>
  </si>
  <si>
    <t>|B| / |A|=</t>
  </si>
  <si>
    <t>F(150,100)</t>
  </si>
  <si>
    <t>F1=</t>
  </si>
  <si>
    <t>F2=</t>
  </si>
  <si>
    <t>F3=</t>
  </si>
  <si>
    <t>C=</t>
  </si>
  <si>
    <t>F(149,99)</t>
  </si>
  <si>
    <t>F(148,98)</t>
  </si>
  <si>
    <r>
      <t>CП</t>
    </r>
    <r>
      <rPr>
        <sz val="11"/>
        <color theme="1"/>
        <rFont val="Calibri"/>
        <family val="2"/>
      </rPr>
      <t>F</t>
    </r>
  </si>
  <si>
    <t>П F</t>
  </si>
  <si>
    <t>Q 4. Given the sample covariance matrices SA and SB for the four health and fitness variables, compute</t>
  </si>
  <si>
    <t>ϕ = |A⁻¹B| using the Wishart property |A⁻¹B| = |B| / |A|, where A = 230 SA and B = 179 SB.</t>
  </si>
  <si>
    <t>Interpret the result in the context of comparing the covariance structures of fitness metrics between 2023 and 2024. Discuss how this can help the health science club assess the consistency of the wellness program’s impact on student fitness.</t>
  </si>
  <si>
    <t>Group A sample variance-covariance matrix:</t>
  </si>
  <si>
    <t>SA =</t>
  </si>
  <si>
    <t>Group B sample variance-covariance matrix:</t>
  </si>
  <si>
    <t>SB =</t>
  </si>
  <si>
    <t>Q 5. Let A ∼ Wₚ(I, m) and B ∼ Wₚ(I, n) be independent Wishart-distributed matrices with p = 3, m = 8, and n = 4, where I is the 3×3 identity matrix.</t>
  </si>
  <si>
    <t>Compute the Wilks' Lambda statistic</t>
  </si>
  <si>
    <t>Λ = |A| / |A + B| = |I + A⁻¹B|⁻¹</t>
  </si>
  <si>
    <t>for a given pair of matrices A and B, and verify that it follows the Wilks' Lambda distribution Λ(3, 8, 4).</t>
  </si>
  <si>
    <t>Use this to perform a hypothesis test for equality of means in a multivariate setting, interpreting the result.</t>
  </si>
  <si>
    <t>Suppose we are testing whether two groups with p = 3 variables have equal mean vectors in a MANOVA setting.</t>
  </si>
  <si>
    <t>A is the within-group sum of squares and cross-products (SSCP) matrix, A ∼ W₃(I, m = 8) (e.g., from a group with 9 observations, m = n₁ − 1 = 8).</t>
  </si>
  <si>
    <t>B is the between-group SSCP matrix, B ∼ W₃(I, n = 4) (e.g., from 5 groups, n = k − 1 = 4).</t>
  </si>
  <si>
    <t xml:space="preserve">A = </t>
  </si>
  <si>
    <t>B=</t>
  </si>
  <si>
    <t>p=3</t>
  </si>
  <si>
    <t>m=N1-1=8</t>
  </si>
  <si>
    <t>n=N2-1=4</t>
  </si>
  <si>
    <t>A+B=</t>
  </si>
  <si>
    <t>|A+B|=</t>
  </si>
  <si>
    <t>A^-1=</t>
  </si>
  <si>
    <t>(A^-1)*B=</t>
  </si>
  <si>
    <t>I+(A^-1)*B=</t>
  </si>
  <si>
    <t>I=</t>
  </si>
  <si>
    <t>(I+(A^-1)*B)^-1=</t>
  </si>
  <si>
    <t>s=</t>
  </si>
  <si>
    <t>df1=</t>
  </si>
  <si>
    <t>df2=</t>
  </si>
  <si>
    <t>Fcal=</t>
  </si>
  <si>
    <t>Λ=</t>
  </si>
  <si>
    <t>Λ by inverse=</t>
  </si>
  <si>
    <t>Fcal&lt;Ftab</t>
  </si>
  <si>
    <t>both group has same mean vectors as we do not reject null hypothesis</t>
  </si>
  <si>
    <t>Ftab=</t>
  </si>
  <si>
    <t>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</si>
</sst>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1"/>
      <name val="Calibri"/>
      <family val="2"/>
    </font>
    <font>
      <sz val="12"/>
      <color theme="1"/>
      <name val="Times New Roman"/>
      <family val="1"/>
    </font>
    <font>
      <sz val="11"/>
      <color theme="1"/>
      <name val="Aptos Narrow"/>
      <family val="2"/>
    </font>
    <font>
      <sz val="8"/>
      <name val="Calibri"/>
      <family val="2"/>
      <scheme val="minor"/>
    </font>
  </fonts>
  <fills count="2">
    <fill>
      <patternFill patternType="none"/>
    </fill>
    <fill>
      <patternFill patternType="gray125"/>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ck">
        <color indexed="64"/>
      </right>
      <top/>
      <bottom/>
      <diagonal/>
    </border>
  </borders>
  <cellStyleXfs count="1">
    <xf numFmtId="0" fontId="0" fillId="0" borderId="0"/>
  </cellStyleXfs>
  <cellXfs count="25">
    <xf numFmtId="0" fontId="0" fillId="0" borderId="0" xfId="0"/>
    <xf numFmtId="0" fontId="3" fillId="0" borderId="0" xfId="0" applyFont="1" applyAlignment="1">
      <alignment horizontal="justify" vertical="center"/>
    </xf>
    <xf numFmtId="0" fontId="0" fillId="0" borderId="0" xfId="0" applyAlignment="1">
      <alignment horizontal="right"/>
    </xf>
    <xf numFmtId="0" fontId="0" fillId="0" borderId="0" xfId="0"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 fillId="0" borderId="0" xfId="0" applyFont="1"/>
    <xf numFmtId="0" fontId="0" fillId="0" borderId="16" xfId="0" applyBorder="1"/>
    <xf numFmtId="0" fontId="0" fillId="0" borderId="16" xfId="0" applyBorder="1" applyAlignment="1">
      <alignment horizontal="right"/>
    </xf>
    <xf numFmtId="0" fontId="4" fillId="0" borderId="0" xfId="0" applyFont="1" applyAlignment="1">
      <alignment horizontal="right"/>
    </xf>
    <xf numFmtId="0" fontId="1" fillId="0" borderId="0" xfId="0" applyFont="1"/>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0</xdr:col>
      <xdr:colOff>514350</xdr:colOff>
      <xdr:row>28</xdr:row>
      <xdr:rowOff>38100</xdr:rowOff>
    </xdr:from>
    <xdr:to>
      <xdr:col>1</xdr:col>
      <xdr:colOff>49530</xdr:colOff>
      <xdr:row>32</xdr:row>
      <xdr:rowOff>108585</xdr:rowOff>
    </xdr:to>
    <xdr:sp macro="" textlink="">
      <xdr:nvSpPr>
        <xdr:cNvPr id="4" name="Left Bracket 3">
          <a:extLst>
            <a:ext uri="{FF2B5EF4-FFF2-40B4-BE49-F238E27FC236}">
              <a16:creationId xmlns:a16="http://schemas.microsoft.com/office/drawing/2014/main" id="{70FBACDF-B42E-B5AD-74A1-49EB3858C99B}"/>
            </a:ext>
          </a:extLst>
        </xdr:cNvPr>
        <xdr:cNvSpPr/>
      </xdr:nvSpPr>
      <xdr:spPr>
        <a:xfrm>
          <a:off x="1432560" y="2033270"/>
          <a:ext cx="144780" cy="899160"/>
        </a:xfrm>
        <a:prstGeom prst="leftBracket">
          <a:avLst/>
        </a:prstGeom>
        <a:ln>
          <a:solidFill>
            <a:schemeClr val="bg2"/>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IN"/>
        </a:p>
      </xdr:txBody>
    </xdr:sp>
    <xdr:clientData/>
  </xdr:twoCellAnchor>
  <xdr:twoCellAnchor>
    <xdr:from>
      <xdr:col>4</xdr:col>
      <xdr:colOff>333375</xdr:colOff>
      <xdr:row>28</xdr:row>
      <xdr:rowOff>0</xdr:rowOff>
    </xdr:from>
    <xdr:to>
      <xdr:col>4</xdr:col>
      <xdr:colOff>455295</xdr:colOff>
      <xdr:row>32</xdr:row>
      <xdr:rowOff>100965</xdr:rowOff>
    </xdr:to>
    <xdr:sp macro="" textlink="">
      <xdr:nvSpPr>
        <xdr:cNvPr id="5" name="Right Bracket 4">
          <a:extLst>
            <a:ext uri="{FF2B5EF4-FFF2-40B4-BE49-F238E27FC236}">
              <a16:creationId xmlns:a16="http://schemas.microsoft.com/office/drawing/2014/main" id="{84E393E2-FD19-0440-4528-25DBA3FF1771}"/>
            </a:ext>
          </a:extLst>
        </xdr:cNvPr>
        <xdr:cNvSpPr/>
      </xdr:nvSpPr>
      <xdr:spPr>
        <a:xfrm>
          <a:off x="3688080" y="1995170"/>
          <a:ext cx="121920" cy="929640"/>
        </a:xfrm>
        <a:prstGeom prst="rightBracket">
          <a:avLst/>
        </a:prstGeom>
        <a:ln>
          <a:solidFill>
            <a:schemeClr val="bg2"/>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IN"/>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13</xdr:col>
      <xdr:colOff>533400</xdr:colOff>
      <xdr:row>15</xdr:row>
      <xdr:rowOff>147637</xdr:rowOff>
    </xdr:from>
    <xdr:ext cx="65" cy="172227"/>
    <xdr:sp macro="" textlink="">
      <xdr:nvSpPr>
        <xdr:cNvPr id="2" name="TextBox 1">
          <a:extLst>
            <a:ext uri="{FF2B5EF4-FFF2-40B4-BE49-F238E27FC236}">
              <a16:creationId xmlns:a16="http://schemas.microsoft.com/office/drawing/2014/main" id="{F3997662-F09F-CA9B-AC96-3190B5E75434}"/>
            </a:ext>
          </a:extLst>
        </xdr:cNvPr>
        <xdr:cNvSpPr txBox="1"/>
      </xdr:nvSpPr>
      <xdr:spPr>
        <a:xfrm>
          <a:off x="8458200" y="30051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5"/>
  <sheetViews>
    <sheetView topLeftCell="A21" workbookViewId="0">
      <selection activeCell="J45" sqref="J45"/>
    </sheetView>
  </sheetViews>
  <sheetFormatPr defaultRowHeight="15" x14ac:dyDescent="0.25"/>
  <cols>
    <col min="2" max="2" width="17" bestFit="1" customWidth="1"/>
    <col min="8" max="8" width="9.85546875" bestFit="1" customWidth="1"/>
  </cols>
  <sheetData>
    <row r="1" spans="1:2" x14ac:dyDescent="0.25">
      <c r="A1" t="s">
        <v>2</v>
      </c>
    </row>
    <row r="2" spans="1:2" ht="15.75" x14ac:dyDescent="0.25">
      <c r="A2" s="1"/>
    </row>
    <row r="3" spans="1:2" x14ac:dyDescent="0.25">
      <c r="A3" t="s">
        <v>3</v>
      </c>
    </row>
    <row r="5" spans="1:2" x14ac:dyDescent="0.25">
      <c r="A5" t="s">
        <v>0</v>
      </c>
    </row>
    <row r="7" spans="1:2" x14ac:dyDescent="0.25">
      <c r="A7" t="s">
        <v>4</v>
      </c>
    </row>
    <row r="9" spans="1:2" x14ac:dyDescent="0.25">
      <c r="A9" t="s">
        <v>5</v>
      </c>
    </row>
    <row r="11" spans="1:2" x14ac:dyDescent="0.25">
      <c r="A11" t="s">
        <v>6</v>
      </c>
    </row>
    <row r="12" spans="1:2" ht="15.75" x14ac:dyDescent="0.25">
      <c r="B12" s="1"/>
    </row>
    <row r="13" spans="1:2" x14ac:dyDescent="0.25">
      <c r="A13" t="s">
        <v>7</v>
      </c>
    </row>
    <row r="15" spans="1:2" x14ac:dyDescent="0.25">
      <c r="A15" t="s">
        <v>1</v>
      </c>
    </row>
    <row r="17" spans="1:6" x14ac:dyDescent="0.25">
      <c r="B17" s="2" t="s">
        <v>8</v>
      </c>
      <c r="C17">
        <v>26.626000000000001</v>
      </c>
      <c r="D17">
        <v>2.2330000000000001</v>
      </c>
      <c r="E17">
        <v>-1.9E-2</v>
      </c>
      <c r="F17">
        <v>0.26</v>
      </c>
    </row>
    <row r="18" spans="1:6" x14ac:dyDescent="0.25">
      <c r="C18">
        <v>2.2330000000000001</v>
      </c>
      <c r="D18">
        <v>1.639</v>
      </c>
      <c r="E18">
        <v>0.156</v>
      </c>
      <c r="F18">
        <v>-0.08</v>
      </c>
    </row>
    <row r="19" spans="1:6" x14ac:dyDescent="0.25">
      <c r="C19">
        <v>-1.9E-2</v>
      </c>
      <c r="D19">
        <v>0.156</v>
      </c>
      <c r="E19">
        <v>1.5129999999999999</v>
      </c>
      <c r="F19">
        <v>0.222</v>
      </c>
    </row>
    <row r="20" spans="1:6" x14ac:dyDescent="0.25">
      <c r="C20">
        <v>0.26</v>
      </c>
      <c r="D20">
        <v>-0.8</v>
      </c>
      <c r="E20">
        <v>0.222</v>
      </c>
      <c r="F20">
        <v>1.3460000000000001</v>
      </c>
    </row>
    <row r="23" spans="1:6" x14ac:dyDescent="0.25">
      <c r="A23" t="s">
        <v>11</v>
      </c>
    </row>
    <row r="24" spans="1:6" x14ac:dyDescent="0.25">
      <c r="A24" t="s">
        <v>12</v>
      </c>
    </row>
    <row r="26" spans="1:6" x14ac:dyDescent="0.25">
      <c r="A26" t="s">
        <v>13</v>
      </c>
    </row>
    <row r="27" spans="1:6" x14ac:dyDescent="0.25">
      <c r="A27" t="s">
        <v>14</v>
      </c>
    </row>
    <row r="29" spans="1:6" x14ac:dyDescent="0.25">
      <c r="A29" t="s">
        <v>15</v>
      </c>
    </row>
    <row r="31" spans="1:6" x14ac:dyDescent="0.25">
      <c r="A31" t="s">
        <v>16</v>
      </c>
    </row>
    <row r="33" spans="1:18" x14ac:dyDescent="0.25">
      <c r="A33" t="s">
        <v>17</v>
      </c>
    </row>
    <row r="35" spans="1:18" x14ac:dyDescent="0.25">
      <c r="A35" t="s">
        <v>18</v>
      </c>
    </row>
    <row r="37" spans="1:18" x14ac:dyDescent="0.25">
      <c r="A37" t="s">
        <v>19</v>
      </c>
    </row>
    <row r="39" spans="1:18" ht="15.75" thickBot="1" x14ac:dyDescent="0.3"/>
    <row r="40" spans="1:18" ht="15.75" thickBot="1" x14ac:dyDescent="0.3">
      <c r="B40" s="2" t="s">
        <v>10</v>
      </c>
      <c r="C40" s="4">
        <v>231</v>
      </c>
    </row>
    <row r="41" spans="1:18" ht="15.75" thickBot="1" x14ac:dyDescent="0.3"/>
    <row r="42" spans="1:18" ht="15.75" thickBot="1" x14ac:dyDescent="0.3">
      <c r="B42" s="2" t="s">
        <v>23</v>
      </c>
      <c r="C42" s="5">
        <v>26.626000000000001</v>
      </c>
      <c r="D42" s="6">
        <v>2.2330000000000001</v>
      </c>
      <c r="E42" s="6">
        <v>-1.9E-2</v>
      </c>
      <c r="F42" s="7">
        <v>0.26</v>
      </c>
      <c r="H42" s="2" t="s">
        <v>9</v>
      </c>
      <c r="I42" s="5" cm="1">
        <f t="array" ref="I42:L45">230*C42:F45</f>
        <v>6123.9800000000005</v>
      </c>
      <c r="J42" s="6">
        <v>513.59</v>
      </c>
      <c r="K42" s="6">
        <v>-4.37</v>
      </c>
      <c r="L42" s="7">
        <v>59.800000000000004</v>
      </c>
      <c r="N42" s="2" t="s">
        <v>20</v>
      </c>
      <c r="O42" s="13">
        <v>0.25</v>
      </c>
      <c r="P42" s="14">
        <v>0.25</v>
      </c>
      <c r="Q42" s="14">
        <v>0.25</v>
      </c>
      <c r="R42" s="15">
        <v>0.25</v>
      </c>
    </row>
    <row r="43" spans="1:18" x14ac:dyDescent="0.25">
      <c r="C43" s="8">
        <v>2.2330000000000001</v>
      </c>
      <c r="D43">
        <v>1.639</v>
      </c>
      <c r="E43">
        <v>0.156</v>
      </c>
      <c r="F43" s="9">
        <v>-0.08</v>
      </c>
      <c r="I43" s="8">
        <v>513.59</v>
      </c>
      <c r="J43">
        <v>376.97</v>
      </c>
      <c r="K43">
        <v>35.880000000000003</v>
      </c>
      <c r="L43" s="9">
        <v>-18.400000000000002</v>
      </c>
    </row>
    <row r="44" spans="1:18" x14ac:dyDescent="0.25">
      <c r="C44" s="8">
        <v>-1.9E-2</v>
      </c>
      <c r="D44">
        <v>0.156</v>
      </c>
      <c r="E44">
        <v>1.5129999999999999</v>
      </c>
      <c r="F44" s="9">
        <v>0.222</v>
      </c>
      <c r="I44" s="8">
        <v>-4.37</v>
      </c>
      <c r="J44">
        <v>35.880000000000003</v>
      </c>
      <c r="K44">
        <v>347.98999999999995</v>
      </c>
      <c r="L44" s="9">
        <v>51.06</v>
      </c>
    </row>
    <row r="45" spans="1:18" ht="15.75" thickBot="1" x14ac:dyDescent="0.3">
      <c r="C45" s="10">
        <v>0.26</v>
      </c>
      <c r="D45" s="11">
        <v>-0.8</v>
      </c>
      <c r="E45" s="11">
        <v>0.222</v>
      </c>
      <c r="F45" s="12">
        <v>1.3460000000000001</v>
      </c>
      <c r="I45" s="10">
        <v>59.800000000000004</v>
      </c>
      <c r="J45" s="11">
        <v>-184</v>
      </c>
      <c r="K45" s="11">
        <v>51.06</v>
      </c>
      <c r="L45" s="12">
        <v>309.58000000000004</v>
      </c>
    </row>
    <row r="47" spans="1:18" ht="15.75" thickBot="1" x14ac:dyDescent="0.3"/>
    <row r="48" spans="1:18" ht="15.75" thickBot="1" x14ac:dyDescent="0.3">
      <c r="B48" s="2" t="s">
        <v>21</v>
      </c>
      <c r="C48" s="13">
        <v>0.25</v>
      </c>
      <c r="D48" s="14">
        <v>0.25</v>
      </c>
      <c r="E48" s="14">
        <v>0.25</v>
      </c>
      <c r="F48" s="15">
        <v>0.25</v>
      </c>
      <c r="G48" s="3" t="s">
        <v>22</v>
      </c>
      <c r="H48" s="5">
        <v>6123.9800000000005</v>
      </c>
      <c r="I48" s="6">
        <v>513.59</v>
      </c>
      <c r="J48" s="6">
        <v>-4.37</v>
      </c>
      <c r="K48" s="7">
        <v>59.800000000000004</v>
      </c>
      <c r="L48" s="3" t="s">
        <v>22</v>
      </c>
      <c r="M48" s="16" cm="1">
        <f t="array" ref="M48:M51">TRANSPOSE(C48:F48)</f>
        <v>0.25</v>
      </c>
    </row>
    <row r="49" spans="2:13" x14ac:dyDescent="0.25">
      <c r="H49" s="8">
        <v>513.59</v>
      </c>
      <c r="I49">
        <v>376.97</v>
      </c>
      <c r="J49">
        <v>35.880000000000003</v>
      </c>
      <c r="K49" s="9">
        <v>-18.400000000000002</v>
      </c>
      <c r="M49" s="17">
        <v>0.25</v>
      </c>
    </row>
    <row r="50" spans="2:13" x14ac:dyDescent="0.25">
      <c r="H50" s="8">
        <v>-4.37</v>
      </c>
      <c r="I50">
        <v>35.880000000000003</v>
      </c>
      <c r="J50">
        <v>347.98999999999995</v>
      </c>
      <c r="K50" s="9">
        <v>51.06</v>
      </c>
      <c r="M50" s="17">
        <v>0.25</v>
      </c>
    </row>
    <row r="51" spans="2:13" ht="15.75" thickBot="1" x14ac:dyDescent="0.3">
      <c r="H51" s="10">
        <v>59.800000000000004</v>
      </c>
      <c r="I51" s="11">
        <v>-18.399999999999999</v>
      </c>
      <c r="J51" s="11">
        <v>51.06</v>
      </c>
      <c r="K51" s="12">
        <v>309.58000000000004</v>
      </c>
      <c r="M51" s="18">
        <v>0.25</v>
      </c>
    </row>
    <row r="52" spans="2:13" ht="15.75" thickBot="1" x14ac:dyDescent="0.3"/>
    <row r="53" spans="2:13" ht="15.75" thickBot="1" x14ac:dyDescent="0.3">
      <c r="B53" s="2" t="s">
        <v>21</v>
      </c>
      <c r="C53" s="13" cm="1">
        <f t="array" ref="C53:F53">MMULT(C48:F48,H48:K51)</f>
        <v>1673.2500000000002</v>
      </c>
      <c r="D53" s="14">
        <v>227.01000000000002</v>
      </c>
      <c r="E53" s="14">
        <v>107.63999999999999</v>
      </c>
      <c r="F53" s="15">
        <v>100.51000000000002</v>
      </c>
      <c r="G53" s="3" t="s">
        <v>22</v>
      </c>
      <c r="H53" s="16">
        <v>0.25</v>
      </c>
    </row>
    <row r="54" spans="2:13" x14ac:dyDescent="0.25">
      <c r="H54" s="17">
        <v>0.25</v>
      </c>
    </row>
    <row r="55" spans="2:13" x14ac:dyDescent="0.25">
      <c r="H55" s="17">
        <v>0.25</v>
      </c>
    </row>
    <row r="56" spans="2:13" ht="15.75" thickBot="1" x14ac:dyDescent="0.3">
      <c r="H56" s="18">
        <v>0.25</v>
      </c>
    </row>
    <row r="57" spans="2:13" ht="15.75" thickBot="1" x14ac:dyDescent="0.3"/>
    <row r="58" spans="2:13" ht="15.75" thickBot="1" x14ac:dyDescent="0.3">
      <c r="B58" s="2" t="s">
        <v>21</v>
      </c>
      <c r="C58" s="4" cm="1">
        <f t="array" ref="C58">MMULT(_xlfn.ANCHORARRAY(C53),H53:H56)</f>
        <v>527.10250000000008</v>
      </c>
    </row>
    <row r="60" spans="2:13" x14ac:dyDescent="0.25">
      <c r="B60" s="19" t="s">
        <v>25</v>
      </c>
    </row>
    <row r="61" spans="2:13" ht="15.75" thickBot="1" x14ac:dyDescent="0.3"/>
    <row r="62" spans="2:13" ht="15.75" thickBot="1" x14ac:dyDescent="0.3">
      <c r="B62" s="2" t="s">
        <v>24</v>
      </c>
      <c r="C62" s="13">
        <v>0.25</v>
      </c>
      <c r="D62" s="14">
        <v>0.25</v>
      </c>
      <c r="E62" s="14">
        <v>0.25</v>
      </c>
      <c r="F62" s="15">
        <v>0.25</v>
      </c>
      <c r="G62" s="3" t="s">
        <v>22</v>
      </c>
      <c r="H62" s="5">
        <v>26.626000000000001</v>
      </c>
      <c r="I62" s="6">
        <v>2.2330000000000001</v>
      </c>
      <c r="J62" s="6">
        <v>-1.9E-2</v>
      </c>
      <c r="K62" s="7">
        <v>0.26</v>
      </c>
      <c r="L62" s="3" t="s">
        <v>22</v>
      </c>
      <c r="M62" s="16" cm="1">
        <f t="array" ref="M62:M65">TRANSPOSE(C62:F62)</f>
        <v>0.25</v>
      </c>
    </row>
    <row r="63" spans="2:13" x14ac:dyDescent="0.25">
      <c r="H63" s="8">
        <v>2.2330000000000001</v>
      </c>
      <c r="I63">
        <v>1.639</v>
      </c>
      <c r="J63">
        <v>0.156</v>
      </c>
      <c r="K63" s="9">
        <v>-0.08</v>
      </c>
      <c r="M63" s="17">
        <v>0.25</v>
      </c>
    </row>
    <row r="64" spans="2:13" x14ac:dyDescent="0.25">
      <c r="H64" s="8">
        <v>-1.9E-2</v>
      </c>
      <c r="I64">
        <v>0.156</v>
      </c>
      <c r="J64">
        <v>1.5129999999999999</v>
      </c>
      <c r="K64" s="9">
        <v>0.222</v>
      </c>
      <c r="M64" s="17">
        <v>0.25</v>
      </c>
    </row>
    <row r="65" spans="2:13" ht="15.75" thickBot="1" x14ac:dyDescent="0.3">
      <c r="H65" s="10">
        <v>0.26</v>
      </c>
      <c r="I65" s="11">
        <v>-0.08</v>
      </c>
      <c r="J65" s="11">
        <v>0.222</v>
      </c>
      <c r="K65" s="12">
        <v>1.3460000000000001</v>
      </c>
      <c r="M65" s="18">
        <v>0.25</v>
      </c>
    </row>
    <row r="66" spans="2:13" ht="15.75" thickBot="1" x14ac:dyDescent="0.3"/>
    <row r="67" spans="2:13" ht="15.75" thickBot="1" x14ac:dyDescent="0.3">
      <c r="B67" s="2" t="s">
        <v>24</v>
      </c>
      <c r="C67" s="13" cm="1">
        <f t="array" ref="C67:F67">MMULT(C62:F62,H62:K65)</f>
        <v>7.2750000000000012</v>
      </c>
      <c r="D67" s="14">
        <v>0.98699999999999988</v>
      </c>
      <c r="E67" s="14">
        <v>0.46799999999999997</v>
      </c>
      <c r="F67" s="15">
        <v>0.43700000000000006</v>
      </c>
      <c r="G67" s="3" t="s">
        <v>22</v>
      </c>
      <c r="H67" s="16">
        <v>0.25</v>
      </c>
    </row>
    <row r="68" spans="2:13" x14ac:dyDescent="0.25">
      <c r="H68" s="17">
        <v>0.25</v>
      </c>
    </row>
    <row r="69" spans="2:13" x14ac:dyDescent="0.25">
      <c r="H69" s="17">
        <v>0.25</v>
      </c>
    </row>
    <row r="70" spans="2:13" ht="15.75" thickBot="1" x14ac:dyDescent="0.3">
      <c r="H70" s="18">
        <v>0.25</v>
      </c>
    </row>
    <row r="71" spans="2:13" ht="15.75" thickBot="1" x14ac:dyDescent="0.3"/>
    <row r="72" spans="2:13" ht="15.75" thickBot="1" x14ac:dyDescent="0.3">
      <c r="B72" s="2" t="s">
        <v>24</v>
      </c>
      <c r="C72" s="4" cm="1">
        <f t="array" ref="C72">MMULT(_xlfn.ANCHORARRAY(C67),H67:H70)</f>
        <v>2.29175</v>
      </c>
    </row>
    <row r="74" spans="2:13" ht="15.75" thickBot="1" x14ac:dyDescent="0.3"/>
    <row r="75" spans="2:13" ht="15.75" thickBot="1" x14ac:dyDescent="0.3">
      <c r="B75" t="s">
        <v>26</v>
      </c>
      <c r="C75" s="4">
        <f>230*C72</f>
        <v>527.10249999999996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DACA8-11B1-4830-AEEA-15E33F3B35CF}">
  <dimension ref="A2:R16"/>
  <sheetViews>
    <sheetView workbookViewId="0">
      <selection activeCell="P22" sqref="P22"/>
    </sheetView>
  </sheetViews>
  <sheetFormatPr defaultRowHeight="15" x14ac:dyDescent="0.25"/>
  <cols>
    <col min="2" max="2" width="12" bestFit="1" customWidth="1"/>
    <col min="16" max="16" width="11" bestFit="1" customWidth="1"/>
  </cols>
  <sheetData>
    <row r="2" spans="1:18" x14ac:dyDescent="0.25">
      <c r="A2" t="s">
        <v>27</v>
      </c>
      <c r="B2" s="23" t="s">
        <v>42</v>
      </c>
    </row>
    <row r="4" spans="1:18" x14ac:dyDescent="0.25">
      <c r="A4" t="s">
        <v>28</v>
      </c>
    </row>
    <row r="6" spans="1:18" x14ac:dyDescent="0.25">
      <c r="A6" t="s">
        <v>29</v>
      </c>
    </row>
    <row r="8" spans="1:18" x14ac:dyDescent="0.25">
      <c r="A8" s="2" t="s">
        <v>30</v>
      </c>
      <c r="B8">
        <v>4</v>
      </c>
    </row>
    <row r="10" spans="1:18" x14ac:dyDescent="0.25">
      <c r="A10" s="21" t="s">
        <v>31</v>
      </c>
      <c r="B10">
        <v>6123.9800000000005</v>
      </c>
      <c r="C10">
        <v>513.59</v>
      </c>
      <c r="D10">
        <v>-4.37</v>
      </c>
      <c r="E10" s="20">
        <v>59.800000000000004</v>
      </c>
      <c r="H10" s="21" t="s">
        <v>32</v>
      </c>
      <c r="I10">
        <v>26.626000000000001</v>
      </c>
      <c r="J10">
        <v>2.2330000000000001</v>
      </c>
      <c r="K10">
        <v>-1.9E-2</v>
      </c>
      <c r="L10" s="20">
        <v>0.26</v>
      </c>
      <c r="N10" s="2" t="s">
        <v>34</v>
      </c>
      <c r="O10">
        <v>0.8476478783807414</v>
      </c>
      <c r="Q10" s="19" t="s">
        <v>38</v>
      </c>
      <c r="R10">
        <f>_xlfn.CHISQ.INV.RT(O10,230)</f>
        <v>208.05362676739333</v>
      </c>
    </row>
    <row r="11" spans="1:18" x14ac:dyDescent="0.25">
      <c r="A11" s="20"/>
      <c r="B11">
        <v>513.59</v>
      </c>
      <c r="C11">
        <v>376.97</v>
      </c>
      <c r="D11">
        <v>35.880000000000003</v>
      </c>
      <c r="E11" s="20">
        <v>-18.400000000000002</v>
      </c>
      <c r="H11" s="20"/>
      <c r="I11">
        <v>2.2330000000000001</v>
      </c>
      <c r="J11">
        <v>1.639</v>
      </c>
      <c r="K11">
        <v>0.156</v>
      </c>
      <c r="L11" s="20">
        <v>-0.08</v>
      </c>
      <c r="N11" s="2" t="s">
        <v>35</v>
      </c>
      <c r="O11">
        <v>9.8671512117100013E-2</v>
      </c>
      <c r="Q11" s="19" t="s">
        <v>39</v>
      </c>
      <c r="R11">
        <f>_xlfn.CHISQ.INV.RT(O11,229)</f>
        <v>256.99466824604258</v>
      </c>
    </row>
    <row r="12" spans="1:18" x14ac:dyDescent="0.25">
      <c r="A12" s="20"/>
      <c r="B12">
        <v>-4.37</v>
      </c>
      <c r="C12">
        <v>35.880000000000003</v>
      </c>
      <c r="D12">
        <v>347.98999999999995</v>
      </c>
      <c r="E12" s="20">
        <v>51.06</v>
      </c>
      <c r="H12" s="20"/>
      <c r="I12">
        <v>-1.9E-2</v>
      </c>
      <c r="J12">
        <v>0.156</v>
      </c>
      <c r="K12">
        <v>1.5129999999999999</v>
      </c>
      <c r="L12" s="20">
        <v>0.222</v>
      </c>
      <c r="N12" s="2" t="s">
        <v>36</v>
      </c>
      <c r="O12">
        <v>0.51696479822491548</v>
      </c>
      <c r="Q12" t="s">
        <v>40</v>
      </c>
      <c r="R12">
        <f>_xlfn.CHISQ.INV.RT(O12,228)</f>
        <v>226.42808922953637</v>
      </c>
    </row>
    <row r="13" spans="1:18" x14ac:dyDescent="0.25">
      <c r="A13" s="20"/>
      <c r="B13">
        <v>59.800000000000004</v>
      </c>
      <c r="C13">
        <v>-184</v>
      </c>
      <c r="D13">
        <v>51.06</v>
      </c>
      <c r="E13" s="20">
        <v>309.58000000000004</v>
      </c>
      <c r="H13" s="20"/>
      <c r="I13">
        <v>0.26</v>
      </c>
      <c r="J13">
        <v>-0.8</v>
      </c>
      <c r="K13">
        <v>0.222</v>
      </c>
      <c r="L13" s="20">
        <v>1.3460000000000001</v>
      </c>
      <c r="N13" s="2" t="s">
        <v>37</v>
      </c>
      <c r="O13">
        <v>0.72626121948420352</v>
      </c>
      <c r="Q13" t="s">
        <v>57</v>
      </c>
      <c r="R13">
        <f>_xlfn.CHISQ.INV.RT(O13,227)</f>
        <v>213.77841844737779</v>
      </c>
    </row>
    <row r="14" spans="1:18" ht="15.75" thickBot="1" x14ac:dyDescent="0.3"/>
    <row r="15" spans="1:18" ht="15.75" thickBot="1" x14ac:dyDescent="0.3">
      <c r="A15" s="2" t="s">
        <v>31</v>
      </c>
      <c r="B15" s="4">
        <f>MDETERM(B10:E13)</f>
        <v>200201009360.14764</v>
      </c>
      <c r="H15" s="2" t="s">
        <v>32</v>
      </c>
      <c r="I15" s="4">
        <f>MDETERM(I10:L13)</f>
        <v>71.540985545416007</v>
      </c>
      <c r="O15" s="22" t="s">
        <v>41</v>
      </c>
      <c r="P15" cm="1">
        <f t="array" ref="P15">_xlfn.ANCHORARRAY(R10)*_xlfn.ANCHORARRAY(R11)*_xlfn.ANCHORARRAY(R12)*_xlfn.ANCHORARRAY(R13)</f>
        <v>2588174568.7834139</v>
      </c>
    </row>
    <row r="16" spans="1:18" ht="15.75" thickBot="1" x14ac:dyDescent="0.3">
      <c r="O16" s="22" t="s">
        <v>33</v>
      </c>
      <c r="P16" s="4">
        <f>B15/I15</f>
        <v>2798410000.0000005</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1C587-14BA-4327-97BE-2B602D7538BB}">
  <dimension ref="A2:R35"/>
  <sheetViews>
    <sheetView tabSelected="1" topLeftCell="A10" workbookViewId="0">
      <selection activeCell="P38" sqref="P38"/>
    </sheetView>
  </sheetViews>
  <sheetFormatPr defaultRowHeight="15" x14ac:dyDescent="0.25"/>
  <cols>
    <col min="4" max="4" width="10.140625" bestFit="1" customWidth="1"/>
    <col min="5" max="5" width="12" bestFit="1" customWidth="1"/>
    <col min="17" max="17" width="10.28515625" bestFit="1" customWidth="1"/>
  </cols>
  <sheetData>
    <row r="2" spans="1:12" x14ac:dyDescent="0.25">
      <c r="A2" t="s">
        <v>43</v>
      </c>
    </row>
    <row r="3" spans="1:12" x14ac:dyDescent="0.25">
      <c r="A3" t="s">
        <v>44</v>
      </c>
    </row>
    <row r="5" spans="1:12" x14ac:dyDescent="0.25">
      <c r="A5" t="s">
        <v>45</v>
      </c>
    </row>
    <row r="6" spans="1:12" x14ac:dyDescent="0.25">
      <c r="A6" t="s">
        <v>46</v>
      </c>
    </row>
    <row r="7" spans="1:12" x14ac:dyDescent="0.25">
      <c r="A7" t="s">
        <v>47</v>
      </c>
    </row>
    <row r="9" spans="1:12" x14ac:dyDescent="0.25">
      <c r="A9" t="s">
        <v>48</v>
      </c>
      <c r="C9" t="s">
        <v>49</v>
      </c>
      <c r="E9" t="s">
        <v>50</v>
      </c>
    </row>
    <row r="10" spans="1:12" ht="15.75" thickBot="1" x14ac:dyDescent="0.3"/>
    <row r="11" spans="1:12" x14ac:dyDescent="0.25">
      <c r="A11" t="s">
        <v>51</v>
      </c>
      <c r="D11" s="2" t="s">
        <v>58</v>
      </c>
      <c r="E11" s="5">
        <v>15.75</v>
      </c>
      <c r="F11" s="6">
        <v>1.2</v>
      </c>
      <c r="G11" s="7">
        <v>-0.15</v>
      </c>
      <c r="I11" s="2" t="s">
        <v>59</v>
      </c>
      <c r="J11" s="5">
        <v>16.2</v>
      </c>
      <c r="K11" s="6">
        <v>1.3</v>
      </c>
      <c r="L11" s="7">
        <v>-0.1</v>
      </c>
    </row>
    <row r="12" spans="1:12" x14ac:dyDescent="0.25">
      <c r="E12" s="8">
        <v>1.2</v>
      </c>
      <c r="F12">
        <v>2.5</v>
      </c>
      <c r="G12" s="9">
        <v>0.3</v>
      </c>
      <c r="J12" s="8">
        <v>1.3</v>
      </c>
      <c r="K12">
        <v>2.6</v>
      </c>
      <c r="L12" s="9">
        <v>0.25</v>
      </c>
    </row>
    <row r="13" spans="1:12" ht="15.75" thickBot="1" x14ac:dyDescent="0.3">
      <c r="E13" s="10">
        <v>-0.15</v>
      </c>
      <c r="F13" s="11">
        <v>0.3</v>
      </c>
      <c r="G13" s="12">
        <v>1.8</v>
      </c>
      <c r="J13" s="10">
        <v>-0.1</v>
      </c>
      <c r="K13" s="11">
        <v>0.25</v>
      </c>
      <c r="L13" s="12">
        <v>1.9</v>
      </c>
    </row>
    <row r="15" spans="1:12" x14ac:dyDescent="0.25">
      <c r="A15" t="s">
        <v>52</v>
      </c>
    </row>
    <row r="16" spans="1:12" x14ac:dyDescent="0.25">
      <c r="A16" t="s">
        <v>53</v>
      </c>
      <c r="B16" t="s">
        <v>62</v>
      </c>
    </row>
    <row r="17" spans="1:18" x14ac:dyDescent="0.25">
      <c r="B17" t="s">
        <v>63</v>
      </c>
    </row>
    <row r="19" spans="1:18" x14ac:dyDescent="0.25">
      <c r="A19" t="s">
        <v>54</v>
      </c>
    </row>
    <row r="20" spans="1:18" x14ac:dyDescent="0.25">
      <c r="A20" t="s">
        <v>55</v>
      </c>
    </row>
    <row r="21" spans="1:18" x14ac:dyDescent="0.25">
      <c r="A21" t="s">
        <v>56</v>
      </c>
    </row>
    <row r="23" spans="1:18" x14ac:dyDescent="0.25">
      <c r="B23" s="2" t="s">
        <v>30</v>
      </c>
      <c r="C23">
        <v>3</v>
      </c>
    </row>
    <row r="24" spans="1:18" x14ac:dyDescent="0.25">
      <c r="B24" s="2" t="s">
        <v>60</v>
      </c>
      <c r="C24">
        <v>150</v>
      </c>
    </row>
    <row r="25" spans="1:18" x14ac:dyDescent="0.25">
      <c r="B25" s="2" t="s">
        <v>61</v>
      </c>
      <c r="C25">
        <v>100</v>
      </c>
    </row>
    <row r="26" spans="1:18" ht="15.75" thickBot="1" x14ac:dyDescent="0.3"/>
    <row r="27" spans="1:18" x14ac:dyDescent="0.25">
      <c r="D27" t="s">
        <v>64</v>
      </c>
      <c r="E27" s="5" cm="1">
        <f t="array" ref="E27:G29">150*E11:G13</f>
        <v>2362.5</v>
      </c>
      <c r="F27" s="6">
        <v>180</v>
      </c>
      <c r="G27" s="7">
        <v>-22.5</v>
      </c>
      <c r="I27" t="s">
        <v>65</v>
      </c>
      <c r="J27" s="5" cm="1">
        <f t="array" ref="J27:L29">100*J11:L13</f>
        <v>1620</v>
      </c>
      <c r="K27" s="6">
        <v>130</v>
      </c>
      <c r="L27" s="7">
        <v>-10</v>
      </c>
      <c r="N27" t="s">
        <v>69</v>
      </c>
      <c r="O27">
        <v>0.79408387547131531</v>
      </c>
      <c r="Q27" t="s">
        <v>68</v>
      </c>
      <c r="R27">
        <f>_xlfn.F.INV.RT(O27,100,150)</f>
        <v>0.85794354103675863</v>
      </c>
    </row>
    <row r="28" spans="1:18" x14ac:dyDescent="0.25">
      <c r="E28" s="8">
        <v>180</v>
      </c>
      <c r="F28">
        <v>375</v>
      </c>
      <c r="G28" s="9">
        <v>45</v>
      </c>
      <c r="J28" s="8">
        <v>130</v>
      </c>
      <c r="K28">
        <v>260</v>
      </c>
      <c r="L28" s="9">
        <v>25</v>
      </c>
      <c r="N28" t="s">
        <v>70</v>
      </c>
      <c r="O28">
        <v>0.48691318720393284</v>
      </c>
      <c r="Q28" t="s">
        <v>73</v>
      </c>
      <c r="R28">
        <f>_xlfn.F.INV.RT(O28,99,149)</f>
        <v>1.0037681459246302</v>
      </c>
    </row>
    <row r="29" spans="1:18" ht="15.75" thickBot="1" x14ac:dyDescent="0.3">
      <c r="E29" s="10">
        <v>-22.5</v>
      </c>
      <c r="F29" s="11">
        <v>45</v>
      </c>
      <c r="G29" s="12">
        <v>270</v>
      </c>
      <c r="J29" s="10">
        <v>-10</v>
      </c>
      <c r="K29" s="11">
        <v>25</v>
      </c>
      <c r="L29" s="12">
        <v>190</v>
      </c>
      <c r="N29" t="s">
        <v>71</v>
      </c>
      <c r="O29">
        <v>0.38612926568335115</v>
      </c>
      <c r="Q29" t="s">
        <v>74</v>
      </c>
      <c r="R29">
        <f>_xlfn.F.INV.RT(O29,98,148)</f>
        <v>1.0523485018063696</v>
      </c>
    </row>
    <row r="30" spans="1:18" ht="15.75" thickBot="1" x14ac:dyDescent="0.3"/>
    <row r="31" spans="1:18" ht="15.75" thickBot="1" x14ac:dyDescent="0.3">
      <c r="D31" t="s">
        <v>31</v>
      </c>
      <c r="E31" s="4">
        <f>MDETERM(_xlfn.ANCHORARRAY(E27))</f>
        <v>225116718.75</v>
      </c>
      <c r="I31" t="s">
        <v>66</v>
      </c>
      <c r="J31" s="4">
        <f>MDETERM(_xlfn.ANCHORARRAY(J27))</f>
        <v>75713500</v>
      </c>
      <c r="N31" s="2" t="s">
        <v>72</v>
      </c>
      <c r="O31" s="4">
        <f>(150/100)*(149/99)*(148/98)</f>
        <v>3.4094001236858373</v>
      </c>
      <c r="Q31" t="s">
        <v>76</v>
      </c>
      <c r="R31" s="4">
        <f>PRODUCT(R27:R29)</f>
        <v>0.90625769169432169</v>
      </c>
    </row>
    <row r="32" spans="1:18" ht="15.75" thickBot="1" x14ac:dyDescent="0.3"/>
    <row r="33" spans="4:5" ht="15.75" thickBot="1" x14ac:dyDescent="0.3">
      <c r="D33" t="s">
        <v>67</v>
      </c>
      <c r="E33" s="4">
        <f>J31/E31</f>
        <v>0.33632997327081021</v>
      </c>
    </row>
    <row r="34" spans="4:5" ht="15.75" thickBot="1" x14ac:dyDescent="0.3"/>
    <row r="35" spans="4:5" ht="15.75" thickBot="1" x14ac:dyDescent="0.3">
      <c r="D35" t="s">
        <v>75</v>
      </c>
      <c r="E35" s="4">
        <f>O31*R31</f>
        <v>3.0897950861538619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B9F18-DD76-450F-BFF2-FEE027F20320}">
  <dimension ref="A2:O30"/>
  <sheetViews>
    <sheetView workbookViewId="0">
      <selection activeCell="M9" sqref="M9"/>
    </sheetView>
  </sheetViews>
  <sheetFormatPr defaultRowHeight="15" x14ac:dyDescent="0.25"/>
  <sheetData>
    <row r="2" spans="1:15" x14ac:dyDescent="0.25">
      <c r="A2" t="s">
        <v>77</v>
      </c>
    </row>
    <row r="3" spans="1:15" x14ac:dyDescent="0.25">
      <c r="A3" t="s">
        <v>78</v>
      </c>
    </row>
    <row r="5" spans="1:15" x14ac:dyDescent="0.25">
      <c r="A5" t="s">
        <v>79</v>
      </c>
    </row>
    <row r="7" spans="1:15" x14ac:dyDescent="0.25">
      <c r="A7" t="s">
        <v>80</v>
      </c>
      <c r="G7" t="s">
        <v>82</v>
      </c>
    </row>
    <row r="8" spans="1:15" x14ac:dyDescent="0.25">
      <c r="A8" t="s">
        <v>81</v>
      </c>
      <c r="B8">
        <v>64.5</v>
      </c>
      <c r="C8">
        <v>-2.2999999999999998</v>
      </c>
      <c r="D8">
        <v>1.2</v>
      </c>
      <c r="E8">
        <v>3.15</v>
      </c>
      <c r="G8" t="s">
        <v>83</v>
      </c>
      <c r="H8">
        <v>62.4</v>
      </c>
      <c r="I8">
        <v>-2.1</v>
      </c>
      <c r="J8">
        <v>1.1000000000000001</v>
      </c>
      <c r="K8">
        <v>2.9</v>
      </c>
      <c r="M8" t="s">
        <v>113</v>
      </c>
    </row>
    <row r="9" spans="1:15" x14ac:dyDescent="0.25">
      <c r="B9">
        <v>-2.2999999999999998</v>
      </c>
      <c r="C9">
        <v>4.8</v>
      </c>
      <c r="D9">
        <v>-0.25</v>
      </c>
      <c r="E9">
        <v>0.4</v>
      </c>
      <c r="H9">
        <v>-2.1</v>
      </c>
      <c r="I9">
        <v>4.5999999999999996</v>
      </c>
      <c r="J9">
        <v>-0.23</v>
      </c>
      <c r="K9">
        <v>0.38</v>
      </c>
    </row>
    <row r="10" spans="1:15" x14ac:dyDescent="0.25">
      <c r="B10">
        <v>1.2</v>
      </c>
      <c r="C10">
        <v>-0.25</v>
      </c>
      <c r="D10">
        <v>6.75</v>
      </c>
      <c r="E10">
        <v>0.32</v>
      </c>
      <c r="H10">
        <v>1.1000000000000001</v>
      </c>
      <c r="I10">
        <v>-0.23</v>
      </c>
      <c r="J10">
        <v>6.5</v>
      </c>
      <c r="K10">
        <v>0.3</v>
      </c>
    </row>
    <row r="11" spans="1:15" x14ac:dyDescent="0.25">
      <c r="B11">
        <v>3.15</v>
      </c>
      <c r="C11">
        <v>0.4</v>
      </c>
      <c r="D11">
        <v>0.32</v>
      </c>
      <c r="E11">
        <v>8.1999999999999993</v>
      </c>
      <c r="H11">
        <v>2.9</v>
      </c>
      <c r="I11">
        <v>0.38</v>
      </c>
      <c r="J11">
        <v>0.3</v>
      </c>
      <c r="K11">
        <v>7.9</v>
      </c>
    </row>
    <row r="16" spans="1:15" ht="15.75" x14ac:dyDescent="0.25">
      <c r="O16" s="1"/>
    </row>
    <row r="21" spans="4:4" ht="15.75" x14ac:dyDescent="0.25">
      <c r="D21" s="1"/>
    </row>
    <row r="24" spans="4:4" ht="15.75" x14ac:dyDescent="0.25">
      <c r="D24" s="1"/>
    </row>
    <row r="26" spans="4:4" ht="15.75" x14ac:dyDescent="0.25">
      <c r="D26" s="1"/>
    </row>
    <row r="27" spans="4:4" ht="15.75" x14ac:dyDescent="0.25">
      <c r="D27" s="1"/>
    </row>
    <row r="28" spans="4:4" ht="15.75" x14ac:dyDescent="0.25">
      <c r="D28" s="1"/>
    </row>
    <row r="29" spans="4:4" ht="15.75" x14ac:dyDescent="0.25">
      <c r="D29" s="1"/>
    </row>
    <row r="30" spans="4:4" ht="15.75" x14ac:dyDescent="0.25">
      <c r="D30" s="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60238-1951-4A51-9E29-9F86098D5705}">
  <dimension ref="A2:AC28"/>
  <sheetViews>
    <sheetView workbookViewId="0">
      <selection activeCell="L27" sqref="L27"/>
    </sheetView>
  </sheetViews>
  <sheetFormatPr defaultRowHeight="15" x14ac:dyDescent="0.25"/>
  <cols>
    <col min="11" max="11" width="12.85546875" bestFit="1" customWidth="1"/>
    <col min="16" max="16" width="11.140625" bestFit="1" customWidth="1"/>
    <col min="21" max="21" width="15.42578125" bestFit="1" customWidth="1"/>
  </cols>
  <sheetData>
    <row r="2" spans="1:29" x14ac:dyDescent="0.25">
      <c r="A2" t="s">
        <v>84</v>
      </c>
    </row>
    <row r="4" spans="1:29" x14ac:dyDescent="0.25">
      <c r="A4" t="s">
        <v>85</v>
      </c>
    </row>
    <row r="5" spans="1:29" x14ac:dyDescent="0.25">
      <c r="A5" t="s">
        <v>86</v>
      </c>
    </row>
    <row r="6" spans="1:29" x14ac:dyDescent="0.25">
      <c r="A6" t="s">
        <v>87</v>
      </c>
    </row>
    <row r="8" spans="1:29" x14ac:dyDescent="0.25">
      <c r="A8" t="s">
        <v>88</v>
      </c>
    </row>
    <row r="9" spans="1:29" ht="15.75" thickBot="1" x14ac:dyDescent="0.3"/>
    <row r="10" spans="1:29" x14ac:dyDescent="0.25">
      <c r="A10" t="s">
        <v>92</v>
      </c>
      <c r="B10" s="5">
        <v>20</v>
      </c>
      <c r="C10" s="6">
        <v>3</v>
      </c>
      <c r="D10" s="7">
        <v>1</v>
      </c>
      <c r="F10" t="s">
        <v>93</v>
      </c>
      <c r="G10" s="5">
        <v>5</v>
      </c>
      <c r="H10" s="6">
        <v>1</v>
      </c>
      <c r="I10" s="7">
        <v>0</v>
      </c>
      <c r="K10" t="s">
        <v>97</v>
      </c>
      <c r="L10" s="5">
        <f>SUM(B10+G10)</f>
        <v>25</v>
      </c>
      <c r="M10" s="6">
        <f t="shared" ref="M10:N12" si="0">SUM(C10+H10)</f>
        <v>4</v>
      </c>
      <c r="N10" s="7">
        <f t="shared" si="0"/>
        <v>1</v>
      </c>
      <c r="P10" t="s">
        <v>99</v>
      </c>
      <c r="Q10" s="5" cm="1">
        <f t="array" ref="Q10:S12">MINVERSE(B10:D12)</f>
        <v>5.1600387972841902E-2</v>
      </c>
      <c r="R10" s="6">
        <v>-1.008729388942774E-2</v>
      </c>
      <c r="S10" s="7">
        <v>-1.7458777885548007E-3</v>
      </c>
      <c r="U10" t="s">
        <v>100</v>
      </c>
      <c r="V10" s="5" cm="1">
        <f t="array" ref="V10:X12">MMULT(_xlfn.ANCHORARRAY(Q10),G10:I12)</f>
        <v>0.24791464597478174</v>
      </c>
      <c r="W10" s="6">
        <v>9.5053346265761389E-3</v>
      </c>
      <c r="X10" s="7">
        <v>-1.5324927255092142E-2</v>
      </c>
      <c r="Z10" t="s">
        <v>102</v>
      </c>
      <c r="AA10" s="5">
        <v>1</v>
      </c>
      <c r="AB10" s="6">
        <v>0</v>
      </c>
      <c r="AC10" s="7">
        <v>0</v>
      </c>
    </row>
    <row r="11" spans="1:29" x14ac:dyDescent="0.25">
      <c r="B11" s="8">
        <v>3</v>
      </c>
      <c r="C11" s="24">
        <v>15</v>
      </c>
      <c r="D11" s="9">
        <v>2</v>
      </c>
      <c r="G11" s="8">
        <v>1</v>
      </c>
      <c r="H11" s="24">
        <v>4</v>
      </c>
      <c r="I11" s="9">
        <v>1</v>
      </c>
      <c r="L11" s="8">
        <f t="shared" ref="L11:L12" si="1">SUM(B11+G11)</f>
        <v>4</v>
      </c>
      <c r="M11" s="24">
        <f t="shared" si="0"/>
        <v>19</v>
      </c>
      <c r="N11" s="9">
        <f t="shared" si="0"/>
        <v>3</v>
      </c>
      <c r="Q11" s="8">
        <v>-1.008729388942774E-2</v>
      </c>
      <c r="R11" s="24">
        <v>6.9641125121241515E-2</v>
      </c>
      <c r="S11" s="9">
        <v>-7.1774975751697379E-3</v>
      </c>
      <c r="V11" s="8">
        <v>1.9204655674102816E-2</v>
      </c>
      <c r="W11" s="24">
        <v>0.26129970902036859</v>
      </c>
      <c r="X11" s="9">
        <v>4.8108632395732299E-2</v>
      </c>
      <c r="AA11" s="8">
        <v>0</v>
      </c>
      <c r="AB11" s="24">
        <v>1</v>
      </c>
      <c r="AC11" s="9">
        <v>0</v>
      </c>
    </row>
    <row r="12" spans="1:29" ht="15.75" thickBot="1" x14ac:dyDescent="0.3">
      <c r="B12" s="10">
        <v>1</v>
      </c>
      <c r="C12" s="11">
        <v>2</v>
      </c>
      <c r="D12" s="12">
        <v>18</v>
      </c>
      <c r="G12" s="10">
        <v>0</v>
      </c>
      <c r="H12" s="11">
        <v>1</v>
      </c>
      <c r="I12" s="12">
        <v>3</v>
      </c>
      <c r="L12" s="10">
        <f t="shared" si="1"/>
        <v>1</v>
      </c>
      <c r="M12" s="11">
        <f t="shared" si="0"/>
        <v>3</v>
      </c>
      <c r="N12" s="12">
        <f t="shared" si="0"/>
        <v>21</v>
      </c>
      <c r="Q12" s="10">
        <v>-1.7458777885548014E-3</v>
      </c>
      <c r="R12" s="11">
        <v>-7.1774975751697371E-3</v>
      </c>
      <c r="S12" s="12">
        <v>5.6450048496605232E-2</v>
      </c>
      <c r="V12" s="10">
        <v>-1.5906886517943745E-2</v>
      </c>
      <c r="W12" s="11">
        <v>2.5994180407371482E-2</v>
      </c>
      <c r="X12" s="12">
        <v>0.16217264791464595</v>
      </c>
      <c r="AA12" s="10">
        <v>0</v>
      </c>
      <c r="AB12" s="11">
        <v>0</v>
      </c>
      <c r="AC12" s="12">
        <v>1</v>
      </c>
    </row>
    <row r="13" spans="1:29" x14ac:dyDescent="0.25">
      <c r="A13" t="s">
        <v>94</v>
      </c>
      <c r="F13" t="s">
        <v>94</v>
      </c>
    </row>
    <row r="14" spans="1:29" ht="15.75" thickBot="1" x14ac:dyDescent="0.3">
      <c r="A14" t="s">
        <v>95</v>
      </c>
      <c r="F14" t="s">
        <v>96</v>
      </c>
    </row>
    <row r="15" spans="1:29" x14ac:dyDescent="0.25">
      <c r="P15" t="s">
        <v>101</v>
      </c>
      <c r="Q15" s="5">
        <f>SUM(V10+AA10)</f>
        <v>1.2479146459747819</v>
      </c>
      <c r="R15" s="6">
        <f t="shared" ref="R15:S17" si="2">SUM(W10+AB10)</f>
        <v>9.5053346265761389E-3</v>
      </c>
      <c r="S15" s="7">
        <f t="shared" si="2"/>
        <v>-1.5324927255092142E-2</v>
      </c>
      <c r="U15" t="s">
        <v>103</v>
      </c>
      <c r="V15" s="5" cm="1">
        <f t="array" ref="V15:X17">MINVERSE(Q15:S17)</f>
        <v>0.80157129206922184</v>
      </c>
      <c r="W15" s="6">
        <v>-6.2639346002760369E-3</v>
      </c>
      <c r="X15" s="7">
        <v>1.0829175071663658E-2</v>
      </c>
    </row>
    <row r="16" spans="1:29" x14ac:dyDescent="0.25">
      <c r="A16" t="s">
        <v>89</v>
      </c>
      <c r="Q16" s="8">
        <f t="shared" ref="Q16:Q17" si="3">SUM(V11+AA11)</f>
        <v>1.9204655674102816E-2</v>
      </c>
      <c r="R16" s="24">
        <f t="shared" si="2"/>
        <v>1.2612997090203686</v>
      </c>
      <c r="S16" s="9">
        <f t="shared" si="2"/>
        <v>4.8108632395732299E-2</v>
      </c>
      <c r="V16" s="8">
        <v>-1.2634037583607602E-2</v>
      </c>
      <c r="W16" s="24">
        <v>0.79360866334005731</v>
      </c>
      <c r="X16" s="9">
        <v>-3.3018367130268615E-2</v>
      </c>
    </row>
    <row r="17" spans="1:24" ht="15.75" thickBot="1" x14ac:dyDescent="0.3">
      <c r="A17" t="s">
        <v>90</v>
      </c>
      <c r="Q17" s="10">
        <f t="shared" si="3"/>
        <v>-1.5906886517943745E-2</v>
      </c>
      <c r="R17" s="11">
        <f t="shared" si="2"/>
        <v>2.5994180407371482E-2</v>
      </c>
      <c r="S17" s="12">
        <f t="shared" si="2"/>
        <v>1.1621726479146459</v>
      </c>
      <c r="V17" s="10">
        <v>1.1253848603885765E-2</v>
      </c>
      <c r="W17" s="11">
        <v>-1.7836288353328379E-2</v>
      </c>
      <c r="X17" s="12">
        <v>0.86134409172948301</v>
      </c>
    </row>
    <row r="18" spans="1:24" x14ac:dyDescent="0.25">
      <c r="A18" t="s">
        <v>91</v>
      </c>
    </row>
    <row r="20" spans="1:24" x14ac:dyDescent="0.25">
      <c r="B20" t="s">
        <v>31</v>
      </c>
      <c r="C20">
        <f>MDETERM(B10:D12)</f>
        <v>5155</v>
      </c>
      <c r="E20" t="s">
        <v>66</v>
      </c>
      <c r="F20">
        <f>MDETERM(G10:I12)</f>
        <v>52</v>
      </c>
      <c r="H20" t="s">
        <v>98</v>
      </c>
      <c r="I20">
        <f>MDETERM(L10:N12)</f>
        <v>9419</v>
      </c>
      <c r="K20" t="s">
        <v>108</v>
      </c>
      <c r="L20">
        <f>C20/I20</f>
        <v>0.54729801465123684</v>
      </c>
    </row>
    <row r="21" spans="1:24" ht="15.75" thickBot="1" x14ac:dyDescent="0.3">
      <c r="K21" t="s">
        <v>109</v>
      </c>
      <c r="L21">
        <f>MDETERM(_xlfn.ANCHORARRAY(V15))</f>
        <v>0.54729801465123684</v>
      </c>
    </row>
    <row r="22" spans="1:24" ht="15.75" thickBot="1" x14ac:dyDescent="0.3">
      <c r="L22" s="4"/>
    </row>
    <row r="23" spans="1:24" x14ac:dyDescent="0.25">
      <c r="K23" t="s">
        <v>104</v>
      </c>
      <c r="L23">
        <f>SQRT(((9*16)-4)/(25-5))</f>
        <v>2.6457513110645907</v>
      </c>
    </row>
    <row r="24" spans="1:24" x14ac:dyDescent="0.25">
      <c r="K24" t="s">
        <v>105</v>
      </c>
      <c r="L24">
        <f>3*4</f>
        <v>12</v>
      </c>
    </row>
    <row r="25" spans="1:24" x14ac:dyDescent="0.25">
      <c r="K25" t="s">
        <v>106</v>
      </c>
      <c r="L25">
        <f>12-4</f>
        <v>8</v>
      </c>
    </row>
    <row r="26" spans="1:24" x14ac:dyDescent="0.25">
      <c r="K26" t="s">
        <v>112</v>
      </c>
      <c r="L26">
        <f>_xlfn.F.INV.RT(0.05,12,8)</f>
        <v>3.2839390057264062</v>
      </c>
    </row>
    <row r="27" spans="1:24" x14ac:dyDescent="0.25">
      <c r="K27" t="s">
        <v>107</v>
      </c>
      <c r="L27">
        <f>(1-L21^(1/L23))/(L21^(1/L23))*(8/12)</f>
        <v>0.17057496795070681</v>
      </c>
    </row>
    <row r="28" spans="1:24" x14ac:dyDescent="0.25">
      <c r="K28" t="s">
        <v>110</v>
      </c>
      <c r="L28" t="s">
        <v>111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Q.1.</vt:lpstr>
      <vt:lpstr>Q.2.</vt:lpstr>
      <vt:lpstr>Q.3.</vt:lpstr>
      <vt:lpstr>Q.4.</vt:lpstr>
      <vt:lpstr>Q.5.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StatLab</dc:creator>
  <cp:lastModifiedBy>lab1 stat</cp:lastModifiedBy>
  <dcterms:created xsi:type="dcterms:W3CDTF">2015-06-05T18:17:20Z</dcterms:created>
  <dcterms:modified xsi:type="dcterms:W3CDTF">2025-08-14T06:36:22Z</dcterms:modified>
</cp:coreProperties>
</file>